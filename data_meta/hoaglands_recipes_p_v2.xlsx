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_meta\"/>
    </mc:Choice>
  </mc:AlternateContent>
  <xr:revisionPtr revIDLastSave="0" documentId="13_ncr:1_{FB1CC775-5F5C-4466-BDEA-4009CD590ADA}" xr6:coauthVersionLast="47" xr6:coauthVersionMax="47" xr10:uidLastSave="{00000000-0000-0000-0000-000000000000}"/>
  <bookViews>
    <workbookView xWindow="-108" yWindow="-108" windowWidth="23256" windowHeight="13896" activeTab="1" xr2:uid="{5A275A07-A470-45D3-A544-9A609AEF5A01}"/>
  </bookViews>
  <sheets>
    <sheet name="read_me" sheetId="16" r:id="rId1"/>
    <sheet name="recipe&amp;calculator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15" l="1"/>
  <c r="H37" i="16"/>
  <c r="F37" i="16"/>
  <c r="H36" i="16"/>
  <c r="F36" i="16"/>
  <c r="H35" i="16"/>
  <c r="F35" i="16"/>
  <c r="H34" i="16"/>
  <c r="F34" i="16"/>
  <c r="H33" i="16"/>
  <c r="F33" i="16"/>
  <c r="H32" i="16"/>
  <c r="F32" i="16"/>
  <c r="H31" i="16"/>
  <c r="F31" i="16"/>
  <c r="H30" i="16"/>
  <c r="F30" i="16"/>
  <c r="H29" i="16"/>
  <c r="F29" i="16"/>
  <c r="H28" i="16"/>
  <c r="F28" i="16"/>
  <c r="I28" i="16" s="1"/>
  <c r="H27" i="16"/>
  <c r="F27" i="16"/>
  <c r="H26" i="16"/>
  <c r="F26" i="16"/>
  <c r="H25" i="16"/>
  <c r="F25" i="16"/>
  <c r="H24" i="16"/>
  <c r="F24" i="16"/>
  <c r="K20" i="16"/>
  <c r="I20" i="16"/>
  <c r="K19" i="16"/>
  <c r="K18" i="16"/>
  <c r="I18" i="16"/>
  <c r="K17" i="16"/>
  <c r="I17" i="16"/>
  <c r="K16" i="16"/>
  <c r="I16" i="16"/>
  <c r="K15" i="16"/>
  <c r="I15" i="16"/>
  <c r="K12" i="16"/>
  <c r="I12" i="16"/>
  <c r="K11" i="16"/>
  <c r="I11" i="16"/>
  <c r="K10" i="16"/>
  <c r="I10" i="16"/>
  <c r="K9" i="16"/>
  <c r="I9" i="16"/>
  <c r="I24" i="16" l="1"/>
  <c r="I25" i="16"/>
  <c r="I35" i="16"/>
  <c r="F44" i="16" s="1"/>
  <c r="H44" i="16" s="1"/>
  <c r="I27" i="16"/>
  <c r="I34" i="16"/>
  <c r="I30" i="16"/>
  <c r="I29" i="16"/>
  <c r="I33" i="16"/>
  <c r="I37" i="16"/>
  <c r="F46" i="16" s="1"/>
  <c r="H46" i="16" s="1"/>
  <c r="I31" i="16"/>
  <c r="I32" i="16"/>
  <c r="I26" i="16"/>
  <c r="I36" i="16"/>
  <c r="F45" i="16" s="1"/>
  <c r="H45" i="16" s="1"/>
  <c r="H19" i="15"/>
  <c r="F9" i="15"/>
  <c r="F10" i="15"/>
  <c r="F11" i="15"/>
  <c r="F12" i="15"/>
  <c r="F15" i="15"/>
  <c r="F16" i="15"/>
  <c r="F17" i="15"/>
  <c r="F18" i="15"/>
  <c r="F20" i="15"/>
  <c r="E24" i="15"/>
  <c r="E25" i="15"/>
  <c r="E26" i="15"/>
  <c r="E27" i="15"/>
  <c r="E28" i="15"/>
  <c r="E29" i="15"/>
  <c r="E30" i="15"/>
  <c r="E31" i="15"/>
  <c r="F31" i="15"/>
  <c r="E32" i="15"/>
  <c r="E33" i="15"/>
  <c r="E34" i="15"/>
  <c r="E35" i="15"/>
  <c r="E36" i="15"/>
  <c r="E37" i="15"/>
  <c r="AC37" i="15"/>
  <c r="AA37" i="15"/>
  <c r="U37" i="15"/>
  <c r="S37" i="15"/>
  <c r="M37" i="15"/>
  <c r="K37" i="15"/>
  <c r="N37" i="15" s="1"/>
  <c r="K46" i="15" s="1"/>
  <c r="M46" i="15" s="1"/>
  <c r="C37" i="15"/>
  <c r="AC36" i="15"/>
  <c r="AA36" i="15"/>
  <c r="U36" i="15"/>
  <c r="S36" i="15"/>
  <c r="V36" i="15" s="1"/>
  <c r="S45" i="15" s="1"/>
  <c r="M36" i="15"/>
  <c r="K36" i="15"/>
  <c r="C36" i="15"/>
  <c r="AC35" i="15"/>
  <c r="AA35" i="15"/>
  <c r="U35" i="15"/>
  <c r="S35" i="15"/>
  <c r="M35" i="15"/>
  <c r="K35" i="15"/>
  <c r="C35" i="15"/>
  <c r="AC34" i="15"/>
  <c r="AA34" i="15"/>
  <c r="U34" i="15"/>
  <c r="S34" i="15"/>
  <c r="M34" i="15"/>
  <c r="K34" i="15"/>
  <c r="C34" i="15"/>
  <c r="AC33" i="15"/>
  <c r="AA33" i="15"/>
  <c r="U33" i="15"/>
  <c r="S33" i="15"/>
  <c r="M33" i="15"/>
  <c r="K33" i="15"/>
  <c r="C33" i="15"/>
  <c r="AC32" i="15"/>
  <c r="AA32" i="15"/>
  <c r="U32" i="15"/>
  <c r="S32" i="15"/>
  <c r="M32" i="15"/>
  <c r="K32" i="15"/>
  <c r="C32" i="15"/>
  <c r="AC31" i="15"/>
  <c r="AA31" i="15"/>
  <c r="U31" i="15"/>
  <c r="S31" i="15"/>
  <c r="V31" i="15" s="1"/>
  <c r="M31" i="15"/>
  <c r="K31" i="15"/>
  <c r="C31" i="15"/>
  <c r="AC30" i="15"/>
  <c r="AA30" i="15"/>
  <c r="U30" i="15"/>
  <c r="S30" i="15"/>
  <c r="M30" i="15"/>
  <c r="K30" i="15"/>
  <c r="C30" i="15"/>
  <c r="AC29" i="15"/>
  <c r="AA29" i="15"/>
  <c r="U29" i="15"/>
  <c r="S29" i="15"/>
  <c r="M29" i="15"/>
  <c r="K29" i="15"/>
  <c r="C29" i="15"/>
  <c r="AC28" i="15"/>
  <c r="AA28" i="15"/>
  <c r="U28" i="15"/>
  <c r="S28" i="15"/>
  <c r="M28" i="15"/>
  <c r="K28" i="15"/>
  <c r="N28" i="15" s="1"/>
  <c r="C28" i="15"/>
  <c r="AC27" i="15"/>
  <c r="AA27" i="15"/>
  <c r="AD27" i="15" s="1"/>
  <c r="U27" i="15"/>
  <c r="S27" i="15"/>
  <c r="M27" i="15"/>
  <c r="K27" i="15"/>
  <c r="C27" i="15"/>
  <c r="AC26" i="15"/>
  <c r="AA26" i="15"/>
  <c r="U26" i="15"/>
  <c r="S26" i="15"/>
  <c r="M26" i="15"/>
  <c r="K26" i="15"/>
  <c r="C26" i="15"/>
  <c r="AC25" i="15"/>
  <c r="AA25" i="15"/>
  <c r="U25" i="15"/>
  <c r="S25" i="15"/>
  <c r="M25" i="15"/>
  <c r="K25" i="15"/>
  <c r="C25" i="15"/>
  <c r="AC24" i="15"/>
  <c r="AA24" i="15"/>
  <c r="U24" i="15"/>
  <c r="S24" i="15"/>
  <c r="M24" i="15"/>
  <c r="K24" i="15"/>
  <c r="C24" i="15"/>
  <c r="AF20" i="15"/>
  <c r="AD20" i="15"/>
  <c r="X20" i="15"/>
  <c r="V20" i="15"/>
  <c r="P20" i="15"/>
  <c r="N20" i="15"/>
  <c r="H20" i="15"/>
  <c r="AF19" i="15"/>
  <c r="X19" i="15"/>
  <c r="V19" i="15"/>
  <c r="P19" i="15"/>
  <c r="AF18" i="15"/>
  <c r="AD18" i="15"/>
  <c r="X18" i="15"/>
  <c r="V18" i="15"/>
  <c r="P18" i="15"/>
  <c r="N18" i="15"/>
  <c r="H18" i="15"/>
  <c r="AF17" i="15"/>
  <c r="AD17" i="15"/>
  <c r="X17" i="15"/>
  <c r="P17" i="15"/>
  <c r="N17" i="15"/>
  <c r="H17" i="15"/>
  <c r="AF16" i="15"/>
  <c r="AD16" i="15"/>
  <c r="X16" i="15"/>
  <c r="P16" i="15"/>
  <c r="N16" i="15"/>
  <c r="H16" i="15"/>
  <c r="AF15" i="15"/>
  <c r="AD15" i="15"/>
  <c r="X15" i="15"/>
  <c r="P15" i="15"/>
  <c r="N15" i="15"/>
  <c r="H15" i="15"/>
  <c r="AJ14" i="15"/>
  <c r="AF12" i="15"/>
  <c r="AD12" i="15"/>
  <c r="X12" i="15"/>
  <c r="V12" i="15"/>
  <c r="P12" i="15"/>
  <c r="N12" i="15"/>
  <c r="H12" i="15"/>
  <c r="AJ11" i="15"/>
  <c r="AF11" i="15"/>
  <c r="AD11" i="15"/>
  <c r="X11" i="15"/>
  <c r="V11" i="15"/>
  <c r="P11" i="15"/>
  <c r="N11" i="15"/>
  <c r="H11" i="15"/>
  <c r="AF10" i="15"/>
  <c r="AD10" i="15"/>
  <c r="X10" i="15"/>
  <c r="V10" i="15"/>
  <c r="P10" i="15"/>
  <c r="N10" i="15"/>
  <c r="H10" i="15"/>
  <c r="AJ9" i="15"/>
  <c r="AF9" i="15"/>
  <c r="AD9" i="15"/>
  <c r="V9" i="15"/>
  <c r="P9" i="15"/>
  <c r="N9" i="15"/>
  <c r="H9" i="15"/>
  <c r="AJ8" i="15"/>
  <c r="V37" i="15" l="1"/>
  <c r="S46" i="15" s="1"/>
  <c r="F28" i="15"/>
  <c r="F42" i="16"/>
  <c r="H42" i="16" s="1"/>
  <c r="F41" i="16"/>
  <c r="H41" i="16" s="1"/>
  <c r="F43" i="16"/>
  <c r="H43" i="16" s="1"/>
  <c r="N27" i="15"/>
  <c r="F34" i="15"/>
  <c r="F37" i="15"/>
  <c r="C46" i="15" s="1"/>
  <c r="E46" i="15" s="1"/>
  <c r="F32" i="15"/>
  <c r="F35" i="15"/>
  <c r="F33" i="15"/>
  <c r="AD26" i="15"/>
  <c r="AD36" i="15"/>
  <c r="AA45" i="15" s="1"/>
  <c r="AC45" i="15" s="1"/>
  <c r="V28" i="15"/>
  <c r="F26" i="15"/>
  <c r="F29" i="15"/>
  <c r="F24" i="15"/>
  <c r="N24" i="15"/>
  <c r="F27" i="15"/>
  <c r="F30" i="15"/>
  <c r="C41" i="15" s="1"/>
  <c r="E41" i="15" s="1"/>
  <c r="V24" i="15"/>
  <c r="N30" i="15"/>
  <c r="N25" i="15"/>
  <c r="F25" i="15"/>
  <c r="F36" i="15"/>
  <c r="C45" i="15" s="1"/>
  <c r="E45" i="15" s="1"/>
  <c r="V34" i="15"/>
  <c r="V32" i="15"/>
  <c r="V35" i="15"/>
  <c r="V27" i="15"/>
  <c r="AD30" i="15"/>
  <c r="V30" i="15"/>
  <c r="V25" i="15"/>
  <c r="N34" i="15"/>
  <c r="AD25" i="15"/>
  <c r="AD31" i="15"/>
  <c r="N26" i="15"/>
  <c r="N29" i="15"/>
  <c r="V26" i="15"/>
  <c r="N32" i="15"/>
  <c r="V29" i="15"/>
  <c r="N35" i="15"/>
  <c r="K44" i="15" s="1"/>
  <c r="M44" i="15" s="1"/>
  <c r="N31" i="15"/>
  <c r="AD34" i="15"/>
  <c r="AD35" i="15"/>
  <c r="AD32" i="15"/>
  <c r="AD24" i="15"/>
  <c r="AD28" i="15"/>
  <c r="V33" i="15"/>
  <c r="AD33" i="15"/>
  <c r="N36" i="15"/>
  <c r="K45" i="15" s="1"/>
  <c r="M45" i="15" s="1"/>
  <c r="AD29" i="15"/>
  <c r="AD37" i="15"/>
  <c r="AA46" i="15" s="1"/>
  <c r="AC46" i="15" s="1"/>
  <c r="N33" i="15"/>
  <c r="U45" i="15"/>
  <c r="U46" i="15"/>
  <c r="C43" i="15" l="1"/>
  <c r="E43" i="15" s="1"/>
  <c r="C44" i="15"/>
  <c r="E44" i="15" s="1"/>
  <c r="S44" i="15"/>
  <c r="U44" i="15" s="1"/>
  <c r="S42" i="15"/>
  <c r="U42" i="15" s="1"/>
  <c r="C42" i="15"/>
  <c r="E42" i="15" s="1"/>
  <c r="S43" i="15"/>
  <c r="U43" i="15" s="1"/>
  <c r="K41" i="15"/>
  <c r="M41" i="15" s="1"/>
  <c r="S41" i="15"/>
  <c r="K42" i="15"/>
  <c r="M42" i="15" s="1"/>
  <c r="AA42" i="15"/>
  <c r="AC42" i="15" s="1"/>
  <c r="U41" i="15"/>
  <c r="AA43" i="15"/>
  <c r="AC43" i="15" s="1"/>
  <c r="K43" i="15"/>
  <c r="M43" i="15" s="1"/>
  <c r="AA44" i="15"/>
  <c r="AC44" i="15" s="1"/>
  <c r="AA41" i="15"/>
  <c r="AC41" i="15" s="1"/>
</calcChain>
</file>

<file path=xl/sharedStrings.xml><?xml version="1.0" encoding="utf-8"?>
<sst xmlns="http://schemas.openxmlformats.org/spreadsheetml/2006/main" count="441" uniqueCount="126">
  <si>
    <t>compound</t>
  </si>
  <si>
    <t>ml per L</t>
  </si>
  <si>
    <t>ppm</t>
  </si>
  <si>
    <t>Supplemental macros &amp; micros</t>
  </si>
  <si>
    <t>10% Fe-EDTA</t>
  </si>
  <si>
    <t>Trace elements</t>
  </si>
  <si>
    <t>Individual NPK ppm</t>
  </si>
  <si>
    <t>element</t>
  </si>
  <si>
    <t>K from KCl</t>
  </si>
  <si>
    <t>Cl from KCl</t>
  </si>
  <si>
    <t>Total macronutrient ppm in solution</t>
  </si>
  <si>
    <t>macronutrient</t>
  </si>
  <si>
    <t>N</t>
  </si>
  <si>
    <t>P</t>
  </si>
  <si>
    <t>K</t>
  </si>
  <si>
    <t>Ca</t>
  </si>
  <si>
    <t>Mg</t>
  </si>
  <si>
    <t>S</t>
  </si>
  <si>
    <t>Primary macronutrients</t>
  </si>
  <si>
    <t>moles</t>
  </si>
  <si>
    <t>compound name and stock solution  molarity</t>
  </si>
  <si>
    <t>molar mass (g per L)</t>
  </si>
  <si>
    <t>stock solution (g per L)</t>
  </si>
  <si>
    <t>10 % Fe-EDTA</t>
  </si>
  <si>
    <t>85% Molybdic acid</t>
  </si>
  <si>
    <t>Notes</t>
  </si>
  <si>
    <t>NH4H2PO4 (ammonium) - N, P</t>
  </si>
  <si>
    <t>Element</t>
  </si>
  <si>
    <t xml:space="preserve">Modify? </t>
  </si>
  <si>
    <t>Yes</t>
  </si>
  <si>
    <t>KNO3 (nitrate) - K, N</t>
  </si>
  <si>
    <t>Maybe</t>
  </si>
  <si>
    <t>Keep constant if possible</t>
  </si>
  <si>
    <t>No</t>
  </si>
  <si>
    <t xml:space="preserve">Don't adjust primary, Ca, and N </t>
  </si>
  <si>
    <t>Ca(NO3)2 * 4H2O (nitrate) - Ca, N</t>
  </si>
  <si>
    <t>NH4NO3 (ammonium and nitrate)</t>
  </si>
  <si>
    <t>KH2PO4 - K, P</t>
  </si>
  <si>
    <t>Use if need to balance K</t>
  </si>
  <si>
    <t>KCL - K, CL</t>
  </si>
  <si>
    <t>CaCo - Ca, pH buffer</t>
  </si>
  <si>
    <t>MgSO4 * 7H2O - Mg, S</t>
  </si>
  <si>
    <t>10% Fe-EDTA - Fe</t>
  </si>
  <si>
    <t>Trace elements - Micros (Zn, Cu, etc.)</t>
  </si>
  <si>
    <t>g/mol</t>
  </si>
  <si>
    <t>g/mol (molar mass)</t>
  </si>
  <si>
    <t>0 ppm P</t>
  </si>
  <si>
    <t>15 ppm P</t>
  </si>
  <si>
    <t xml:space="preserve">62 ppm P </t>
  </si>
  <si>
    <t>Atomic mass of P (u)</t>
  </si>
  <si>
    <r>
      <t>1 M NH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Aptos Narrow"/>
        <family val="2"/>
        <scheme val="minor"/>
      </rPr>
      <t>4</t>
    </r>
  </si>
  <si>
    <r>
      <t>2 M KNO</t>
    </r>
    <r>
      <rPr>
        <vertAlign val="subscript"/>
        <sz val="12"/>
        <color theme="1"/>
        <rFont val="Aptos Narrow"/>
        <family val="2"/>
        <scheme val="minor"/>
      </rPr>
      <t>3</t>
    </r>
  </si>
  <si>
    <r>
      <t>2 M Ca(NO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</si>
  <si>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1 M NH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(for treatments below 280 ppm/20 mM N)</t>
    </r>
  </si>
  <si>
    <r>
      <t>8 M NH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(for treatments above 280 ppm/20 mM N)</t>
    </r>
  </si>
  <si>
    <r>
      <t>1 M KH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Aptos Narrow"/>
        <family val="2"/>
        <scheme val="minor"/>
      </rPr>
      <t>4</t>
    </r>
  </si>
  <si>
    <r>
      <t>1 M CaCO</t>
    </r>
    <r>
      <rPr>
        <vertAlign val="subscript"/>
        <sz val="12"/>
        <color theme="1"/>
        <rFont val="Aptos Narrow"/>
        <family val="2"/>
        <scheme val="minor"/>
      </rPr>
      <t>3</t>
    </r>
  </si>
  <si>
    <r>
      <t>2 M MgSO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</si>
  <si>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Trace Elements (all compounds combined in 1 L H</t>
    </r>
    <r>
      <rPr>
        <b/>
        <vertAlign val="subscript"/>
        <sz val="12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O)</t>
    </r>
  </si>
  <si>
    <r>
      <t>MnCl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</si>
  <si>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H</t>
    </r>
    <r>
      <rPr>
        <vertAlign val="subscript"/>
        <sz val="12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BO</t>
    </r>
    <r>
      <rPr>
        <vertAlign val="subscript"/>
        <sz val="12"/>
        <color theme="1"/>
        <rFont val="Aptos Narrow"/>
        <family val="2"/>
        <scheme val="minor"/>
      </rPr>
      <t>3</t>
    </r>
  </si>
  <si>
    <r>
      <t>ZnSO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</si>
  <si>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r>
      <t>CuSO</t>
    </r>
    <r>
      <rPr>
        <vertAlign val="subscript"/>
        <sz val="12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5 H</t>
    </r>
    <r>
      <rPr>
        <vertAlign val="subscript"/>
        <sz val="12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</si>
  <si>
    <t>Stock Solutions</t>
  </si>
  <si>
    <t>constant (unrealted to P)</t>
  </si>
  <si>
    <t>Can modify if needed</t>
  </si>
  <si>
    <t>Use me to help with N if modify NH4H4PO4</t>
  </si>
  <si>
    <t>diff. base</t>
  </si>
  <si>
    <t>pH</t>
  </si>
  <si>
    <t>KCl (neutral)</t>
  </si>
  <si>
    <t>KH2PO4 (neutral)</t>
  </si>
  <si>
    <t>CaCO3 (strong basic)</t>
  </si>
  <si>
    <t>MgSO4 * 7 H2O (nearly neutral)</t>
  </si>
  <si>
    <t>mL for 20 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</si>
  <si>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</si>
  <si>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</si>
  <si>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</si>
  <si>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</si>
  <si>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</si>
  <si>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</si>
  <si>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</si>
  <si>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</si>
  <si>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</si>
  <si>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</si>
  <si>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>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(acidic)</t>
    </r>
  </si>
  <si>
    <r>
      <t>KNO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(neutral)</t>
    </r>
  </si>
  <si>
    <r>
      <t>Ca(NO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* 4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 (slightly basic)</t>
    </r>
  </si>
  <si>
    <r>
      <t>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(mildly acidic)</t>
    </r>
  </si>
  <si>
    <r>
      <t>KH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(neutral)</t>
    </r>
  </si>
  <si>
    <r>
      <t>CaCO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(strong basic)</t>
    </r>
  </si>
  <si>
    <r>
      <t>MgSO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* 7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 (nearly neutral)</t>
    </r>
  </si>
  <si>
    <r>
      <t>N from 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</si>
  <si>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P from 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</si>
  <si>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K from KNO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</si>
  <si>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N from KNO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</si>
  <si>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Ca from Ca(NO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</si>
  <si>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N from Ca(NO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</si>
  <si>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N from NH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NO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</si>
  <si>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K from KH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</si>
  <si>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P from KH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PO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</si>
  <si>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Ca from CaCO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</si>
  <si>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Mg from MgSO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</si>
  <si>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S from SO</t>
    </r>
    <r>
      <rPr>
        <vertAlign val="subscript"/>
        <sz val="11"/>
        <color theme="1"/>
        <rFont val="Aptos Narrow"/>
        <family val="2"/>
        <scheme val="minor"/>
      </rPr>
      <t>4</t>
    </r>
  </si>
  <si>
    <t>Constant, can help modify soil pH</t>
  </si>
  <si>
    <t>Typical Hogland Solutions Amounts (Typical Fertilizer)</t>
  </si>
  <si>
    <t>Formula tweaking notes</t>
  </si>
  <si>
    <t>Notes for Mixing</t>
  </si>
  <si>
    <t>BASE PPM FERTILIZER PART OF CALCULATOR</t>
  </si>
  <si>
    <t>pH
(measured)</t>
  </si>
  <si>
    <t>recipe</t>
  </si>
  <si>
    <t xml:space="preserve">Modified Hoagland Calculator for different ppm of Phosphorus </t>
  </si>
  <si>
    <t>jar #</t>
  </si>
  <si>
    <t>Read me/ instructions</t>
  </si>
  <si>
    <t xml:space="preserve">item </t>
  </si>
  <si>
    <t>note</t>
  </si>
  <si>
    <t>tweaking recipe</t>
  </si>
  <si>
    <t xml:space="preserve">The "diff. base" </t>
  </si>
  <si>
    <t>Standard Hogland Values (keep for calculator)</t>
  </si>
  <si>
    <t>31 ppm P (standard Hoaglands)</t>
  </si>
  <si>
    <t>Example calculator for Read me</t>
  </si>
  <si>
    <t>How different from the standard Hoglands? 
AND AREA TO RECORD YOUR pH VALUE!!!!!!!</t>
  </si>
  <si>
    <t>Difference from standard Hoglands
AND AREA TO RECORD YOUR pH VALUE!</t>
  </si>
  <si>
    <t xml:space="preserve">When you make/ modify the recipe make sure to test the pH. I wasn't able to find a way to calculate predicted pH values, so all pH values were tested for each new recipe. When testing new recipes I scaled down recipe amounts for 10mL then tested pH. I also tested the pH for each batch of weekly fertilizer treatments. </t>
  </si>
  <si>
    <r>
      <t>Modifying the "</t>
    </r>
    <r>
      <rPr>
        <b/>
        <sz val="11"/>
        <color rgb="FFFF0000"/>
        <rFont val="Aptos Narrow"/>
        <family val="2"/>
        <scheme val="minor"/>
      </rPr>
      <t>ml per L</t>
    </r>
    <r>
      <rPr>
        <sz val="11"/>
        <color theme="1"/>
        <rFont val="Aptos Narrow"/>
        <family val="2"/>
        <scheme val="minor"/>
      </rPr>
      <t>" columns will change the "</t>
    </r>
    <r>
      <rPr>
        <b/>
        <sz val="11"/>
        <color rgb="FF0070C0"/>
        <rFont val="Aptos Narrow"/>
        <family val="2"/>
        <scheme val="minor"/>
      </rPr>
      <t xml:space="preserve">Total macronutrient ppm in solution" </t>
    </r>
    <r>
      <rPr>
        <sz val="11"/>
        <rFont val="Aptos Narrow"/>
        <family val="2"/>
        <scheme val="minor"/>
      </rPr>
      <t>section</t>
    </r>
    <r>
      <rPr>
        <sz val="11"/>
        <color theme="1"/>
        <rFont val="Aptos Narrow"/>
        <family val="2"/>
        <scheme val="minor"/>
      </rPr>
      <t>. The only part of this calculator that you should tweak is the area with the</t>
    </r>
    <r>
      <rPr>
        <sz val="11"/>
        <color rgb="FFFF0000"/>
        <rFont val="Aptos Narrow"/>
        <family val="2"/>
        <scheme val="minor"/>
      </rPr>
      <t xml:space="preserve"> red text</t>
    </r>
    <r>
      <rPr>
        <sz val="11"/>
        <color theme="1"/>
        <rFont val="Aptos Narrow"/>
        <family val="2"/>
        <scheme val="minor"/>
      </rPr>
      <t xml:space="preserve"> (I9 - I20 here). Everything else is a refrence/ output. </t>
    </r>
  </si>
  <si>
    <t>This area tells you how different your macronutrients are from "standard Hoaglands" solution. It stays green if modificaitons are within "+" or "-" 2.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</si>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</sst>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b/>
      <vertAlign val="subscript"/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2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3C7A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indexed="64"/>
      </bottom>
      <diagonal/>
    </border>
    <border>
      <left/>
      <right style="medium">
        <color rgb="FF0070C0"/>
      </right>
      <top/>
      <bottom style="medium">
        <color indexed="64"/>
      </bottom>
      <diagonal/>
    </border>
    <border>
      <left style="medium">
        <color rgb="FF0070C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70C0"/>
      </right>
      <top/>
      <bottom style="thin">
        <color theme="0" tint="-0.499984740745262"/>
      </bottom>
      <diagonal/>
    </border>
    <border>
      <left style="medium">
        <color rgb="FF0070C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70C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70C0"/>
      </left>
      <right style="thin">
        <color theme="0" tint="-0.499984740745262"/>
      </right>
      <top style="thin">
        <color theme="0" tint="-0.499984740745262"/>
      </top>
      <bottom style="medium">
        <color rgb="FF0070C0"/>
      </bottom>
      <diagonal/>
    </border>
    <border>
      <left style="thin">
        <color theme="0" tint="-0.499984740745262"/>
      </left>
      <right style="medium">
        <color rgb="FF0070C0"/>
      </right>
      <top style="thin">
        <color theme="0" tint="-0.499984740745262"/>
      </top>
      <bottom style="medium">
        <color rgb="FF0070C0"/>
      </bottom>
      <diagonal/>
    </border>
    <border>
      <left style="medium">
        <color rgb="FF0070C0"/>
      </left>
      <right/>
      <top style="medium">
        <color indexed="64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theme="1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indexed="64"/>
      </bottom>
      <diagonal/>
    </border>
    <border>
      <left style="medium">
        <color rgb="FF0070C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70C0"/>
      </right>
      <top/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9">
    <xf numFmtId="0" fontId="0" fillId="0" borderId="0" xfId="0"/>
    <xf numFmtId="0" fontId="4" fillId="0" borderId="0" xfId="0" applyFont="1"/>
    <xf numFmtId="0" fontId="3" fillId="0" borderId="0" xfId="0" applyFont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10" fillId="4" borderId="1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0" fillId="0" borderId="5" xfId="0" applyBorder="1"/>
    <xf numFmtId="0" fontId="5" fillId="0" borderId="4" xfId="0" applyFont="1" applyBorder="1"/>
    <xf numFmtId="0" fontId="0" fillId="0" borderId="4" xfId="0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2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12" xfId="0" applyBorder="1"/>
    <xf numFmtId="0" fontId="10" fillId="4" borderId="0" xfId="0" applyFont="1" applyFill="1" applyAlignment="1">
      <alignment horizontal="left"/>
    </xf>
    <xf numFmtId="0" fontId="10" fillId="4" borderId="0" xfId="0" applyFont="1" applyFill="1"/>
    <xf numFmtId="0" fontId="0" fillId="0" borderId="16" xfId="0" applyBorder="1"/>
    <xf numFmtId="164" fontId="0" fillId="0" borderId="18" xfId="0" applyNumberFormat="1" applyBorder="1"/>
    <xf numFmtId="164" fontId="0" fillId="0" borderId="16" xfId="0" applyNumberFormat="1" applyBorder="1"/>
    <xf numFmtId="0" fontId="3" fillId="5" borderId="13" xfId="0" applyFont="1" applyFill="1" applyBorder="1"/>
    <xf numFmtId="0" fontId="3" fillId="5" borderId="19" xfId="0" applyFont="1" applyFill="1" applyBorder="1"/>
    <xf numFmtId="0" fontId="0" fillId="5" borderId="19" xfId="0" applyFill="1" applyBorder="1"/>
    <xf numFmtId="0" fontId="0" fillId="0" borderId="22" xfId="0" applyBorder="1"/>
    <xf numFmtId="164" fontId="0" fillId="0" borderId="23" xfId="0" applyNumberFormat="1" applyBorder="1"/>
    <xf numFmtId="0" fontId="3" fillId="5" borderId="14" xfId="0" applyFont="1" applyFill="1" applyBorder="1"/>
    <xf numFmtId="0" fontId="3" fillId="5" borderId="20" xfId="0" applyFont="1" applyFill="1" applyBorder="1"/>
    <xf numFmtId="0" fontId="3" fillId="5" borderId="10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left"/>
    </xf>
    <xf numFmtId="2" fontId="0" fillId="5" borderId="9" xfId="0" applyNumberFormat="1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5" borderId="10" xfId="0" applyFont="1" applyFill="1" applyBorder="1"/>
    <xf numFmtId="0" fontId="3" fillId="5" borderId="9" xfId="0" applyFont="1" applyFill="1" applyBorder="1"/>
    <xf numFmtId="0" fontId="3" fillId="5" borderId="11" xfId="0" applyFont="1" applyFill="1" applyBorder="1"/>
    <xf numFmtId="0" fontId="1" fillId="0" borderId="0" xfId="0" applyFont="1"/>
    <xf numFmtId="0" fontId="7" fillId="4" borderId="10" xfId="0" applyFont="1" applyFill="1" applyBorder="1"/>
    <xf numFmtId="0" fontId="0" fillId="4" borderId="9" xfId="0" applyFill="1" applyBorder="1"/>
    <xf numFmtId="0" fontId="0" fillId="4" borderId="11" xfId="0" applyFill="1" applyBorder="1"/>
    <xf numFmtId="0" fontId="5" fillId="3" borderId="4" xfId="0" applyFont="1" applyFill="1" applyBorder="1"/>
    <xf numFmtId="0" fontId="1" fillId="3" borderId="0" xfId="1" applyFont="1" applyFill="1" applyBorder="1"/>
    <xf numFmtId="0" fontId="0" fillId="3" borderId="5" xfId="0" applyFill="1" applyBorder="1"/>
    <xf numFmtId="0" fontId="5" fillId="7" borderId="4" xfId="0" applyFont="1" applyFill="1" applyBorder="1"/>
    <xf numFmtId="0" fontId="1" fillId="7" borderId="0" xfId="0" applyFont="1" applyFill="1"/>
    <xf numFmtId="0" fontId="0" fillId="7" borderId="5" xfId="0" applyFill="1" applyBorder="1"/>
    <xf numFmtId="0" fontId="5" fillId="8" borderId="4" xfId="0" applyFont="1" applyFill="1" applyBorder="1"/>
    <xf numFmtId="0" fontId="1" fillId="8" borderId="0" xfId="0" applyFont="1" applyFill="1"/>
    <xf numFmtId="0" fontId="0" fillId="8" borderId="5" xfId="0" applyFill="1" applyBorder="1"/>
    <xf numFmtId="0" fontId="5" fillId="9" borderId="4" xfId="0" applyFont="1" applyFill="1" applyBorder="1"/>
    <xf numFmtId="0" fontId="1" fillId="9" borderId="0" xfId="1" applyFont="1" applyFill="1" applyBorder="1"/>
    <xf numFmtId="0" fontId="0" fillId="9" borderId="5" xfId="0" applyFill="1" applyBorder="1"/>
    <xf numFmtId="0" fontId="5" fillId="10" borderId="4" xfId="0" applyFont="1" applyFill="1" applyBorder="1"/>
    <xf numFmtId="0" fontId="1" fillId="10" borderId="0" xfId="1" applyFont="1" applyFill="1" applyBorder="1"/>
    <xf numFmtId="0" fontId="0" fillId="10" borderId="5" xfId="0" applyFill="1" applyBorder="1"/>
    <xf numFmtId="0" fontId="5" fillId="11" borderId="4" xfId="0" applyFont="1" applyFill="1" applyBorder="1"/>
    <xf numFmtId="0" fontId="1" fillId="11" borderId="0" xfId="0" applyFont="1" applyFill="1"/>
    <xf numFmtId="0" fontId="0" fillId="11" borderId="5" xfId="0" applyFill="1" applyBorder="1"/>
    <xf numFmtId="0" fontId="5" fillId="12" borderId="4" xfId="0" applyFont="1" applyFill="1" applyBorder="1"/>
    <xf numFmtId="0" fontId="1" fillId="12" borderId="0" xfId="0" applyFont="1" applyFill="1"/>
    <xf numFmtId="0" fontId="0" fillId="12" borderId="5" xfId="0" applyFill="1" applyBorder="1"/>
    <xf numFmtId="0" fontId="5" fillId="13" borderId="4" xfId="0" applyFont="1" applyFill="1" applyBorder="1"/>
    <xf numFmtId="0" fontId="1" fillId="13" borderId="0" xfId="0" applyFont="1" applyFill="1"/>
    <xf numFmtId="0" fontId="0" fillId="13" borderId="5" xfId="0" applyFill="1" applyBorder="1"/>
    <xf numFmtId="0" fontId="3" fillId="5" borderId="0" xfId="0" applyFont="1" applyFill="1"/>
    <xf numFmtId="0" fontId="0" fillId="0" borderId="24" xfId="0" applyBorder="1"/>
    <xf numFmtId="0" fontId="10" fillId="4" borderId="7" xfId="0" applyFont="1" applyFill="1" applyBorder="1" applyAlignment="1">
      <alignment horizontal="left"/>
    </xf>
    <xf numFmtId="0" fontId="10" fillId="4" borderId="7" xfId="0" applyFont="1" applyFill="1" applyBorder="1"/>
    <xf numFmtId="0" fontId="4" fillId="5" borderId="2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5" xfId="0" applyFont="1" applyFill="1" applyBorder="1"/>
    <xf numFmtId="0" fontId="0" fillId="0" borderId="24" xfId="0" applyBorder="1" applyAlignment="1">
      <alignment horizontal="left"/>
    </xf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5" borderId="3" xfId="0" applyFill="1" applyBorder="1"/>
    <xf numFmtId="0" fontId="10" fillId="4" borderId="2" xfId="0" applyFont="1" applyFill="1" applyBorder="1"/>
    <xf numFmtId="0" fontId="10" fillId="4" borderId="3" xfId="0" applyFont="1" applyFill="1" applyBorder="1"/>
    <xf numFmtId="0" fontId="0" fillId="0" borderId="26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164" fontId="0" fillId="0" borderId="26" xfId="0" applyNumberFormat="1" applyBorder="1"/>
    <xf numFmtId="164" fontId="0" fillId="0" borderId="29" xfId="0" applyNumberFormat="1" applyBorder="1"/>
    <xf numFmtId="0" fontId="3" fillId="5" borderId="1" xfId="0" applyFont="1" applyFill="1" applyBorder="1"/>
    <xf numFmtId="0" fontId="3" fillId="5" borderId="4" xfId="0" applyFont="1" applyFill="1" applyBorder="1"/>
    <xf numFmtId="0" fontId="0" fillId="7" borderId="25" xfId="0" applyFill="1" applyBorder="1" applyAlignment="1">
      <alignment horizontal="left"/>
    </xf>
    <xf numFmtId="0" fontId="0" fillId="8" borderId="25" xfId="0" applyFill="1" applyBorder="1" applyAlignment="1">
      <alignment horizontal="left"/>
    </xf>
    <xf numFmtId="0" fontId="0" fillId="9" borderId="27" xfId="0" applyFill="1" applyBorder="1" applyAlignment="1">
      <alignment horizontal="left"/>
    </xf>
    <xf numFmtId="0" fontId="0" fillId="10" borderId="25" xfId="0" applyFill="1" applyBorder="1"/>
    <xf numFmtId="0" fontId="0" fillId="11" borderId="25" xfId="0" applyFill="1" applyBorder="1"/>
    <xf numFmtId="0" fontId="0" fillId="12" borderId="25" xfId="0" applyFill="1" applyBorder="1"/>
    <xf numFmtId="0" fontId="0" fillId="13" borderId="25" xfId="0" applyFill="1" applyBorder="1"/>
    <xf numFmtId="0" fontId="0" fillId="0" borderId="25" xfId="0" applyBorder="1"/>
    <xf numFmtId="0" fontId="0" fillId="0" borderId="27" xfId="0" applyBorder="1"/>
    <xf numFmtId="0" fontId="0" fillId="0" borderId="15" xfId="0" applyBorder="1"/>
    <xf numFmtId="0" fontId="0" fillId="3" borderId="21" xfId="0" applyFill="1" applyBorder="1"/>
    <xf numFmtId="0" fontId="0" fillId="3" borderId="17" xfId="0" applyFill="1" applyBorder="1"/>
    <xf numFmtId="0" fontId="0" fillId="7" borderId="17" xfId="0" applyFill="1" applyBorder="1"/>
    <xf numFmtId="0" fontId="0" fillId="8" borderId="17" xfId="0" applyFill="1" applyBorder="1"/>
    <xf numFmtId="0" fontId="0" fillId="9" borderId="17" xfId="0" applyFill="1" applyBorder="1"/>
    <xf numFmtId="0" fontId="0" fillId="10" borderId="17" xfId="0" applyFill="1" applyBorder="1"/>
    <xf numFmtId="0" fontId="0" fillId="11" borderId="17" xfId="0" applyFill="1" applyBorder="1"/>
    <xf numFmtId="0" fontId="0" fillId="12" borderId="17" xfId="0" applyFill="1" applyBorder="1"/>
    <xf numFmtId="0" fontId="0" fillId="13" borderId="17" xfId="0" applyFill="1" applyBorder="1"/>
    <xf numFmtId="0" fontId="13" fillId="4" borderId="6" xfId="0" applyFont="1" applyFill="1" applyBorder="1"/>
    <xf numFmtId="0" fontId="13" fillId="4" borderId="4" xfId="0" applyFont="1" applyFill="1" applyBorder="1"/>
    <xf numFmtId="0" fontId="0" fillId="3" borderId="25" xfId="0" applyFill="1" applyBorder="1"/>
    <xf numFmtId="0" fontId="0" fillId="7" borderId="25" xfId="0" applyFill="1" applyBorder="1"/>
    <xf numFmtId="0" fontId="0" fillId="8" borderId="25" xfId="0" applyFill="1" applyBorder="1"/>
    <xf numFmtId="0" fontId="0" fillId="9" borderId="27" xfId="0" applyFill="1" applyBorder="1"/>
    <xf numFmtId="0" fontId="0" fillId="5" borderId="5" xfId="0" applyFill="1" applyBorder="1"/>
    <xf numFmtId="164" fontId="0" fillId="0" borderId="0" xfId="0" applyNumberFormat="1"/>
    <xf numFmtId="0" fontId="12" fillId="0" borderId="0" xfId="0" applyFont="1"/>
    <xf numFmtId="0" fontId="3" fillId="5" borderId="6" xfId="0" applyFont="1" applyFill="1" applyBorder="1"/>
    <xf numFmtId="0" fontId="3" fillId="5" borderId="8" xfId="0" applyFont="1" applyFill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3" borderId="30" xfId="0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4" fillId="5" borderId="0" xfId="0" applyFont="1" applyFill="1"/>
    <xf numFmtId="0" fontId="3" fillId="5" borderId="7" xfId="0" applyFont="1" applyFill="1" applyBorder="1"/>
    <xf numFmtId="0" fontId="5" fillId="0" borderId="0" xfId="0" applyFont="1"/>
    <xf numFmtId="49" fontId="16" fillId="4" borderId="1" xfId="0" applyNumberFormat="1" applyFont="1" applyFill="1" applyBorder="1" applyAlignment="1">
      <alignment vertical="center"/>
    </xf>
    <xf numFmtId="49" fontId="16" fillId="4" borderId="2" xfId="0" applyNumberFormat="1" applyFont="1" applyFill="1" applyBorder="1" applyAlignment="1">
      <alignment vertical="center"/>
    </xf>
    <xf numFmtId="49" fontId="16" fillId="4" borderId="3" xfId="0" applyNumberFormat="1" applyFont="1" applyFill="1" applyBorder="1" applyAlignment="1">
      <alignment vertical="center"/>
    </xf>
    <xf numFmtId="49" fontId="16" fillId="4" borderId="6" xfId="0" applyNumberFormat="1" applyFont="1" applyFill="1" applyBorder="1" applyAlignment="1">
      <alignment vertical="center"/>
    </xf>
    <xf numFmtId="49" fontId="16" fillId="4" borderId="7" xfId="0" applyNumberFormat="1" applyFont="1" applyFill="1" applyBorder="1" applyAlignment="1">
      <alignment vertical="center"/>
    </xf>
    <xf numFmtId="0" fontId="0" fillId="3" borderId="30" xfId="0" applyFill="1" applyBorder="1"/>
    <xf numFmtId="0" fontId="0" fillId="0" borderId="31" xfId="0" applyBorder="1"/>
    <xf numFmtId="0" fontId="0" fillId="0" borderId="32" xfId="0" applyBorder="1"/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3" fillId="5" borderId="6" xfId="0" applyFont="1" applyFill="1" applyBorder="1" applyAlignment="1">
      <alignment textRotation="90"/>
    </xf>
    <xf numFmtId="0" fontId="0" fillId="0" borderId="30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7" xfId="0" applyBorder="1" applyAlignment="1">
      <alignment horizontal="left"/>
    </xf>
    <xf numFmtId="164" fontId="0" fillId="0" borderId="25" xfId="0" applyNumberFormat="1" applyBorder="1"/>
    <xf numFmtId="164" fontId="0" fillId="0" borderId="27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0" fillId="4" borderId="1" xfId="0" applyFont="1" applyFill="1" applyBorder="1" applyAlignment="1">
      <alignment horizontal="left"/>
    </xf>
    <xf numFmtId="0" fontId="0" fillId="0" borderId="30" xfId="0" applyBorder="1"/>
    <xf numFmtId="0" fontId="10" fillId="4" borderId="4" xfId="0" applyFont="1" applyFill="1" applyBorder="1"/>
    <xf numFmtId="0" fontId="3" fillId="13" borderId="6" xfId="0" applyFont="1" applyFill="1" applyBorder="1"/>
    <xf numFmtId="0" fontId="3" fillId="13" borderId="8" xfId="0" applyFont="1" applyFill="1" applyBorder="1"/>
    <xf numFmtId="0" fontId="10" fillId="4" borderId="1" xfId="0" applyFont="1" applyFill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0" fillId="5" borderId="0" xfId="0" applyFill="1"/>
    <xf numFmtId="0" fontId="3" fillId="13" borderId="27" xfId="0" applyFont="1" applyFill="1" applyBorder="1"/>
    <xf numFmtId="0" fontId="3" fillId="13" borderId="37" xfId="0" applyFont="1" applyFill="1" applyBorder="1"/>
    <xf numFmtId="0" fontId="3" fillId="13" borderId="38" xfId="0" applyFont="1" applyFill="1" applyBorder="1"/>
    <xf numFmtId="0" fontId="3" fillId="13" borderId="29" xfId="0" applyFont="1" applyFill="1" applyBorder="1"/>
    <xf numFmtId="0" fontId="12" fillId="14" borderId="33" xfId="0" applyFont="1" applyFill="1" applyBorder="1" applyAlignment="1">
      <alignment wrapText="1"/>
    </xf>
    <xf numFmtId="0" fontId="15" fillId="4" borderId="1" xfId="0" applyFont="1" applyFill="1" applyBorder="1" applyAlignment="1">
      <alignment horizontal="left" vertical="center"/>
    </xf>
    <xf numFmtId="49" fontId="15" fillId="4" borderId="1" xfId="0" applyNumberFormat="1" applyFont="1" applyFill="1" applyBorder="1" applyAlignment="1">
      <alignment horizontal="left" vertical="center"/>
    </xf>
    <xf numFmtId="49" fontId="15" fillId="4" borderId="8" xfId="0" applyNumberFormat="1" applyFont="1" applyFill="1" applyBorder="1" applyAlignment="1">
      <alignment vertical="center"/>
    </xf>
    <xf numFmtId="0" fontId="0" fillId="0" borderId="39" xfId="0" applyBorder="1"/>
    <xf numFmtId="0" fontId="3" fillId="13" borderId="24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13" borderId="24" xfId="0" applyFont="1" applyFill="1" applyBorder="1" applyAlignment="1">
      <alignment horizontal="left" vertical="center" wrapText="1"/>
    </xf>
    <xf numFmtId="0" fontId="0" fillId="0" borderId="24" xfId="0" applyBorder="1" applyAlignment="1">
      <alignment horizontal="left" wrapText="1"/>
    </xf>
    <xf numFmtId="0" fontId="0" fillId="0" borderId="0" xfId="0" applyAlignment="1">
      <alignment textRotation="90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164" fontId="0" fillId="0" borderId="40" xfId="0" applyNumberFormat="1" applyBorder="1"/>
    <xf numFmtId="164" fontId="0" fillId="0" borderId="41" xfId="0" applyNumberFormat="1" applyBorder="1"/>
    <xf numFmtId="0" fontId="19" fillId="5" borderId="42" xfId="0" applyFont="1" applyFill="1" applyBorder="1"/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3" fillId="5" borderId="46" xfId="0" applyFont="1" applyFill="1" applyBorder="1"/>
    <xf numFmtId="0" fontId="19" fillId="5" borderId="47" xfId="0" applyFont="1" applyFill="1" applyBorder="1"/>
    <xf numFmtId="0" fontId="0" fillId="0" borderId="44" xfId="0" applyBorder="1"/>
    <xf numFmtId="0" fontId="0" fillId="0" borderId="48" xfId="0" applyBorder="1"/>
    <xf numFmtId="0" fontId="21" fillId="5" borderId="49" xfId="0" applyFont="1" applyFill="1" applyBorder="1"/>
    <xf numFmtId="0" fontId="3" fillId="5" borderId="50" xfId="0" applyFont="1" applyFill="1" applyBorder="1"/>
    <xf numFmtId="0" fontId="3" fillId="5" borderId="51" xfId="0" applyFont="1" applyFill="1" applyBorder="1"/>
    <xf numFmtId="0" fontId="3" fillId="5" borderId="52" xfId="0" applyFont="1" applyFill="1" applyBorder="1"/>
    <xf numFmtId="0" fontId="0" fillId="0" borderId="53" xfId="0" applyBorder="1"/>
    <xf numFmtId="164" fontId="0" fillId="6" borderId="54" xfId="0" applyNumberFormat="1" applyFill="1" applyBorder="1"/>
    <xf numFmtId="0" fontId="0" fillId="0" borderId="55" xfId="0" applyBorder="1"/>
    <xf numFmtId="0" fontId="0" fillId="0" borderId="56" xfId="0" applyBorder="1"/>
    <xf numFmtId="164" fontId="0" fillId="6" borderId="56" xfId="0" applyNumberFormat="1" applyFill="1" applyBorder="1"/>
    <xf numFmtId="0" fontId="0" fillId="6" borderId="56" xfId="0" applyFill="1" applyBorder="1"/>
    <xf numFmtId="0" fontId="0" fillId="0" borderId="57" xfId="0" applyBorder="1"/>
    <xf numFmtId="0" fontId="0" fillId="6" borderId="58" xfId="0" applyFill="1" applyBorder="1"/>
    <xf numFmtId="164" fontId="0" fillId="0" borderId="0" xfId="0" applyNumberFormat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3" fillId="5" borderId="50" xfId="0" applyFont="1" applyFill="1" applyBorder="1" applyAlignment="1">
      <alignment horizontal="left"/>
    </xf>
    <xf numFmtId="164" fontId="0" fillId="0" borderId="56" xfId="0" applyNumberFormat="1" applyBorder="1"/>
    <xf numFmtId="0" fontId="0" fillId="6" borderId="54" xfId="0" applyFill="1" applyBorder="1"/>
    <xf numFmtId="0" fontId="12" fillId="14" borderId="60" xfId="0" applyFont="1" applyFill="1" applyBorder="1"/>
    <xf numFmtId="164" fontId="0" fillId="0" borderId="61" xfId="0" applyNumberFormat="1" applyBorder="1"/>
    <xf numFmtId="164" fontId="11" fillId="0" borderId="61" xfId="0" applyNumberFormat="1" applyFont="1" applyBorder="1"/>
    <xf numFmtId="164" fontId="0" fillId="0" borderId="62" xfId="0" applyNumberFormat="1" applyBorder="1"/>
    <xf numFmtId="0" fontId="12" fillId="14" borderId="63" xfId="0" applyFont="1" applyFill="1" applyBorder="1"/>
    <xf numFmtId="0" fontId="6" fillId="0" borderId="61" xfId="1" applyFont="1" applyFill="1" applyBorder="1"/>
    <xf numFmtId="0" fontId="3" fillId="5" borderId="42" xfId="0" applyFont="1" applyFill="1" applyBorder="1"/>
    <xf numFmtId="0" fontId="3" fillId="5" borderId="47" xfId="0" applyFont="1" applyFill="1" applyBorder="1"/>
    <xf numFmtId="0" fontId="0" fillId="0" borderId="40" xfId="0" applyBorder="1"/>
    <xf numFmtId="0" fontId="0" fillId="0" borderId="41" xfId="0" applyBorder="1"/>
    <xf numFmtId="0" fontId="0" fillId="0" borderId="43" xfId="0" applyBorder="1"/>
    <xf numFmtId="0" fontId="0" fillId="0" borderId="45" xfId="0" applyBorder="1"/>
    <xf numFmtId="0" fontId="3" fillId="5" borderId="64" xfId="0" applyFont="1" applyFill="1" applyBorder="1"/>
    <xf numFmtId="0" fontId="6" fillId="0" borderId="44" xfId="0" applyFont="1" applyBorder="1"/>
    <xf numFmtId="0" fontId="21" fillId="5" borderId="49" xfId="0" applyFont="1" applyFill="1" applyBorder="1" applyAlignment="1">
      <alignment horizontal="left"/>
    </xf>
    <xf numFmtId="0" fontId="6" fillId="0" borderId="65" xfId="1" applyFont="1" applyFill="1" applyBorder="1"/>
    <xf numFmtId="0" fontId="0" fillId="0" borderId="66" xfId="0" applyBorder="1"/>
    <xf numFmtId="0" fontId="0" fillId="6" borderId="67" xfId="0" applyFill="1" applyBorder="1"/>
    <xf numFmtId="0" fontId="0" fillId="0" borderId="68" xfId="0" applyBorder="1"/>
    <xf numFmtId="0" fontId="0" fillId="0" borderId="69" xfId="0" applyBorder="1"/>
    <xf numFmtId="0" fontId="0" fillId="6" borderId="69" xfId="0" applyFill="1" applyBorder="1"/>
    <xf numFmtId="0" fontId="0" fillId="0" borderId="70" xfId="0" applyBorder="1"/>
    <xf numFmtId="0" fontId="0" fillId="6" borderId="71" xfId="0" applyFill="1" applyBorder="1"/>
    <xf numFmtId="0" fontId="11" fillId="0" borderId="43" xfId="0" applyFont="1" applyBorder="1" applyAlignment="1">
      <alignment horizontal="left"/>
    </xf>
    <xf numFmtId="0" fontId="11" fillId="0" borderId="44" xfId="0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11" fillId="0" borderId="44" xfId="0" applyFont="1" applyBorder="1"/>
    <xf numFmtId="0" fontId="11" fillId="0" borderId="48" xfId="0" applyFont="1" applyBorder="1"/>
    <xf numFmtId="164" fontId="20" fillId="6" borderId="54" xfId="0" applyNumberFormat="1" applyFont="1" applyFill="1" applyBorder="1"/>
    <xf numFmtId="0" fontId="20" fillId="0" borderId="56" xfId="0" applyFont="1" applyBorder="1"/>
    <xf numFmtId="164" fontId="20" fillId="6" borderId="56" xfId="0" applyNumberFormat="1" applyFont="1" applyFill="1" applyBorder="1"/>
    <xf numFmtId="0" fontId="20" fillId="6" borderId="56" xfId="0" applyFont="1" applyFill="1" applyBorder="1"/>
    <xf numFmtId="0" fontId="20" fillId="6" borderId="58" xfId="0" applyFont="1" applyFill="1" applyBorder="1"/>
    <xf numFmtId="0" fontId="3" fillId="5" borderId="59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49" fontId="15" fillId="4" borderId="5" xfId="0" applyNumberFormat="1" applyFont="1" applyFill="1" applyBorder="1" applyAlignment="1">
      <alignment vertical="center"/>
    </xf>
    <xf numFmtId="0" fontId="3" fillId="5" borderId="72" xfId="0" applyFont="1" applyFill="1" applyBorder="1"/>
    <xf numFmtId="0" fontId="3" fillId="5" borderId="73" xfId="0" applyFont="1" applyFill="1" applyBorder="1"/>
    <xf numFmtId="49" fontId="16" fillId="4" borderId="4" xfId="0" applyNumberFormat="1" applyFont="1" applyFill="1" applyBorder="1" applyAlignment="1">
      <alignment vertical="center"/>
    </xf>
  </cellXfs>
  <cellStyles count="2">
    <cellStyle name="Good" xfId="1" builtinId="26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3C7AB"/>
      <color rgb="FFECB7FF"/>
      <color rgb="FFFFCC99"/>
      <color rgb="FFFFFFCD"/>
      <color rgb="FFFFFF99"/>
      <color rgb="FFF4FFD1"/>
      <color rgb="FFFFD9FF"/>
      <color rgb="FFFFCCFF"/>
      <color rgb="FFE97132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4E156-F073-4FB0-B7A0-6FDBF4E36873}">
  <sheetPr>
    <pageSetUpPr fitToPage="1"/>
  </sheetPr>
  <dimension ref="B2:L55"/>
  <sheetViews>
    <sheetView showGridLines="0" zoomScale="70" zoomScaleNormal="70" workbookViewId="0">
      <selection activeCell="L26" sqref="L26"/>
    </sheetView>
  </sheetViews>
  <sheetFormatPr defaultRowHeight="14.4" x14ac:dyDescent="0.3"/>
  <cols>
    <col min="2" max="2" width="23.44140625" customWidth="1"/>
    <col min="3" max="3" width="89.21875" style="169" customWidth="1"/>
    <col min="4" max="4" width="23.44140625" customWidth="1"/>
    <col min="5" max="5" width="43.6640625" bestFit="1" customWidth="1"/>
    <col min="6" max="6" width="8.21875" bestFit="1" customWidth="1"/>
    <col min="7" max="7" width="23.6640625" bestFit="1" customWidth="1"/>
    <col min="8" max="8" width="11" bestFit="1" customWidth="1"/>
    <col min="9" max="9" width="10.88671875" customWidth="1"/>
    <col min="10" max="10" width="2.88671875" bestFit="1" customWidth="1"/>
    <col min="11" max="11" width="14.5546875" bestFit="1" customWidth="1"/>
    <col min="12" max="12" width="7.109375" customWidth="1"/>
  </cols>
  <sheetData>
    <row r="2" spans="2:12" s="1" customFormat="1" ht="15.6" x14ac:dyDescent="0.3">
      <c r="B2"/>
      <c r="C2" s="169"/>
      <c r="D2"/>
      <c r="E2"/>
      <c r="F2"/>
      <c r="G2"/>
      <c r="H2"/>
      <c r="I2"/>
      <c r="J2"/>
      <c r="K2"/>
      <c r="L2"/>
    </row>
    <row r="3" spans="2:12" ht="15.6" x14ac:dyDescent="0.3">
      <c r="B3" s="1"/>
      <c r="C3" s="170"/>
      <c r="D3" s="1"/>
    </row>
    <row r="4" spans="2:12" ht="26.4" thickBot="1" x14ac:dyDescent="0.55000000000000004">
      <c r="B4" s="156" t="s">
        <v>112</v>
      </c>
      <c r="E4" s="156" t="s">
        <v>119</v>
      </c>
    </row>
    <row r="5" spans="2:12" ht="31.2" x14ac:dyDescent="0.35">
      <c r="B5" s="167" t="s">
        <v>113</v>
      </c>
      <c r="C5" s="171" t="s">
        <v>114</v>
      </c>
      <c r="D5" s="173"/>
      <c r="E5" s="164" t="s">
        <v>46</v>
      </c>
      <c r="F5" s="130"/>
      <c r="G5" s="130"/>
      <c r="H5" s="130"/>
      <c r="I5" s="130"/>
      <c r="J5" s="129"/>
      <c r="K5" s="131"/>
      <c r="L5" s="3"/>
    </row>
    <row r="6" spans="2:12" ht="43.8" thickBot="1" x14ac:dyDescent="0.35">
      <c r="B6" s="168" t="s">
        <v>68</v>
      </c>
      <c r="C6" s="172" t="s">
        <v>122</v>
      </c>
      <c r="D6" s="173"/>
      <c r="E6" s="132"/>
      <c r="F6" s="133"/>
      <c r="G6" s="133"/>
      <c r="H6" s="133"/>
      <c r="I6" s="133"/>
      <c r="J6" s="132"/>
      <c r="K6" s="165" t="s">
        <v>109</v>
      </c>
      <c r="L6" s="2"/>
    </row>
    <row r="7" spans="2:12" ht="43.8" thickBot="1" x14ac:dyDescent="0.35">
      <c r="B7" s="168" t="s">
        <v>115</v>
      </c>
      <c r="C7" s="172" t="s">
        <v>123</v>
      </c>
      <c r="D7" s="173"/>
      <c r="E7" s="89" t="s">
        <v>18</v>
      </c>
      <c r="F7" s="126"/>
      <c r="G7" s="68"/>
      <c r="H7" s="68"/>
      <c r="I7" s="68"/>
      <c r="J7" s="89"/>
      <c r="K7" s="75"/>
      <c r="L7" s="2"/>
    </row>
    <row r="8" spans="2:12" ht="29.4" thickBot="1" x14ac:dyDescent="0.35">
      <c r="B8" s="168" t="s">
        <v>116</v>
      </c>
      <c r="C8" s="172" t="s">
        <v>124</v>
      </c>
      <c r="D8" s="173"/>
      <c r="E8" s="118" t="s">
        <v>0</v>
      </c>
      <c r="F8" s="127" t="s">
        <v>19</v>
      </c>
      <c r="G8" s="127" t="s">
        <v>45</v>
      </c>
      <c r="H8" s="179" t="s">
        <v>1</v>
      </c>
      <c r="I8" s="127" t="s">
        <v>2</v>
      </c>
      <c r="J8" s="140" t="s">
        <v>111</v>
      </c>
      <c r="K8" s="119" t="s">
        <v>73</v>
      </c>
    </row>
    <row r="9" spans="2:12" ht="15.6" x14ac:dyDescent="0.35">
      <c r="B9" s="241"/>
      <c r="C9" s="242"/>
      <c r="D9" s="173"/>
      <c r="E9" s="123" t="s">
        <v>84</v>
      </c>
      <c r="F9" s="124">
        <v>1</v>
      </c>
      <c r="G9" s="137">
        <v>115.3</v>
      </c>
      <c r="H9" s="228">
        <v>0</v>
      </c>
      <c r="I9" s="174">
        <f t="shared" ref="I9:I11" si="0">IF(OR(G9=0,H9=0),0,(G9*1000)/(1000/(F9*H9)))</f>
        <v>0</v>
      </c>
      <c r="J9" s="141" t="s">
        <v>74</v>
      </c>
      <c r="K9" s="125">
        <f>H9*20</f>
        <v>0</v>
      </c>
    </row>
    <row r="10" spans="2:12" ht="15.6" x14ac:dyDescent="0.35">
      <c r="B10" s="241"/>
      <c r="C10" s="242"/>
      <c r="D10" s="173"/>
      <c r="E10" s="90" t="s">
        <v>85</v>
      </c>
      <c r="F10" s="76">
        <v>2</v>
      </c>
      <c r="G10" s="138">
        <v>101.1</v>
      </c>
      <c r="H10" s="229">
        <v>2</v>
      </c>
      <c r="I10" s="175">
        <f t="shared" si="0"/>
        <v>404.4</v>
      </c>
      <c r="J10" s="142" t="s">
        <v>75</v>
      </c>
      <c r="K10" s="83">
        <f>H10*20</f>
        <v>40</v>
      </c>
    </row>
    <row r="11" spans="2:12" ht="15.6" x14ac:dyDescent="0.35">
      <c r="B11" s="243"/>
      <c r="C11" s="244"/>
      <c r="D11" s="173"/>
      <c r="E11" s="91" t="s">
        <v>86</v>
      </c>
      <c r="F11" s="76">
        <v>2</v>
      </c>
      <c r="G11" s="138">
        <v>164.08799999999999</v>
      </c>
      <c r="H11" s="229">
        <v>2</v>
      </c>
      <c r="I11" s="175">
        <f t="shared" si="0"/>
        <v>656.35199999999998</v>
      </c>
      <c r="J11" s="142" t="s">
        <v>76</v>
      </c>
      <c r="K11" s="83">
        <f>H11*20</f>
        <v>40</v>
      </c>
    </row>
    <row r="12" spans="2:12" ht="16.2" thickBot="1" x14ac:dyDescent="0.4">
      <c r="B12" s="243"/>
      <c r="C12" s="244"/>
      <c r="D12" s="173"/>
      <c r="E12" s="92" t="s">
        <v>87</v>
      </c>
      <c r="F12" s="84">
        <v>1</v>
      </c>
      <c r="G12" s="139">
        <v>80.043000000000006</v>
      </c>
      <c r="H12" s="230">
        <v>1.5</v>
      </c>
      <c r="I12" s="176">
        <f>IF(OR(G12=0,H12=0),0,(G12*1000)/(1000/(F12*H12)))</f>
        <v>120.06450000000001</v>
      </c>
      <c r="J12" s="143" t="s">
        <v>77</v>
      </c>
      <c r="K12" s="85">
        <f>H12*20</f>
        <v>30</v>
      </c>
    </row>
    <row r="13" spans="2:12" x14ac:dyDescent="0.3">
      <c r="B13" s="243"/>
      <c r="C13" s="244"/>
      <c r="D13" s="173"/>
      <c r="E13" s="88" t="s">
        <v>3</v>
      </c>
      <c r="F13" s="73"/>
      <c r="G13" s="73"/>
      <c r="H13" s="183"/>
      <c r="I13" s="73"/>
      <c r="J13" s="88"/>
      <c r="K13" s="80"/>
    </row>
    <row r="14" spans="2:12" x14ac:dyDescent="0.3">
      <c r="B14" s="243"/>
      <c r="C14" s="244"/>
      <c r="D14" s="173"/>
      <c r="E14" s="89" t="s">
        <v>0</v>
      </c>
      <c r="F14" s="68" t="s">
        <v>19</v>
      </c>
      <c r="G14" s="68" t="s">
        <v>44</v>
      </c>
      <c r="H14" s="184" t="s">
        <v>1</v>
      </c>
      <c r="I14" s="68" t="s">
        <v>2</v>
      </c>
      <c r="J14" s="89"/>
      <c r="K14" s="75" t="s">
        <v>73</v>
      </c>
    </row>
    <row r="15" spans="2:12" ht="15.6" x14ac:dyDescent="0.35">
      <c r="B15" s="243"/>
      <c r="C15" s="244"/>
      <c r="D15" s="173"/>
      <c r="E15" s="93" t="s">
        <v>88</v>
      </c>
      <c r="F15" s="69">
        <v>1</v>
      </c>
      <c r="G15" s="147">
        <v>136.08600000000001</v>
      </c>
      <c r="H15" s="231">
        <v>0</v>
      </c>
      <c r="I15" s="177">
        <f>IF(OR(F15=0, H15=0), 0, (G15*1000)/(1000/(F15*H15)))</f>
        <v>0</v>
      </c>
      <c r="J15" s="144" t="s">
        <v>78</v>
      </c>
      <c r="K15" s="77">
        <f t="shared" ref="K15:K20" si="1">H15*20</f>
        <v>0</v>
      </c>
    </row>
    <row r="16" spans="2:12" x14ac:dyDescent="0.3">
      <c r="B16" s="243"/>
      <c r="C16" s="244"/>
      <c r="D16" s="173"/>
      <c r="E16" s="94" t="s">
        <v>69</v>
      </c>
      <c r="F16" s="69">
        <v>1</v>
      </c>
      <c r="G16" s="147">
        <v>74.555000000000007</v>
      </c>
      <c r="H16" s="231">
        <v>0</v>
      </c>
      <c r="I16" s="177">
        <f t="shared" ref="I16:I18" si="2">IF(OR(F16=0, H16=0), 0, (G16*1000)/(1000/(F16*H16)))</f>
        <v>0</v>
      </c>
      <c r="J16" s="144" t="s">
        <v>79</v>
      </c>
      <c r="K16" s="77">
        <f t="shared" si="1"/>
        <v>0</v>
      </c>
    </row>
    <row r="17" spans="2:11" ht="15.6" x14ac:dyDescent="0.35">
      <c r="B17" s="243"/>
      <c r="C17" s="244"/>
      <c r="D17" s="173"/>
      <c r="E17" s="95" t="s">
        <v>89</v>
      </c>
      <c r="F17" s="69">
        <v>1</v>
      </c>
      <c r="G17" s="147">
        <v>100.087</v>
      </c>
      <c r="H17" s="231">
        <v>0.04</v>
      </c>
      <c r="I17" s="177">
        <f t="shared" si="2"/>
        <v>4.0034799999999997</v>
      </c>
      <c r="J17" s="144" t="s">
        <v>80</v>
      </c>
      <c r="K17" s="77">
        <f t="shared" si="1"/>
        <v>0.8</v>
      </c>
    </row>
    <row r="18" spans="2:11" ht="15.6" x14ac:dyDescent="0.35">
      <c r="B18" s="243"/>
      <c r="C18" s="244"/>
      <c r="D18" s="173"/>
      <c r="E18" s="96" t="s">
        <v>90</v>
      </c>
      <c r="F18" s="69">
        <v>2</v>
      </c>
      <c r="G18" s="147">
        <v>246.48</v>
      </c>
      <c r="H18" s="231">
        <v>1</v>
      </c>
      <c r="I18" s="177">
        <f t="shared" si="2"/>
        <v>492.96</v>
      </c>
      <c r="J18" s="144" t="s">
        <v>81</v>
      </c>
      <c r="K18" s="77">
        <f t="shared" si="1"/>
        <v>20</v>
      </c>
    </row>
    <row r="19" spans="2:11" x14ac:dyDescent="0.3">
      <c r="B19" s="243"/>
      <c r="C19" s="244"/>
      <c r="D19" s="173"/>
      <c r="E19" s="97" t="s">
        <v>4</v>
      </c>
      <c r="F19" s="69">
        <v>1</v>
      </c>
      <c r="G19" s="147"/>
      <c r="H19" s="231">
        <v>1</v>
      </c>
      <c r="I19" s="177"/>
      <c r="J19" s="144" t="s">
        <v>82</v>
      </c>
      <c r="K19" s="77">
        <f t="shared" si="1"/>
        <v>20</v>
      </c>
    </row>
    <row r="20" spans="2:11" ht="15" thickBot="1" x14ac:dyDescent="0.35">
      <c r="B20" s="243"/>
      <c r="C20" s="244"/>
      <c r="D20" s="173"/>
      <c r="E20" s="98" t="s">
        <v>5</v>
      </c>
      <c r="F20" s="78">
        <v>1</v>
      </c>
      <c r="G20" s="148"/>
      <c r="H20" s="232">
        <v>1</v>
      </c>
      <c r="I20" s="178">
        <f t="shared" ref="I20" si="3">(G20*1000)/(1000/(F20*H20))</f>
        <v>0</v>
      </c>
      <c r="J20" s="145" t="s">
        <v>83</v>
      </c>
      <c r="K20" s="79">
        <f t="shared" si="1"/>
        <v>20</v>
      </c>
    </row>
    <row r="21" spans="2:11" ht="15" thickBot="1" x14ac:dyDescent="0.35">
      <c r="B21" s="243"/>
      <c r="C21" s="244"/>
      <c r="E21" s="99"/>
      <c r="I21" s="22"/>
    </row>
    <row r="22" spans="2:11" x14ac:dyDescent="0.3">
      <c r="B22" s="243"/>
      <c r="C22" s="244"/>
      <c r="E22" s="88" t="s">
        <v>6</v>
      </c>
      <c r="F22" s="74"/>
      <c r="G22" s="25"/>
      <c r="H22" s="25"/>
      <c r="I22" s="30"/>
      <c r="J22" s="2"/>
      <c r="K22" s="2"/>
    </row>
    <row r="23" spans="2:11" ht="15" thickBot="1" x14ac:dyDescent="0.35">
      <c r="B23" s="243"/>
      <c r="C23" s="244"/>
      <c r="E23" s="118" t="s">
        <v>7</v>
      </c>
      <c r="F23" s="119" t="s">
        <v>19</v>
      </c>
      <c r="G23" s="26" t="s">
        <v>44</v>
      </c>
      <c r="H23" s="26" t="s">
        <v>1</v>
      </c>
      <c r="I23" s="31" t="s">
        <v>2</v>
      </c>
      <c r="J23" s="2"/>
      <c r="K23" s="2"/>
    </row>
    <row r="24" spans="2:11" ht="15.6" x14ac:dyDescent="0.35">
      <c r="B24" s="243"/>
      <c r="C24" s="244"/>
      <c r="E24" s="100" t="s">
        <v>91</v>
      </c>
      <c r="F24" s="28">
        <f>F9</f>
        <v>1</v>
      </c>
      <c r="G24" s="28">
        <v>14.006</v>
      </c>
      <c r="H24" s="28">
        <f>H9</f>
        <v>0</v>
      </c>
      <c r="I24" s="29">
        <f t="shared" ref="I24:I37" si="4">IF(OR(F24=0, H24=0), 0, (G24*1000)/(1000/(F24*H24)))</f>
        <v>0</v>
      </c>
      <c r="J24" s="116"/>
      <c r="K24" s="116"/>
    </row>
    <row r="25" spans="2:11" ht="15.6" x14ac:dyDescent="0.35">
      <c r="B25" s="243"/>
      <c r="C25" s="244"/>
      <c r="E25" s="101" t="s">
        <v>92</v>
      </c>
      <c r="F25" s="19">
        <f>F9</f>
        <v>1</v>
      </c>
      <c r="G25" s="19">
        <v>30.973700000000001</v>
      </c>
      <c r="H25" s="19">
        <f>H9</f>
        <v>0</v>
      </c>
      <c r="I25" s="23">
        <f t="shared" si="4"/>
        <v>0</v>
      </c>
      <c r="J25" s="116"/>
      <c r="K25" s="116"/>
    </row>
    <row r="26" spans="2:11" ht="15.6" x14ac:dyDescent="0.35">
      <c r="B26" s="243"/>
      <c r="C26" s="244"/>
      <c r="E26" s="102" t="s">
        <v>93</v>
      </c>
      <c r="F26" s="19">
        <f>F10</f>
        <v>2</v>
      </c>
      <c r="G26" s="19">
        <v>39.094299999999997</v>
      </c>
      <c r="H26" s="19">
        <f>H10</f>
        <v>2</v>
      </c>
      <c r="I26" s="23">
        <f t="shared" si="4"/>
        <v>156.37719999999999</v>
      </c>
      <c r="J26" s="116"/>
      <c r="K26" s="116"/>
    </row>
    <row r="27" spans="2:11" ht="15.6" x14ac:dyDescent="0.35">
      <c r="B27" s="243"/>
      <c r="C27" s="244"/>
      <c r="E27" s="102" t="s">
        <v>94</v>
      </c>
      <c r="F27" s="19">
        <f>F10</f>
        <v>2</v>
      </c>
      <c r="G27" s="19">
        <v>14.006</v>
      </c>
      <c r="H27" s="19">
        <f>H10</f>
        <v>2</v>
      </c>
      <c r="I27" s="23">
        <f t="shared" si="4"/>
        <v>56.024000000000001</v>
      </c>
      <c r="J27" s="116"/>
      <c r="K27" s="116"/>
    </row>
    <row r="28" spans="2:11" ht="15.6" x14ac:dyDescent="0.35">
      <c r="B28" s="243"/>
      <c r="C28" s="244"/>
      <c r="E28" s="103" t="s">
        <v>95</v>
      </c>
      <c r="F28" s="19">
        <f>F11</f>
        <v>2</v>
      </c>
      <c r="G28" s="19">
        <v>40.078000000000003</v>
      </c>
      <c r="H28" s="19">
        <f>H11</f>
        <v>2</v>
      </c>
      <c r="I28" s="23">
        <f t="shared" si="4"/>
        <v>160.31200000000001</v>
      </c>
      <c r="J28" s="116"/>
      <c r="K28" s="116"/>
    </row>
    <row r="29" spans="2:11" ht="15.6" x14ac:dyDescent="0.35">
      <c r="B29" s="243"/>
      <c r="C29" s="244"/>
      <c r="E29" s="103" t="s">
        <v>96</v>
      </c>
      <c r="F29" s="19">
        <f>F11</f>
        <v>2</v>
      </c>
      <c r="G29" s="19">
        <v>28.012</v>
      </c>
      <c r="H29" s="19">
        <f>H11</f>
        <v>2</v>
      </c>
      <c r="I29" s="23">
        <f t="shared" si="4"/>
        <v>112.048</v>
      </c>
      <c r="J29" s="116"/>
      <c r="K29" s="116"/>
    </row>
    <row r="30" spans="2:11" ht="15.6" x14ac:dyDescent="0.35">
      <c r="B30" s="243"/>
      <c r="C30" s="244"/>
      <c r="E30" s="104" t="s">
        <v>97</v>
      </c>
      <c r="F30" s="19">
        <f>F12</f>
        <v>1</v>
      </c>
      <c r="G30" s="19">
        <v>28.012</v>
      </c>
      <c r="H30" s="19">
        <f>H12</f>
        <v>1.5</v>
      </c>
      <c r="I30" s="23">
        <f>IF(OR(F30=0, H30=0), 0, (G30*1000)/(1000/(F30*H30)))</f>
        <v>42.018000000000001</v>
      </c>
      <c r="J30" s="116"/>
      <c r="K30" s="116"/>
    </row>
    <row r="31" spans="2:11" ht="15.6" x14ac:dyDescent="0.35">
      <c r="B31" s="243"/>
      <c r="C31" s="244"/>
      <c r="E31" s="105" t="s">
        <v>98</v>
      </c>
      <c r="F31" s="19">
        <f>F15</f>
        <v>1</v>
      </c>
      <c r="G31" s="19">
        <v>39.094299999999997</v>
      </c>
      <c r="H31" s="19">
        <f>H15</f>
        <v>0</v>
      </c>
      <c r="I31" s="23">
        <f t="shared" si="4"/>
        <v>0</v>
      </c>
      <c r="J31" s="116"/>
      <c r="K31" s="116"/>
    </row>
    <row r="32" spans="2:11" ht="15.6" x14ac:dyDescent="0.35">
      <c r="B32" s="243"/>
      <c r="C32" s="244"/>
      <c r="E32" s="105" t="s">
        <v>99</v>
      </c>
      <c r="F32" s="19">
        <f>F15</f>
        <v>1</v>
      </c>
      <c r="G32" s="19">
        <v>30.973700000000001</v>
      </c>
      <c r="H32" s="19">
        <f>H15</f>
        <v>0</v>
      </c>
      <c r="I32" s="23">
        <f t="shared" si="4"/>
        <v>0</v>
      </c>
      <c r="J32" s="116"/>
      <c r="K32" s="116"/>
    </row>
    <row r="33" spans="2:11" x14ac:dyDescent="0.3">
      <c r="B33" s="243"/>
      <c r="C33" s="244"/>
      <c r="E33" s="106" t="s">
        <v>8</v>
      </c>
      <c r="F33" s="19">
        <f>F16</f>
        <v>1</v>
      </c>
      <c r="G33" s="19">
        <v>39.094299999999997</v>
      </c>
      <c r="H33" s="19">
        <f>H16</f>
        <v>0</v>
      </c>
      <c r="I33" s="23">
        <f t="shared" si="4"/>
        <v>0</v>
      </c>
      <c r="J33" s="116"/>
      <c r="K33" s="116"/>
    </row>
    <row r="34" spans="2:11" x14ac:dyDescent="0.3">
      <c r="B34" s="243"/>
      <c r="C34" s="244"/>
      <c r="E34" s="106" t="s">
        <v>9</v>
      </c>
      <c r="F34" s="19">
        <f>F16</f>
        <v>1</v>
      </c>
      <c r="G34" s="19">
        <v>35.453000000000003</v>
      </c>
      <c r="H34" s="19">
        <f>H16</f>
        <v>0</v>
      </c>
      <c r="I34" s="23">
        <f t="shared" si="4"/>
        <v>0</v>
      </c>
      <c r="J34" s="116"/>
      <c r="K34" s="116"/>
    </row>
    <row r="35" spans="2:11" ht="15.6" x14ac:dyDescent="0.35">
      <c r="B35" s="243"/>
      <c r="C35" s="244"/>
      <c r="E35" s="107" t="s">
        <v>100</v>
      </c>
      <c r="F35" s="19">
        <f>F17</f>
        <v>1</v>
      </c>
      <c r="G35" s="19">
        <v>40.078000000000003</v>
      </c>
      <c r="H35" s="19">
        <f>H17</f>
        <v>0.04</v>
      </c>
      <c r="I35" s="23">
        <f t="shared" si="4"/>
        <v>1.6031200000000001</v>
      </c>
      <c r="J35" s="116"/>
      <c r="K35" s="116"/>
    </row>
    <row r="36" spans="2:11" ht="15.6" x14ac:dyDescent="0.35">
      <c r="E36" s="108" t="s">
        <v>101</v>
      </c>
      <c r="F36" s="19">
        <f>F18</f>
        <v>2</v>
      </c>
      <c r="G36" s="19">
        <v>24.305</v>
      </c>
      <c r="H36" s="19">
        <f>H18</f>
        <v>1</v>
      </c>
      <c r="I36" s="23">
        <f t="shared" si="4"/>
        <v>48.61</v>
      </c>
      <c r="J36" s="116"/>
      <c r="K36" s="116"/>
    </row>
    <row r="37" spans="2:11" ht="15.6" x14ac:dyDescent="0.35">
      <c r="E37" s="108" t="s">
        <v>102</v>
      </c>
      <c r="F37" s="19">
        <f>F18</f>
        <v>2</v>
      </c>
      <c r="G37" s="19">
        <v>32.064999999999998</v>
      </c>
      <c r="H37" s="19">
        <f>H18</f>
        <v>1</v>
      </c>
      <c r="I37" s="23">
        <f t="shared" si="4"/>
        <v>64.13</v>
      </c>
      <c r="J37" s="116"/>
      <c r="K37" s="116"/>
    </row>
    <row r="38" spans="2:11" ht="15" thickBot="1" x14ac:dyDescent="0.35">
      <c r="E38" s="99"/>
      <c r="I38" s="24"/>
      <c r="J38" s="116"/>
      <c r="K38" s="116"/>
    </row>
    <row r="39" spans="2:11" ht="43.2" customHeight="1" thickBot="1" x14ac:dyDescent="0.35">
      <c r="E39" s="187" t="s">
        <v>10</v>
      </c>
      <c r="F39" s="188"/>
      <c r="G39" s="238" t="s">
        <v>120</v>
      </c>
      <c r="H39" s="239"/>
      <c r="I39" s="240"/>
      <c r="J39" s="116"/>
      <c r="K39" s="116"/>
    </row>
    <row r="40" spans="2:11" ht="44.4" customHeight="1" thickBot="1" x14ac:dyDescent="0.35">
      <c r="E40" s="189" t="s">
        <v>11</v>
      </c>
      <c r="F40" s="190" t="s">
        <v>2</v>
      </c>
      <c r="G40" s="27"/>
      <c r="H40" s="205" t="s">
        <v>67</v>
      </c>
      <c r="I40" s="162" t="s">
        <v>108</v>
      </c>
      <c r="J40" s="117"/>
    </row>
    <row r="41" spans="2:11" x14ac:dyDescent="0.3">
      <c r="E41" s="191" t="s">
        <v>12</v>
      </c>
      <c r="F41" s="233">
        <f>SUM(I24,I27,I29,I30)</f>
        <v>210.09</v>
      </c>
      <c r="G41" s="128"/>
      <c r="H41" s="206">
        <f>F50-F41</f>
        <v>0</v>
      </c>
      <c r="I41" s="9">
        <v>6.7</v>
      </c>
    </row>
    <row r="42" spans="2:11" x14ac:dyDescent="0.3">
      <c r="E42" s="193" t="s">
        <v>13</v>
      </c>
      <c r="F42" s="234">
        <f>SUM(I25,I32)</f>
        <v>0</v>
      </c>
      <c r="H42" s="206">
        <f>F51-F42</f>
        <v>30.973700000000001</v>
      </c>
      <c r="I42" s="9"/>
    </row>
    <row r="43" spans="2:11" x14ac:dyDescent="0.3">
      <c r="E43" s="193" t="s">
        <v>14</v>
      </c>
      <c r="F43" s="235">
        <f>SUM(I26,I31,I33)</f>
        <v>156.37719999999999</v>
      </c>
      <c r="H43" s="206">
        <f t="shared" ref="H43:H46" si="5">F52-F43</f>
        <v>0</v>
      </c>
      <c r="I43" s="9"/>
    </row>
    <row r="44" spans="2:11" x14ac:dyDescent="0.3">
      <c r="E44" s="193" t="s">
        <v>15</v>
      </c>
      <c r="F44" s="235">
        <f>I28+I35</f>
        <v>161.91512</v>
      </c>
      <c r="H44" s="207">
        <f t="shared" si="5"/>
        <v>-1.6031199999999899</v>
      </c>
      <c r="I44" s="9"/>
    </row>
    <row r="45" spans="2:11" x14ac:dyDescent="0.3">
      <c r="E45" s="193" t="s">
        <v>16</v>
      </c>
      <c r="F45" s="236">
        <f>I36</f>
        <v>48.61</v>
      </c>
      <c r="H45" s="206">
        <f t="shared" si="5"/>
        <v>0</v>
      </c>
      <c r="I45" s="9"/>
    </row>
    <row r="46" spans="2:11" ht="15" thickBot="1" x14ac:dyDescent="0.35">
      <c r="E46" s="197" t="s">
        <v>17</v>
      </c>
      <c r="F46" s="237">
        <f>I37</f>
        <v>64.13</v>
      </c>
      <c r="G46" s="4"/>
      <c r="H46" s="208">
        <f t="shared" si="5"/>
        <v>0</v>
      </c>
      <c r="I46" s="5"/>
    </row>
    <row r="47" spans="2:11" ht="15" thickBot="1" x14ac:dyDescent="0.35"/>
    <row r="48" spans="2:11" x14ac:dyDescent="0.3">
      <c r="E48" s="159" t="s">
        <v>107</v>
      </c>
      <c r="F48" s="160"/>
    </row>
    <row r="49" spans="5:6" ht="15" thickBot="1" x14ac:dyDescent="0.35">
      <c r="E49" s="158" t="s">
        <v>11</v>
      </c>
      <c r="F49" s="161" t="s">
        <v>2</v>
      </c>
    </row>
    <row r="50" spans="5:6" x14ac:dyDescent="0.3">
      <c r="E50" s="135" t="s">
        <v>12</v>
      </c>
      <c r="F50" s="135">
        <v>210.09</v>
      </c>
    </row>
    <row r="51" spans="5:6" x14ac:dyDescent="0.3">
      <c r="E51" s="69" t="s">
        <v>13</v>
      </c>
      <c r="F51" s="69">
        <v>30.973700000000001</v>
      </c>
    </row>
    <row r="52" spans="5:6" x14ac:dyDescent="0.3">
      <c r="E52" s="69" t="s">
        <v>14</v>
      </c>
      <c r="F52" s="69">
        <v>156.37719999999999</v>
      </c>
    </row>
    <row r="53" spans="5:6" x14ac:dyDescent="0.3">
      <c r="E53" s="69" t="s">
        <v>15</v>
      </c>
      <c r="F53" s="69">
        <v>160.31200000000001</v>
      </c>
    </row>
    <row r="54" spans="5:6" x14ac:dyDescent="0.3">
      <c r="E54" s="69" t="s">
        <v>16</v>
      </c>
      <c r="F54" s="69">
        <v>48.61</v>
      </c>
    </row>
    <row r="55" spans="5:6" x14ac:dyDescent="0.3">
      <c r="E55" s="69" t="s">
        <v>17</v>
      </c>
      <c r="F55" s="69">
        <v>64.13</v>
      </c>
    </row>
  </sheetData>
  <mergeCells count="1">
    <mergeCell ref="G39:I39"/>
  </mergeCells>
  <conditionalFormatting sqref="H41:H46">
    <cfRule type="cellIs" dxfId="1" priority="1" operator="between">
      <formula>-2</formula>
      <formula>2</formula>
    </cfRule>
  </conditionalFormatting>
  <pageMargins left="0.7" right="0.7" top="0.75" bottom="0.75" header="0.3" footer="0.3"/>
  <pageSetup scale="5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288E-C792-4674-8764-E249EDC8F653}">
  <sheetPr>
    <pageSetUpPr fitToPage="1"/>
  </sheetPr>
  <dimension ref="A2:AJ55"/>
  <sheetViews>
    <sheetView showGridLines="0" tabSelected="1" zoomScale="72" zoomScaleNormal="72" workbookViewId="0">
      <selection activeCell="P9" sqref="P9"/>
    </sheetView>
  </sheetViews>
  <sheetFormatPr defaultRowHeight="14.4" x14ac:dyDescent="0.3"/>
  <cols>
    <col min="1" max="1" width="3.44140625" customWidth="1"/>
    <col min="2" max="2" width="31.88671875" customWidth="1"/>
    <col min="3" max="3" width="8.21875" bestFit="1" customWidth="1"/>
    <col min="4" max="4" width="17.21875" customWidth="1"/>
    <col min="5" max="5" width="11" bestFit="1" customWidth="1"/>
    <col min="6" max="6" width="10.88671875" customWidth="1"/>
    <col min="7" max="7" width="2.88671875" bestFit="1" customWidth="1"/>
    <col min="8" max="8" width="14.5546875" bestFit="1" customWidth="1"/>
    <col min="9" max="9" width="7.109375" customWidth="1"/>
    <col min="10" max="10" width="31.88671875" customWidth="1"/>
    <col min="11" max="11" width="10.109375" bestFit="1" customWidth="1"/>
    <col min="12" max="12" width="11.5546875" customWidth="1"/>
    <col min="13" max="13" width="11" bestFit="1" customWidth="1"/>
    <col min="14" max="14" width="10.88671875" customWidth="1"/>
    <col min="15" max="15" width="2.88671875" bestFit="1" customWidth="1"/>
    <col min="16" max="16" width="14.5546875" bestFit="1" customWidth="1"/>
    <col min="17" max="17" width="7.109375" customWidth="1"/>
    <col min="18" max="18" width="31.88671875" customWidth="1"/>
    <col min="19" max="19" width="10.109375" bestFit="1" customWidth="1"/>
    <col min="20" max="20" width="11.5546875" customWidth="1"/>
    <col min="21" max="21" width="11" bestFit="1" customWidth="1"/>
    <col min="22" max="22" width="10.88671875" customWidth="1"/>
    <col min="23" max="23" width="2.88671875" bestFit="1" customWidth="1"/>
    <col min="24" max="24" width="14.5546875" bestFit="1" customWidth="1"/>
    <col min="25" max="25" width="7.109375" customWidth="1"/>
    <col min="26" max="26" width="31.88671875" customWidth="1"/>
    <col min="27" max="27" width="10.109375" bestFit="1" customWidth="1"/>
    <col min="28" max="28" width="11.5546875" customWidth="1"/>
    <col min="29" max="29" width="11" bestFit="1" customWidth="1"/>
    <col min="30" max="30" width="10.88671875" customWidth="1"/>
    <col min="31" max="31" width="2.88671875" bestFit="1" customWidth="1"/>
    <col min="32" max="32" width="14.5546875" bestFit="1" customWidth="1"/>
    <col min="34" max="34" width="46.6640625" customWidth="1"/>
    <col min="35" max="35" width="18.44140625" customWidth="1"/>
    <col min="36" max="36" width="38.109375" customWidth="1"/>
  </cols>
  <sheetData>
    <row r="2" spans="1:36" s="1" customFormat="1" ht="18.600000000000001" customHeight="1" x14ac:dyDescent="0.4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H2" s="155"/>
    </row>
    <row r="3" spans="1:36" ht="18.600000000000001" customHeight="1" x14ac:dyDescent="0.3">
      <c r="A3" s="1"/>
    </row>
    <row r="4" spans="1:36" ht="26.4" thickBot="1" x14ac:dyDescent="0.55000000000000004">
      <c r="B4" s="156" t="s">
        <v>110</v>
      </c>
      <c r="AH4" s="156" t="s">
        <v>106</v>
      </c>
    </row>
    <row r="5" spans="1:36" ht="31.8" thickBot="1" x14ac:dyDescent="0.4">
      <c r="B5" s="164" t="s">
        <v>46</v>
      </c>
      <c r="C5" s="130"/>
      <c r="D5" s="130"/>
      <c r="E5" s="130"/>
      <c r="F5" s="130"/>
      <c r="G5" s="129"/>
      <c r="H5" s="131"/>
      <c r="I5" s="3"/>
      <c r="J5" s="163" t="s">
        <v>47</v>
      </c>
      <c r="K5" s="81"/>
      <c r="L5" s="81"/>
      <c r="M5" s="81"/>
      <c r="N5" s="81"/>
      <c r="O5" s="149"/>
      <c r="P5" s="82"/>
      <c r="Q5" s="3"/>
      <c r="R5" s="163" t="s">
        <v>118</v>
      </c>
      <c r="S5" s="81"/>
      <c r="T5" s="81"/>
      <c r="U5" s="81"/>
      <c r="V5" s="81"/>
      <c r="W5" s="6"/>
      <c r="X5" s="82"/>
      <c r="Y5" s="3"/>
      <c r="Z5" s="163" t="s">
        <v>48</v>
      </c>
      <c r="AA5" s="81"/>
      <c r="AB5" s="81"/>
      <c r="AC5" s="81"/>
      <c r="AD5" s="81"/>
      <c r="AE5" s="6"/>
      <c r="AF5" s="82"/>
      <c r="AH5" s="154" t="s">
        <v>63</v>
      </c>
      <c r="AI5" s="7"/>
      <c r="AJ5" s="8"/>
    </row>
    <row r="6" spans="1:36" ht="31.8" thickBot="1" x14ac:dyDescent="0.4">
      <c r="B6" s="132"/>
      <c r="C6" s="133"/>
      <c r="D6" s="133"/>
      <c r="E6" s="133"/>
      <c r="F6" s="133"/>
      <c r="G6" s="248"/>
      <c r="H6" s="245" t="s">
        <v>109</v>
      </c>
      <c r="I6" s="2"/>
      <c r="J6" s="109"/>
      <c r="K6" s="70"/>
      <c r="L6" s="71"/>
      <c r="M6" s="71"/>
      <c r="N6" s="71"/>
      <c r="O6" s="151"/>
      <c r="P6" s="245" t="s">
        <v>109</v>
      </c>
      <c r="Q6" s="2"/>
      <c r="R6" s="110"/>
      <c r="S6" s="20"/>
      <c r="T6" s="21"/>
      <c r="U6" s="21"/>
      <c r="V6" s="21"/>
      <c r="W6" s="151"/>
      <c r="X6" s="245" t="s">
        <v>109</v>
      </c>
      <c r="Y6" s="2"/>
      <c r="Z6" s="110"/>
      <c r="AA6" s="20"/>
      <c r="AB6" s="21"/>
      <c r="AC6" s="21"/>
      <c r="AD6" s="21"/>
      <c r="AE6" s="151"/>
      <c r="AF6" s="245" t="s">
        <v>109</v>
      </c>
      <c r="AH6" s="32" t="s">
        <v>20</v>
      </c>
      <c r="AI6" s="33" t="s">
        <v>21</v>
      </c>
      <c r="AJ6" s="34" t="s">
        <v>22</v>
      </c>
    </row>
    <row r="7" spans="1:36" ht="19.8" thickBot="1" x14ac:dyDescent="0.5">
      <c r="B7" s="89" t="s">
        <v>18</v>
      </c>
      <c r="C7" s="126"/>
      <c r="D7" s="68"/>
      <c r="E7" s="68"/>
      <c r="F7" s="68"/>
      <c r="G7" s="246" t="s">
        <v>125</v>
      </c>
      <c r="H7" s="247">
        <v>20</v>
      </c>
      <c r="I7" s="2"/>
      <c r="J7" s="89" t="s">
        <v>18</v>
      </c>
      <c r="K7" s="126"/>
      <c r="L7" s="68"/>
      <c r="M7" s="68"/>
      <c r="N7" s="68"/>
      <c r="O7" s="246" t="s">
        <v>125</v>
      </c>
      <c r="P7" s="247">
        <v>20</v>
      </c>
      <c r="Q7" s="2"/>
      <c r="R7" s="88" t="s">
        <v>18</v>
      </c>
      <c r="S7" s="72"/>
      <c r="T7" s="73"/>
      <c r="U7" s="73"/>
      <c r="V7" s="73"/>
      <c r="W7" s="246" t="s">
        <v>125</v>
      </c>
      <c r="X7" s="247">
        <v>20</v>
      </c>
      <c r="Y7" s="2"/>
      <c r="Z7" s="88" t="s">
        <v>18</v>
      </c>
      <c r="AA7" s="72"/>
      <c r="AB7" s="73"/>
      <c r="AC7" s="73"/>
      <c r="AD7" s="73"/>
      <c r="AE7" s="246" t="s">
        <v>125</v>
      </c>
      <c r="AF7" s="247">
        <v>20</v>
      </c>
      <c r="AH7" s="11" t="s">
        <v>50</v>
      </c>
      <c r="AI7" s="12">
        <v>115.03</v>
      </c>
      <c r="AJ7" s="13">
        <v>115.03</v>
      </c>
    </row>
    <row r="8" spans="1:36" ht="29.4" customHeight="1" thickBot="1" x14ac:dyDescent="0.5">
      <c r="B8" s="118" t="s">
        <v>0</v>
      </c>
      <c r="C8" s="127" t="s">
        <v>19</v>
      </c>
      <c r="D8" s="127" t="s">
        <v>45</v>
      </c>
      <c r="E8" s="211" t="s">
        <v>1</v>
      </c>
      <c r="F8" s="127" t="s">
        <v>2</v>
      </c>
      <c r="G8" s="140" t="s">
        <v>111</v>
      </c>
      <c r="H8" s="119" t="s">
        <v>73</v>
      </c>
      <c r="J8" s="118" t="s">
        <v>0</v>
      </c>
      <c r="K8" s="127" t="s">
        <v>19</v>
      </c>
      <c r="L8" s="127" t="s">
        <v>44</v>
      </c>
      <c r="M8" s="211" t="s">
        <v>1</v>
      </c>
      <c r="N8" s="127" t="s">
        <v>2</v>
      </c>
      <c r="O8" s="140" t="s">
        <v>111</v>
      </c>
      <c r="P8" s="119" t="s">
        <v>73</v>
      </c>
      <c r="R8" s="89" t="s">
        <v>0</v>
      </c>
      <c r="S8" s="68" t="s">
        <v>19</v>
      </c>
      <c r="T8" s="68" t="s">
        <v>44</v>
      </c>
      <c r="U8" s="217" t="s">
        <v>1</v>
      </c>
      <c r="V8" s="68" t="s">
        <v>2</v>
      </c>
      <c r="W8" s="140" t="s">
        <v>111</v>
      </c>
      <c r="X8" s="75" t="s">
        <v>73</v>
      </c>
      <c r="Z8" s="89" t="s">
        <v>0</v>
      </c>
      <c r="AA8" s="68" t="s">
        <v>19</v>
      </c>
      <c r="AB8" s="68" t="s">
        <v>44</v>
      </c>
      <c r="AC8" s="217" t="s">
        <v>1</v>
      </c>
      <c r="AD8" s="68" t="s">
        <v>2</v>
      </c>
      <c r="AE8" s="140" t="s">
        <v>111</v>
      </c>
      <c r="AF8" s="75" t="s">
        <v>73</v>
      </c>
      <c r="AH8" s="11" t="s">
        <v>51</v>
      </c>
      <c r="AI8" s="12">
        <v>101.11</v>
      </c>
      <c r="AJ8" s="13">
        <f>AI8*2</f>
        <v>202.22</v>
      </c>
    </row>
    <row r="9" spans="1:36" ht="19.2" x14ac:dyDescent="0.45">
      <c r="B9" s="123" t="s">
        <v>84</v>
      </c>
      <c r="C9" s="124">
        <v>1</v>
      </c>
      <c r="D9" s="137">
        <v>115.3</v>
      </c>
      <c r="E9" s="180">
        <v>0</v>
      </c>
      <c r="F9" s="174">
        <f t="shared" ref="F9:F11" si="0">IF(OR(D9=0,E9=0),0,(D9*1000)/(1000/(C9*E9)))</f>
        <v>0</v>
      </c>
      <c r="G9" s="141" t="s">
        <v>74</v>
      </c>
      <c r="H9" s="125">
        <f>E9*20</f>
        <v>0</v>
      </c>
      <c r="J9" s="134" t="s">
        <v>84</v>
      </c>
      <c r="K9" s="135">
        <v>1</v>
      </c>
      <c r="L9" s="146">
        <v>115.3</v>
      </c>
      <c r="M9" s="215">
        <v>0.5</v>
      </c>
      <c r="N9" s="166">
        <f t="shared" ref="N9:N11" si="1">IF(OR(L9=0,M9=0),0,(L9*1000)/(1000/(K9*M9)))</f>
        <v>57.65</v>
      </c>
      <c r="O9" s="150" t="s">
        <v>74</v>
      </c>
      <c r="P9" s="136">
        <f>M9*20</f>
        <v>10</v>
      </c>
      <c r="R9" s="111" t="s">
        <v>84</v>
      </c>
      <c r="S9" s="69">
        <v>1</v>
      </c>
      <c r="T9" s="147">
        <v>115.3</v>
      </c>
      <c r="U9" s="185">
        <v>1</v>
      </c>
      <c r="V9" s="213">
        <f t="shared" ref="V9:V11" si="2">IF(OR(T9=0,U9=0),0,(T9*1000)/(1000/(S9*U9)))</f>
        <v>115.3</v>
      </c>
      <c r="W9" s="97" t="s">
        <v>74</v>
      </c>
      <c r="X9" s="77">
        <f>U9*20</f>
        <v>20</v>
      </c>
      <c r="Z9" s="111" t="s">
        <v>84</v>
      </c>
      <c r="AA9" s="69">
        <v>1</v>
      </c>
      <c r="AB9" s="147">
        <v>115.3</v>
      </c>
      <c r="AC9" s="185">
        <v>2</v>
      </c>
      <c r="AD9" s="213">
        <f t="shared" ref="AD9:AD11" si="3">IF(OR(AB9=0,AC9=0),0,(AB9*1000)/(1000/(AA9*AC9)))</f>
        <v>230.6</v>
      </c>
      <c r="AE9" s="97" t="s">
        <v>74</v>
      </c>
      <c r="AF9" s="77">
        <f>AC9*20</f>
        <v>40</v>
      </c>
      <c r="AH9" s="11" t="s">
        <v>52</v>
      </c>
      <c r="AI9" s="12">
        <v>236.15</v>
      </c>
      <c r="AJ9" s="13">
        <f>AI9*2</f>
        <v>472.3</v>
      </c>
    </row>
    <row r="10" spans="1:36" ht="19.2" x14ac:dyDescent="0.45">
      <c r="B10" s="90" t="s">
        <v>85</v>
      </c>
      <c r="C10" s="76">
        <v>2</v>
      </c>
      <c r="D10" s="138">
        <v>101.1</v>
      </c>
      <c r="E10" s="181">
        <v>2</v>
      </c>
      <c r="F10" s="175">
        <f t="shared" si="0"/>
        <v>404.4</v>
      </c>
      <c r="G10" s="142" t="s">
        <v>75</v>
      </c>
      <c r="H10" s="83">
        <f>E10*20</f>
        <v>40</v>
      </c>
      <c r="J10" s="112" t="s">
        <v>85</v>
      </c>
      <c r="K10" s="69">
        <v>2</v>
      </c>
      <c r="L10" s="147">
        <v>101.1</v>
      </c>
      <c r="M10" s="185">
        <v>2</v>
      </c>
      <c r="N10" s="213">
        <f t="shared" si="1"/>
        <v>404.4</v>
      </c>
      <c r="O10" s="97" t="s">
        <v>75</v>
      </c>
      <c r="P10" s="77">
        <f t="shared" ref="P10:P12" si="4">M10*20</f>
        <v>40</v>
      </c>
      <c r="R10" s="112" t="s">
        <v>85</v>
      </c>
      <c r="S10" s="69">
        <v>2</v>
      </c>
      <c r="T10" s="147">
        <v>101.1</v>
      </c>
      <c r="U10" s="185">
        <v>2</v>
      </c>
      <c r="V10" s="213">
        <f t="shared" si="2"/>
        <v>404.4</v>
      </c>
      <c r="W10" s="97" t="s">
        <v>75</v>
      </c>
      <c r="X10" s="77">
        <f t="shared" ref="X10:X12" si="5">U10*20</f>
        <v>40</v>
      </c>
      <c r="Z10" s="112" t="s">
        <v>85</v>
      </c>
      <c r="AA10" s="69">
        <v>2</v>
      </c>
      <c r="AB10" s="147">
        <v>101.1</v>
      </c>
      <c r="AC10" s="185">
        <v>2</v>
      </c>
      <c r="AD10" s="213">
        <f t="shared" si="3"/>
        <v>404.4</v>
      </c>
      <c r="AE10" s="97" t="s">
        <v>75</v>
      </c>
      <c r="AF10" s="77">
        <f t="shared" ref="AF10:AF12" si="6">AC10*20</f>
        <v>40</v>
      </c>
      <c r="AH10" s="11" t="s">
        <v>53</v>
      </c>
      <c r="AI10" s="12">
        <v>80.040000000000006</v>
      </c>
      <c r="AJ10" s="13">
        <v>80.040000000000006</v>
      </c>
    </row>
    <row r="11" spans="1:36" ht="19.2" x14ac:dyDescent="0.45">
      <c r="B11" s="91" t="s">
        <v>86</v>
      </c>
      <c r="C11" s="76">
        <v>2</v>
      </c>
      <c r="D11" s="138">
        <v>164.08799999999999</v>
      </c>
      <c r="E11" s="181">
        <v>2</v>
      </c>
      <c r="F11" s="175">
        <f t="shared" si="0"/>
        <v>656.35199999999998</v>
      </c>
      <c r="G11" s="142" t="s">
        <v>76</v>
      </c>
      <c r="H11" s="83">
        <f>E11*20</f>
        <v>40</v>
      </c>
      <c r="J11" s="113" t="s">
        <v>86</v>
      </c>
      <c r="K11" s="69">
        <v>2</v>
      </c>
      <c r="L11" s="147">
        <v>164.08799999999999</v>
      </c>
      <c r="M11" s="185">
        <v>1.75</v>
      </c>
      <c r="N11" s="213">
        <f t="shared" si="1"/>
        <v>574.30799999999999</v>
      </c>
      <c r="O11" s="97" t="s">
        <v>76</v>
      </c>
      <c r="P11" s="77">
        <f t="shared" si="4"/>
        <v>35</v>
      </c>
      <c r="R11" s="113" t="s">
        <v>86</v>
      </c>
      <c r="S11" s="69">
        <v>2</v>
      </c>
      <c r="T11" s="147">
        <v>164.08799999999999</v>
      </c>
      <c r="U11" s="185">
        <v>1.5</v>
      </c>
      <c r="V11" s="213">
        <f t="shared" si="2"/>
        <v>492.26400000000001</v>
      </c>
      <c r="W11" s="97" t="s">
        <v>76</v>
      </c>
      <c r="X11" s="77">
        <f t="shared" si="5"/>
        <v>30</v>
      </c>
      <c r="Z11" s="113" t="s">
        <v>86</v>
      </c>
      <c r="AA11" s="69">
        <v>2</v>
      </c>
      <c r="AB11" s="147">
        <v>164.08799999999999</v>
      </c>
      <c r="AC11" s="185">
        <v>1.6</v>
      </c>
      <c r="AD11" s="213">
        <f t="shared" si="3"/>
        <v>525.08159999999998</v>
      </c>
      <c r="AE11" s="97" t="s">
        <v>76</v>
      </c>
      <c r="AF11" s="77">
        <f t="shared" si="6"/>
        <v>32</v>
      </c>
      <c r="AH11" s="11" t="s">
        <v>54</v>
      </c>
      <c r="AI11" s="12">
        <v>80.040000000000006</v>
      </c>
      <c r="AJ11" s="13">
        <f>AI11*8</f>
        <v>640.32000000000005</v>
      </c>
    </row>
    <row r="12" spans="1:36" ht="19.8" thickBot="1" x14ac:dyDescent="0.5">
      <c r="B12" s="92" t="s">
        <v>87</v>
      </c>
      <c r="C12" s="84">
        <v>1</v>
      </c>
      <c r="D12" s="139">
        <v>80.043000000000006</v>
      </c>
      <c r="E12" s="182">
        <v>1.5</v>
      </c>
      <c r="F12" s="176">
        <f>IF(OR(D12=0,E12=0),0,(D12*1000)/(1000/(C12*E12)))</f>
        <v>120.06450000000001</v>
      </c>
      <c r="G12" s="143" t="s">
        <v>77</v>
      </c>
      <c r="H12" s="85">
        <f>E12*20</f>
        <v>30</v>
      </c>
      <c r="J12" s="114" t="s">
        <v>87</v>
      </c>
      <c r="K12" s="78">
        <v>1</v>
      </c>
      <c r="L12" s="148">
        <v>80.043000000000006</v>
      </c>
      <c r="M12" s="216">
        <v>1.75</v>
      </c>
      <c r="N12" s="214">
        <f>IF(OR(L12=0,M12=0),0,(L12*1000)/(1000/(K12*M12)))</f>
        <v>140.07524999999998</v>
      </c>
      <c r="O12" s="98" t="s">
        <v>77</v>
      </c>
      <c r="P12" s="79">
        <f t="shared" si="4"/>
        <v>35</v>
      </c>
      <c r="R12" s="114" t="s">
        <v>87</v>
      </c>
      <c r="S12" s="78">
        <v>1</v>
      </c>
      <c r="T12" s="148">
        <v>80.043000000000006</v>
      </c>
      <c r="U12" s="216">
        <v>2</v>
      </c>
      <c r="V12" s="214">
        <f>IF(OR(T12=0,U12=0),0,(T12*1000)/(1000/(S12*U12)))</f>
        <v>160.08600000000001</v>
      </c>
      <c r="W12" s="98" t="s">
        <v>77</v>
      </c>
      <c r="X12" s="79">
        <f t="shared" si="5"/>
        <v>40</v>
      </c>
      <c r="Z12" s="114" t="s">
        <v>87</v>
      </c>
      <c r="AA12" s="78">
        <v>1</v>
      </c>
      <c r="AB12" s="148">
        <v>80.043000000000006</v>
      </c>
      <c r="AC12" s="216">
        <v>1.3</v>
      </c>
      <c r="AD12" s="214">
        <f>IF(OR(AB12=0,AC12=0),0,(AB12*1000)/(1000/(AA12*AC12)))</f>
        <v>104.05590000000001</v>
      </c>
      <c r="AE12" s="98" t="s">
        <v>77</v>
      </c>
      <c r="AF12" s="79">
        <f t="shared" si="6"/>
        <v>26</v>
      </c>
      <c r="AH12" s="11" t="s">
        <v>55</v>
      </c>
      <c r="AI12" s="12">
        <v>136.09</v>
      </c>
      <c r="AJ12" s="13">
        <v>136.09</v>
      </c>
    </row>
    <row r="13" spans="1:36" ht="19.2" x14ac:dyDescent="0.45">
      <c r="B13" s="88" t="s">
        <v>3</v>
      </c>
      <c r="C13" s="73"/>
      <c r="D13" s="73"/>
      <c r="E13" s="183"/>
      <c r="F13" s="73"/>
      <c r="G13" s="88"/>
      <c r="H13" s="80"/>
      <c r="J13" s="89" t="s">
        <v>3</v>
      </c>
      <c r="K13" s="68"/>
      <c r="L13" s="68"/>
      <c r="M13" s="212"/>
      <c r="N13" s="68"/>
      <c r="O13" s="89"/>
      <c r="P13" s="115"/>
      <c r="R13" s="88" t="s">
        <v>3</v>
      </c>
      <c r="S13" s="73"/>
      <c r="T13" s="73"/>
      <c r="U13" s="183"/>
      <c r="V13" s="73"/>
      <c r="W13" s="88"/>
      <c r="X13" s="74"/>
      <c r="Z13" s="88" t="s">
        <v>3</v>
      </c>
      <c r="AA13" s="73"/>
      <c r="AB13" s="73"/>
      <c r="AC13" s="183"/>
      <c r="AD13" s="73"/>
      <c r="AE13" s="88"/>
      <c r="AF13" s="74"/>
      <c r="AH13" s="11" t="s">
        <v>56</v>
      </c>
      <c r="AI13" s="12">
        <v>100.09</v>
      </c>
      <c r="AJ13" s="13">
        <v>100.09</v>
      </c>
    </row>
    <row r="14" spans="1:36" ht="19.2" x14ac:dyDescent="0.45">
      <c r="B14" s="89" t="s">
        <v>0</v>
      </c>
      <c r="C14" s="68" t="s">
        <v>19</v>
      </c>
      <c r="D14" s="68" t="s">
        <v>44</v>
      </c>
      <c r="E14" s="212" t="s">
        <v>1</v>
      </c>
      <c r="F14" s="68" t="s">
        <v>2</v>
      </c>
      <c r="G14" s="89"/>
      <c r="H14" s="75" t="s">
        <v>73</v>
      </c>
      <c r="J14" s="89" t="s">
        <v>0</v>
      </c>
      <c r="K14" s="68" t="s">
        <v>19</v>
      </c>
      <c r="L14" s="68" t="s">
        <v>44</v>
      </c>
      <c r="M14" s="212" t="s">
        <v>1</v>
      </c>
      <c r="N14" s="68" t="s">
        <v>2</v>
      </c>
      <c r="O14" s="89"/>
      <c r="P14" s="75" t="s">
        <v>73</v>
      </c>
      <c r="R14" s="89" t="s">
        <v>0</v>
      </c>
      <c r="S14" s="68" t="s">
        <v>19</v>
      </c>
      <c r="T14" s="68" t="s">
        <v>44</v>
      </c>
      <c r="U14" s="212" t="s">
        <v>1</v>
      </c>
      <c r="V14" s="68" t="s">
        <v>2</v>
      </c>
      <c r="W14" s="89"/>
      <c r="X14" s="75" t="s">
        <v>73</v>
      </c>
      <c r="Z14" s="89" t="s">
        <v>0</v>
      </c>
      <c r="AA14" s="68" t="s">
        <v>19</v>
      </c>
      <c r="AB14" s="68" t="s">
        <v>44</v>
      </c>
      <c r="AC14" s="212" t="s">
        <v>1</v>
      </c>
      <c r="AD14" s="68" t="s">
        <v>2</v>
      </c>
      <c r="AE14" s="89"/>
      <c r="AF14" s="75" t="s">
        <v>73</v>
      </c>
      <c r="AH14" s="11" t="s">
        <v>57</v>
      </c>
      <c r="AI14" s="12">
        <v>246.48</v>
      </c>
      <c r="AJ14" s="13">
        <f>AI14*2</f>
        <v>492.96</v>
      </c>
    </row>
    <row r="15" spans="1:36" ht="16.2" thickBot="1" x14ac:dyDescent="0.4">
      <c r="B15" s="93" t="s">
        <v>88</v>
      </c>
      <c r="C15" s="69">
        <v>1</v>
      </c>
      <c r="D15" s="147">
        <v>136.08600000000001</v>
      </c>
      <c r="E15" s="185">
        <v>0</v>
      </c>
      <c r="F15" s="177">
        <f>IF(OR(C15=0, E15=0), 0, (D15*1000)/(1000/(C15*E15)))</f>
        <v>0</v>
      </c>
      <c r="G15" s="144" t="s">
        <v>78</v>
      </c>
      <c r="H15" s="77">
        <f t="shared" ref="H15:H20" si="7">E15*20</f>
        <v>0</v>
      </c>
      <c r="J15" s="93" t="s">
        <v>70</v>
      </c>
      <c r="K15" s="69">
        <v>1</v>
      </c>
      <c r="L15" s="147">
        <v>136.08600000000001</v>
      </c>
      <c r="M15" s="185">
        <v>0</v>
      </c>
      <c r="N15" s="177">
        <f>IF(OR(K15=0, M15=0), 0, (L15*1000)/(1000/(K15*M15)))</f>
        <v>0</v>
      </c>
      <c r="O15" s="144" t="s">
        <v>78</v>
      </c>
      <c r="P15" s="77">
        <f>M15*20</f>
        <v>0</v>
      </c>
      <c r="R15" s="93" t="s">
        <v>70</v>
      </c>
      <c r="S15" s="69">
        <v>1</v>
      </c>
      <c r="T15" s="147">
        <v>136.08600000000001</v>
      </c>
      <c r="U15" s="185">
        <v>0</v>
      </c>
      <c r="V15" s="177">
        <v>0</v>
      </c>
      <c r="W15" s="144" t="s">
        <v>78</v>
      </c>
      <c r="X15" s="86">
        <f>U15*20</f>
        <v>0</v>
      </c>
      <c r="Z15" s="93" t="s">
        <v>70</v>
      </c>
      <c r="AA15" s="69">
        <v>1</v>
      </c>
      <c r="AB15" s="147">
        <v>136.08600000000001</v>
      </c>
      <c r="AC15" s="185">
        <v>0</v>
      </c>
      <c r="AD15" s="177">
        <f>IF(OR(AA15=0, AC15=0), 0, (AB15*1000)/(1000/(AA15*AC15)))</f>
        <v>0</v>
      </c>
      <c r="AE15" s="144" t="s">
        <v>78</v>
      </c>
      <c r="AF15" s="86">
        <f>AC15*20</f>
        <v>0</v>
      </c>
      <c r="AH15" s="14" t="s">
        <v>23</v>
      </c>
      <c r="AI15" s="15">
        <v>38.5</v>
      </c>
      <c r="AJ15" s="16">
        <v>38.5</v>
      </c>
    </row>
    <row r="16" spans="1:36" ht="19.8" thickBot="1" x14ac:dyDescent="0.5">
      <c r="B16" s="94" t="s">
        <v>69</v>
      </c>
      <c r="C16" s="69">
        <v>1</v>
      </c>
      <c r="D16" s="147">
        <v>74.555000000000007</v>
      </c>
      <c r="E16" s="185">
        <v>0</v>
      </c>
      <c r="F16" s="177">
        <f t="shared" ref="F16:F18" si="8">IF(OR(C16=0, E16=0), 0, (D16*1000)/(1000/(C16*E16)))</f>
        <v>0</v>
      </c>
      <c r="G16" s="144" t="s">
        <v>79</v>
      </c>
      <c r="H16" s="77">
        <f t="shared" si="7"/>
        <v>0</v>
      </c>
      <c r="J16" s="94" t="s">
        <v>69</v>
      </c>
      <c r="K16" s="69">
        <v>1</v>
      </c>
      <c r="L16" s="147">
        <v>74.555000000000007</v>
      </c>
      <c r="M16" s="185">
        <v>0</v>
      </c>
      <c r="N16" s="177">
        <f t="shared" ref="N16:N18" si="9">IF(OR(K16=0, M16=0), 0, (L16*1000)/(1000/(K16*M16)))</f>
        <v>0</v>
      </c>
      <c r="O16" s="144" t="s">
        <v>79</v>
      </c>
      <c r="P16" s="77">
        <f t="shared" ref="P16:P20" si="10">M16*20</f>
        <v>0</v>
      </c>
      <c r="R16" s="94" t="s">
        <v>69</v>
      </c>
      <c r="S16" s="69">
        <v>1</v>
      </c>
      <c r="T16" s="147">
        <v>74.555000000000007</v>
      </c>
      <c r="U16" s="185">
        <v>0</v>
      </c>
      <c r="V16" s="177">
        <v>0</v>
      </c>
      <c r="W16" s="144" t="s">
        <v>79</v>
      </c>
      <c r="X16" s="86">
        <f t="shared" ref="X16:X20" si="11">U16*20</f>
        <v>0</v>
      </c>
      <c r="Z16" s="94" t="s">
        <v>69</v>
      </c>
      <c r="AA16" s="69">
        <v>1</v>
      </c>
      <c r="AB16" s="147">
        <v>74.555000000000007</v>
      </c>
      <c r="AC16" s="185">
        <v>0</v>
      </c>
      <c r="AD16" s="177">
        <f t="shared" ref="AD16:AD18" si="12">IF(OR(AA16=0, AC16=0), 0, (AB16*1000)/(1000/(AA16*AC16)))</f>
        <v>0</v>
      </c>
      <c r="AE16" s="144" t="s">
        <v>79</v>
      </c>
      <c r="AF16" s="86">
        <f t="shared" ref="AF16:AF20" si="13">AC16*20</f>
        <v>0</v>
      </c>
      <c r="AH16" s="32" t="s">
        <v>58</v>
      </c>
      <c r="AI16" s="35"/>
      <c r="AJ16" s="36"/>
    </row>
    <row r="17" spans="2:36" ht="19.2" x14ac:dyDescent="0.45">
      <c r="B17" s="95" t="s">
        <v>89</v>
      </c>
      <c r="C17" s="69">
        <v>1</v>
      </c>
      <c r="D17" s="147">
        <v>100.087</v>
      </c>
      <c r="E17" s="185">
        <v>0.04</v>
      </c>
      <c r="F17" s="177">
        <f t="shared" si="8"/>
        <v>4.0034799999999997</v>
      </c>
      <c r="G17" s="144" t="s">
        <v>80</v>
      </c>
      <c r="H17" s="77">
        <f t="shared" si="7"/>
        <v>0.8</v>
      </c>
      <c r="J17" s="95" t="s">
        <v>71</v>
      </c>
      <c r="K17" s="69">
        <v>1</v>
      </c>
      <c r="L17" s="147">
        <v>100.087</v>
      </c>
      <c r="M17" s="185">
        <v>0.5</v>
      </c>
      <c r="N17" s="177">
        <f t="shared" si="9"/>
        <v>50.043500000000002</v>
      </c>
      <c r="O17" s="144" t="s">
        <v>80</v>
      </c>
      <c r="P17" s="77">
        <f t="shared" si="10"/>
        <v>10</v>
      </c>
      <c r="R17" s="95" t="s">
        <v>71</v>
      </c>
      <c r="S17" s="69">
        <v>1</v>
      </c>
      <c r="T17" s="147">
        <v>100.087</v>
      </c>
      <c r="U17" s="185">
        <v>1</v>
      </c>
      <c r="V17" s="177">
        <v>0</v>
      </c>
      <c r="W17" s="144" t="s">
        <v>80</v>
      </c>
      <c r="X17" s="86">
        <f t="shared" si="11"/>
        <v>20</v>
      </c>
      <c r="Z17" s="95" t="s">
        <v>71</v>
      </c>
      <c r="AA17" s="69">
        <v>1</v>
      </c>
      <c r="AB17" s="147">
        <v>100.087</v>
      </c>
      <c r="AC17" s="218">
        <v>0.8</v>
      </c>
      <c r="AD17" s="177">
        <f t="shared" si="12"/>
        <v>80.069599999999994</v>
      </c>
      <c r="AE17" s="144" t="s">
        <v>80</v>
      </c>
      <c r="AF17" s="86">
        <f t="shared" si="13"/>
        <v>16</v>
      </c>
      <c r="AH17" s="11" t="s">
        <v>59</v>
      </c>
      <c r="AI17" s="17">
        <v>197.92</v>
      </c>
      <c r="AJ17" s="13">
        <v>1.81</v>
      </c>
    </row>
    <row r="18" spans="2:36" ht="19.2" x14ac:dyDescent="0.45">
      <c r="B18" s="96" t="s">
        <v>90</v>
      </c>
      <c r="C18" s="69">
        <v>2</v>
      </c>
      <c r="D18" s="147">
        <v>246.48</v>
      </c>
      <c r="E18" s="185">
        <v>1</v>
      </c>
      <c r="F18" s="177">
        <f t="shared" si="8"/>
        <v>492.96</v>
      </c>
      <c r="G18" s="144" t="s">
        <v>81</v>
      </c>
      <c r="H18" s="77">
        <f t="shared" si="7"/>
        <v>20</v>
      </c>
      <c r="J18" s="96" t="s">
        <v>72</v>
      </c>
      <c r="K18" s="69">
        <v>2</v>
      </c>
      <c r="L18" s="147">
        <v>246.48</v>
      </c>
      <c r="M18" s="185">
        <v>1</v>
      </c>
      <c r="N18" s="177">
        <f t="shared" si="9"/>
        <v>492.96</v>
      </c>
      <c r="O18" s="144" t="s">
        <v>81</v>
      </c>
      <c r="P18" s="77">
        <f t="shared" si="10"/>
        <v>20</v>
      </c>
      <c r="R18" s="96" t="s">
        <v>72</v>
      </c>
      <c r="S18" s="69">
        <v>2</v>
      </c>
      <c r="T18" s="147">
        <v>246.48</v>
      </c>
      <c r="U18" s="185">
        <v>1</v>
      </c>
      <c r="V18" s="177">
        <f t="shared" ref="V18:V20" si="14">(T18*1000)/(1000/(S18*U18))</f>
        <v>492.96</v>
      </c>
      <c r="W18" s="144" t="s">
        <v>81</v>
      </c>
      <c r="X18" s="86">
        <f t="shared" si="11"/>
        <v>20</v>
      </c>
      <c r="Z18" s="96" t="s">
        <v>72</v>
      </c>
      <c r="AA18" s="69">
        <v>2</v>
      </c>
      <c r="AB18" s="147">
        <v>246.48</v>
      </c>
      <c r="AC18" s="185">
        <v>1</v>
      </c>
      <c r="AD18" s="177">
        <f t="shared" si="12"/>
        <v>492.96</v>
      </c>
      <c r="AE18" s="144" t="s">
        <v>81</v>
      </c>
      <c r="AF18" s="86">
        <f t="shared" si="13"/>
        <v>20</v>
      </c>
      <c r="AH18" s="11" t="s">
        <v>60</v>
      </c>
      <c r="AI18" s="17">
        <v>61.83</v>
      </c>
      <c r="AJ18" s="13">
        <v>2.83</v>
      </c>
    </row>
    <row r="19" spans="2:36" ht="19.2" x14ac:dyDescent="0.45">
      <c r="B19" s="97" t="s">
        <v>4</v>
      </c>
      <c r="C19" s="69">
        <v>1</v>
      </c>
      <c r="D19" s="147"/>
      <c r="E19" s="185">
        <v>1</v>
      </c>
      <c r="F19" s="177"/>
      <c r="G19" s="144" t="s">
        <v>82</v>
      </c>
      <c r="H19" s="77">
        <f t="shared" si="7"/>
        <v>20</v>
      </c>
      <c r="J19" s="97" t="s">
        <v>4</v>
      </c>
      <c r="K19" s="69">
        <v>1</v>
      </c>
      <c r="L19" s="147"/>
      <c r="M19" s="185">
        <v>1</v>
      </c>
      <c r="N19" s="177"/>
      <c r="O19" s="144" t="s">
        <v>82</v>
      </c>
      <c r="P19" s="77">
        <f t="shared" si="10"/>
        <v>20</v>
      </c>
      <c r="R19" s="97" t="s">
        <v>4</v>
      </c>
      <c r="S19" s="69">
        <v>1</v>
      </c>
      <c r="T19" s="147"/>
      <c r="U19" s="185">
        <v>1</v>
      </c>
      <c r="V19" s="177">
        <f t="shared" si="14"/>
        <v>0</v>
      </c>
      <c r="W19" s="144" t="s">
        <v>82</v>
      </c>
      <c r="X19" s="86">
        <f t="shared" si="11"/>
        <v>20</v>
      </c>
      <c r="Z19" s="97" t="s">
        <v>4</v>
      </c>
      <c r="AA19" s="69">
        <v>1</v>
      </c>
      <c r="AB19" s="147"/>
      <c r="AC19" s="185">
        <v>1</v>
      </c>
      <c r="AD19" s="177"/>
      <c r="AE19" s="144" t="s">
        <v>82</v>
      </c>
      <c r="AF19" s="86">
        <f t="shared" si="13"/>
        <v>20</v>
      </c>
      <c r="AH19" s="11" t="s">
        <v>61</v>
      </c>
      <c r="AI19" s="12">
        <v>287.60000000000002</v>
      </c>
      <c r="AJ19" s="13">
        <v>0.22</v>
      </c>
    </row>
    <row r="20" spans="2:36" ht="19.8" thickBot="1" x14ac:dyDescent="0.5">
      <c r="B20" s="98" t="s">
        <v>5</v>
      </c>
      <c r="C20" s="78">
        <v>1</v>
      </c>
      <c r="D20" s="148"/>
      <c r="E20" s="186">
        <v>1</v>
      </c>
      <c r="F20" s="178">
        <f t="shared" ref="F20" si="15">(D20*1000)/(1000/(C20*E20))</f>
        <v>0</v>
      </c>
      <c r="G20" s="145" t="s">
        <v>83</v>
      </c>
      <c r="H20" s="79">
        <f t="shared" si="7"/>
        <v>20</v>
      </c>
      <c r="J20" s="98" t="s">
        <v>5</v>
      </c>
      <c r="K20" s="78">
        <v>1</v>
      </c>
      <c r="L20" s="148"/>
      <c r="M20" s="186">
        <v>1</v>
      </c>
      <c r="N20" s="178">
        <f t="shared" ref="N20" si="16">(L20*1000)/(1000/(K20*M20))</f>
        <v>0</v>
      </c>
      <c r="O20" s="145" t="s">
        <v>83</v>
      </c>
      <c r="P20" s="79">
        <f t="shared" si="10"/>
        <v>20</v>
      </c>
      <c r="R20" s="98" t="s">
        <v>5</v>
      </c>
      <c r="S20" s="78">
        <v>1</v>
      </c>
      <c r="T20" s="148"/>
      <c r="U20" s="186">
        <v>1</v>
      </c>
      <c r="V20" s="178">
        <f t="shared" si="14"/>
        <v>0</v>
      </c>
      <c r="W20" s="145" t="s">
        <v>83</v>
      </c>
      <c r="X20" s="87">
        <f t="shared" si="11"/>
        <v>20</v>
      </c>
      <c r="Z20" s="98" t="s">
        <v>5</v>
      </c>
      <c r="AA20" s="78">
        <v>1</v>
      </c>
      <c r="AB20" s="148"/>
      <c r="AC20" s="186">
        <v>1</v>
      </c>
      <c r="AD20" s="178">
        <f t="shared" ref="AD20" si="17">(AB20*1000)/(1000/(AA20*AC20))</f>
        <v>0</v>
      </c>
      <c r="AE20" s="145" t="s">
        <v>83</v>
      </c>
      <c r="AF20" s="87">
        <f t="shared" si="13"/>
        <v>20</v>
      </c>
      <c r="AH20" s="11" t="s">
        <v>62</v>
      </c>
      <c r="AI20" s="12">
        <v>249.68</v>
      </c>
      <c r="AJ20" s="13">
        <v>0.08</v>
      </c>
    </row>
    <row r="21" spans="2:36" ht="15" thickBot="1" x14ac:dyDescent="0.35">
      <c r="B21" s="99"/>
      <c r="F21" s="22"/>
      <c r="J21" s="99"/>
      <c r="N21" s="22"/>
      <c r="R21" s="99"/>
      <c r="V21" s="22"/>
      <c r="Z21" s="99"/>
      <c r="AD21" s="22"/>
      <c r="AH21" s="14" t="s">
        <v>24</v>
      </c>
      <c r="AI21" s="15">
        <v>161.94999999999999</v>
      </c>
      <c r="AJ21" s="16">
        <v>0.106</v>
      </c>
    </row>
    <row r="22" spans="2:36" ht="15" thickBot="1" x14ac:dyDescent="0.35">
      <c r="B22" s="88" t="s">
        <v>6</v>
      </c>
      <c r="C22" s="74"/>
      <c r="D22" s="25"/>
      <c r="E22" s="25"/>
      <c r="F22" s="30"/>
      <c r="G22" s="2"/>
      <c r="H22" s="2"/>
      <c r="J22" s="88" t="s">
        <v>6</v>
      </c>
      <c r="K22" s="74"/>
      <c r="L22" s="25"/>
      <c r="M22" s="25"/>
      <c r="N22" s="30"/>
      <c r="O22" s="2"/>
      <c r="P22" s="2"/>
      <c r="R22" s="88" t="s">
        <v>6</v>
      </c>
      <c r="S22" s="74"/>
      <c r="T22" s="25"/>
      <c r="U22" s="25"/>
      <c r="V22" s="30"/>
      <c r="W22" s="2"/>
      <c r="X22" s="2"/>
      <c r="Z22" s="88" t="s">
        <v>6</v>
      </c>
      <c r="AA22" s="74"/>
      <c r="AB22" s="25"/>
      <c r="AC22" s="25"/>
      <c r="AD22" s="30"/>
      <c r="AE22" s="2"/>
      <c r="AF22" s="2"/>
      <c r="AH22" s="17"/>
      <c r="AI22" s="12"/>
      <c r="AJ22" s="17"/>
    </row>
    <row r="23" spans="2:36" ht="18.600000000000001" thickBot="1" x14ac:dyDescent="0.4">
      <c r="B23" s="118" t="s">
        <v>7</v>
      </c>
      <c r="C23" s="119" t="s">
        <v>19</v>
      </c>
      <c r="D23" s="26" t="s">
        <v>44</v>
      </c>
      <c r="E23" s="26" t="s">
        <v>1</v>
      </c>
      <c r="F23" s="31" t="s">
        <v>2</v>
      </c>
      <c r="G23" s="2"/>
      <c r="H23" s="2"/>
      <c r="J23" s="118" t="s">
        <v>7</v>
      </c>
      <c r="K23" s="119" t="s">
        <v>19</v>
      </c>
      <c r="L23" s="26" t="s">
        <v>44</v>
      </c>
      <c r="M23" s="26" t="s">
        <v>1</v>
      </c>
      <c r="N23" s="31" t="s">
        <v>2</v>
      </c>
      <c r="O23" s="2"/>
      <c r="P23" s="2"/>
      <c r="R23" s="118" t="s">
        <v>7</v>
      </c>
      <c r="S23" s="119" t="s">
        <v>19</v>
      </c>
      <c r="T23" s="26" t="s">
        <v>44</v>
      </c>
      <c r="U23" s="26" t="s">
        <v>1</v>
      </c>
      <c r="V23" s="31" t="s">
        <v>2</v>
      </c>
      <c r="W23" s="2"/>
      <c r="X23" s="2"/>
      <c r="Z23" s="118" t="s">
        <v>7</v>
      </c>
      <c r="AA23" s="119" t="s">
        <v>19</v>
      </c>
      <c r="AB23" s="26" t="s">
        <v>44</v>
      </c>
      <c r="AC23" s="26" t="s">
        <v>1</v>
      </c>
      <c r="AD23" s="31" t="s">
        <v>2</v>
      </c>
      <c r="AE23" s="2"/>
      <c r="AF23" s="2"/>
      <c r="AH23" s="41" t="s">
        <v>105</v>
      </c>
      <c r="AI23" s="42"/>
      <c r="AJ23" s="43"/>
    </row>
    <row r="24" spans="2:36" ht="16.2" thickBot="1" x14ac:dyDescent="0.4">
      <c r="B24" s="100" t="s">
        <v>91</v>
      </c>
      <c r="C24" s="28">
        <f>C9</f>
        <v>1</v>
      </c>
      <c r="D24" s="28">
        <v>14.006</v>
      </c>
      <c r="E24" s="28">
        <f>E9</f>
        <v>0</v>
      </c>
      <c r="F24" s="29">
        <f t="shared" ref="F24:F37" si="18">IF(OR(C24=0, E24=0), 0, (D24*1000)/(1000/(C24*E24)))</f>
        <v>0</v>
      </c>
      <c r="G24" s="116"/>
      <c r="H24" s="116"/>
      <c r="J24" s="100" t="s">
        <v>91</v>
      </c>
      <c r="K24" s="28">
        <f>K9</f>
        <v>1</v>
      </c>
      <c r="L24" s="28">
        <v>14.006</v>
      </c>
      <c r="M24" s="28">
        <f>M9</f>
        <v>0.5</v>
      </c>
      <c r="N24" s="29">
        <f>IF(OR(K24=0, M24=0), 0, (L24*1000)/(1000/(K24*M24)))</f>
        <v>7.0030000000000001</v>
      </c>
      <c r="O24" s="116"/>
      <c r="P24" s="116"/>
      <c r="R24" s="100" t="s">
        <v>91</v>
      </c>
      <c r="S24" s="28">
        <f>S9</f>
        <v>1</v>
      </c>
      <c r="T24" s="28">
        <v>14.006</v>
      </c>
      <c r="U24" s="28">
        <f>U9</f>
        <v>1</v>
      </c>
      <c r="V24" s="29">
        <f>IF(OR(S24=0,U24=0),0,(T24*1000)/(1000/(S24*U24)))</f>
        <v>14.006</v>
      </c>
      <c r="W24" s="116"/>
      <c r="X24" s="116"/>
      <c r="Z24" s="100" t="s">
        <v>91</v>
      </c>
      <c r="AA24" s="28">
        <f>AA9</f>
        <v>1</v>
      </c>
      <c r="AB24" s="28">
        <v>14.006</v>
      </c>
      <c r="AC24" s="28">
        <f>AC9</f>
        <v>2</v>
      </c>
      <c r="AD24" s="29">
        <f>IF(OR(AA24=0,AC24=0),0,(AB24*1000)/(1000/(AA24*AC24)))</f>
        <v>28.012</v>
      </c>
      <c r="AE24" s="116"/>
      <c r="AF24" s="116"/>
      <c r="AH24" s="37" t="s">
        <v>27</v>
      </c>
      <c r="AI24" s="38" t="s">
        <v>28</v>
      </c>
      <c r="AJ24" s="39" t="s">
        <v>25</v>
      </c>
    </row>
    <row r="25" spans="2:36" ht="15.6" x14ac:dyDescent="0.35">
      <c r="B25" s="101" t="s">
        <v>92</v>
      </c>
      <c r="C25" s="19">
        <f>C9</f>
        <v>1</v>
      </c>
      <c r="D25" s="19">
        <v>30.973700000000001</v>
      </c>
      <c r="E25" s="19">
        <f>E9</f>
        <v>0</v>
      </c>
      <c r="F25" s="23">
        <f t="shared" si="18"/>
        <v>0</v>
      </c>
      <c r="G25" s="116"/>
      <c r="H25" s="116"/>
      <c r="J25" s="101" t="s">
        <v>92</v>
      </c>
      <c r="K25" s="19">
        <f>K9</f>
        <v>1</v>
      </c>
      <c r="L25" s="19">
        <v>30.973700000000001</v>
      </c>
      <c r="M25" s="19">
        <f>M9</f>
        <v>0.5</v>
      </c>
      <c r="N25" s="23">
        <f t="shared" ref="N25:N37" si="19">IF(OR(K25=0, M25=0), 0, (L25*1000)/(1000/(K25*M25)))</f>
        <v>15.48685</v>
      </c>
      <c r="O25" s="116"/>
      <c r="P25" s="116"/>
      <c r="R25" s="101" t="s">
        <v>92</v>
      </c>
      <c r="S25" s="19">
        <f>S9</f>
        <v>1</v>
      </c>
      <c r="T25" s="19">
        <v>30.973700000000001</v>
      </c>
      <c r="U25" s="19">
        <f>U9</f>
        <v>1</v>
      </c>
      <c r="V25" s="23">
        <f t="shared" ref="V25:V37" si="20">IF(OR(S25=0,U25=0),0,(T25*1000)/(1000/(S25*U25)))</f>
        <v>30.973700000000001</v>
      </c>
      <c r="W25" s="116"/>
      <c r="X25" s="116"/>
      <c r="Z25" s="101" t="s">
        <v>92</v>
      </c>
      <c r="AA25" s="19">
        <f>AA9</f>
        <v>1</v>
      </c>
      <c r="AB25" s="19">
        <v>30.973700000000001</v>
      </c>
      <c r="AC25" s="19">
        <f>AC9</f>
        <v>2</v>
      </c>
      <c r="AD25" s="23">
        <f t="shared" ref="AD25:AD37" si="21">IF(OR(AA25=0,AC25=0),0,(AB25*1000)/(1000/(AA25*AC25)))</f>
        <v>61.947400000000002</v>
      </c>
      <c r="AE25" s="116"/>
      <c r="AF25" s="116"/>
      <c r="AH25" s="44" t="s">
        <v>26</v>
      </c>
      <c r="AI25" s="45" t="s">
        <v>29</v>
      </c>
      <c r="AJ25" s="46"/>
    </row>
    <row r="26" spans="2:36" ht="15.6" x14ac:dyDescent="0.35">
      <c r="B26" s="102" t="s">
        <v>93</v>
      </c>
      <c r="C26" s="19">
        <f>C10</f>
        <v>2</v>
      </c>
      <c r="D26" s="19">
        <v>39.094299999999997</v>
      </c>
      <c r="E26" s="19">
        <f>E10</f>
        <v>2</v>
      </c>
      <c r="F26" s="23">
        <f t="shared" si="18"/>
        <v>156.37719999999999</v>
      </c>
      <c r="G26" s="116"/>
      <c r="H26" s="116"/>
      <c r="J26" s="102" t="s">
        <v>93</v>
      </c>
      <c r="K26" s="19">
        <f>K10</f>
        <v>2</v>
      </c>
      <c r="L26" s="19">
        <v>39.094299999999997</v>
      </c>
      <c r="M26" s="19">
        <f>M10</f>
        <v>2</v>
      </c>
      <c r="N26" s="23">
        <f t="shared" si="19"/>
        <v>156.37719999999999</v>
      </c>
      <c r="O26" s="116"/>
      <c r="P26" s="116"/>
      <c r="R26" s="102" t="s">
        <v>93</v>
      </c>
      <c r="S26" s="19">
        <f>S10</f>
        <v>2</v>
      </c>
      <c r="T26" s="19">
        <v>39.094299999999997</v>
      </c>
      <c r="U26" s="19">
        <f>U10</f>
        <v>2</v>
      </c>
      <c r="V26" s="23">
        <f t="shared" si="20"/>
        <v>156.37719999999999</v>
      </c>
      <c r="W26" s="116"/>
      <c r="X26" s="116"/>
      <c r="Z26" s="102" t="s">
        <v>93</v>
      </c>
      <c r="AA26" s="19">
        <f>AA10</f>
        <v>2</v>
      </c>
      <c r="AB26" s="19">
        <v>39.094299999999997</v>
      </c>
      <c r="AC26" s="19">
        <f>AC10</f>
        <v>2</v>
      </c>
      <c r="AD26" s="23">
        <f t="shared" si="21"/>
        <v>156.37719999999999</v>
      </c>
      <c r="AE26" s="116"/>
      <c r="AF26" s="116"/>
      <c r="AH26" s="47" t="s">
        <v>30</v>
      </c>
      <c r="AI26" s="48" t="s">
        <v>31</v>
      </c>
      <c r="AJ26" s="49" t="s">
        <v>32</v>
      </c>
    </row>
    <row r="27" spans="2:36" ht="15.6" x14ac:dyDescent="0.35">
      <c r="B27" s="102" t="s">
        <v>94</v>
      </c>
      <c r="C27" s="19">
        <f>C10</f>
        <v>2</v>
      </c>
      <c r="D27" s="19">
        <v>14.006</v>
      </c>
      <c r="E27" s="19">
        <f>E10</f>
        <v>2</v>
      </c>
      <c r="F27" s="23">
        <f t="shared" si="18"/>
        <v>56.024000000000001</v>
      </c>
      <c r="G27" s="116"/>
      <c r="H27" s="116"/>
      <c r="J27" s="102" t="s">
        <v>94</v>
      </c>
      <c r="K27" s="19">
        <f>K10</f>
        <v>2</v>
      </c>
      <c r="L27" s="19">
        <v>14.006</v>
      </c>
      <c r="M27" s="19">
        <f>M10</f>
        <v>2</v>
      </c>
      <c r="N27" s="23">
        <f t="shared" si="19"/>
        <v>56.024000000000001</v>
      </c>
      <c r="O27" s="116"/>
      <c r="P27" s="116"/>
      <c r="R27" s="102" t="s">
        <v>94</v>
      </c>
      <c r="S27" s="19">
        <f>S10</f>
        <v>2</v>
      </c>
      <c r="T27" s="19">
        <v>14.006</v>
      </c>
      <c r="U27" s="19">
        <f>U10</f>
        <v>2</v>
      </c>
      <c r="V27" s="23">
        <f t="shared" si="20"/>
        <v>56.024000000000001</v>
      </c>
      <c r="W27" s="116"/>
      <c r="X27" s="116"/>
      <c r="Z27" s="102" t="s">
        <v>94</v>
      </c>
      <c r="AA27" s="19">
        <f>AA10</f>
        <v>2</v>
      </c>
      <c r="AB27" s="19">
        <v>14.006</v>
      </c>
      <c r="AC27" s="19">
        <f>AC10</f>
        <v>2</v>
      </c>
      <c r="AD27" s="23">
        <f t="shared" si="21"/>
        <v>56.024000000000001</v>
      </c>
      <c r="AE27" s="116"/>
      <c r="AF27" s="116"/>
      <c r="AH27" s="50" t="s">
        <v>35</v>
      </c>
      <c r="AI27" s="51" t="s">
        <v>33</v>
      </c>
      <c r="AJ27" s="52" t="s">
        <v>34</v>
      </c>
    </row>
    <row r="28" spans="2:36" ht="15.6" x14ac:dyDescent="0.35">
      <c r="B28" s="103" t="s">
        <v>95</v>
      </c>
      <c r="C28" s="19">
        <f>C11</f>
        <v>2</v>
      </c>
      <c r="D28" s="19">
        <v>40.078000000000003</v>
      </c>
      <c r="E28" s="19">
        <f>E11</f>
        <v>2</v>
      </c>
      <c r="F28" s="23">
        <f t="shared" si="18"/>
        <v>160.31200000000001</v>
      </c>
      <c r="G28" s="116"/>
      <c r="H28" s="116"/>
      <c r="J28" s="103" t="s">
        <v>95</v>
      </c>
      <c r="K28" s="19">
        <f>K11</f>
        <v>2</v>
      </c>
      <c r="L28" s="19">
        <v>40.078000000000003</v>
      </c>
      <c r="M28" s="19">
        <f>M11</f>
        <v>1.75</v>
      </c>
      <c r="N28" s="23">
        <f t="shared" si="19"/>
        <v>140.273</v>
      </c>
      <c r="O28" s="116"/>
      <c r="P28" s="116"/>
      <c r="R28" s="103" t="s">
        <v>95</v>
      </c>
      <c r="S28" s="19">
        <f>S11</f>
        <v>2</v>
      </c>
      <c r="T28" s="19">
        <v>40.078000000000003</v>
      </c>
      <c r="U28" s="19">
        <f>U11</f>
        <v>1.5</v>
      </c>
      <c r="V28" s="23">
        <f t="shared" si="20"/>
        <v>120.23400000000001</v>
      </c>
      <c r="W28" s="116"/>
      <c r="X28" s="116"/>
      <c r="Z28" s="103" t="s">
        <v>95</v>
      </c>
      <c r="AA28" s="19">
        <f>AA11</f>
        <v>2</v>
      </c>
      <c r="AB28" s="19">
        <v>40.078000000000003</v>
      </c>
      <c r="AC28" s="19">
        <f>AC11</f>
        <v>1.6</v>
      </c>
      <c r="AD28" s="23">
        <f t="shared" si="21"/>
        <v>128.24959999999999</v>
      </c>
      <c r="AE28" s="116"/>
      <c r="AF28" s="116"/>
      <c r="AH28" s="53" t="s">
        <v>36</v>
      </c>
      <c r="AI28" s="54" t="s">
        <v>29</v>
      </c>
      <c r="AJ28" s="55" t="s">
        <v>66</v>
      </c>
    </row>
    <row r="29" spans="2:36" ht="15.6" x14ac:dyDescent="0.35">
      <c r="B29" s="103" t="s">
        <v>96</v>
      </c>
      <c r="C29" s="19">
        <f>C11</f>
        <v>2</v>
      </c>
      <c r="D29" s="19">
        <v>28.012</v>
      </c>
      <c r="E29" s="19">
        <f>E11</f>
        <v>2</v>
      </c>
      <c r="F29" s="23">
        <f t="shared" si="18"/>
        <v>112.048</v>
      </c>
      <c r="G29" s="116"/>
      <c r="H29" s="116"/>
      <c r="J29" s="103" t="s">
        <v>96</v>
      </c>
      <c r="K29" s="19">
        <f>K11</f>
        <v>2</v>
      </c>
      <c r="L29" s="19">
        <v>28.012</v>
      </c>
      <c r="M29" s="19">
        <f>M11</f>
        <v>1.75</v>
      </c>
      <c r="N29" s="23">
        <f t="shared" si="19"/>
        <v>98.042000000000002</v>
      </c>
      <c r="O29" s="116"/>
      <c r="P29" s="116"/>
      <c r="R29" s="103" t="s">
        <v>96</v>
      </c>
      <c r="S29" s="19">
        <f>S11</f>
        <v>2</v>
      </c>
      <c r="T29" s="19">
        <v>28.012</v>
      </c>
      <c r="U29" s="19">
        <f>U11</f>
        <v>1.5</v>
      </c>
      <c r="V29" s="23">
        <f t="shared" si="20"/>
        <v>84.036000000000001</v>
      </c>
      <c r="W29" s="116"/>
      <c r="X29" s="116"/>
      <c r="Z29" s="103" t="s">
        <v>96</v>
      </c>
      <c r="AA29" s="19">
        <f>AA11</f>
        <v>2</v>
      </c>
      <c r="AB29" s="19">
        <v>28.012</v>
      </c>
      <c r="AC29" s="19">
        <f>AC11</f>
        <v>1.6</v>
      </c>
      <c r="AD29" s="23">
        <f t="shared" si="21"/>
        <v>89.638400000000004</v>
      </c>
      <c r="AE29" s="116"/>
      <c r="AF29" s="116"/>
      <c r="AH29" s="18"/>
      <c r="AI29" s="40"/>
      <c r="AJ29" s="9"/>
    </row>
    <row r="30" spans="2:36" ht="15.6" x14ac:dyDescent="0.35">
      <c r="B30" s="104" t="s">
        <v>97</v>
      </c>
      <c r="C30" s="19">
        <f>C12</f>
        <v>1</v>
      </c>
      <c r="D30" s="19">
        <v>28.012</v>
      </c>
      <c r="E30" s="19">
        <f>E12</f>
        <v>1.5</v>
      </c>
      <c r="F30" s="23">
        <f>IF(OR(C30=0, E30=0), 0, (D30*1000)/(1000/(C30*E30)))</f>
        <v>42.018000000000001</v>
      </c>
      <c r="G30" s="116"/>
      <c r="H30" s="116"/>
      <c r="J30" s="104" t="s">
        <v>97</v>
      </c>
      <c r="K30" s="19">
        <f>K12</f>
        <v>1</v>
      </c>
      <c r="L30" s="19">
        <v>28.012</v>
      </c>
      <c r="M30" s="19">
        <f>M12</f>
        <v>1.75</v>
      </c>
      <c r="N30" s="23">
        <f t="shared" si="19"/>
        <v>49.021000000000001</v>
      </c>
      <c r="O30" s="116"/>
      <c r="P30" s="116"/>
      <c r="R30" s="104" t="s">
        <v>97</v>
      </c>
      <c r="S30" s="19">
        <f>S12</f>
        <v>1</v>
      </c>
      <c r="T30" s="19">
        <v>28.012</v>
      </c>
      <c r="U30" s="19">
        <f>U12</f>
        <v>2</v>
      </c>
      <c r="V30" s="23">
        <f t="shared" si="20"/>
        <v>56.024000000000001</v>
      </c>
      <c r="W30" s="116"/>
      <c r="X30" s="116"/>
      <c r="Z30" s="104" t="s">
        <v>97</v>
      </c>
      <c r="AA30" s="19">
        <f>AA12</f>
        <v>1</v>
      </c>
      <c r="AB30" s="19">
        <v>28.012</v>
      </c>
      <c r="AC30" s="19">
        <f>AC12</f>
        <v>1.3</v>
      </c>
      <c r="AD30" s="23">
        <f>IF(OR(AA30=0,AC30=0),0,(AB30*1000)/(1000/(AA30*AC30)))</f>
        <v>36.415600000000005</v>
      </c>
      <c r="AE30" s="116"/>
      <c r="AF30" s="116"/>
      <c r="AH30" s="56" t="s">
        <v>37</v>
      </c>
      <c r="AI30" s="57" t="s">
        <v>29</v>
      </c>
      <c r="AJ30" s="58" t="s">
        <v>65</v>
      </c>
    </row>
    <row r="31" spans="2:36" ht="15.6" x14ac:dyDescent="0.35">
      <c r="B31" s="105" t="s">
        <v>98</v>
      </c>
      <c r="C31" s="19">
        <f>C15</f>
        <v>1</v>
      </c>
      <c r="D31" s="19">
        <v>39.094299999999997</v>
      </c>
      <c r="E31" s="19">
        <f>E15</f>
        <v>0</v>
      </c>
      <c r="F31" s="23">
        <f t="shared" si="18"/>
        <v>0</v>
      </c>
      <c r="G31" s="116"/>
      <c r="H31" s="116"/>
      <c r="J31" s="105" t="s">
        <v>98</v>
      </c>
      <c r="K31" s="19">
        <f>K15</f>
        <v>1</v>
      </c>
      <c r="L31" s="19">
        <v>39.094299999999997</v>
      </c>
      <c r="M31" s="19">
        <f>M15</f>
        <v>0</v>
      </c>
      <c r="N31" s="23">
        <f t="shared" si="19"/>
        <v>0</v>
      </c>
      <c r="O31" s="116"/>
      <c r="P31" s="116"/>
      <c r="R31" s="105" t="s">
        <v>98</v>
      </c>
      <c r="S31" s="19">
        <f>S15</f>
        <v>1</v>
      </c>
      <c r="T31" s="19">
        <v>39.094299999999997</v>
      </c>
      <c r="U31" s="19">
        <f>U15</f>
        <v>0</v>
      </c>
      <c r="V31" s="23">
        <f t="shared" si="20"/>
        <v>0</v>
      </c>
      <c r="W31" s="116"/>
      <c r="X31" s="116"/>
      <c r="Z31" s="105" t="s">
        <v>98</v>
      </c>
      <c r="AA31" s="19">
        <f>AA15</f>
        <v>1</v>
      </c>
      <c r="AB31" s="19">
        <v>39.094299999999997</v>
      </c>
      <c r="AC31" s="19">
        <f>AC15</f>
        <v>0</v>
      </c>
      <c r="AD31" s="23">
        <f t="shared" si="21"/>
        <v>0</v>
      </c>
      <c r="AE31" s="116"/>
      <c r="AF31" s="116"/>
      <c r="AH31" s="59" t="s">
        <v>39</v>
      </c>
      <c r="AI31" s="60" t="s">
        <v>31</v>
      </c>
      <c r="AJ31" s="61" t="s">
        <v>38</v>
      </c>
    </row>
    <row r="32" spans="2:36" ht="15.6" x14ac:dyDescent="0.35">
      <c r="B32" s="105" t="s">
        <v>99</v>
      </c>
      <c r="C32" s="19">
        <f>C15</f>
        <v>1</v>
      </c>
      <c r="D32" s="19">
        <v>30.973700000000001</v>
      </c>
      <c r="E32" s="19">
        <f>E15</f>
        <v>0</v>
      </c>
      <c r="F32" s="23">
        <f t="shared" si="18"/>
        <v>0</v>
      </c>
      <c r="G32" s="116"/>
      <c r="H32" s="116"/>
      <c r="J32" s="105" t="s">
        <v>99</v>
      </c>
      <c r="K32" s="19">
        <f>K15</f>
        <v>1</v>
      </c>
      <c r="L32" s="19">
        <v>30.973700000000001</v>
      </c>
      <c r="M32" s="19">
        <f>M15</f>
        <v>0</v>
      </c>
      <c r="N32" s="23">
        <f t="shared" si="19"/>
        <v>0</v>
      </c>
      <c r="O32" s="116"/>
      <c r="P32" s="116"/>
      <c r="R32" s="105" t="s">
        <v>99</v>
      </c>
      <c r="S32" s="19">
        <f>S15</f>
        <v>1</v>
      </c>
      <c r="T32" s="19">
        <v>30.973700000000001</v>
      </c>
      <c r="U32" s="19">
        <f>U15</f>
        <v>0</v>
      </c>
      <c r="V32" s="23">
        <f t="shared" si="20"/>
        <v>0</v>
      </c>
      <c r="W32" s="116"/>
      <c r="X32" s="116"/>
      <c r="Z32" s="105" t="s">
        <v>99</v>
      </c>
      <c r="AA32" s="19">
        <f>AA15</f>
        <v>1</v>
      </c>
      <c r="AB32" s="19">
        <v>30.973700000000001</v>
      </c>
      <c r="AC32" s="19">
        <f>AC15</f>
        <v>0</v>
      </c>
      <c r="AD32" s="23">
        <f t="shared" si="21"/>
        <v>0</v>
      </c>
      <c r="AE32" s="116"/>
      <c r="AF32" s="116"/>
      <c r="AH32" s="62" t="s">
        <v>40</v>
      </c>
      <c r="AI32" s="63" t="s">
        <v>33</v>
      </c>
      <c r="AJ32" s="64" t="s">
        <v>103</v>
      </c>
    </row>
    <row r="33" spans="2:36" x14ac:dyDescent="0.3">
      <c r="B33" s="106" t="s">
        <v>8</v>
      </c>
      <c r="C33" s="19">
        <f>C16</f>
        <v>1</v>
      </c>
      <c r="D33" s="19">
        <v>39.094299999999997</v>
      </c>
      <c r="E33" s="19">
        <f>E16</f>
        <v>0</v>
      </c>
      <c r="F33" s="23">
        <f t="shared" si="18"/>
        <v>0</v>
      </c>
      <c r="G33" s="116"/>
      <c r="H33" s="116"/>
      <c r="J33" s="106" t="s">
        <v>8</v>
      </c>
      <c r="K33" s="19">
        <f>K16</f>
        <v>1</v>
      </c>
      <c r="L33" s="19">
        <v>39.094299999999997</v>
      </c>
      <c r="M33" s="19">
        <f>M16</f>
        <v>0</v>
      </c>
      <c r="N33" s="23">
        <f t="shared" si="19"/>
        <v>0</v>
      </c>
      <c r="O33" s="116"/>
      <c r="P33" s="116"/>
      <c r="R33" s="106" t="s">
        <v>8</v>
      </c>
      <c r="S33" s="19">
        <f>S16</f>
        <v>1</v>
      </c>
      <c r="T33" s="19">
        <v>39.094299999999997</v>
      </c>
      <c r="U33" s="19">
        <f>U16</f>
        <v>0</v>
      </c>
      <c r="V33" s="23">
        <f t="shared" si="20"/>
        <v>0</v>
      </c>
      <c r="W33" s="116"/>
      <c r="X33" s="116"/>
      <c r="Z33" s="106" t="s">
        <v>8</v>
      </c>
      <c r="AA33" s="19">
        <f>AA16</f>
        <v>1</v>
      </c>
      <c r="AB33" s="19">
        <v>39.094299999999997</v>
      </c>
      <c r="AC33" s="19">
        <f>AC16</f>
        <v>0</v>
      </c>
      <c r="AD33" s="23">
        <f t="shared" si="21"/>
        <v>0</v>
      </c>
      <c r="AE33" s="116"/>
      <c r="AF33" s="116"/>
      <c r="AH33" s="65" t="s">
        <v>41</v>
      </c>
      <c r="AI33" s="66" t="s">
        <v>33</v>
      </c>
      <c r="AJ33" s="67" t="s">
        <v>64</v>
      </c>
    </row>
    <row r="34" spans="2:36" x14ac:dyDescent="0.3">
      <c r="B34" s="106" t="s">
        <v>9</v>
      </c>
      <c r="C34" s="19">
        <f>C16</f>
        <v>1</v>
      </c>
      <c r="D34" s="19">
        <v>35.453000000000003</v>
      </c>
      <c r="E34" s="19">
        <f>E16</f>
        <v>0</v>
      </c>
      <c r="F34" s="23">
        <f t="shared" si="18"/>
        <v>0</v>
      </c>
      <c r="G34" s="116"/>
      <c r="H34" s="116"/>
      <c r="J34" s="106" t="s">
        <v>9</v>
      </c>
      <c r="K34" s="19">
        <f>K16</f>
        <v>1</v>
      </c>
      <c r="L34" s="19">
        <v>35.453000000000003</v>
      </c>
      <c r="M34" s="19">
        <f>M16</f>
        <v>0</v>
      </c>
      <c r="N34" s="23">
        <f t="shared" si="19"/>
        <v>0</v>
      </c>
      <c r="O34" s="116"/>
      <c r="P34" s="116"/>
      <c r="R34" s="106" t="s">
        <v>9</v>
      </c>
      <c r="S34" s="19">
        <f>S16</f>
        <v>1</v>
      </c>
      <c r="T34" s="19">
        <v>35.453000000000003</v>
      </c>
      <c r="U34" s="19">
        <f>U16</f>
        <v>0</v>
      </c>
      <c r="V34" s="23">
        <f t="shared" si="20"/>
        <v>0</v>
      </c>
      <c r="W34" s="116"/>
      <c r="X34" s="116"/>
      <c r="Z34" s="106" t="s">
        <v>9</v>
      </c>
      <c r="AA34" s="19">
        <f>AA16</f>
        <v>1</v>
      </c>
      <c r="AB34" s="19">
        <v>35.453000000000003</v>
      </c>
      <c r="AC34" s="19">
        <f>AC16</f>
        <v>0</v>
      </c>
      <c r="AD34" s="23">
        <f t="shared" si="21"/>
        <v>0</v>
      </c>
      <c r="AE34" s="116"/>
      <c r="AF34" s="116"/>
      <c r="AH34" s="10" t="s">
        <v>42</v>
      </c>
      <c r="AI34" s="40" t="s">
        <v>33</v>
      </c>
      <c r="AJ34" s="9" t="s">
        <v>64</v>
      </c>
    </row>
    <row r="35" spans="2:36" ht="15.6" x14ac:dyDescent="0.35">
      <c r="B35" s="107" t="s">
        <v>100</v>
      </c>
      <c r="C35" s="19">
        <f>C17</f>
        <v>1</v>
      </c>
      <c r="D35" s="19">
        <v>40.078000000000003</v>
      </c>
      <c r="E35" s="19">
        <f>E17</f>
        <v>0.04</v>
      </c>
      <c r="F35" s="23">
        <f t="shared" si="18"/>
        <v>1.6031200000000001</v>
      </c>
      <c r="G35" s="116"/>
      <c r="H35" s="116"/>
      <c r="J35" s="107" t="s">
        <v>100</v>
      </c>
      <c r="K35" s="19">
        <f>K17</f>
        <v>1</v>
      </c>
      <c r="L35" s="19">
        <v>40.078000000000003</v>
      </c>
      <c r="M35" s="19">
        <f>M17</f>
        <v>0.5</v>
      </c>
      <c r="N35" s="23">
        <f t="shared" si="19"/>
        <v>20.039000000000001</v>
      </c>
      <c r="O35" s="116"/>
      <c r="P35" s="116"/>
      <c r="R35" s="107" t="s">
        <v>100</v>
      </c>
      <c r="S35" s="19">
        <f>S17</f>
        <v>1</v>
      </c>
      <c r="T35" s="19">
        <v>40.078000000000003</v>
      </c>
      <c r="U35" s="19">
        <f>U17</f>
        <v>1</v>
      </c>
      <c r="V35" s="23">
        <f t="shared" si="20"/>
        <v>40.078000000000003</v>
      </c>
      <c r="W35" s="116"/>
      <c r="X35" s="116"/>
      <c r="Z35" s="107" t="s">
        <v>100</v>
      </c>
      <c r="AA35" s="19">
        <f>AA17</f>
        <v>1</v>
      </c>
      <c r="AB35" s="19">
        <v>40.078000000000003</v>
      </c>
      <c r="AC35" s="19">
        <f>AC17</f>
        <v>0.8</v>
      </c>
      <c r="AD35" s="23">
        <f t="shared" si="21"/>
        <v>32.062399999999997</v>
      </c>
      <c r="AE35" s="116"/>
      <c r="AF35" s="116"/>
      <c r="AH35" s="10" t="s">
        <v>43</v>
      </c>
      <c r="AI35" s="40" t="s">
        <v>33</v>
      </c>
      <c r="AJ35" s="9" t="s">
        <v>64</v>
      </c>
    </row>
    <row r="36" spans="2:36" ht="16.2" thickBot="1" x14ac:dyDescent="0.4">
      <c r="B36" s="108" t="s">
        <v>101</v>
      </c>
      <c r="C36" s="19">
        <f>C18</f>
        <v>2</v>
      </c>
      <c r="D36" s="19">
        <v>24.305</v>
      </c>
      <c r="E36" s="19">
        <f>E18</f>
        <v>1</v>
      </c>
      <c r="F36" s="23">
        <f t="shared" si="18"/>
        <v>48.61</v>
      </c>
      <c r="G36" s="116"/>
      <c r="H36" s="116"/>
      <c r="J36" s="108" t="s">
        <v>101</v>
      </c>
      <c r="K36" s="19">
        <f>K18</f>
        <v>2</v>
      </c>
      <c r="L36" s="19">
        <v>24.305</v>
      </c>
      <c r="M36" s="19">
        <f>M18</f>
        <v>1</v>
      </c>
      <c r="N36" s="23">
        <f t="shared" si="19"/>
        <v>48.61</v>
      </c>
      <c r="O36" s="116"/>
      <c r="P36" s="116"/>
      <c r="R36" s="108" t="s">
        <v>101</v>
      </c>
      <c r="S36" s="19">
        <f>S18</f>
        <v>2</v>
      </c>
      <c r="T36" s="19">
        <v>24.305</v>
      </c>
      <c r="U36" s="19">
        <f>U18</f>
        <v>1</v>
      </c>
      <c r="V36" s="23">
        <f t="shared" si="20"/>
        <v>48.61</v>
      </c>
      <c r="W36" s="116"/>
      <c r="X36" s="116"/>
      <c r="Z36" s="108" t="s">
        <v>101</v>
      </c>
      <c r="AA36" s="19">
        <f>AA18</f>
        <v>2</v>
      </c>
      <c r="AB36" s="19">
        <v>24.305</v>
      </c>
      <c r="AC36" s="19">
        <f>AC18</f>
        <v>1</v>
      </c>
      <c r="AD36" s="23">
        <f t="shared" si="21"/>
        <v>48.61</v>
      </c>
      <c r="AE36" s="116"/>
      <c r="AF36" s="116"/>
      <c r="AH36" s="18"/>
      <c r="AI36" s="40"/>
      <c r="AJ36" s="9"/>
    </row>
    <row r="37" spans="2:36" ht="16.2" thickBot="1" x14ac:dyDescent="0.4">
      <c r="B37" s="108" t="s">
        <v>102</v>
      </c>
      <c r="C37" s="19">
        <f>C18</f>
        <v>2</v>
      </c>
      <c r="D37" s="19">
        <v>32.064999999999998</v>
      </c>
      <c r="E37" s="19">
        <f>E18</f>
        <v>1</v>
      </c>
      <c r="F37" s="23">
        <f t="shared" si="18"/>
        <v>64.13</v>
      </c>
      <c r="G37" s="116"/>
      <c r="H37" s="116"/>
      <c r="J37" s="108" t="s">
        <v>102</v>
      </c>
      <c r="K37" s="19">
        <f>K18</f>
        <v>2</v>
      </c>
      <c r="L37" s="19">
        <v>32.064999999999998</v>
      </c>
      <c r="M37" s="19">
        <f>M18</f>
        <v>1</v>
      </c>
      <c r="N37" s="23">
        <f t="shared" si="19"/>
        <v>64.13</v>
      </c>
      <c r="O37" s="116"/>
      <c r="P37" s="116"/>
      <c r="R37" s="108" t="s">
        <v>102</v>
      </c>
      <c r="S37" s="19">
        <f>S18</f>
        <v>2</v>
      </c>
      <c r="T37" s="19">
        <v>32.064999999999998</v>
      </c>
      <c r="U37" s="19">
        <f>U18</f>
        <v>1</v>
      </c>
      <c r="V37" s="23">
        <f t="shared" si="20"/>
        <v>64.13</v>
      </c>
      <c r="W37" s="116"/>
      <c r="X37" s="116"/>
      <c r="Z37" s="108" t="s">
        <v>102</v>
      </c>
      <c r="AA37" s="19">
        <f>AA18</f>
        <v>2</v>
      </c>
      <c r="AB37" s="19">
        <v>32.064999999999998</v>
      </c>
      <c r="AC37" s="19">
        <f>AC18</f>
        <v>1</v>
      </c>
      <c r="AD37" s="23">
        <f t="shared" si="21"/>
        <v>64.13</v>
      </c>
      <c r="AE37" s="116"/>
      <c r="AF37" s="116"/>
      <c r="AH37" s="120" t="s">
        <v>49</v>
      </c>
      <c r="AI37" s="121">
        <v>30.974</v>
      </c>
      <c r="AJ37" s="122"/>
    </row>
    <row r="38" spans="2:36" ht="15" thickBot="1" x14ac:dyDescent="0.35">
      <c r="B38" s="99"/>
      <c r="F38" s="24"/>
      <c r="G38" s="116"/>
      <c r="H38" s="116"/>
      <c r="J38" s="99"/>
      <c r="N38" s="24"/>
      <c r="O38" s="116"/>
      <c r="P38" s="116"/>
      <c r="R38" s="99"/>
      <c r="V38" s="24"/>
      <c r="W38" s="116"/>
      <c r="X38" s="116"/>
      <c r="Z38" s="99"/>
      <c r="AD38" s="24"/>
      <c r="AE38" s="116"/>
      <c r="AF38" s="116"/>
    </row>
    <row r="39" spans="2:36" s="17" customFormat="1" ht="32.4" customHeight="1" thickBot="1" x14ac:dyDescent="0.35">
      <c r="B39" s="219" t="s">
        <v>10</v>
      </c>
      <c r="C39" s="202"/>
      <c r="D39" s="238" t="s">
        <v>121</v>
      </c>
      <c r="E39" s="239"/>
      <c r="F39" s="240"/>
      <c r="G39" s="199"/>
      <c r="H39" s="199"/>
      <c r="J39" s="219" t="s">
        <v>10</v>
      </c>
      <c r="K39" s="202"/>
      <c r="L39" s="238" t="s">
        <v>121</v>
      </c>
      <c r="M39" s="239"/>
      <c r="N39" s="240"/>
      <c r="O39" s="199"/>
      <c r="R39" s="219" t="s">
        <v>10</v>
      </c>
      <c r="S39" s="202"/>
      <c r="T39" s="238" t="s">
        <v>121</v>
      </c>
      <c r="U39" s="239"/>
      <c r="V39" s="240"/>
      <c r="Z39" s="219" t="s">
        <v>10</v>
      </c>
      <c r="AA39" s="202"/>
      <c r="AB39" s="238" t="s">
        <v>121</v>
      </c>
      <c r="AC39" s="239"/>
      <c r="AD39" s="240"/>
      <c r="AH39" s="200" t="s">
        <v>104</v>
      </c>
      <c r="AI39" s="201"/>
    </row>
    <row r="40" spans="2:36" ht="29.4" thickBot="1" x14ac:dyDescent="0.35">
      <c r="B40" s="189" t="s">
        <v>11</v>
      </c>
      <c r="C40" s="190" t="s">
        <v>2</v>
      </c>
      <c r="D40" s="27"/>
      <c r="E40" s="205" t="s">
        <v>67</v>
      </c>
      <c r="F40" s="162" t="s">
        <v>108</v>
      </c>
      <c r="G40" s="117"/>
      <c r="J40" s="189" t="s">
        <v>11</v>
      </c>
      <c r="K40" s="190" t="s">
        <v>2</v>
      </c>
      <c r="L40" s="27"/>
      <c r="M40" s="205" t="s">
        <v>67</v>
      </c>
      <c r="N40" s="162" t="s">
        <v>108</v>
      </c>
      <c r="O40" s="117"/>
      <c r="R40" s="189" t="s">
        <v>11</v>
      </c>
      <c r="S40" s="190" t="s">
        <v>2</v>
      </c>
      <c r="T40" s="157"/>
      <c r="U40" s="209" t="s">
        <v>67</v>
      </c>
      <c r="V40" s="162" t="s">
        <v>108</v>
      </c>
      <c r="W40" s="117"/>
      <c r="Z40" s="189" t="s">
        <v>11</v>
      </c>
      <c r="AA40" s="190" t="s">
        <v>2</v>
      </c>
      <c r="AB40" s="27"/>
      <c r="AC40" s="205" t="s">
        <v>67</v>
      </c>
      <c r="AD40" s="162" t="s">
        <v>108</v>
      </c>
      <c r="AE40" s="117"/>
      <c r="AH40" s="152" t="s">
        <v>11</v>
      </c>
      <c r="AI40" s="153" t="s">
        <v>2</v>
      </c>
    </row>
    <row r="41" spans="2:36" x14ac:dyDescent="0.3">
      <c r="B41" s="191" t="s">
        <v>12</v>
      </c>
      <c r="C41" s="192">
        <f>SUM(F24,F27,F29,F30)</f>
        <v>210.09</v>
      </c>
      <c r="D41" s="128"/>
      <c r="E41" s="206">
        <f>C50-C41</f>
        <v>0</v>
      </c>
      <c r="F41" s="9">
        <v>6.7</v>
      </c>
      <c r="J41" s="191" t="s">
        <v>12</v>
      </c>
      <c r="K41" s="192">
        <f>SUM(N24,N27,N29,N30)</f>
        <v>210.09000000000003</v>
      </c>
      <c r="M41" s="206">
        <f t="shared" ref="M41:M46" si="22">C50-K41</f>
        <v>0</v>
      </c>
      <c r="N41" s="9">
        <v>6.79</v>
      </c>
      <c r="R41" s="221" t="s">
        <v>12</v>
      </c>
      <c r="S41" s="222">
        <f>SUM(V24,V27,V29,V30)</f>
        <v>210.09</v>
      </c>
      <c r="U41" s="210">
        <f t="shared" ref="U41:U46" si="23">S41-C50</f>
        <v>0</v>
      </c>
      <c r="V41" s="9">
        <v>6.7</v>
      </c>
      <c r="Z41" s="191" t="s">
        <v>12</v>
      </c>
      <c r="AA41" s="204">
        <f>SUM(AD24,AD27,AD29,AD30)</f>
        <v>210.09</v>
      </c>
      <c r="AC41" s="206">
        <f t="shared" ref="AC41:AC46" si="24">C50-AA41</f>
        <v>0</v>
      </c>
      <c r="AD41" s="9">
        <v>6.72</v>
      </c>
      <c r="AH41" s="150" t="s">
        <v>12</v>
      </c>
      <c r="AI41" s="136">
        <v>210.09</v>
      </c>
    </row>
    <row r="42" spans="2:36" x14ac:dyDescent="0.3">
      <c r="B42" s="193" t="s">
        <v>13</v>
      </c>
      <c r="C42" s="194">
        <f>SUM(F25,F32)</f>
        <v>0</v>
      </c>
      <c r="E42" s="206">
        <f>C51-C42</f>
        <v>30.973700000000001</v>
      </c>
      <c r="F42" s="9"/>
      <c r="J42" s="193" t="s">
        <v>13</v>
      </c>
      <c r="K42" s="203">
        <f>SUM(N25,N32)</f>
        <v>15.48685</v>
      </c>
      <c r="M42" s="206">
        <f t="shared" si="22"/>
        <v>15.48685</v>
      </c>
      <c r="N42" s="9"/>
      <c r="R42" s="223" t="s">
        <v>13</v>
      </c>
      <c r="S42" s="224">
        <f>SUM(V25,V32)</f>
        <v>30.973700000000001</v>
      </c>
      <c r="U42" s="210">
        <f t="shared" si="23"/>
        <v>0</v>
      </c>
      <c r="V42" s="9"/>
      <c r="Z42" s="193" t="s">
        <v>13</v>
      </c>
      <c r="AA42" s="194">
        <f>SUM(AD25,AD32)</f>
        <v>61.947400000000002</v>
      </c>
      <c r="AC42" s="206">
        <f t="shared" si="24"/>
        <v>-30.973700000000001</v>
      </c>
      <c r="AD42" s="9"/>
      <c r="AH42" s="97" t="s">
        <v>13</v>
      </c>
      <c r="AI42" s="77">
        <v>30.973700000000001</v>
      </c>
    </row>
    <row r="43" spans="2:36" x14ac:dyDescent="0.3">
      <c r="B43" s="193" t="s">
        <v>14</v>
      </c>
      <c r="C43" s="195">
        <f>SUM(F26,F31,F33)</f>
        <v>156.37719999999999</v>
      </c>
      <c r="E43" s="206">
        <f t="shared" ref="E43:E46" si="25">C52-C43</f>
        <v>0</v>
      </c>
      <c r="F43" s="9"/>
      <c r="J43" s="193" t="s">
        <v>14</v>
      </c>
      <c r="K43" s="196">
        <f>SUM(N26,N31,N33)</f>
        <v>156.37719999999999</v>
      </c>
      <c r="M43" s="206">
        <f t="shared" si="22"/>
        <v>0</v>
      </c>
      <c r="N43" s="9"/>
      <c r="R43" s="223" t="s">
        <v>14</v>
      </c>
      <c r="S43" s="225">
        <f>SUM(V26,V31,V33)</f>
        <v>156.37719999999999</v>
      </c>
      <c r="U43" s="210">
        <f>S43-C52</f>
        <v>0</v>
      </c>
      <c r="V43" s="9"/>
      <c r="Z43" s="193" t="s">
        <v>14</v>
      </c>
      <c r="AA43" s="196">
        <f>SUM(AD26,AD31,AD33)</f>
        <v>156.37719999999999</v>
      </c>
      <c r="AC43" s="206">
        <f t="shared" si="24"/>
        <v>0</v>
      </c>
      <c r="AD43" s="9"/>
      <c r="AH43" s="97" t="s">
        <v>14</v>
      </c>
      <c r="AI43" s="77">
        <v>156.37719999999999</v>
      </c>
    </row>
    <row r="44" spans="2:36" x14ac:dyDescent="0.3">
      <c r="B44" s="193" t="s">
        <v>15</v>
      </c>
      <c r="C44" s="195">
        <f>F28+F35</f>
        <v>161.91512</v>
      </c>
      <c r="E44" s="207">
        <f t="shared" si="25"/>
        <v>-1.6031199999999899</v>
      </c>
      <c r="F44" s="9"/>
      <c r="J44" s="193" t="s">
        <v>15</v>
      </c>
      <c r="K44" s="196">
        <f>N28+N35</f>
        <v>160.31200000000001</v>
      </c>
      <c r="M44" s="206">
        <f t="shared" si="22"/>
        <v>0</v>
      </c>
      <c r="N44" s="9"/>
      <c r="R44" s="223" t="s">
        <v>15</v>
      </c>
      <c r="S44" s="225">
        <f>V28+V35</f>
        <v>160.31200000000001</v>
      </c>
      <c r="U44" s="210">
        <f>S44-C53</f>
        <v>0</v>
      </c>
      <c r="V44" s="9"/>
      <c r="Z44" s="193" t="s">
        <v>15</v>
      </c>
      <c r="AA44" s="196">
        <f>AD28+AD35</f>
        <v>160.31199999999998</v>
      </c>
      <c r="AC44" s="206">
        <f t="shared" si="24"/>
        <v>0</v>
      </c>
      <c r="AD44" s="9"/>
      <c r="AH44" s="97" t="s">
        <v>15</v>
      </c>
      <c r="AI44" s="77">
        <v>160.31200000000001</v>
      </c>
    </row>
    <row r="45" spans="2:36" x14ac:dyDescent="0.3">
      <c r="B45" s="193" t="s">
        <v>16</v>
      </c>
      <c r="C45" s="196">
        <f>F36</f>
        <v>48.61</v>
      </c>
      <c r="E45" s="206">
        <f t="shared" si="25"/>
        <v>0</v>
      </c>
      <c r="F45" s="9"/>
      <c r="J45" s="193" t="s">
        <v>16</v>
      </c>
      <c r="K45" s="196">
        <f>N36</f>
        <v>48.61</v>
      </c>
      <c r="M45" s="206">
        <f t="shared" si="22"/>
        <v>0</v>
      </c>
      <c r="N45" s="9"/>
      <c r="R45" s="223" t="s">
        <v>16</v>
      </c>
      <c r="S45" s="225">
        <f>V36</f>
        <v>48.61</v>
      </c>
      <c r="U45" s="210">
        <f t="shared" si="23"/>
        <v>0</v>
      </c>
      <c r="V45" s="9"/>
      <c r="Z45" s="193" t="s">
        <v>16</v>
      </c>
      <c r="AA45" s="196">
        <f>AD36</f>
        <v>48.61</v>
      </c>
      <c r="AC45" s="206">
        <f t="shared" si="24"/>
        <v>0</v>
      </c>
      <c r="AD45" s="9"/>
      <c r="AH45" s="97" t="s">
        <v>16</v>
      </c>
      <c r="AI45" s="77">
        <v>48.61</v>
      </c>
    </row>
    <row r="46" spans="2:36" ht="15" thickBot="1" x14ac:dyDescent="0.35">
      <c r="B46" s="197" t="s">
        <v>17</v>
      </c>
      <c r="C46" s="198">
        <f>F37</f>
        <v>64.13</v>
      </c>
      <c r="D46" s="4"/>
      <c r="E46" s="208">
        <f t="shared" si="25"/>
        <v>0</v>
      </c>
      <c r="F46" s="5"/>
      <c r="J46" s="197" t="s">
        <v>17</v>
      </c>
      <c r="K46" s="198">
        <f>N37</f>
        <v>64.13</v>
      </c>
      <c r="L46" s="4"/>
      <c r="M46" s="208">
        <f t="shared" si="22"/>
        <v>0</v>
      </c>
      <c r="N46" s="5"/>
      <c r="R46" s="226" t="s">
        <v>17</v>
      </c>
      <c r="S46" s="227">
        <f>V37</f>
        <v>64.13</v>
      </c>
      <c r="T46" s="4"/>
      <c r="U46" s="220">
        <f t="shared" si="23"/>
        <v>0</v>
      </c>
      <c r="V46" s="5"/>
      <c r="Z46" s="197" t="s">
        <v>17</v>
      </c>
      <c r="AA46" s="198">
        <f>AD37</f>
        <v>64.13</v>
      </c>
      <c r="AB46" s="4"/>
      <c r="AC46" s="208">
        <f t="shared" si="24"/>
        <v>0</v>
      </c>
      <c r="AD46" s="5"/>
      <c r="AH46" s="98" t="s">
        <v>17</v>
      </c>
      <c r="AI46" s="79">
        <v>64.13</v>
      </c>
    </row>
    <row r="47" spans="2:36" ht="15" thickBot="1" x14ac:dyDescent="0.35"/>
    <row r="48" spans="2:36" x14ac:dyDescent="0.3">
      <c r="B48" s="159" t="s">
        <v>117</v>
      </c>
      <c r="C48" s="160"/>
    </row>
    <row r="49" spans="2:3" ht="15" thickBot="1" x14ac:dyDescent="0.35">
      <c r="B49" s="158" t="s">
        <v>11</v>
      </c>
      <c r="C49" s="161" t="s">
        <v>2</v>
      </c>
    </row>
    <row r="50" spans="2:3" x14ac:dyDescent="0.3">
      <c r="B50" s="135" t="s">
        <v>12</v>
      </c>
      <c r="C50" s="135">
        <v>210.09</v>
      </c>
    </row>
    <row r="51" spans="2:3" x14ac:dyDescent="0.3">
      <c r="B51" s="69" t="s">
        <v>13</v>
      </c>
      <c r="C51" s="69">
        <v>30.973700000000001</v>
      </c>
    </row>
    <row r="52" spans="2:3" x14ac:dyDescent="0.3">
      <c r="B52" s="69" t="s">
        <v>14</v>
      </c>
      <c r="C52" s="69">
        <v>156.37719999999999</v>
      </c>
    </row>
    <row r="53" spans="2:3" x14ac:dyDescent="0.3">
      <c r="B53" s="69" t="s">
        <v>15</v>
      </c>
      <c r="C53" s="69">
        <v>160.31200000000001</v>
      </c>
    </row>
    <row r="54" spans="2:3" x14ac:dyDescent="0.3">
      <c r="B54" s="69" t="s">
        <v>16</v>
      </c>
      <c r="C54" s="69">
        <v>48.61</v>
      </c>
    </row>
    <row r="55" spans="2:3" x14ac:dyDescent="0.3">
      <c r="B55" s="69" t="s">
        <v>17</v>
      </c>
      <c r="C55" s="69">
        <v>64.13</v>
      </c>
    </row>
  </sheetData>
  <mergeCells count="4">
    <mergeCell ref="D39:F39"/>
    <mergeCell ref="L39:N39"/>
    <mergeCell ref="T39:V39"/>
    <mergeCell ref="AB39:AD39"/>
  </mergeCells>
  <conditionalFormatting sqref="E41:E46 M41:M46 U41:U46 AC41:AC46">
    <cfRule type="cellIs" dxfId="0" priority="1" operator="between">
      <formula>-2</formula>
      <formula>2</formula>
    </cfRule>
  </conditionalFormatting>
  <pageMargins left="0.7" right="0.7" top="0.75" bottom="0.75" header="0.3" footer="0.3"/>
  <pageSetup scale="5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recipe&amp;calculator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Kelley, Monika</dc:creator>
  <cp:lastModifiedBy>Kelley, Monika</cp:lastModifiedBy>
  <cp:lastPrinted>2025-12-16T23:24:19Z</cp:lastPrinted>
  <dcterms:created xsi:type="dcterms:W3CDTF">2025-08-03T20:16:05Z</dcterms:created>
  <dcterms:modified xsi:type="dcterms:W3CDTF">2026-03-18T15:57:47Z</dcterms:modified>
</cp:coreProperties>
</file>