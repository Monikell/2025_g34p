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<sst xmlns="http://schemas.openxmlformats.org/spreadsheetml/2006/main" count="4449" uniqueCount="733">
  <si>
    <t>File opened</t>
  </si>
  <si>
    <t>2025-10-20 22:36:55</t>
  </si>
  <si>
    <t>Console s/n</t>
  </si>
  <si>
    <t>68C-702926</t>
  </si>
  <si>
    <t>Console ver</t>
  </si>
  <si>
    <t>Bluestem v.2.1.11</t>
  </si>
  <si>
    <t>Scripts ver</t>
  </si>
  <si>
    <t>2023.02  2.1.11, Jun 2023</t>
  </si>
  <si>
    <t>Head s/n</t>
  </si>
  <si>
    <t>68H-412916</t>
  </si>
  <si>
    <t>Head ver</t>
  </si>
  <si>
    <t>1.4.23</t>
  </si>
  <si>
    <t>Head cal</t>
  </si>
  <si>
    <t>{"oxygen": "21", "co2azero": "1.01726", "co2aspan1": "1.00161", "co2aspan2": "-0.039575", "co2aspan2a": "0.293526", "co2aspan2b": "0.290588", "co2aspanconc1": "2473", "co2aspanconc2": "301.4", "co2bzero": "1.00383", "co2bspan1": "1.00185", "co2bspan2": "-0.0412378", "co2bspan2a": "0.293842", "co2bspan2b": "0.290826", "co2bspanconc1": "2473", "co2bspanconc2": "301.4", "h2oazero": "1.0914", "h2oaspan1": "0.999576", "h2oaspan2": "0", "h2oaspan2a": "0.0691885", "h2oaspan2b": "0.0691591", "h2oaspanconc1": "11.66", "h2oaspanconc2": "0", "h2obzero": "1.07034", "h2obspan1": "0.995223", "h2obspan2": "0", "h2obspan2a": "0.0698144", "h2obspan2b": "0.0694809", "h2obspanconc1": "11.66", "h2obspanconc2": "0", "tazero": "0.115496", "tbzero": "0.222206", "flowmeterzero": "2.4886", "flowazero": "0.25398", "flowbzero": "0.2616", "chamberpressurezero": "2.64324", "ssa_ref": "35964.4", "ssb_ref": "33837.5"}</t>
  </si>
  <si>
    <t>Factory cal date</t>
  </si>
  <si>
    <t>23 Jan 2023</t>
  </si>
  <si>
    <t>CO2 rangematch</t>
  </si>
  <si>
    <t>Mon Oct 20 19:45</t>
  </si>
  <si>
    <t>H2O rangematch</t>
  </si>
  <si>
    <t>Mon Oct 20 19:56</t>
  </si>
  <si>
    <t>Chamber type</t>
  </si>
  <si>
    <t>6800-01A</t>
  </si>
  <si>
    <t>Chamber s/n</t>
  </si>
  <si>
    <t>MPF-742469</t>
  </si>
  <si>
    <t>Chamber rev</t>
  </si>
  <si>
    <t>0</t>
  </si>
  <si>
    <t>Chamber cal</t>
  </si>
  <si>
    <t>Fluorometer</t>
  </si>
  <si>
    <t>Flr. Version</t>
  </si>
  <si>
    <t>22:36:55</t>
  </si>
  <si>
    <t>Stability Definition:	ΔCO2 (Meas2): Slp&lt;0.5 Per=20	ΔH2O (Meas2): Slp&lt;0.1 Per=20	F (FlrLS): Slp&lt;1 Per=20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</si>
  <si>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</si>
  <si>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</si>
  <si>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</si>
  <si>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</si>
  <si>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</si>
  <si>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</si>
  <si>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</si>
  <si>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</si>
  <si>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</si>
  <si>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</si>
  <si>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</si>
  <si>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</si>
  <si>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</si>
  <si>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</si>
  <si>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</si>
  <si>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UserDefCon</t>
  </si>
  <si>
    <t>machine</t>
  </si>
  <si>
    <t>yadi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</si>
  <si>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</si>
  <si>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</si>
  <si>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</si>
  <si>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</si>
  <si>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</si>
  <si>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</si>
  <si>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</si>
  <si>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</si>
  <si>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</si>
  <si>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</si>
  <si>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</si>
  <si>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</si>
  <si>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</si>
  <si>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</si>
  <si>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</si>
  <si>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</si>
  <si>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</si>
  <si>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</si>
  <si>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</si>
  <si>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</si>
  <si>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</si>
  <si>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</si>
  <si>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</si>
  <si>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</si>
  <si>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</si>
  <si>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</si>
  <si>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</si>
  <si>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</si>
  <si>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</si>
  <si>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</si>
  <si>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</si>
  <si>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</si>
  <si>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</si>
  <si>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</si>
  <si>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</si>
  <si>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</si>
  <si>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1.78853 192.088 352.77 605.212 835.228 1039.83 1207.67 1339.52</t>
  </si>
  <si>
    <t>Fs_true</t>
  </si>
  <si>
    <t>-1.81992 223.08 386.112 607.762 800.444 1004.73 1200.94 1401.15</t>
  </si>
  <si>
    <t>leak_wt</t>
  </si>
  <si>
    <t>SysObs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</si>
  <si>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</si>
  <si>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</si>
  <si>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</si>
  <si>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</si>
  <si>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</si>
  <si>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</si>
  <si>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</si>
  <si>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</si>
  <si>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</si>
  <si>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</si>
  <si>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</si>
  <si>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</si>
  <si>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</si>
  <si>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</si>
  <si>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</si>
  <si>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</si>
  <si>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</si>
  <si>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</si>
  <si>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</si>
  <si>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</si>
  <si>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</si>
  <si>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</si>
  <si>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</si>
  <si>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</si>
  <si>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</si>
  <si>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</si>
  <si>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</si>
  <si>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</si>
  <si>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</si>
  <si>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</si>
  <si>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</si>
  <si>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</si>
  <si>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</si>
  <si>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</si>
  <si>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</si>
  <si>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</si>
  <si>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</si>
  <si>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</si>
  <si>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</si>
  <si>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</si>
  <si>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</si>
  <si>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</si>
  <si>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</si>
  <si>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</si>
  <si>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</si>
  <si>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</si>
  <si>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</si>
  <si>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</si>
  <si>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</si>
  <si>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</si>
  <si>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</si>
  <si>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</si>
  <si>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</si>
  <si>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</si>
  <si>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</si>
  <si>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</si>
  <si>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</si>
  <si>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</si>
  <si>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</si>
  <si>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</si>
  <si>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</si>
  <si>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</si>
  <si>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</si>
  <si>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</si>
  <si>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</si>
  <si>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</si>
  <si>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</si>
  <si>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</si>
  <si>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</si>
  <si>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</si>
  <si>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</si>
  <si>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</si>
  <si>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</si>
  <si>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</si>
  <si>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</si>
  <si>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</si>
  <si>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</si>
  <si>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</si>
  <si>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</si>
  <si>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</si>
  <si>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</si>
  <si>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</si>
  <si>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</si>
  <si>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</si>
  <si>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</si>
  <si>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</si>
  <si>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</si>
  <si>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</si>
  <si>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</si>
  <si>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</si>
  <si>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</si>
  <si>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</si>
  <si>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</si>
  <si>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</si>
  <si>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</si>
  <si>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</si>
  <si>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</si>
  <si>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</si>
  <si>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</si>
  <si>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</si>
  <si>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</si>
  <si>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</si>
  <si>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</si>
  <si>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</si>
  <si>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</si>
  <si>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</si>
  <si>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</si>
  <si>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</si>
  <si>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</si>
  <si>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</si>
  <si>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</si>
  <si>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</si>
  <si>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</si>
  <si>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</si>
  <si>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</si>
  <si>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</si>
  <si>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</si>
  <si>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</si>
  <si>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</si>
  <si>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</si>
  <si>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</si>
  <si>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</si>
  <si>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</si>
  <si>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</si>
  <si>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</si>
  <si>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</si>
  <si>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</si>
  <si>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</si>
  <si>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</si>
  <si>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</si>
  <si>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</si>
  <si>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</si>
  <si>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</si>
  <si>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</si>
  <si>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</si>
  <si>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</si>
  <si>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</si>
  <si>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</si>
  <si>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</si>
  <si>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</si>
  <si>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</si>
  <si>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</si>
  <si>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</si>
  <si>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</si>
  <si>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</si>
  <si>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</si>
  <si>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</si>
  <si>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</si>
  <si>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</si>
  <si>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</si>
  <si>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</si>
  <si>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</si>
  <si>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</si>
  <si>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</si>
  <si>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</si>
  <si>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</si>
  <si>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</si>
  <si>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</si>
  <si>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</si>
  <si>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</si>
  <si>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</si>
  <si>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</si>
  <si>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</si>
  <si>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</si>
  <si>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</si>
  <si>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</si>
  <si>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</si>
  <si>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</si>
  <si>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</si>
  <si>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</si>
  <si>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</si>
  <si>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</si>
  <si>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</si>
  <si>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</si>
  <si>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</si>
  <si>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</si>
  <si>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</si>
  <si>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</si>
  <si>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</si>
  <si>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</si>
  <si>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</si>
  <si>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</si>
  <si>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</si>
  <si>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</si>
  <si>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</si>
  <si>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</si>
  <si>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</si>
  <si>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</si>
  <si>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</si>
  <si>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</si>
  <si>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</si>
  <si>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</si>
  <si>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</si>
  <si>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</si>
  <si>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</si>
  <si>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</si>
  <si>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</si>
  <si>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</si>
  <si>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</si>
  <si>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</si>
  <si>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</si>
  <si>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</si>
  <si>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</si>
  <si>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</si>
  <si>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</si>
  <si>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</si>
  <si>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</si>
  <si>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</si>
  <si>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</si>
  <si>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</si>
  <si>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</si>
  <si>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</si>
  <si>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</si>
  <si>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</si>
  <si>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</si>
  <si>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</si>
  <si>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</si>
  <si>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</si>
  <si>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</si>
  <si>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</si>
  <si>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</si>
  <si>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</si>
  <si>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</si>
  <si>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</si>
  <si>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</si>
  <si>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</si>
  <si>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</si>
  <si>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</si>
  <si>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</si>
  <si>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</si>
  <si>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</si>
  <si>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</si>
  <si>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</si>
  <si>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</si>
  <si>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</si>
  <si>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</si>
  <si>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</si>
  <si>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</si>
  <si>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</si>
  <si>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</si>
  <si>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</si>
  <si>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</si>
  <si>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</si>
  <si>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</si>
  <si>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</si>
  <si>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</si>
  <si>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</si>
  <si>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</si>
  <si>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</si>
  <si>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</si>
  <si>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</si>
  <si>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</si>
  <si>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</si>
  <si>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</si>
  <si>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</si>
  <si>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</si>
  <si>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</si>
  <si>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</si>
  <si>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</si>
  <si>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</si>
  <si>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</si>
  <si>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</si>
  <si>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</si>
  <si>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</si>
  <si>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</si>
  <si>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</si>
  <si>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</si>
  <si>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</si>
  <si>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</si>
  <si>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</si>
  <si>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</si>
  <si>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</si>
  <si>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</si>
  <si>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</si>
  <si>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</si>
  <si>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</si>
  <si>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</si>
  <si>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</si>
  <si>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</si>
  <si>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</si>
  <si>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</si>
  <si>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</si>
  <si>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</si>
  <si>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</si>
  <si>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</si>
  <si>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</si>
  <si>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</si>
  <si>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</si>
  <si>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</si>
  <si>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</si>
  <si>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</si>
  <si>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</si>
  <si>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</si>
  <si>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</si>
  <si>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</si>
  <si>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</si>
  <si>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</si>
  <si>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</si>
  <si>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</si>
  <si>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</si>
  <si>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</si>
  <si>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</si>
  <si>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</si>
  <si>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</si>
  <si>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</si>
  <si>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</si>
  <si>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</si>
  <si>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</si>
  <si>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</si>
  <si>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</si>
  <si>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</si>
  <si>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</si>
  <si>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</si>
  <si>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</si>
  <si>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</si>
  <si>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</si>
  <si>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</si>
  <si>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</si>
  <si>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</si>
  <si>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</si>
  <si>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</si>
  <si>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</si>
  <si>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</si>
  <si>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</si>
  <si>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</si>
  <si>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</si>
  <si>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</si>
  <si>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20251020 22:41:09</t>
  </si>
  <si>
    <t>22:41:09</t>
  </si>
  <si>
    <t>179</t>
  </si>
  <si>
    <t>-</t>
  </si>
  <si>
    <t>0: Broadleaf</t>
  </si>
  <si>
    <t>22:40:49</t>
  </si>
  <si>
    <t>0/3</t>
  </si>
  <si>
    <t>00000000</t>
  </si>
  <si>
    <t>iiiiiiii</t>
  </si>
  <si>
    <t>off</t>
  </si>
  <si>
    <t>20251020 22:41:11</t>
  </si>
  <si>
    <t>22:41:11</t>
  </si>
  <si>
    <t>20251020 22:41:13</t>
  </si>
  <si>
    <t>22:41:13</t>
  </si>
  <si>
    <t>1/3</t>
  </si>
  <si>
    <t>20251020 22:41:15</t>
  </si>
  <si>
    <t>22:41:15</t>
  </si>
  <si>
    <t>2/3</t>
  </si>
  <si>
    <t>20251020 22:41:17</t>
  </si>
  <si>
    <t>22:41:17</t>
  </si>
  <si>
    <t>20251020 22:41:19</t>
  </si>
  <si>
    <t>22:41:19</t>
  </si>
  <si>
    <t>20251020 22:41:21</t>
  </si>
  <si>
    <t>22:41:21</t>
  </si>
  <si>
    <t>20251020 22:41:23</t>
  </si>
  <si>
    <t>22:41:23</t>
  </si>
  <si>
    <t>20251020 22:41:25</t>
  </si>
  <si>
    <t>22:41:25</t>
  </si>
  <si>
    <t>20251020 22:41:27</t>
  </si>
  <si>
    <t>22:41:27</t>
  </si>
  <si>
    <t>20251020 22:41:29</t>
  </si>
  <si>
    <t>22:41:29</t>
  </si>
  <si>
    <t>20251020 22:41:31</t>
  </si>
  <si>
    <t>22:41:31</t>
  </si>
  <si>
    <t>20251020 22:41:33</t>
  </si>
  <si>
    <t>22:41:33</t>
  </si>
  <si>
    <t>20251020 22:41:35</t>
  </si>
  <si>
    <t>22:41:35</t>
  </si>
  <si>
    <t>20251020 22:41:37</t>
  </si>
  <si>
    <t>22:41:37</t>
  </si>
  <si>
    <t>20251020 22:41:39</t>
  </si>
  <si>
    <t>22:41:39</t>
  </si>
  <si>
    <t>20251020 22:41:41</t>
  </si>
  <si>
    <t>22:41:41</t>
  </si>
  <si>
    <t>20251020 22:41:43</t>
  </si>
  <si>
    <t>22:41:43</t>
  </si>
  <si>
    <t>20251020 22:41:45</t>
  </si>
  <si>
    <t>22:41:45</t>
  </si>
  <si>
    <t>20251020 22:41:47</t>
  </si>
  <si>
    <t>22:41:47</t>
  </si>
  <si>
    <t>20251020 22:41:49</t>
  </si>
  <si>
    <t>22:41:49</t>
  </si>
  <si>
    <t>20251020 22:41:51</t>
  </si>
  <si>
    <t>22:41:51</t>
  </si>
  <si>
    <t>20251020 22:41:53</t>
  </si>
  <si>
    <t>22:41:53</t>
  </si>
  <si>
    <t>20251020 22:41:55</t>
  </si>
  <si>
    <t>22:41:55</t>
  </si>
  <si>
    <t>20251020 22:41:57</t>
  </si>
  <si>
    <t>22:41:57</t>
  </si>
  <si>
    <t>20251020 22:41:59</t>
  </si>
  <si>
    <t>22:41:59</t>
  </si>
  <si>
    <t>20251020 22:42:01</t>
  </si>
  <si>
    <t>22:42:01</t>
  </si>
  <si>
    <t>20251020 22:42:03</t>
  </si>
  <si>
    <t>22:42:03</t>
  </si>
  <si>
    <t>20251020 22:42:05</t>
  </si>
  <si>
    <t>22:42:05</t>
  </si>
  <si>
    <t>20251020 22:42:07</t>
  </si>
  <si>
    <t>22:42:07</t>
  </si>
  <si>
    <t>20251020 22:45:08</t>
  </si>
  <si>
    <t>22:45:08</t>
  </si>
  <si>
    <t>112</t>
  </si>
  <si>
    <t>22:42:42</t>
  </si>
  <si>
    <t>20251020 22:45:10</t>
  </si>
  <si>
    <t>22:45:10</t>
  </si>
  <si>
    <t>20251020 22:45:12</t>
  </si>
  <si>
    <t>22:45:12</t>
  </si>
  <si>
    <t>20251020 22:45:14</t>
  </si>
  <si>
    <t>22:45:14</t>
  </si>
  <si>
    <t>20251020 22:45:16</t>
  </si>
  <si>
    <t>22:45:16</t>
  </si>
  <si>
    <t>20251020 22:45:18</t>
  </si>
  <si>
    <t>22:45:18</t>
  </si>
  <si>
    <t>20251020 22:45:20</t>
  </si>
  <si>
    <t>22:45:20</t>
  </si>
  <si>
    <t>20251020 22:45:22</t>
  </si>
  <si>
    <t>22:45:22</t>
  </si>
  <si>
    <t>20251020 22:45:24</t>
  </si>
  <si>
    <t>22:45:24</t>
  </si>
  <si>
    <t>20251020 22:45:26</t>
  </si>
  <si>
    <t>22:45:26</t>
  </si>
  <si>
    <t>20251020 22:45:28</t>
  </si>
  <si>
    <t>22:45:28</t>
  </si>
  <si>
    <t>20251020 22:45:30</t>
  </si>
  <si>
    <t>22:45:30</t>
  </si>
  <si>
    <t>20251020 22:45:32</t>
  </si>
  <si>
    <t>22:45:32</t>
  </si>
  <si>
    <t>20251020 22:45:34</t>
  </si>
  <si>
    <t>22:45:34</t>
  </si>
  <si>
    <t>20251020 22:45:36</t>
  </si>
  <si>
    <t>22:45:36</t>
  </si>
  <si>
    <t>20251020 22:45:38</t>
  </si>
  <si>
    <t>22:45:38</t>
  </si>
  <si>
    <t>20251020 22:45:40</t>
  </si>
  <si>
    <t>22:45:40</t>
  </si>
  <si>
    <t>20251020 22:45:42</t>
  </si>
  <si>
    <t>22:45:42</t>
  </si>
  <si>
    <t>20251020 22:45:44</t>
  </si>
  <si>
    <t>22:45:44</t>
  </si>
  <si>
    <t>20251020 22:45:46</t>
  </si>
  <si>
    <t>22:45:46</t>
  </si>
  <si>
    <t>20251020 22:45:48</t>
  </si>
  <si>
    <t>22:45:48</t>
  </si>
  <si>
    <t>20251020 22:45:50</t>
  </si>
  <si>
    <t>22:45:50</t>
  </si>
  <si>
    <t>20251020 22:45:52</t>
  </si>
  <si>
    <t>22:45:52</t>
  </si>
  <si>
    <t>20251020 22:45:54</t>
  </si>
  <si>
    <t>22:45:54</t>
  </si>
  <si>
    <t>20251020 22:45:56</t>
  </si>
  <si>
    <t>22:45:56</t>
  </si>
  <si>
    <t>20251020 22:45:58</t>
  </si>
  <si>
    <t>22:45:58</t>
  </si>
  <si>
    <t>20251020 22:46:00</t>
  </si>
  <si>
    <t>22:46:00</t>
  </si>
  <si>
    <t>20251020 22:46:02</t>
  </si>
  <si>
    <t>22:46:02</t>
  </si>
  <si>
    <t>20251020 22:46:04</t>
  </si>
  <si>
    <t>22:46:04</t>
  </si>
  <si>
    <t>20251020 22:46:06</t>
  </si>
  <si>
    <t>22:46:06</t>
  </si>
  <si>
    <t>20251020 22:49:33</t>
  </si>
  <si>
    <t>22:49:33</t>
  </si>
  <si>
    <t>22:47:05</t>
  </si>
  <si>
    <t>20251020 22:49:35</t>
  </si>
  <si>
    <t>22:49:35</t>
  </si>
  <si>
    <t>20251020 22:49:37</t>
  </si>
  <si>
    <t>22:49:37</t>
  </si>
  <si>
    <t>20251020 22:49:39</t>
  </si>
  <si>
    <t>22:49:39</t>
  </si>
  <si>
    <t>20251020 22:49:41</t>
  </si>
  <si>
    <t>22:49:41</t>
  </si>
  <si>
    <t>20251020 22:49:43</t>
  </si>
  <si>
    <t>22:49:43</t>
  </si>
  <si>
    <t>20251020 22:49:45</t>
  </si>
  <si>
    <t>22:49:45</t>
  </si>
  <si>
    <t>20251020 22:49:47</t>
  </si>
  <si>
    <t>22:49:47</t>
  </si>
  <si>
    <t>20251020 22:49:49</t>
  </si>
  <si>
    <t>22:49:49</t>
  </si>
  <si>
    <t>20251020 22:49:51</t>
  </si>
  <si>
    <t>22:49:51</t>
  </si>
  <si>
    <t>20251020 22:49:53</t>
  </si>
  <si>
    <t>22:49:53</t>
  </si>
  <si>
    <t>20251020 22:49:55</t>
  </si>
  <si>
    <t>22:49:55</t>
  </si>
  <si>
    <t>20251020 22:49:57</t>
  </si>
  <si>
    <t>22:49:57</t>
  </si>
  <si>
    <t>20251020 22:49:59</t>
  </si>
  <si>
    <t>22:49:59</t>
  </si>
  <si>
    <t>20251020 22:50:01</t>
  </si>
  <si>
    <t>22:50:01</t>
  </si>
  <si>
    <t>20251020 22:50:03</t>
  </si>
  <si>
    <t>22:50:03</t>
  </si>
  <si>
    <t>20251020 22:50:05</t>
  </si>
  <si>
    <t>22:50:05</t>
  </si>
  <si>
    <t>20251020 22:50:07</t>
  </si>
  <si>
    <t>22:50:07</t>
  </si>
  <si>
    <t>20251020 22:50:09</t>
  </si>
  <si>
    <t>22:50:09</t>
  </si>
  <si>
    <t>20251020 22:50:11</t>
  </si>
  <si>
    <t>22:50:11</t>
  </si>
  <si>
    <t>20251020 22:50:13</t>
  </si>
  <si>
    <t>22:50:13</t>
  </si>
  <si>
    <t>20251020 22:50:15</t>
  </si>
  <si>
    <t>22:50:15</t>
  </si>
  <si>
    <t>20251020 22:50:17</t>
  </si>
  <si>
    <t>22:50:17</t>
  </si>
  <si>
    <t>20251020 22:50:19</t>
  </si>
  <si>
    <t>22:50:19</t>
  </si>
  <si>
    <t>20251020 22:50:21</t>
  </si>
  <si>
    <t>22:50:21</t>
  </si>
  <si>
    <t>20251020 22:50:23</t>
  </si>
  <si>
    <t>22:50:23</t>
  </si>
  <si>
    <t>20251020 22:50:25</t>
  </si>
  <si>
    <t>22:50:25</t>
  </si>
  <si>
    <t>20251020 22:50:27</t>
  </si>
  <si>
    <t>22:50:27</t>
  </si>
  <si>
    <t>20251020 22:50:29</t>
  </si>
  <si>
    <t>22:50:29</t>
  </si>
  <si>
    <t>20251020 22:50:31</t>
  </si>
  <si>
    <t>22:50:31</t>
  </si>
  <si>
    <t>20251020 22:53:30</t>
  </si>
  <si>
    <t>22:53:30</t>
  </si>
  <si>
    <t>120</t>
  </si>
  <si>
    <t>22:51:07</t>
  </si>
  <si>
    <t>20251020 22:53:32</t>
  </si>
  <si>
    <t>22:53:32</t>
  </si>
  <si>
    <t>20251020 22:53:34</t>
  </si>
  <si>
    <t>22:53:34</t>
  </si>
  <si>
    <t>20251020 22:53:36</t>
  </si>
  <si>
    <t>22:53:36</t>
  </si>
  <si>
    <t>20251020 22:53:38</t>
  </si>
  <si>
    <t>22:53:38</t>
  </si>
  <si>
    <t>20251020 22:53:40</t>
  </si>
  <si>
    <t>22:53:40</t>
  </si>
  <si>
    <t>20251020 22:53:42</t>
  </si>
  <si>
    <t>22:53:42</t>
  </si>
  <si>
    <t>20251020 22:53:44</t>
  </si>
  <si>
    <t>22:53:44</t>
  </si>
  <si>
    <t>20251020 22:53:46</t>
  </si>
  <si>
    <t>22:53:46</t>
  </si>
  <si>
    <t>20251020 22:53:48</t>
  </si>
  <si>
    <t>22:53:48</t>
  </si>
  <si>
    <t>20251020 22:53:50</t>
  </si>
  <si>
    <t>22:53:50</t>
  </si>
  <si>
    <t>20251020 22:53:52</t>
  </si>
  <si>
    <t>22:53:52</t>
  </si>
  <si>
    <t>20251020 22:53:54</t>
  </si>
  <si>
    <t>22:53:54</t>
  </si>
  <si>
    <t>20251020 22:53:56</t>
  </si>
  <si>
    <t>22:53:56</t>
  </si>
  <si>
    <t>20251020 22:53:58</t>
  </si>
  <si>
    <t>22:53:58</t>
  </si>
  <si>
    <t>20251020 22:54:00</t>
  </si>
  <si>
    <t>22:54:00</t>
  </si>
  <si>
    <t>20251020 22:54:02</t>
  </si>
  <si>
    <t>22:54:02</t>
  </si>
  <si>
    <t>20251020 22:54:04</t>
  </si>
  <si>
    <t>22:54:04</t>
  </si>
  <si>
    <t>20251020 22:54:06</t>
  </si>
  <si>
    <t>22:54:06</t>
  </si>
  <si>
    <t>20251020 22:54:08</t>
  </si>
  <si>
    <t>22:54:08</t>
  </si>
  <si>
    <t>20251020 22:54:10</t>
  </si>
  <si>
    <t>22:54:10</t>
  </si>
  <si>
    <t>20251020 22:54:12</t>
  </si>
  <si>
    <t>22:54:12</t>
  </si>
  <si>
    <t>20251020 22:54:14</t>
  </si>
  <si>
    <t>22:54:14</t>
  </si>
  <si>
    <t>20251020 22:54:16</t>
  </si>
  <si>
    <t>22:54:16</t>
  </si>
  <si>
    <t>20251020 22:54:18</t>
  </si>
  <si>
    <t>22:54:18</t>
  </si>
  <si>
    <t>20251020 22:54:20</t>
  </si>
  <si>
    <t>22:54:20</t>
  </si>
  <si>
    <t>20251020 22:54:22</t>
  </si>
  <si>
    <t>22:54:22</t>
  </si>
  <si>
    <t>20251020 22:54:24</t>
  </si>
  <si>
    <t>22:54:24</t>
  </si>
  <si>
    <t>20251020 22:54:26</t>
  </si>
  <si>
    <t>22:54:26</t>
  </si>
  <si>
    <t>20251020 22:54:28</t>
  </si>
  <si>
    <t>22:54:28</t>
  </si>
  <si>
    <t>20251020 22:57:38</t>
  </si>
  <si>
    <t>22:57:38</t>
  </si>
  <si>
    <t>109</t>
  </si>
  <si>
    <t>20251020 22:57:40</t>
  </si>
  <si>
    <t>22:57:40</t>
  </si>
  <si>
    <t>20251020 22:57:42</t>
  </si>
  <si>
    <t>22:57:42</t>
  </si>
  <si>
    <t>20251020 22:57:44</t>
  </si>
  <si>
    <t>22:57:44</t>
  </si>
  <si>
    <t>20251020 22:57:46</t>
  </si>
  <si>
    <t>22:57:46</t>
  </si>
  <si>
    <t>20251020 22:57:48</t>
  </si>
  <si>
    <t>22:57:48</t>
  </si>
  <si>
    <t>20251020 22:57:50</t>
  </si>
  <si>
    <t>22:57:50</t>
  </si>
  <si>
    <t>20251020 22:57:52</t>
  </si>
  <si>
    <t>22:57:52</t>
  </si>
  <si>
    <t>20251020 22:57:54</t>
  </si>
  <si>
    <t>22:57:54</t>
  </si>
  <si>
    <t>20251020 22:57:56</t>
  </si>
  <si>
    <t>22:57:56</t>
  </si>
  <si>
    <t>20251020 22:57:58</t>
  </si>
  <si>
    <t>22:57:58</t>
  </si>
  <si>
    <t>20251020 22:58:00</t>
  </si>
  <si>
    <t>22:58:00</t>
  </si>
  <si>
    <t>20251020 22:58:02</t>
  </si>
  <si>
    <t>22:58:02</t>
  </si>
  <si>
    <t>20251020 22:58:04</t>
  </si>
  <si>
    <t>22:58:04</t>
  </si>
  <si>
    <t>20251020 22:58:06</t>
  </si>
  <si>
    <t>22:58:06</t>
  </si>
  <si>
    <t>20251020 22:58:08</t>
  </si>
  <si>
    <t>22:58:08</t>
  </si>
  <si>
    <t>20251020 22:58:10</t>
  </si>
  <si>
    <t>22:58:10</t>
  </si>
  <si>
    <t>20251020 22:58:12</t>
  </si>
  <si>
    <t>22:58:12</t>
  </si>
  <si>
    <t>20251020 22:58:14</t>
  </si>
  <si>
    <t>22:58:14</t>
  </si>
  <si>
    <t>20251020 22:58:16</t>
  </si>
  <si>
    <t>22:58:16</t>
  </si>
  <si>
    <t>20251020 22:58:18</t>
  </si>
  <si>
    <t>22:58:18</t>
  </si>
  <si>
    <t>20251020 22:58:20</t>
  </si>
  <si>
    <t>22:58:20</t>
  </si>
  <si>
    <t>20251020 22:58:22</t>
  </si>
  <si>
    <t>22:58:22</t>
  </si>
  <si>
    <t>20251020 22:58:24</t>
  </si>
  <si>
    <t>22:58:24</t>
  </si>
  <si>
    <t>20251020 22:58:26</t>
  </si>
  <si>
    <t>22:58:26</t>
  </si>
  <si>
    <t>20251020 22:58:28</t>
  </si>
  <si>
    <t>22:58:28</t>
  </si>
  <si>
    <t>20251020 22:58:30</t>
  </si>
  <si>
    <t>22:58:30</t>
  </si>
  <si>
    <t>20251020 22:58:32</t>
  </si>
  <si>
    <t>22:58:32</t>
  </si>
  <si>
    <t>20251020 22:58:34</t>
  </si>
  <si>
    <t>22:58:34</t>
  </si>
  <si>
    <t>20251020 22:58:36</t>
  </si>
  <si>
    <t>22:58:36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</si>
</sst>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JW168"/>
  <sheetViews>
    <sheetView tabSelected="1" workbookViewId="0"/>
  </sheetViews>
  <sheetFormatPr defaultRowHeight="15"/>
  <sheetData>
    <row r="2" spans="1:283">
      <c r="A2" t="s">
        <v>31</v>
      </c>
      <c r="B2" t="s">
        <v>32</v>
      </c>
      <c r="C2" t="s">
        <v>33</v>
      </c>
    </row>
    <row r="3" spans="1:283">
      <c r="B3">
        <v>4</v>
      </c>
      <c r="C3">
        <v>21</v>
      </c>
    </row>
    <row r="4" spans="1:283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83">
      <c r="B5" t="s">
        <v>21</v>
      </c>
      <c r="C5" t="s">
        <v>37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83">
      <c r="A6" t="s">
        <v>46</v>
      </c>
      <c r="B6" t="s">
        <v>47</v>
      </c>
    </row>
    <row r="7" spans="1:283">
      <c r="B7" t="s">
        <v>48</v>
      </c>
    </row>
    <row r="8" spans="1:283">
      <c r="A8" t="s">
        <v>49</v>
      </c>
      <c r="B8" t="s">
        <v>50</v>
      </c>
      <c r="C8" t="s">
        <v>51</v>
      </c>
      <c r="D8" t="s">
        <v>52</v>
      </c>
      <c r="E8" t="s">
        <v>53</v>
      </c>
    </row>
    <row r="9" spans="1:283">
      <c r="B9">
        <v>0</v>
      </c>
      <c r="C9">
        <v>1</v>
      </c>
      <c r="D9">
        <v>0</v>
      </c>
      <c r="E9">
        <v>0</v>
      </c>
    </row>
    <row r="10" spans="1:283">
      <c r="A10" t="s">
        <v>54</v>
      </c>
      <c r="B10" t="s">
        <v>55</v>
      </c>
      <c r="C10" t="s">
        <v>57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  <c r="I10" t="s">
        <v>64</v>
      </c>
      <c r="J10" t="s">
        <v>65</v>
      </c>
      <c r="K10" t="s">
        <v>66</v>
      </c>
      <c r="L10" t="s">
        <v>67</v>
      </c>
      <c r="M10" t="s">
        <v>68</v>
      </c>
      <c r="N10" t="s">
        <v>69</v>
      </c>
      <c r="O10" t="s">
        <v>70</v>
      </c>
      <c r="P10" t="s">
        <v>71</v>
      </c>
      <c r="Q10" t="s">
        <v>72</v>
      </c>
    </row>
    <row r="11" spans="1:283">
      <c r="B11" t="s">
        <v>56</v>
      </c>
      <c r="C11" t="s">
        <v>58</v>
      </c>
      <c r="D11">
        <v>0.8</v>
      </c>
      <c r="E11">
        <v>0.84</v>
      </c>
      <c r="F11">
        <v>0.7</v>
      </c>
      <c r="G11">
        <v>0.87</v>
      </c>
      <c r="H11">
        <v>0.75</v>
      </c>
      <c r="I11">
        <v>0.84</v>
      </c>
      <c r="J11">
        <v>0.87</v>
      </c>
      <c r="K11">
        <v>0.1911</v>
      </c>
      <c r="L11">
        <v>0.1512</v>
      </c>
      <c r="M11">
        <v>0.161</v>
      </c>
      <c r="N11">
        <v>0.2262</v>
      </c>
      <c r="O11">
        <v>0.1575</v>
      </c>
      <c r="P11">
        <v>0.1596</v>
      </c>
      <c r="Q11">
        <v>0.2175</v>
      </c>
    </row>
    <row r="12" spans="1:283">
      <c r="A12" t="s">
        <v>73</v>
      </c>
      <c r="B12" t="s">
        <v>74</v>
      </c>
      <c r="C12" t="s">
        <v>75</v>
      </c>
      <c r="D12" t="s">
        <v>76</v>
      </c>
      <c r="E12" t="s">
        <v>77</v>
      </c>
      <c r="F12" t="s">
        <v>78</v>
      </c>
    </row>
    <row r="13" spans="1:283">
      <c r="B13">
        <v>0</v>
      </c>
      <c r="C13">
        <v>0</v>
      </c>
      <c r="D13">
        <v>0</v>
      </c>
      <c r="E13">
        <v>0</v>
      </c>
      <c r="F13">
        <v>1</v>
      </c>
    </row>
    <row r="14" spans="1:283">
      <c r="A14" t="s">
        <v>79</v>
      </c>
      <c r="B14" t="s">
        <v>80</v>
      </c>
      <c r="C14" t="s">
        <v>81</v>
      </c>
      <c r="D14" t="s">
        <v>82</v>
      </c>
      <c r="E14" t="s">
        <v>83</v>
      </c>
      <c r="F14" t="s">
        <v>84</v>
      </c>
      <c r="G14" t="s">
        <v>86</v>
      </c>
      <c r="H14" t="s">
        <v>88</v>
      </c>
    </row>
    <row r="15" spans="1:283">
      <c r="B15">
        <v>-6276</v>
      </c>
      <c r="C15">
        <v>6.6</v>
      </c>
      <c r="D15">
        <v>1.709E-05</v>
      </c>
      <c r="E15">
        <v>3.11</v>
      </c>
      <c r="F15" t="s">
        <v>85</v>
      </c>
      <c r="G15" t="s">
        <v>87</v>
      </c>
      <c r="H15">
        <v>0</v>
      </c>
    </row>
    <row r="16" spans="1:283">
      <c r="A16" t="s">
        <v>89</v>
      </c>
      <c r="B16" t="s">
        <v>89</v>
      </c>
      <c r="C16" t="s">
        <v>89</v>
      </c>
      <c r="D16" t="s">
        <v>89</v>
      </c>
      <c r="E16" t="s">
        <v>89</v>
      </c>
      <c r="F16" t="s">
        <v>89</v>
      </c>
      <c r="G16" t="s">
        <v>46</v>
      </c>
      <c r="H16" t="s">
        <v>90</v>
      </c>
      <c r="I16" t="s">
        <v>90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  <c r="O16" t="s">
        <v>90</v>
      </c>
      <c r="P16" t="s">
        <v>90</v>
      </c>
      <c r="Q16" t="s">
        <v>90</v>
      </c>
      <c r="R16" t="s">
        <v>90</v>
      </c>
      <c r="S16" t="s">
        <v>90</v>
      </c>
      <c r="T16" t="s">
        <v>90</v>
      </c>
      <c r="U16" t="s">
        <v>90</v>
      </c>
      <c r="V16" t="s">
        <v>90</v>
      </c>
      <c r="W16" t="s">
        <v>90</v>
      </c>
      <c r="X16" t="s">
        <v>90</v>
      </c>
      <c r="Y16" t="s">
        <v>90</v>
      </c>
      <c r="Z16" t="s">
        <v>90</v>
      </c>
      <c r="AA16" t="s">
        <v>90</v>
      </c>
      <c r="AB16" t="s">
        <v>90</v>
      </c>
      <c r="AC16" t="s">
        <v>90</v>
      </c>
      <c r="AD16" t="s">
        <v>90</v>
      </c>
      <c r="AE16" t="s">
        <v>90</v>
      </c>
      <c r="AF16" t="s">
        <v>91</v>
      </c>
      <c r="AG16" t="s">
        <v>91</v>
      </c>
      <c r="AH16" t="s">
        <v>91</v>
      </c>
      <c r="AI16" t="s">
        <v>91</v>
      </c>
      <c r="AJ16" t="s">
        <v>91</v>
      </c>
      <c r="AK16" t="s">
        <v>92</v>
      </c>
      <c r="AL16" t="s">
        <v>92</v>
      </c>
      <c r="AM16" t="s">
        <v>92</v>
      </c>
      <c r="AN16" t="s">
        <v>92</v>
      </c>
      <c r="AO16" t="s">
        <v>92</v>
      </c>
      <c r="AP16" t="s">
        <v>92</v>
      </c>
      <c r="AQ16" t="s">
        <v>92</v>
      </c>
      <c r="AR16" t="s">
        <v>92</v>
      </c>
      <c r="AS16" t="s">
        <v>92</v>
      </c>
      <c r="AT16" t="s">
        <v>92</v>
      </c>
      <c r="AU16" t="s">
        <v>92</v>
      </c>
      <c r="AV16" t="s">
        <v>92</v>
      </c>
      <c r="AW16" t="s">
        <v>92</v>
      </c>
      <c r="AX16" t="s">
        <v>92</v>
      </c>
      <c r="AY16" t="s">
        <v>92</v>
      </c>
      <c r="AZ16" t="s">
        <v>92</v>
      </c>
      <c r="BA16" t="s">
        <v>92</v>
      </c>
      <c r="BB16" t="s">
        <v>92</v>
      </c>
      <c r="BC16" t="s">
        <v>92</v>
      </c>
      <c r="BD16" t="s">
        <v>92</v>
      </c>
      <c r="BE16" t="s">
        <v>92</v>
      </c>
      <c r="BF16" t="s">
        <v>92</v>
      </c>
      <c r="BG16" t="s">
        <v>92</v>
      </c>
      <c r="BH16" t="s">
        <v>92</v>
      </c>
      <c r="BI16" t="s">
        <v>92</v>
      </c>
      <c r="BJ16" t="s">
        <v>92</v>
      </c>
      <c r="BK16" t="s">
        <v>92</v>
      </c>
      <c r="BL16" t="s">
        <v>92</v>
      </c>
      <c r="BM16" t="s">
        <v>93</v>
      </c>
      <c r="BN16" t="s">
        <v>93</v>
      </c>
      <c r="BO16" t="s">
        <v>93</v>
      </c>
      <c r="BP16" t="s">
        <v>93</v>
      </c>
      <c r="BQ16" t="s">
        <v>93</v>
      </c>
      <c r="BR16" t="s">
        <v>93</v>
      </c>
      <c r="BS16" t="s">
        <v>93</v>
      </c>
      <c r="BT16" t="s">
        <v>93</v>
      </c>
      <c r="BU16" t="s">
        <v>93</v>
      </c>
      <c r="BV16" t="s">
        <v>93</v>
      </c>
      <c r="BW16" t="s">
        <v>93</v>
      </c>
      <c r="BX16" t="s">
        <v>93</v>
      </c>
      <c r="BY16" t="s">
        <v>93</v>
      </c>
      <c r="BZ16" t="s">
        <v>93</v>
      </c>
      <c r="CA16" t="s">
        <v>93</v>
      </c>
      <c r="CB16" t="s">
        <v>93</v>
      </c>
      <c r="CC16" t="s">
        <v>93</v>
      </c>
      <c r="CD16" t="s">
        <v>93</v>
      </c>
      <c r="CE16" t="s">
        <v>93</v>
      </c>
      <c r="CF16" t="s">
        <v>93</v>
      </c>
      <c r="CG16" t="s">
        <v>93</v>
      </c>
      <c r="CH16" t="s">
        <v>94</v>
      </c>
      <c r="CI16" t="s">
        <v>94</v>
      </c>
      <c r="CJ16" t="s">
        <v>94</v>
      </c>
      <c r="CK16" t="s">
        <v>94</v>
      </c>
      <c r="CL16" t="s">
        <v>94</v>
      </c>
      <c r="CM16" t="s">
        <v>94</v>
      </c>
      <c r="CN16" t="s">
        <v>94</v>
      </c>
      <c r="CO16" t="s">
        <v>94</v>
      </c>
      <c r="CP16" t="s">
        <v>94</v>
      </c>
      <c r="CQ16" t="s">
        <v>94</v>
      </c>
      <c r="CR16" t="s">
        <v>94</v>
      </c>
      <c r="CS16" t="s">
        <v>94</v>
      </c>
      <c r="CT16" t="s">
        <v>94</v>
      </c>
      <c r="CU16" t="s">
        <v>95</v>
      </c>
      <c r="CV16" t="s">
        <v>95</v>
      </c>
      <c r="CW16" t="s">
        <v>95</v>
      </c>
      <c r="CX16" t="s">
        <v>95</v>
      </c>
      <c r="CY16" t="s">
        <v>96</v>
      </c>
      <c r="CZ16" t="s">
        <v>96</v>
      </c>
      <c r="DA16" t="s">
        <v>96</v>
      </c>
      <c r="DB16" t="s">
        <v>96</v>
      </c>
      <c r="DC16" t="s">
        <v>97</v>
      </c>
      <c r="DD16" t="s">
        <v>97</v>
      </c>
      <c r="DE16" t="s">
        <v>97</v>
      </c>
      <c r="DF16" t="s">
        <v>97</v>
      </c>
      <c r="DG16" t="s">
        <v>97</v>
      </c>
      <c r="DH16" t="s">
        <v>97</v>
      </c>
      <c r="DI16" t="s">
        <v>97</v>
      </c>
      <c r="DJ16" t="s">
        <v>97</v>
      </c>
      <c r="DK16" t="s">
        <v>97</v>
      </c>
      <c r="DL16" t="s">
        <v>97</v>
      </c>
      <c r="DM16" t="s">
        <v>97</v>
      </c>
      <c r="DN16" t="s">
        <v>97</v>
      </c>
      <c r="DO16" t="s">
        <v>97</v>
      </c>
      <c r="DP16" t="s">
        <v>97</v>
      </c>
      <c r="DQ16" t="s">
        <v>97</v>
      </c>
      <c r="DR16" t="s">
        <v>97</v>
      </c>
      <c r="DS16" t="s">
        <v>97</v>
      </c>
      <c r="DT16" t="s">
        <v>97</v>
      </c>
      <c r="DU16" t="s">
        <v>98</v>
      </c>
      <c r="DV16" t="s">
        <v>98</v>
      </c>
      <c r="DW16" t="s">
        <v>98</v>
      </c>
      <c r="DX16" t="s">
        <v>98</v>
      </c>
      <c r="DY16" t="s">
        <v>98</v>
      </c>
      <c r="DZ16" t="s">
        <v>98</v>
      </c>
      <c r="EA16" t="s">
        <v>98</v>
      </c>
      <c r="EB16" t="s">
        <v>98</v>
      </c>
      <c r="EC16" t="s">
        <v>98</v>
      </c>
      <c r="ED16" t="s">
        <v>98</v>
      </c>
      <c r="EE16" t="s">
        <v>99</v>
      </c>
      <c r="EF16" t="s">
        <v>99</v>
      </c>
      <c r="EG16" t="s">
        <v>99</v>
      </c>
      <c r="EH16" t="s">
        <v>99</v>
      </c>
      <c r="EI16" t="s">
        <v>99</v>
      </c>
      <c r="EJ16" t="s">
        <v>99</v>
      </c>
      <c r="EK16" t="s">
        <v>99</v>
      </c>
      <c r="EL16" t="s">
        <v>99</v>
      </c>
      <c r="EM16" t="s">
        <v>99</v>
      </c>
      <c r="EN16" t="s">
        <v>99</v>
      </c>
      <c r="EO16" t="s">
        <v>99</v>
      </c>
      <c r="EP16" t="s">
        <v>99</v>
      </c>
      <c r="EQ16" t="s">
        <v>99</v>
      </c>
      <c r="ER16" t="s">
        <v>99</v>
      </c>
      <c r="ES16" t="s">
        <v>99</v>
      </c>
      <c r="ET16" t="s">
        <v>99</v>
      </c>
      <c r="EU16" t="s">
        <v>99</v>
      </c>
      <c r="EV16" t="s">
        <v>99</v>
      </c>
      <c r="EW16" t="s">
        <v>100</v>
      </c>
      <c r="EX16" t="s">
        <v>100</v>
      </c>
      <c r="EY16" t="s">
        <v>100</v>
      </c>
      <c r="EZ16" t="s">
        <v>100</v>
      </c>
      <c r="FA16" t="s">
        <v>100</v>
      </c>
      <c r="FB16" t="s">
        <v>101</v>
      </c>
      <c r="FC16" t="s">
        <v>101</v>
      </c>
      <c r="FD16" t="s">
        <v>101</v>
      </c>
      <c r="FE16" t="s">
        <v>101</v>
      </c>
      <c r="FF16" t="s">
        <v>101</v>
      </c>
      <c r="FG16" t="s">
        <v>101</v>
      </c>
      <c r="FH16" t="s">
        <v>101</v>
      </c>
      <c r="FI16" t="s">
        <v>101</v>
      </c>
      <c r="FJ16" t="s">
        <v>101</v>
      </c>
      <c r="FK16" t="s">
        <v>101</v>
      </c>
      <c r="FL16" t="s">
        <v>101</v>
      </c>
      <c r="FM16" t="s">
        <v>101</v>
      </c>
      <c r="FN16" t="s">
        <v>101</v>
      </c>
      <c r="FO16" t="s">
        <v>102</v>
      </c>
      <c r="FP16" t="s">
        <v>102</v>
      </c>
      <c r="FQ16" t="s">
        <v>102</v>
      </c>
      <c r="FR16" t="s">
        <v>102</v>
      </c>
      <c r="FS16" t="s">
        <v>102</v>
      </c>
      <c r="FT16" t="s">
        <v>102</v>
      </c>
      <c r="FU16" t="s">
        <v>102</v>
      </c>
      <c r="FV16" t="s">
        <v>102</v>
      </c>
      <c r="FW16" t="s">
        <v>102</v>
      </c>
      <c r="FX16" t="s">
        <v>102</v>
      </c>
      <c r="FY16" t="s">
        <v>102</v>
      </c>
      <c r="FZ16" t="s">
        <v>102</v>
      </c>
      <c r="GA16" t="s">
        <v>102</v>
      </c>
      <c r="GB16" t="s">
        <v>102</v>
      </c>
      <c r="GC16" t="s">
        <v>102</v>
      </c>
      <c r="GD16" t="s">
        <v>103</v>
      </c>
      <c r="GE16" t="s">
        <v>103</v>
      </c>
      <c r="GF16" t="s">
        <v>103</v>
      </c>
      <c r="GG16" t="s">
        <v>103</v>
      </c>
      <c r="GH16" t="s">
        <v>103</v>
      </c>
      <c r="GI16" t="s">
        <v>103</v>
      </c>
      <c r="GJ16" t="s">
        <v>103</v>
      </c>
      <c r="GK16" t="s">
        <v>103</v>
      </c>
      <c r="GL16" t="s">
        <v>103</v>
      </c>
      <c r="GM16" t="s">
        <v>103</v>
      </c>
      <c r="GN16" t="s">
        <v>103</v>
      </c>
      <c r="GO16" t="s">
        <v>103</v>
      </c>
      <c r="GP16" t="s">
        <v>103</v>
      </c>
      <c r="GQ16" t="s">
        <v>103</v>
      </c>
      <c r="GR16" t="s">
        <v>103</v>
      </c>
      <c r="GS16" t="s">
        <v>103</v>
      </c>
      <c r="GT16" t="s">
        <v>103</v>
      </c>
      <c r="GU16" t="s">
        <v>103</v>
      </c>
      <c r="GV16" t="s">
        <v>104</v>
      </c>
      <c r="GW16" t="s">
        <v>104</v>
      </c>
      <c r="GX16" t="s">
        <v>104</v>
      </c>
      <c r="GY16" t="s">
        <v>104</v>
      </c>
      <c r="GZ16" t="s">
        <v>104</v>
      </c>
      <c r="HA16" t="s">
        <v>104</v>
      </c>
      <c r="HB16" t="s">
        <v>104</v>
      </c>
      <c r="HC16" t="s">
        <v>104</v>
      </c>
      <c r="HD16" t="s">
        <v>104</v>
      </c>
      <c r="HE16" t="s">
        <v>104</v>
      </c>
      <c r="HF16" t="s">
        <v>104</v>
      </c>
      <c r="HG16" t="s">
        <v>104</v>
      </c>
      <c r="HH16" t="s">
        <v>104</v>
      </c>
      <c r="HI16" t="s">
        <v>104</v>
      </c>
      <c r="HJ16" t="s">
        <v>104</v>
      </c>
      <c r="HK16" t="s">
        <v>104</v>
      </c>
      <c r="HL16" t="s">
        <v>104</v>
      </c>
      <c r="HM16" t="s">
        <v>104</v>
      </c>
      <c r="HN16" t="s">
        <v>104</v>
      </c>
      <c r="HO16" t="s">
        <v>105</v>
      </c>
      <c r="HP16" t="s">
        <v>105</v>
      </c>
      <c r="HQ16" t="s">
        <v>105</v>
      </c>
      <c r="HR16" t="s">
        <v>105</v>
      </c>
      <c r="HS16" t="s">
        <v>105</v>
      </c>
      <c r="HT16" t="s">
        <v>105</v>
      </c>
      <c r="HU16" t="s">
        <v>105</v>
      </c>
      <c r="HV16" t="s">
        <v>105</v>
      </c>
      <c r="HW16" t="s">
        <v>105</v>
      </c>
      <c r="HX16" t="s">
        <v>105</v>
      </c>
      <c r="HY16" t="s">
        <v>105</v>
      </c>
      <c r="HZ16" t="s">
        <v>105</v>
      </c>
      <c r="IA16" t="s">
        <v>105</v>
      </c>
      <c r="IB16" t="s">
        <v>105</v>
      </c>
      <c r="IC16" t="s">
        <v>105</v>
      </c>
      <c r="ID16" t="s">
        <v>105</v>
      </c>
      <c r="IE16" t="s">
        <v>105</v>
      </c>
      <c r="IF16" t="s">
        <v>105</v>
      </c>
      <c r="IG16" t="s">
        <v>105</v>
      </c>
      <c r="IH16" t="s">
        <v>106</v>
      </c>
      <c r="II16" t="s">
        <v>106</v>
      </c>
      <c r="IJ16" t="s">
        <v>106</v>
      </c>
      <c r="IK16" t="s">
        <v>106</v>
      </c>
      <c r="IL16" t="s">
        <v>106</v>
      </c>
      <c r="IM16" t="s">
        <v>106</v>
      </c>
      <c r="IN16" t="s">
        <v>106</v>
      </c>
      <c r="IO16" t="s">
        <v>106</v>
      </c>
      <c r="IP16" t="s">
        <v>106</v>
      </c>
      <c r="IQ16" t="s">
        <v>106</v>
      </c>
      <c r="IR16" t="s">
        <v>106</v>
      </c>
      <c r="IS16" t="s">
        <v>106</v>
      </c>
      <c r="IT16" t="s">
        <v>106</v>
      </c>
      <c r="IU16" t="s">
        <v>106</v>
      </c>
      <c r="IV16" t="s">
        <v>106</v>
      </c>
      <c r="IW16" t="s">
        <v>106</v>
      </c>
      <c r="IX16" t="s">
        <v>106</v>
      </c>
      <c r="IY16" t="s">
        <v>106</v>
      </c>
      <c r="IZ16" t="s">
        <v>107</v>
      </c>
      <c r="JA16" t="s">
        <v>107</v>
      </c>
      <c r="JB16" t="s">
        <v>107</v>
      </c>
      <c r="JC16" t="s">
        <v>107</v>
      </c>
      <c r="JD16" t="s">
        <v>107</v>
      </c>
      <c r="JE16" t="s">
        <v>107</v>
      </c>
      <c r="JF16" t="s">
        <v>107</v>
      </c>
      <c r="JG16" t="s">
        <v>107</v>
      </c>
      <c r="JH16" t="s">
        <v>108</v>
      </c>
      <c r="JI16" t="s">
        <v>108</v>
      </c>
      <c r="JJ16" t="s">
        <v>108</v>
      </c>
      <c r="JK16" t="s">
        <v>108</v>
      </c>
      <c r="JL16" t="s">
        <v>108</v>
      </c>
      <c r="JM16" t="s">
        <v>108</v>
      </c>
      <c r="JN16" t="s">
        <v>108</v>
      </c>
      <c r="JO16" t="s">
        <v>108</v>
      </c>
      <c r="JP16" t="s">
        <v>108</v>
      </c>
      <c r="JQ16" t="s">
        <v>108</v>
      </c>
      <c r="JR16" t="s">
        <v>108</v>
      </c>
      <c r="JS16" t="s">
        <v>108</v>
      </c>
      <c r="JT16" t="s">
        <v>108</v>
      </c>
      <c r="JU16" t="s">
        <v>108</v>
      </c>
      <c r="JV16" t="s">
        <v>108</v>
      </c>
      <c r="JW16" t="s">
        <v>108</v>
      </c>
    </row>
    <row r="17" spans="1:283">
      <c r="A17" t="s">
        <v>109</v>
      </c>
      <c r="B17" t="s">
        <v>110</v>
      </c>
      <c r="C17" t="s">
        <v>111</v>
      </c>
      <c r="D17" t="s">
        <v>112</v>
      </c>
      <c r="E17" t="s">
        <v>113</v>
      </c>
      <c r="F17" t="s">
        <v>114</v>
      </c>
      <c r="G17" t="s">
        <v>115</v>
      </c>
      <c r="H17" t="s">
        <v>116</v>
      </c>
      <c r="I17" t="s">
        <v>117</v>
      </c>
      <c r="J17" t="s">
        <v>118</v>
      </c>
      <c r="K17" t="s">
        <v>119</v>
      </c>
      <c r="L17" t="s">
        <v>120</v>
      </c>
      <c r="M17" t="s">
        <v>121</v>
      </c>
      <c r="N17" t="s">
        <v>122</v>
      </c>
      <c r="O17" t="s">
        <v>123</v>
      </c>
      <c r="P17" t="s">
        <v>124</v>
      </c>
      <c r="Q17" t="s">
        <v>125</v>
      </c>
      <c r="R17" t="s">
        <v>126</v>
      </c>
      <c r="S17" t="s">
        <v>127</v>
      </c>
      <c r="T17" t="s">
        <v>128</v>
      </c>
      <c r="U17" t="s">
        <v>129</v>
      </c>
      <c r="V17" t="s">
        <v>130</v>
      </c>
      <c r="W17" t="s">
        <v>131</v>
      </c>
      <c r="X17" t="s">
        <v>132</v>
      </c>
      <c r="Y17" t="s">
        <v>133</v>
      </c>
      <c r="Z17" t="s">
        <v>134</v>
      </c>
      <c r="AA17" t="s">
        <v>135</v>
      </c>
      <c r="AB17" t="s">
        <v>136</v>
      </c>
      <c r="AC17" t="s">
        <v>137</v>
      </c>
      <c r="AD17" t="s">
        <v>138</v>
      </c>
      <c r="AE17" t="s">
        <v>139</v>
      </c>
      <c r="AF17" t="s">
        <v>91</v>
      </c>
      <c r="AG17" t="s">
        <v>140</v>
      </c>
      <c r="AH17" t="s">
        <v>141</v>
      </c>
      <c r="AI17" t="s">
        <v>142</v>
      </c>
      <c r="AJ17" t="s">
        <v>143</v>
      </c>
      <c r="AK17" t="s">
        <v>144</v>
      </c>
      <c r="AL17" t="s">
        <v>145</v>
      </c>
      <c r="AM17" t="s">
        <v>146</v>
      </c>
      <c r="AN17" t="s">
        <v>147</v>
      </c>
      <c r="AO17" t="s">
        <v>148</v>
      </c>
      <c r="AP17" t="s">
        <v>149</v>
      </c>
      <c r="AQ17" t="s">
        <v>150</v>
      </c>
      <c r="AR17" t="s">
        <v>151</v>
      </c>
      <c r="AS17" t="s">
        <v>152</v>
      </c>
      <c r="AT17" t="s">
        <v>153</v>
      </c>
      <c r="AU17" t="s">
        <v>154</v>
      </c>
      <c r="AV17" t="s">
        <v>155</v>
      </c>
      <c r="AW17" t="s">
        <v>156</v>
      </c>
      <c r="AX17" t="s">
        <v>157</v>
      </c>
      <c r="AY17" t="s">
        <v>158</v>
      </c>
      <c r="AZ17" t="s">
        <v>159</v>
      </c>
      <c r="BA17" t="s">
        <v>160</v>
      </c>
      <c r="BB17" t="s">
        <v>161</v>
      </c>
      <c r="BC17" t="s">
        <v>162</v>
      </c>
      <c r="BD17" t="s">
        <v>163</v>
      </c>
      <c r="BE17" t="s">
        <v>164</v>
      </c>
      <c r="BF17" t="s">
        <v>165</v>
      </c>
      <c r="BG17" t="s">
        <v>166</v>
      </c>
      <c r="BH17" t="s">
        <v>167</v>
      </c>
      <c r="BI17" t="s">
        <v>168</v>
      </c>
      <c r="BJ17" t="s">
        <v>169</v>
      </c>
      <c r="BK17" t="s">
        <v>170</v>
      </c>
      <c r="BL17" t="s">
        <v>171</v>
      </c>
      <c r="BM17" t="s">
        <v>172</v>
      </c>
      <c r="BN17" t="s">
        <v>173</v>
      </c>
      <c r="BO17" t="s">
        <v>174</v>
      </c>
      <c r="BP17" t="s">
        <v>175</v>
      </c>
      <c r="BQ17" t="s">
        <v>176</v>
      </c>
      <c r="BR17" t="s">
        <v>177</v>
      </c>
      <c r="BS17" t="s">
        <v>178</v>
      </c>
      <c r="BT17" t="s">
        <v>179</v>
      </c>
      <c r="BU17" t="s">
        <v>180</v>
      </c>
      <c r="BV17" t="s">
        <v>181</v>
      </c>
      <c r="BW17" t="s">
        <v>182</v>
      </c>
      <c r="BX17" t="s">
        <v>183</v>
      </c>
      <c r="BY17" t="s">
        <v>184</v>
      </c>
      <c r="BZ17" t="s">
        <v>185</v>
      </c>
      <c r="CA17" t="s">
        <v>186</v>
      </c>
      <c r="CB17" t="s">
        <v>187</v>
      </c>
      <c r="CC17" t="s">
        <v>188</v>
      </c>
      <c r="CD17" t="s">
        <v>189</v>
      </c>
      <c r="CE17" t="s">
        <v>190</v>
      </c>
      <c r="CF17" t="s">
        <v>191</v>
      </c>
      <c r="CG17" t="s">
        <v>192</v>
      </c>
      <c r="CH17" t="s">
        <v>172</v>
      </c>
      <c r="CI17" t="s">
        <v>193</v>
      </c>
      <c r="CJ17" t="s">
        <v>194</v>
      </c>
      <c r="CK17" t="s">
        <v>195</v>
      </c>
      <c r="CL17" t="s">
        <v>146</v>
      </c>
      <c r="CM17" t="s">
        <v>196</v>
      </c>
      <c r="CN17" t="s">
        <v>197</v>
      </c>
      <c r="CO17" t="s">
        <v>198</v>
      </c>
      <c r="CP17" t="s">
        <v>199</v>
      </c>
      <c r="CQ17" t="s">
        <v>200</v>
      </c>
      <c r="CR17" t="s">
        <v>201</v>
      </c>
      <c r="CS17" t="s">
        <v>202</v>
      </c>
      <c r="CT17" t="s">
        <v>203</v>
      </c>
      <c r="CU17" t="s">
        <v>204</v>
      </c>
      <c r="CV17" t="s">
        <v>205</v>
      </c>
      <c r="CW17" t="s">
        <v>206</v>
      </c>
      <c r="CX17" t="s">
        <v>207</v>
      </c>
      <c r="CY17" t="s">
        <v>208</v>
      </c>
      <c r="CZ17" t="s">
        <v>209</v>
      </c>
      <c r="DA17" t="s">
        <v>210</v>
      </c>
      <c r="DB17" t="s">
        <v>211</v>
      </c>
      <c r="DC17" t="s">
        <v>116</v>
      </c>
      <c r="DD17" t="s">
        <v>212</v>
      </c>
      <c r="DE17" t="s">
        <v>213</v>
      </c>
      <c r="DF17" t="s">
        <v>214</v>
      </c>
      <c r="DG17" t="s">
        <v>215</v>
      </c>
      <c r="DH17" t="s">
        <v>216</v>
      </c>
      <c r="DI17" t="s">
        <v>217</v>
      </c>
      <c r="DJ17" t="s">
        <v>218</v>
      </c>
      <c r="DK17" t="s">
        <v>219</v>
      </c>
      <c r="DL17" t="s">
        <v>220</v>
      </c>
      <c r="DM17" t="s">
        <v>221</v>
      </c>
      <c r="DN17" t="s">
        <v>222</v>
      </c>
      <c r="DO17" t="s">
        <v>223</v>
      </c>
      <c r="DP17" t="s">
        <v>224</v>
      </c>
      <c r="DQ17" t="s">
        <v>225</v>
      </c>
      <c r="DR17" t="s">
        <v>226</v>
      </c>
      <c r="DS17" t="s">
        <v>227</v>
      </c>
      <c r="DT17" t="s">
        <v>228</v>
      </c>
      <c r="DU17" t="s">
        <v>229</v>
      </c>
      <c r="DV17" t="s">
        <v>230</v>
      </c>
      <c r="DW17" t="s">
        <v>231</v>
      </c>
      <c r="DX17" t="s">
        <v>232</v>
      </c>
      <c r="DY17" t="s">
        <v>233</v>
      </c>
      <c r="DZ17" t="s">
        <v>234</v>
      </c>
      <c r="EA17" t="s">
        <v>235</v>
      </c>
      <c r="EB17" t="s">
        <v>236</v>
      </c>
      <c r="EC17" t="s">
        <v>237</v>
      </c>
      <c r="ED17" t="s">
        <v>238</v>
      </c>
      <c r="EE17" t="s">
        <v>239</v>
      </c>
      <c r="EF17" t="s">
        <v>240</v>
      </c>
      <c r="EG17" t="s">
        <v>241</v>
      </c>
      <c r="EH17" t="s">
        <v>242</v>
      </c>
      <c r="EI17" t="s">
        <v>243</v>
      </c>
      <c r="EJ17" t="s">
        <v>244</v>
      </c>
      <c r="EK17" t="s">
        <v>245</v>
      </c>
      <c r="EL17" t="s">
        <v>246</v>
      </c>
      <c r="EM17" t="s">
        <v>247</v>
      </c>
      <c r="EN17" t="s">
        <v>248</v>
      </c>
      <c r="EO17" t="s">
        <v>249</v>
      </c>
      <c r="EP17" t="s">
        <v>250</v>
      </c>
      <c r="EQ17" t="s">
        <v>251</v>
      </c>
      <c r="ER17" t="s">
        <v>252</v>
      </c>
      <c r="ES17" t="s">
        <v>253</v>
      </c>
      <c r="ET17" t="s">
        <v>254</v>
      </c>
      <c r="EU17" t="s">
        <v>255</v>
      </c>
      <c r="EV17" t="s">
        <v>256</v>
      </c>
      <c r="EW17" t="s">
        <v>257</v>
      </c>
      <c r="EX17" t="s">
        <v>258</v>
      </c>
      <c r="EY17" t="s">
        <v>259</v>
      </c>
      <c r="EZ17" t="s">
        <v>260</v>
      </c>
      <c r="FA17" t="s">
        <v>261</v>
      </c>
      <c r="FB17" t="s">
        <v>110</v>
      </c>
      <c r="FC17" t="s">
        <v>113</v>
      </c>
      <c r="FD17" t="s">
        <v>262</v>
      </c>
      <c r="FE17" t="s">
        <v>263</v>
      </c>
      <c r="FF17" t="s">
        <v>264</v>
      </c>
      <c r="FG17" t="s">
        <v>265</v>
      </c>
      <c r="FH17" t="s">
        <v>266</v>
      </c>
      <c r="FI17" t="s">
        <v>267</v>
      </c>
      <c r="FJ17" t="s">
        <v>268</v>
      </c>
      <c r="FK17" t="s">
        <v>269</v>
      </c>
      <c r="FL17" t="s">
        <v>270</v>
      </c>
      <c r="FM17" t="s">
        <v>271</v>
      </c>
      <c r="FN17" t="s">
        <v>272</v>
      </c>
      <c r="FO17" t="s">
        <v>273</v>
      </c>
      <c r="FP17" t="s">
        <v>274</v>
      </c>
      <c r="FQ17" t="s">
        <v>275</v>
      </c>
      <c r="FR17" t="s">
        <v>276</v>
      </c>
      <c r="FS17" t="s">
        <v>277</v>
      </c>
      <c r="FT17" t="s">
        <v>278</v>
      </c>
      <c r="FU17" t="s">
        <v>279</v>
      </c>
      <c r="FV17" t="s">
        <v>280</v>
      </c>
      <c r="FW17" t="s">
        <v>281</v>
      </c>
      <c r="FX17" t="s">
        <v>282</v>
      </c>
      <c r="FY17" t="s">
        <v>283</v>
      </c>
      <c r="FZ17" t="s">
        <v>284</v>
      </c>
      <c r="GA17" t="s">
        <v>285</v>
      </c>
      <c r="GB17" t="s">
        <v>286</v>
      </c>
      <c r="GC17" t="s">
        <v>287</v>
      </c>
      <c r="GD17" t="s">
        <v>288</v>
      </c>
      <c r="GE17" t="s">
        <v>289</v>
      </c>
      <c r="GF17" t="s">
        <v>290</v>
      </c>
      <c r="GG17" t="s">
        <v>291</v>
      </c>
      <c r="GH17" t="s">
        <v>292</v>
      </c>
      <c r="GI17" t="s">
        <v>293</v>
      </c>
      <c r="GJ17" t="s">
        <v>294</v>
      </c>
      <c r="GK17" t="s">
        <v>295</v>
      </c>
      <c r="GL17" t="s">
        <v>296</v>
      </c>
      <c r="GM17" t="s">
        <v>297</v>
      </c>
      <c r="GN17" t="s">
        <v>298</v>
      </c>
      <c r="GO17" t="s">
        <v>299</v>
      </c>
      <c r="GP17" t="s">
        <v>300</v>
      </c>
      <c r="GQ17" t="s">
        <v>301</v>
      </c>
      <c r="GR17" t="s">
        <v>302</v>
      </c>
      <c r="GS17" t="s">
        <v>303</v>
      </c>
      <c r="GT17" t="s">
        <v>304</v>
      </c>
      <c r="GU17" t="s">
        <v>305</v>
      </c>
      <c r="GV17" t="s">
        <v>306</v>
      </c>
      <c r="GW17" t="s">
        <v>307</v>
      </c>
      <c r="GX17" t="s">
        <v>308</v>
      </c>
      <c r="GY17" t="s">
        <v>309</v>
      </c>
      <c r="GZ17" t="s">
        <v>310</v>
      </c>
      <c r="HA17" t="s">
        <v>311</v>
      </c>
      <c r="HB17" t="s">
        <v>312</v>
      </c>
      <c r="HC17" t="s">
        <v>313</v>
      </c>
      <c r="HD17" t="s">
        <v>314</v>
      </c>
      <c r="HE17" t="s">
        <v>315</v>
      </c>
      <c r="HF17" t="s">
        <v>316</v>
      </c>
      <c r="HG17" t="s">
        <v>317</v>
      </c>
      <c r="HH17" t="s">
        <v>318</v>
      </c>
      <c r="HI17" t="s">
        <v>319</v>
      </c>
      <c r="HJ17" t="s">
        <v>320</v>
      </c>
      <c r="HK17" t="s">
        <v>321</v>
      </c>
      <c r="HL17" t="s">
        <v>322</v>
      </c>
      <c r="HM17" t="s">
        <v>323</v>
      </c>
      <c r="HN17" t="s">
        <v>324</v>
      </c>
      <c r="HO17" t="s">
        <v>325</v>
      </c>
      <c r="HP17" t="s">
        <v>326</v>
      </c>
      <c r="HQ17" t="s">
        <v>327</v>
      </c>
      <c r="HR17" t="s">
        <v>328</v>
      </c>
      <c r="HS17" t="s">
        <v>329</v>
      </c>
      <c r="HT17" t="s">
        <v>330</v>
      </c>
      <c r="HU17" t="s">
        <v>331</v>
      </c>
      <c r="HV17" t="s">
        <v>332</v>
      </c>
      <c r="HW17" t="s">
        <v>333</v>
      </c>
      <c r="HX17" t="s">
        <v>334</v>
      </c>
      <c r="HY17" t="s">
        <v>335</v>
      </c>
      <c r="HZ17" t="s">
        <v>336</v>
      </c>
      <c r="IA17" t="s">
        <v>337</v>
      </c>
      <c r="IB17" t="s">
        <v>338</v>
      </c>
      <c r="IC17" t="s">
        <v>339</v>
      </c>
      <c r="ID17" t="s">
        <v>340</v>
      </c>
      <c r="IE17" t="s">
        <v>341</v>
      </c>
      <c r="IF17" t="s">
        <v>342</v>
      </c>
      <c r="IG17" t="s">
        <v>343</v>
      </c>
      <c r="IH17" t="s">
        <v>344</v>
      </c>
      <c r="II17" t="s">
        <v>345</v>
      </c>
      <c r="IJ17" t="s">
        <v>346</v>
      </c>
      <c r="IK17" t="s">
        <v>347</v>
      </c>
      <c r="IL17" t="s">
        <v>348</v>
      </c>
      <c r="IM17" t="s">
        <v>349</v>
      </c>
      <c r="IN17" t="s">
        <v>350</v>
      </c>
      <c r="IO17" t="s">
        <v>351</v>
      </c>
      <c r="IP17" t="s">
        <v>352</v>
      </c>
      <c r="IQ17" t="s">
        <v>353</v>
      </c>
      <c r="IR17" t="s">
        <v>354</v>
      </c>
      <c r="IS17" t="s">
        <v>355</v>
      </c>
      <c r="IT17" t="s">
        <v>356</v>
      </c>
      <c r="IU17" t="s">
        <v>357</v>
      </c>
      <c r="IV17" t="s">
        <v>358</v>
      </c>
      <c r="IW17" t="s">
        <v>359</v>
      </c>
      <c r="IX17" t="s">
        <v>360</v>
      </c>
      <c r="IY17" t="s">
        <v>361</v>
      </c>
      <c r="IZ17" t="s">
        <v>362</v>
      </c>
      <c r="JA17" t="s">
        <v>363</v>
      </c>
      <c r="JB17" t="s">
        <v>364</v>
      </c>
      <c r="JC17" t="s">
        <v>365</v>
      </c>
      <c r="JD17" t="s">
        <v>366</v>
      </c>
      <c r="JE17" t="s">
        <v>367</v>
      </c>
      <c r="JF17" t="s">
        <v>368</v>
      </c>
      <c r="JG17" t="s">
        <v>369</v>
      </c>
      <c r="JH17" t="s">
        <v>370</v>
      </c>
      <c r="JI17" t="s">
        <v>371</v>
      </c>
      <c r="JJ17" t="s">
        <v>372</v>
      </c>
      <c r="JK17" t="s">
        <v>373</v>
      </c>
      <c r="JL17" t="s">
        <v>374</v>
      </c>
      <c r="JM17" t="s">
        <v>375</v>
      </c>
      <c r="JN17" t="s">
        <v>376</v>
      </c>
      <c r="JO17" t="s">
        <v>377</v>
      </c>
      <c r="JP17" t="s">
        <v>378</v>
      </c>
      <c r="JQ17" t="s">
        <v>379</v>
      </c>
      <c r="JR17" t="s">
        <v>380</v>
      </c>
      <c r="JS17" t="s">
        <v>381</v>
      </c>
      <c r="JT17" t="s">
        <v>382</v>
      </c>
      <c r="JU17" t="s">
        <v>383</v>
      </c>
      <c r="JV17" t="s">
        <v>384</v>
      </c>
      <c r="JW17" t="s">
        <v>385</v>
      </c>
    </row>
    <row r="18" spans="1:283">
      <c r="B18" t="s">
        <v>386</v>
      </c>
      <c r="C18" t="s">
        <v>386</v>
      </c>
      <c r="F18" t="s">
        <v>386</v>
      </c>
      <c r="H18" t="s">
        <v>386</v>
      </c>
      <c r="I18" t="s">
        <v>387</v>
      </c>
      <c r="J18" t="s">
        <v>388</v>
      </c>
      <c r="K18" t="s">
        <v>389</v>
      </c>
      <c r="L18" t="s">
        <v>390</v>
      </c>
      <c r="M18" t="s">
        <v>390</v>
      </c>
      <c r="N18" t="s">
        <v>219</v>
      </c>
      <c r="O18" t="s">
        <v>219</v>
      </c>
      <c r="P18" t="s">
        <v>387</v>
      </c>
      <c r="Q18" t="s">
        <v>387</v>
      </c>
      <c r="R18" t="s">
        <v>387</v>
      </c>
      <c r="S18" t="s">
        <v>387</v>
      </c>
      <c r="T18" t="s">
        <v>391</v>
      </c>
      <c r="U18" t="s">
        <v>392</v>
      </c>
      <c r="V18" t="s">
        <v>392</v>
      </c>
      <c r="W18" t="s">
        <v>393</v>
      </c>
      <c r="X18" t="s">
        <v>394</v>
      </c>
      <c r="Y18" t="s">
        <v>393</v>
      </c>
      <c r="Z18" t="s">
        <v>393</v>
      </c>
      <c r="AA18" t="s">
        <v>393</v>
      </c>
      <c r="AB18" t="s">
        <v>391</v>
      </c>
      <c r="AC18" t="s">
        <v>391</v>
      </c>
      <c r="AD18" t="s">
        <v>391</v>
      </c>
      <c r="AE18" t="s">
        <v>391</v>
      </c>
      <c r="AF18" t="s">
        <v>395</v>
      </c>
      <c r="AG18" t="s">
        <v>394</v>
      </c>
      <c r="AI18" t="s">
        <v>394</v>
      </c>
      <c r="AJ18" t="s">
        <v>395</v>
      </c>
      <c r="AP18" t="s">
        <v>389</v>
      </c>
      <c r="AW18" t="s">
        <v>389</v>
      </c>
      <c r="AX18" t="s">
        <v>389</v>
      </c>
      <c r="AY18" t="s">
        <v>389</v>
      </c>
      <c r="AZ18" t="s">
        <v>396</v>
      </c>
      <c r="BN18" t="s">
        <v>397</v>
      </c>
      <c r="BP18" t="s">
        <v>397</v>
      </c>
      <c r="BQ18" t="s">
        <v>389</v>
      </c>
      <c r="BT18" t="s">
        <v>397</v>
      </c>
      <c r="BU18" t="s">
        <v>394</v>
      </c>
      <c r="BX18" t="s">
        <v>398</v>
      </c>
      <c r="BY18" t="s">
        <v>398</v>
      </c>
      <c r="CA18" t="s">
        <v>399</v>
      </c>
      <c r="CB18" t="s">
        <v>397</v>
      </c>
      <c r="CD18" t="s">
        <v>397</v>
      </c>
      <c r="CE18" t="s">
        <v>389</v>
      </c>
      <c r="CI18" t="s">
        <v>397</v>
      </c>
      <c r="CK18" t="s">
        <v>400</v>
      </c>
      <c r="CN18" t="s">
        <v>397</v>
      </c>
      <c r="CO18" t="s">
        <v>397</v>
      </c>
      <c r="CQ18" t="s">
        <v>397</v>
      </c>
      <c r="CS18" t="s">
        <v>397</v>
      </c>
      <c r="CU18" t="s">
        <v>389</v>
      </c>
      <c r="CV18" t="s">
        <v>389</v>
      </c>
      <c r="CX18" t="s">
        <v>401</v>
      </c>
      <c r="CY18" t="s">
        <v>402</v>
      </c>
      <c r="DB18" t="s">
        <v>387</v>
      </c>
      <c r="DC18" t="s">
        <v>386</v>
      </c>
      <c r="DD18" t="s">
        <v>390</v>
      </c>
      <c r="DE18" t="s">
        <v>390</v>
      </c>
      <c r="DF18" t="s">
        <v>403</v>
      </c>
      <c r="DG18" t="s">
        <v>403</v>
      </c>
      <c r="DH18" t="s">
        <v>390</v>
      </c>
      <c r="DI18" t="s">
        <v>403</v>
      </c>
      <c r="DJ18" t="s">
        <v>395</v>
      </c>
      <c r="DK18" t="s">
        <v>393</v>
      </c>
      <c r="DL18" t="s">
        <v>393</v>
      </c>
      <c r="DM18" t="s">
        <v>392</v>
      </c>
      <c r="DN18" t="s">
        <v>392</v>
      </c>
      <c r="DO18" t="s">
        <v>392</v>
      </c>
      <c r="DP18" t="s">
        <v>392</v>
      </c>
      <c r="DQ18" t="s">
        <v>392</v>
      </c>
      <c r="DR18" t="s">
        <v>404</v>
      </c>
      <c r="DS18" t="s">
        <v>389</v>
      </c>
      <c r="DT18" t="s">
        <v>389</v>
      </c>
      <c r="DU18" t="s">
        <v>390</v>
      </c>
      <c r="DV18" t="s">
        <v>390</v>
      </c>
      <c r="DW18" t="s">
        <v>390</v>
      </c>
      <c r="DX18" t="s">
        <v>403</v>
      </c>
      <c r="DY18" t="s">
        <v>390</v>
      </c>
      <c r="DZ18" t="s">
        <v>403</v>
      </c>
      <c r="EA18" t="s">
        <v>393</v>
      </c>
      <c r="EB18" t="s">
        <v>393</v>
      </c>
      <c r="EC18" t="s">
        <v>392</v>
      </c>
      <c r="ED18" t="s">
        <v>392</v>
      </c>
      <c r="EE18" t="s">
        <v>389</v>
      </c>
      <c r="EJ18" t="s">
        <v>389</v>
      </c>
      <c r="EM18" t="s">
        <v>392</v>
      </c>
      <c r="EN18" t="s">
        <v>392</v>
      </c>
      <c r="EO18" t="s">
        <v>392</v>
      </c>
      <c r="EP18" t="s">
        <v>392</v>
      </c>
      <c r="EQ18" t="s">
        <v>392</v>
      </c>
      <c r="ER18" t="s">
        <v>389</v>
      </c>
      <c r="ES18" t="s">
        <v>389</v>
      </c>
      <c r="ET18" t="s">
        <v>389</v>
      </c>
      <c r="EU18" t="s">
        <v>386</v>
      </c>
      <c r="EX18" t="s">
        <v>405</v>
      </c>
      <c r="EY18" t="s">
        <v>405</v>
      </c>
      <c r="FA18" t="s">
        <v>386</v>
      </c>
      <c r="FB18" t="s">
        <v>406</v>
      </c>
      <c r="FD18" t="s">
        <v>386</v>
      </c>
      <c r="FE18" t="s">
        <v>386</v>
      </c>
      <c r="FG18" t="s">
        <v>407</v>
      </c>
      <c r="FH18" t="s">
        <v>408</v>
      </c>
      <c r="FI18" t="s">
        <v>407</v>
      </c>
      <c r="FJ18" t="s">
        <v>408</v>
      </c>
      <c r="FK18" t="s">
        <v>407</v>
      </c>
      <c r="FL18" t="s">
        <v>408</v>
      </c>
      <c r="FM18" t="s">
        <v>394</v>
      </c>
      <c r="FN18" t="s">
        <v>394</v>
      </c>
      <c r="FO18" t="s">
        <v>390</v>
      </c>
      <c r="FP18" t="s">
        <v>409</v>
      </c>
      <c r="FQ18" t="s">
        <v>390</v>
      </c>
      <c r="FT18" t="s">
        <v>410</v>
      </c>
      <c r="FW18" t="s">
        <v>403</v>
      </c>
      <c r="FX18" t="s">
        <v>411</v>
      </c>
      <c r="FY18" t="s">
        <v>403</v>
      </c>
      <c r="GD18" t="s">
        <v>412</v>
      </c>
      <c r="GE18" t="s">
        <v>412</v>
      </c>
      <c r="GR18" t="s">
        <v>412</v>
      </c>
      <c r="GS18" t="s">
        <v>412</v>
      </c>
      <c r="GT18" t="s">
        <v>413</v>
      </c>
      <c r="GU18" t="s">
        <v>413</v>
      </c>
      <c r="GV18" t="s">
        <v>392</v>
      </c>
      <c r="GW18" t="s">
        <v>392</v>
      </c>
      <c r="GX18" t="s">
        <v>394</v>
      </c>
      <c r="GY18" t="s">
        <v>392</v>
      </c>
      <c r="GZ18" t="s">
        <v>403</v>
      </c>
      <c r="HA18" t="s">
        <v>394</v>
      </c>
      <c r="HB18" t="s">
        <v>394</v>
      </c>
      <c r="HD18" t="s">
        <v>412</v>
      </c>
      <c r="HE18" t="s">
        <v>412</v>
      </c>
      <c r="HF18" t="s">
        <v>412</v>
      </c>
      <c r="HG18" t="s">
        <v>412</v>
      </c>
      <c r="HH18" t="s">
        <v>412</v>
      </c>
      <c r="HI18" t="s">
        <v>412</v>
      </c>
      <c r="HJ18" t="s">
        <v>412</v>
      </c>
      <c r="HK18" t="s">
        <v>414</v>
      </c>
      <c r="HL18" t="s">
        <v>414</v>
      </c>
      <c r="HM18" t="s">
        <v>414</v>
      </c>
      <c r="HN18" t="s">
        <v>415</v>
      </c>
      <c r="HO18" t="s">
        <v>412</v>
      </c>
      <c r="HP18" t="s">
        <v>412</v>
      </c>
      <c r="HQ18" t="s">
        <v>412</v>
      </c>
      <c r="HR18" t="s">
        <v>412</v>
      </c>
      <c r="HS18" t="s">
        <v>412</v>
      </c>
      <c r="HT18" t="s">
        <v>412</v>
      </c>
      <c r="HU18" t="s">
        <v>412</v>
      </c>
      <c r="HV18" t="s">
        <v>412</v>
      </c>
      <c r="HW18" t="s">
        <v>412</v>
      </c>
      <c r="HX18" t="s">
        <v>412</v>
      </c>
      <c r="HY18" t="s">
        <v>412</v>
      </c>
      <c r="HZ18" t="s">
        <v>412</v>
      </c>
      <c r="IG18" t="s">
        <v>412</v>
      </c>
      <c r="IH18" t="s">
        <v>394</v>
      </c>
      <c r="II18" t="s">
        <v>394</v>
      </c>
      <c r="IJ18" t="s">
        <v>407</v>
      </c>
      <c r="IK18" t="s">
        <v>408</v>
      </c>
      <c r="IL18" t="s">
        <v>407</v>
      </c>
      <c r="IP18" t="s">
        <v>408</v>
      </c>
      <c r="IT18" t="s">
        <v>390</v>
      </c>
      <c r="IU18" t="s">
        <v>390</v>
      </c>
      <c r="IV18" t="s">
        <v>403</v>
      </c>
      <c r="IW18" t="s">
        <v>403</v>
      </c>
      <c r="IX18" t="s">
        <v>416</v>
      </c>
      <c r="IY18" t="s">
        <v>416</v>
      </c>
      <c r="IZ18" t="s">
        <v>412</v>
      </c>
      <c r="JA18" t="s">
        <v>412</v>
      </c>
      <c r="JB18" t="s">
        <v>412</v>
      </c>
      <c r="JC18" t="s">
        <v>412</v>
      </c>
      <c r="JD18" t="s">
        <v>412</v>
      </c>
      <c r="JE18" t="s">
        <v>412</v>
      </c>
      <c r="JF18" t="s">
        <v>392</v>
      </c>
      <c r="JG18" t="s">
        <v>412</v>
      </c>
      <c r="JI18" t="s">
        <v>395</v>
      </c>
      <c r="JJ18" t="s">
        <v>395</v>
      </c>
      <c r="JK18" t="s">
        <v>392</v>
      </c>
      <c r="JL18" t="s">
        <v>392</v>
      </c>
      <c r="JM18" t="s">
        <v>392</v>
      </c>
      <c r="JN18" t="s">
        <v>392</v>
      </c>
      <c r="JO18" t="s">
        <v>392</v>
      </c>
      <c r="JP18" t="s">
        <v>394</v>
      </c>
      <c r="JQ18" t="s">
        <v>394</v>
      </c>
      <c r="JR18" t="s">
        <v>394</v>
      </c>
      <c r="JS18" t="s">
        <v>392</v>
      </c>
      <c r="JT18" t="s">
        <v>390</v>
      </c>
      <c r="JU18" t="s">
        <v>403</v>
      </c>
      <c r="JV18" t="s">
        <v>394</v>
      </c>
      <c r="JW18" t="s">
        <v>394</v>
      </c>
    </row>
    <row r="19" spans="1:283">
      <c r="A19">
        <v>1</v>
      </c>
      <c r="B19">
        <v>1761018069.5</v>
      </c>
      <c r="C19">
        <v>0</v>
      </c>
      <c r="D19" t="s">
        <v>417</v>
      </c>
      <c r="E19" t="s">
        <v>418</v>
      </c>
      <c r="F19">
        <v>5</v>
      </c>
      <c r="G19" t="s">
        <v>419</v>
      </c>
      <c r="H19">
        <v>1761018066.75</v>
      </c>
      <c r="I19">
        <f>(J19)/1000</f>
        <v>0</v>
      </c>
      <c r="J19">
        <f>1000*DJ19*AH19*(DF19-DG19)/(100*CY19*(1000-AH19*DF19))</f>
        <v>0</v>
      </c>
      <c r="K19">
        <f>DJ19*AH19*(DE19-DD19*(1000-AH19*DG19)/(1000-AH19*DF19))/(100*CY19)</f>
        <v>0</v>
      </c>
      <c r="L19">
        <f>DD19 - IF(AH19&gt;1, K19*CY19*100.0/(AJ19), 0)</f>
        <v>0</v>
      </c>
      <c r="M19">
        <f>((S19-I19/2)*L19-K19)/(S19+I19/2)</f>
        <v>0</v>
      </c>
      <c r="N19">
        <f>M19*(DK19+DL19)/1000.0</f>
        <v>0</v>
      </c>
      <c r="O19">
        <f>(DD19 - IF(AH19&gt;1, K19*CY19*100.0/(AJ19), 0))*(DK19+DL19)/1000.0</f>
        <v>0</v>
      </c>
      <c r="P19">
        <f>2.0/((1/R19-1/Q19)+SIGN(R19)*SQRT((1/R19-1/Q19)*(1/R19-1/Q19) + 4*CZ19/((CZ19+1)*(CZ19+1))*(2*1/R19*1/Q19-1/Q19*1/Q19)))</f>
        <v>0</v>
      </c>
      <c r="Q19">
        <f>IF(LEFT(DA19,1)&lt;&gt;"0",IF(LEFT(DA19,1)="1",3.0,DB19),$D$5+$E$5*(DR19*DK19/($K$5*1000))+$F$5*(DR19*DK19/($K$5*1000))*MAX(MIN(CY19,$J$5),$I$5)*MAX(MIN(CY19,$J$5),$I$5)+$G$5*MAX(MIN(CY19,$J$5),$I$5)*(DR19*DK19/($K$5*1000))+$H$5*(DR19*DK19/($K$5*1000))*(DR19*DK19/($K$5*1000)))</f>
        <v>0</v>
      </c>
      <c r="R19">
        <f>I19*(1000-(1000*0.61365*exp(17.502*V19/(240.97+V19))/(DK19+DL19)+DF19)/2)/(1000*0.61365*exp(17.502*V19/(240.97+V19))/(DK19+DL19)-DF19)</f>
        <v>0</v>
      </c>
      <c r="S19">
        <f>1/((CZ19+1)/(P19/1.6)+1/(Q19/1.37)) + CZ19/((CZ19+1)/(P19/1.6) + CZ19/(Q19/1.37))</f>
        <v>0</v>
      </c>
      <c r="T19">
        <f>(CU19*CX19)</f>
        <v>0</v>
      </c>
      <c r="U19">
        <f>(DM19+(T19+2*0.95*5.67E-8*(((DM19+$B$9)+273)^4-(DM19+273)^4)-44100*I19)/(1.84*29.3*Q19+8*0.95*5.67E-8*(DM19+273)^3))</f>
        <v>0</v>
      </c>
      <c r="V19">
        <f>($C$9*DN19+$D$9*DO19+$E$9*U19)</f>
        <v>0</v>
      </c>
      <c r="W19">
        <f>0.61365*exp(17.502*V19/(240.97+V19))</f>
        <v>0</v>
      </c>
      <c r="X19">
        <f>(Y19/Z19*100)</f>
        <v>0</v>
      </c>
      <c r="Y19">
        <f>DF19*(DK19+DL19)/1000</f>
        <v>0</v>
      </c>
      <c r="Z19">
        <f>0.61365*exp(17.502*DM19/(240.97+DM19))</f>
        <v>0</v>
      </c>
      <c r="AA19">
        <f>(W19-DF19*(DK19+DL19)/1000)</f>
        <v>0</v>
      </c>
      <c r="AB19">
        <f>(-I19*44100)</f>
        <v>0</v>
      </c>
      <c r="AC19">
        <f>2*29.3*Q19*0.92*(DM19-V19)</f>
        <v>0</v>
      </c>
      <c r="AD19">
        <f>2*0.95*5.67E-8*(((DM19+$B$9)+273)^4-(V19+273)^4)</f>
        <v>0</v>
      </c>
      <c r="AE19">
        <f>T19+AD19+AB19+AC19</f>
        <v>0</v>
      </c>
      <c r="AF19">
        <v>0</v>
      </c>
      <c r="AG19">
        <v>0</v>
      </c>
      <c r="AH19">
        <f>IF(AF19*$H$15&gt;=AJ19,1.0,(AJ19/(AJ19-AF19*$H$15)))</f>
        <v>0</v>
      </c>
      <c r="AI19">
        <f>(AH19-1)*100</f>
        <v>0</v>
      </c>
      <c r="AJ19">
        <f>MAX(0,($B$15+$C$15*DR19)/(1+$D$15*DR19)*DK19/(DM19+273)*$E$15)</f>
        <v>0</v>
      </c>
      <c r="AK19" t="s">
        <v>420</v>
      </c>
      <c r="AL19" t="s">
        <v>420</v>
      </c>
      <c r="AM19">
        <v>0</v>
      </c>
      <c r="AN19">
        <v>0</v>
      </c>
      <c r="AO19">
        <f>1-AM19/AN19</f>
        <v>0</v>
      </c>
      <c r="AP19">
        <v>0</v>
      </c>
      <c r="AQ19" t="s">
        <v>420</v>
      </c>
      <c r="AR19" t="s">
        <v>420</v>
      </c>
      <c r="AS19">
        <v>0</v>
      </c>
      <c r="AT19">
        <v>0</v>
      </c>
      <c r="AU19">
        <f>1-AS19/AT19</f>
        <v>0</v>
      </c>
      <c r="AV19">
        <v>0.5</v>
      </c>
      <c r="AW19">
        <f>CV19</f>
        <v>0</v>
      </c>
      <c r="AX19">
        <f>K19</f>
        <v>0</v>
      </c>
      <c r="AY19">
        <f>AU19*AV19*AW19</f>
        <v>0</v>
      </c>
      <c r="AZ19">
        <f>(AX19-AP19)/AW19</f>
        <v>0</v>
      </c>
      <c r="BA19">
        <f>(AN19-AT19)/AT19</f>
        <v>0</v>
      </c>
      <c r="BB19">
        <f>AM19/(AO19+AM19/AT19)</f>
        <v>0</v>
      </c>
      <c r="BC19" t="s">
        <v>420</v>
      </c>
      <c r="BD19">
        <v>0</v>
      </c>
      <c r="BE19">
        <f>IF(BD19&lt;&gt;0, BD19, BB19)</f>
        <v>0</v>
      </c>
      <c r="BF19">
        <f>1-BE19/AT19</f>
        <v>0</v>
      </c>
      <c r="BG19">
        <f>(AT19-AS19)/(AT19-BE19)</f>
        <v>0</v>
      </c>
      <c r="BH19">
        <f>(AN19-AT19)/(AN19-BE19)</f>
        <v>0</v>
      </c>
      <c r="BI19">
        <f>(AT19-AS19)/(AT19-AM19)</f>
        <v>0</v>
      </c>
      <c r="BJ19">
        <f>(AN19-AT19)/(AN19-AM19)</f>
        <v>0</v>
      </c>
      <c r="BK19">
        <f>(BG19*BE19/AS19)</f>
        <v>0</v>
      </c>
      <c r="BL19">
        <f>(1-BK19)</f>
        <v>0</v>
      </c>
      <c r="CU19">
        <f>$B$13*DS19+$C$13*DT19+$F$13*EE19*(1-EH19)</f>
        <v>0</v>
      </c>
      <c r="CV19">
        <f>CU19*CW19</f>
        <v>0</v>
      </c>
      <c r="CW19">
        <f>($B$13*$D$11+$C$13*$D$11+$F$13*((ER19+EJ19)/MAX(ER19+EJ19+ES19, 0.1)*$I$11+ES19/MAX(ER19+EJ19+ES19, 0.1)*$J$11))/($B$13+$C$13+$F$13)</f>
        <v>0</v>
      </c>
      <c r="CX19">
        <f>($B$13*$K$11+$C$13*$K$11+$F$13*((ER19+EJ19)/MAX(ER19+EJ19+ES19, 0.1)*$P$11+ES19/MAX(ER19+EJ19+ES19, 0.1)*$Q$11))/($B$13+$C$13+$F$13)</f>
        <v>0</v>
      </c>
      <c r="CY19">
        <v>2.7</v>
      </c>
      <c r="CZ19">
        <v>0.5</v>
      </c>
      <c r="DA19" t="s">
        <v>421</v>
      </c>
      <c r="DB19">
        <v>2</v>
      </c>
      <c r="DC19">
        <v>1761018066.75</v>
      </c>
      <c r="DD19">
        <v>420.3796</v>
      </c>
      <c r="DE19">
        <v>419.8647</v>
      </c>
      <c r="DF19">
        <v>23.70773</v>
      </c>
      <c r="DG19">
        <v>24.059</v>
      </c>
      <c r="DH19">
        <v>420.997</v>
      </c>
      <c r="DI19">
        <v>23.505</v>
      </c>
      <c r="DJ19">
        <v>499.9619</v>
      </c>
      <c r="DK19">
        <v>90.77126999999999</v>
      </c>
      <c r="DL19">
        <v>0.03592473</v>
      </c>
      <c r="DM19">
        <v>30.2581</v>
      </c>
      <c r="DN19">
        <v>30.10184</v>
      </c>
      <c r="DO19">
        <v>999.9</v>
      </c>
      <c r="DP19">
        <v>0</v>
      </c>
      <c r="DQ19">
        <v>0</v>
      </c>
      <c r="DR19">
        <v>9985.689999999999</v>
      </c>
      <c r="DS19">
        <v>0</v>
      </c>
      <c r="DT19">
        <v>0.242856</v>
      </c>
      <c r="DU19">
        <v>0.5147918</v>
      </c>
      <c r="DV19">
        <v>430.5877</v>
      </c>
      <c r="DW19">
        <v>430.2154</v>
      </c>
      <c r="DX19">
        <v>-0.3512631</v>
      </c>
      <c r="DY19">
        <v>419.8647</v>
      </c>
      <c r="DZ19">
        <v>24.059</v>
      </c>
      <c r="EA19">
        <v>2.15198</v>
      </c>
      <c r="EB19">
        <v>2.183865</v>
      </c>
      <c r="EC19">
        <v>18.60918</v>
      </c>
      <c r="ED19">
        <v>18.84438</v>
      </c>
      <c r="EE19">
        <v>0.005000779999999999</v>
      </c>
      <c r="EF19">
        <v>0</v>
      </c>
      <c r="EG19">
        <v>0</v>
      </c>
      <c r="EH19">
        <v>0</v>
      </c>
      <c r="EI19">
        <v>153.14</v>
      </c>
      <c r="EJ19">
        <v>0.005000779999999999</v>
      </c>
      <c r="EK19">
        <v>-16.91</v>
      </c>
      <c r="EL19">
        <v>0.00999999999999992</v>
      </c>
      <c r="EM19">
        <v>35.6183</v>
      </c>
      <c r="EN19">
        <v>39.8623</v>
      </c>
      <c r="EO19">
        <v>37.89980000000001</v>
      </c>
      <c r="EP19">
        <v>40.4873</v>
      </c>
      <c r="EQ19">
        <v>38.40599999999999</v>
      </c>
      <c r="ER19">
        <v>0</v>
      </c>
      <c r="ES19">
        <v>0</v>
      </c>
      <c r="ET19">
        <v>0</v>
      </c>
      <c r="EU19">
        <v>1761018068.5</v>
      </c>
      <c r="EV19">
        <v>0</v>
      </c>
      <c r="EW19">
        <v>151.664</v>
      </c>
      <c r="EX19">
        <v>5.946153814528365</v>
      </c>
      <c r="EY19">
        <v>-45.51538496715777</v>
      </c>
      <c r="EZ19">
        <v>-12.732</v>
      </c>
      <c r="FA19">
        <v>15</v>
      </c>
      <c r="FB19">
        <v>1761018049.5</v>
      </c>
      <c r="FC19" t="s">
        <v>422</v>
      </c>
      <c r="FD19">
        <v>1761018049.5</v>
      </c>
      <c r="FE19">
        <v>1761018035.5</v>
      </c>
      <c r="FF19">
        <v>23</v>
      </c>
      <c r="FG19">
        <v>1.295</v>
      </c>
      <c r="FH19">
        <v>0.011</v>
      </c>
      <c r="FI19">
        <v>-0.618</v>
      </c>
      <c r="FJ19">
        <v>0.192</v>
      </c>
      <c r="FK19">
        <v>420</v>
      </c>
      <c r="FL19">
        <v>23</v>
      </c>
      <c r="FM19">
        <v>0.42</v>
      </c>
      <c r="FN19">
        <v>0.17</v>
      </c>
      <c r="FO19">
        <v>0.2534235414634146</v>
      </c>
      <c r="FP19">
        <v>3.934481784668989</v>
      </c>
      <c r="FQ19">
        <v>0.5944402083614941</v>
      </c>
      <c r="FR19">
        <v>0</v>
      </c>
      <c r="FS19">
        <v>151.95</v>
      </c>
      <c r="FT19">
        <v>2.119175067326905</v>
      </c>
      <c r="FU19">
        <v>6.72332419531396</v>
      </c>
      <c r="FV19">
        <v>0</v>
      </c>
      <c r="FW19">
        <v>-0.09218477950487805</v>
      </c>
      <c r="FX19">
        <v>-1.687943677317073</v>
      </c>
      <c r="FY19">
        <v>0.1992081559573663</v>
      </c>
      <c r="FZ19">
        <v>0</v>
      </c>
      <c r="GA19">
        <v>0</v>
      </c>
      <c r="GB19">
        <v>3</v>
      </c>
      <c r="GC19" t="s">
        <v>423</v>
      </c>
      <c r="GD19">
        <v>3.10961</v>
      </c>
      <c r="GE19">
        <v>2.72722</v>
      </c>
      <c r="GF19">
        <v>0.08853809999999999</v>
      </c>
      <c r="GG19">
        <v>0.08840249999999999</v>
      </c>
      <c r="GH19">
        <v>0.108148</v>
      </c>
      <c r="GI19">
        <v>0.110235</v>
      </c>
      <c r="GJ19">
        <v>23895.6</v>
      </c>
      <c r="GK19">
        <v>21689.6</v>
      </c>
      <c r="GL19">
        <v>26776.1</v>
      </c>
      <c r="GM19">
        <v>24001.9</v>
      </c>
      <c r="GN19">
        <v>38158.6</v>
      </c>
      <c r="GO19">
        <v>31521.1</v>
      </c>
      <c r="GP19">
        <v>46735.8</v>
      </c>
      <c r="GQ19">
        <v>37964.9</v>
      </c>
      <c r="GR19">
        <v>1.88332</v>
      </c>
      <c r="GS19">
        <v>1.87185</v>
      </c>
      <c r="GT19">
        <v>0.149615</v>
      </c>
      <c r="GU19">
        <v>0</v>
      </c>
      <c r="GV19">
        <v>27.667</v>
      </c>
      <c r="GW19">
        <v>999.9</v>
      </c>
      <c r="GX19">
        <v>63.1</v>
      </c>
      <c r="GY19">
        <v>29.1</v>
      </c>
      <c r="GZ19">
        <v>28.1206</v>
      </c>
      <c r="HA19">
        <v>61.46</v>
      </c>
      <c r="HB19">
        <v>19.9519</v>
      </c>
      <c r="HC19">
        <v>1</v>
      </c>
      <c r="HD19">
        <v>0.0808664</v>
      </c>
      <c r="HE19">
        <v>-1.65208</v>
      </c>
      <c r="HF19">
        <v>20.3279</v>
      </c>
      <c r="HG19">
        <v>5.22163</v>
      </c>
      <c r="HH19">
        <v>11.98</v>
      </c>
      <c r="HI19">
        <v>4.96535</v>
      </c>
      <c r="HJ19">
        <v>3.27578</v>
      </c>
      <c r="HK19">
        <v>9999</v>
      </c>
      <c r="HL19">
        <v>9999</v>
      </c>
      <c r="HM19">
        <v>9999</v>
      </c>
      <c r="HN19">
        <v>999.9</v>
      </c>
      <c r="HO19">
        <v>1.86362</v>
      </c>
      <c r="HP19">
        <v>1.85974</v>
      </c>
      <c r="HQ19">
        <v>1.85796</v>
      </c>
      <c r="HR19">
        <v>1.85934</v>
      </c>
      <c r="HS19">
        <v>1.85959</v>
      </c>
      <c r="HT19">
        <v>1.85804</v>
      </c>
      <c r="HU19">
        <v>1.85708</v>
      </c>
      <c r="HV19">
        <v>1.8521</v>
      </c>
      <c r="HW19">
        <v>0</v>
      </c>
      <c r="HX19">
        <v>0</v>
      </c>
      <c r="HY19">
        <v>0</v>
      </c>
      <c r="HZ19">
        <v>0</v>
      </c>
      <c r="IA19" t="s">
        <v>424</v>
      </c>
      <c r="IB19" t="s">
        <v>425</v>
      </c>
      <c r="IC19" t="s">
        <v>426</v>
      </c>
      <c r="ID19" t="s">
        <v>426</v>
      </c>
      <c r="IE19" t="s">
        <v>426</v>
      </c>
      <c r="IF19" t="s">
        <v>426</v>
      </c>
      <c r="IG19">
        <v>0</v>
      </c>
      <c r="IH19">
        <v>100</v>
      </c>
      <c r="II19">
        <v>100</v>
      </c>
      <c r="IJ19">
        <v>-0.618</v>
      </c>
      <c r="IK19">
        <v>0.2059</v>
      </c>
      <c r="IL19">
        <v>-1.405955206116699</v>
      </c>
      <c r="IM19">
        <v>0.001328113201692861</v>
      </c>
      <c r="IN19">
        <v>1.538283238170363E-06</v>
      </c>
      <c r="IO19">
        <v>-5.795655626708063E-10</v>
      </c>
      <c r="IP19">
        <v>-0.04918981781385694</v>
      </c>
      <c r="IQ19">
        <v>-0.004593102289677449</v>
      </c>
      <c r="IR19">
        <v>0.0008253994458280543</v>
      </c>
      <c r="IS19">
        <v>-7.403632370499484E-06</v>
      </c>
      <c r="IT19">
        <v>2</v>
      </c>
      <c r="IU19">
        <v>1985</v>
      </c>
      <c r="IV19">
        <v>1</v>
      </c>
      <c r="IW19">
        <v>27</v>
      </c>
      <c r="IX19">
        <v>0.3</v>
      </c>
      <c r="IY19">
        <v>0.6</v>
      </c>
      <c r="IZ19">
        <v>1.12061</v>
      </c>
      <c r="JA19">
        <v>2.55737</v>
      </c>
      <c r="JB19">
        <v>1.49658</v>
      </c>
      <c r="JC19">
        <v>2.34131</v>
      </c>
      <c r="JD19">
        <v>1.54907</v>
      </c>
      <c r="JE19">
        <v>2.44751</v>
      </c>
      <c r="JF19">
        <v>31.6517</v>
      </c>
      <c r="JG19">
        <v>14.6661</v>
      </c>
      <c r="JH19">
        <v>18</v>
      </c>
      <c r="JI19">
        <v>482.566</v>
      </c>
      <c r="JJ19">
        <v>504.708</v>
      </c>
      <c r="JK19">
        <v>31.6749</v>
      </c>
      <c r="JL19">
        <v>28.2884</v>
      </c>
      <c r="JM19">
        <v>29.9997</v>
      </c>
      <c r="JN19">
        <v>28.5941</v>
      </c>
      <c r="JO19">
        <v>28.5978</v>
      </c>
      <c r="JP19">
        <v>22.5379</v>
      </c>
      <c r="JQ19">
        <v>20.2174</v>
      </c>
      <c r="JR19">
        <v>81.53149999999999</v>
      </c>
      <c r="JS19">
        <v>31.6826</v>
      </c>
      <c r="JT19">
        <v>420</v>
      </c>
      <c r="JU19">
        <v>23.7177</v>
      </c>
      <c r="JV19">
        <v>102.201</v>
      </c>
      <c r="JW19">
        <v>91.56529999999999</v>
      </c>
    </row>
    <row r="20" spans="1:283">
      <c r="A20">
        <v>2</v>
      </c>
      <c r="B20">
        <v>1761018071.5</v>
      </c>
      <c r="C20">
        <v>2</v>
      </c>
      <c r="D20" t="s">
        <v>427</v>
      </c>
      <c r="E20" t="s">
        <v>428</v>
      </c>
      <c r="F20">
        <v>5</v>
      </c>
      <c r="G20" t="s">
        <v>419</v>
      </c>
      <c r="H20">
        <v>1761018068.666667</v>
      </c>
      <c r="I20">
        <f>(J20)/1000</f>
        <v>0</v>
      </c>
      <c r="J20">
        <f>1000*DJ20*AH20*(DF20-DG20)/(100*CY20*(1000-AH20*DF20))</f>
        <v>0</v>
      </c>
      <c r="K20">
        <f>DJ20*AH20*(DE20-DD20*(1000-AH20*DG20)/(1000-AH20*DF20))/(100*CY20)</f>
        <v>0</v>
      </c>
      <c r="L20">
        <f>DD20 - IF(AH20&gt;1, K20*CY20*100.0/(AJ20), 0)</f>
        <v>0</v>
      </c>
      <c r="M20">
        <f>((S20-I20/2)*L20-K20)/(S20+I20/2)</f>
        <v>0</v>
      </c>
      <c r="N20">
        <f>M20*(DK20+DL20)/1000.0</f>
        <v>0</v>
      </c>
      <c r="O20">
        <f>(DD20 - IF(AH20&gt;1, K20*CY20*100.0/(AJ20), 0))*(DK20+DL20)/1000.0</f>
        <v>0</v>
      </c>
      <c r="P20">
        <f>2.0/((1/R20-1/Q20)+SIGN(R20)*SQRT((1/R20-1/Q20)*(1/R20-1/Q20) + 4*CZ20/((CZ20+1)*(CZ20+1))*(2*1/R20*1/Q20-1/Q20*1/Q20)))</f>
        <v>0</v>
      </c>
      <c r="Q20">
        <f>IF(LEFT(DA20,1)&lt;&gt;"0",IF(LEFT(DA20,1)="1",3.0,DB20),$D$5+$E$5*(DR20*DK20/($K$5*1000))+$F$5*(DR20*DK20/($K$5*1000))*MAX(MIN(CY20,$J$5),$I$5)*MAX(MIN(CY20,$J$5),$I$5)+$G$5*MAX(MIN(CY20,$J$5),$I$5)*(DR20*DK20/($K$5*1000))+$H$5*(DR20*DK20/($K$5*1000))*(DR20*DK20/($K$5*1000)))</f>
        <v>0</v>
      </c>
      <c r="R20">
        <f>I20*(1000-(1000*0.61365*exp(17.502*V20/(240.97+V20))/(DK20+DL20)+DF20)/2)/(1000*0.61365*exp(17.502*V20/(240.97+V20))/(DK20+DL20)-DF20)</f>
        <v>0</v>
      </c>
      <c r="S20">
        <f>1/((CZ20+1)/(P20/1.6)+1/(Q20/1.37)) + CZ20/((CZ20+1)/(P20/1.6) + CZ20/(Q20/1.37))</f>
        <v>0</v>
      </c>
      <c r="T20">
        <f>(CU20*CX20)</f>
        <v>0</v>
      </c>
      <c r="U20">
        <f>(DM20+(T20+2*0.95*5.67E-8*(((DM20+$B$9)+273)^4-(DM20+273)^4)-44100*I20)/(1.84*29.3*Q20+8*0.95*5.67E-8*(DM20+273)^3))</f>
        <v>0</v>
      </c>
      <c r="V20">
        <f>($C$9*DN20+$D$9*DO20+$E$9*U20)</f>
        <v>0</v>
      </c>
      <c r="W20">
        <f>0.61365*exp(17.502*V20/(240.97+V20))</f>
        <v>0</v>
      </c>
      <c r="X20">
        <f>(Y20/Z20*100)</f>
        <v>0</v>
      </c>
      <c r="Y20">
        <f>DF20*(DK20+DL20)/1000</f>
        <v>0</v>
      </c>
      <c r="Z20">
        <f>0.61365*exp(17.502*DM20/(240.97+DM20))</f>
        <v>0</v>
      </c>
      <c r="AA20">
        <f>(W20-DF20*(DK20+DL20)/1000)</f>
        <v>0</v>
      </c>
      <c r="AB20">
        <f>(-I20*44100)</f>
        <v>0</v>
      </c>
      <c r="AC20">
        <f>2*29.3*Q20*0.92*(DM20-V20)</f>
        <v>0</v>
      </c>
      <c r="AD20">
        <f>2*0.95*5.67E-8*(((DM20+$B$9)+273)^4-(V20+273)^4)</f>
        <v>0</v>
      </c>
      <c r="AE20">
        <f>T20+AD20+AB20+AC20</f>
        <v>0</v>
      </c>
      <c r="AF20">
        <v>0</v>
      </c>
      <c r="AG20">
        <v>0</v>
      </c>
      <c r="AH20">
        <f>IF(AF20*$H$15&gt;=AJ20,1.0,(AJ20/(AJ20-AF20*$H$15)))</f>
        <v>0</v>
      </c>
      <c r="AI20">
        <f>(AH20-1)*100</f>
        <v>0</v>
      </c>
      <c r="AJ20">
        <f>MAX(0,($B$15+$C$15*DR20)/(1+$D$15*DR20)*DK20/(DM20+273)*$E$15)</f>
        <v>0</v>
      </c>
      <c r="AK20" t="s">
        <v>420</v>
      </c>
      <c r="AL20" t="s">
        <v>420</v>
      </c>
      <c r="AM20">
        <v>0</v>
      </c>
      <c r="AN20">
        <v>0</v>
      </c>
      <c r="AO20">
        <f>1-AM20/AN20</f>
        <v>0</v>
      </c>
      <c r="AP20">
        <v>0</v>
      </c>
      <c r="AQ20" t="s">
        <v>420</v>
      </c>
      <c r="AR20" t="s">
        <v>420</v>
      </c>
      <c r="AS20">
        <v>0</v>
      </c>
      <c r="AT20">
        <v>0</v>
      </c>
      <c r="AU20">
        <f>1-AS20/AT20</f>
        <v>0</v>
      </c>
      <c r="AV20">
        <v>0.5</v>
      </c>
      <c r="AW20">
        <f>CV20</f>
        <v>0</v>
      </c>
      <c r="AX20">
        <f>K20</f>
        <v>0</v>
      </c>
      <c r="AY20">
        <f>AU20*AV20*AW20</f>
        <v>0</v>
      </c>
      <c r="AZ20">
        <f>(AX20-AP20)/AW20</f>
        <v>0</v>
      </c>
      <c r="BA20">
        <f>(AN20-AT20)/AT20</f>
        <v>0</v>
      </c>
      <c r="BB20">
        <f>AM20/(AO20+AM20/AT20)</f>
        <v>0</v>
      </c>
      <c r="BC20" t="s">
        <v>420</v>
      </c>
      <c r="BD20">
        <v>0</v>
      </c>
      <c r="BE20">
        <f>IF(BD20&lt;&gt;0, BD20, BB20)</f>
        <v>0</v>
      </c>
      <c r="BF20">
        <f>1-BE20/AT20</f>
        <v>0</v>
      </c>
      <c r="BG20">
        <f>(AT20-AS20)/(AT20-BE20)</f>
        <v>0</v>
      </c>
      <c r="BH20">
        <f>(AN20-AT20)/(AN20-BE20)</f>
        <v>0</v>
      </c>
      <c r="BI20">
        <f>(AT20-AS20)/(AT20-AM20)</f>
        <v>0</v>
      </c>
      <c r="BJ20">
        <f>(AN20-AT20)/(AN20-AM20)</f>
        <v>0</v>
      </c>
      <c r="BK20">
        <f>(BG20*BE20/AS20)</f>
        <v>0</v>
      </c>
      <c r="BL20">
        <f>(1-BK20)</f>
        <v>0</v>
      </c>
      <c r="CU20">
        <f>$B$13*DS20+$C$13*DT20+$F$13*EE20*(1-EH20)</f>
        <v>0</v>
      </c>
      <c r="CV20">
        <f>CU20*CW20</f>
        <v>0</v>
      </c>
      <c r="CW20">
        <f>($B$13*$D$11+$C$13*$D$11+$F$13*((ER20+EJ20)/MAX(ER20+EJ20+ES20, 0.1)*$I$11+ES20/MAX(ER20+EJ20+ES20, 0.1)*$J$11))/($B$13+$C$13+$F$13)</f>
        <v>0</v>
      </c>
      <c r="CX20">
        <f>($B$13*$K$11+$C$13*$K$11+$F$13*((ER20+EJ20)/MAX(ER20+EJ20+ES20, 0.1)*$P$11+ES20/MAX(ER20+EJ20+ES20, 0.1)*$Q$11))/($B$13+$C$13+$F$13)</f>
        <v>0</v>
      </c>
      <c r="CY20">
        <v>2.7</v>
      </c>
      <c r="CZ20">
        <v>0.5</v>
      </c>
      <c r="DA20" t="s">
        <v>421</v>
      </c>
      <c r="DB20">
        <v>2</v>
      </c>
      <c r="DC20">
        <v>1761018068.666667</v>
      </c>
      <c r="DD20">
        <v>420.4096666666667</v>
      </c>
      <c r="DE20">
        <v>419.8911111111111</v>
      </c>
      <c r="DF20">
        <v>23.8111</v>
      </c>
      <c r="DG20">
        <v>24.13838888888889</v>
      </c>
      <c r="DH20">
        <v>421.0268888888889</v>
      </c>
      <c r="DI20">
        <v>23.60616666666667</v>
      </c>
      <c r="DJ20">
        <v>499.9338888888889</v>
      </c>
      <c r="DK20">
        <v>90.77124444444445</v>
      </c>
      <c r="DL20">
        <v>0.0357315</v>
      </c>
      <c r="DM20">
        <v>30.25681111111111</v>
      </c>
      <c r="DN20">
        <v>30.10215555555556</v>
      </c>
      <c r="DO20">
        <v>999.9000000000001</v>
      </c>
      <c r="DP20">
        <v>0</v>
      </c>
      <c r="DQ20">
        <v>0</v>
      </c>
      <c r="DR20">
        <v>9990.625555555556</v>
      </c>
      <c r="DS20">
        <v>0</v>
      </c>
      <c r="DT20">
        <v>0.242856</v>
      </c>
      <c r="DU20">
        <v>0.5183545555555557</v>
      </c>
      <c r="DV20">
        <v>430.6641111111111</v>
      </c>
      <c r="DW20">
        <v>430.2775555555556</v>
      </c>
      <c r="DX20">
        <v>-0.3272835555555555</v>
      </c>
      <c r="DY20">
        <v>419.8911111111111</v>
      </c>
      <c r="DZ20">
        <v>24.13838888888889</v>
      </c>
      <c r="EA20">
        <v>2.161363333333333</v>
      </c>
      <c r="EB20">
        <v>2.191071111111111</v>
      </c>
      <c r="EC20">
        <v>18.67871111111111</v>
      </c>
      <c r="ED20">
        <v>18.89714444444444</v>
      </c>
      <c r="EE20">
        <v>0.00500078</v>
      </c>
      <c r="EF20">
        <v>0</v>
      </c>
      <c r="EG20">
        <v>0</v>
      </c>
      <c r="EH20">
        <v>0</v>
      </c>
      <c r="EI20">
        <v>151.0666666666667</v>
      </c>
      <c r="EJ20">
        <v>0.00500078</v>
      </c>
      <c r="EK20">
        <v>-17.93333333333333</v>
      </c>
      <c r="EL20">
        <v>-0.8777777777777778</v>
      </c>
      <c r="EM20">
        <v>35.60377777777777</v>
      </c>
      <c r="EN20">
        <v>39.79155555555556</v>
      </c>
      <c r="EO20">
        <v>37.86777777777777</v>
      </c>
      <c r="EP20">
        <v>40.40255555555555</v>
      </c>
      <c r="EQ20">
        <v>38.34</v>
      </c>
      <c r="ER20">
        <v>0</v>
      </c>
      <c r="ES20">
        <v>0</v>
      </c>
      <c r="ET20">
        <v>0</v>
      </c>
      <c r="EU20">
        <v>1761018070.3</v>
      </c>
      <c r="EV20">
        <v>0</v>
      </c>
      <c r="EW20">
        <v>151.5</v>
      </c>
      <c r="EX20">
        <v>-14.65982892867873</v>
      </c>
      <c r="EY20">
        <v>-39.7982911439078</v>
      </c>
      <c r="EZ20">
        <v>-12.85769230769231</v>
      </c>
      <c r="FA20">
        <v>15</v>
      </c>
      <c r="FB20">
        <v>1761018049.5</v>
      </c>
      <c r="FC20" t="s">
        <v>422</v>
      </c>
      <c r="FD20">
        <v>1761018049.5</v>
      </c>
      <c r="FE20">
        <v>1761018035.5</v>
      </c>
      <c r="FF20">
        <v>23</v>
      </c>
      <c r="FG20">
        <v>1.295</v>
      </c>
      <c r="FH20">
        <v>0.011</v>
      </c>
      <c r="FI20">
        <v>-0.618</v>
      </c>
      <c r="FJ20">
        <v>0.192</v>
      </c>
      <c r="FK20">
        <v>420</v>
      </c>
      <c r="FL20">
        <v>23</v>
      </c>
      <c r="FM20">
        <v>0.42</v>
      </c>
      <c r="FN20">
        <v>0.17</v>
      </c>
      <c r="FO20">
        <v>0.4851036174999999</v>
      </c>
      <c r="FP20">
        <v>0.5540352123827385</v>
      </c>
      <c r="FQ20">
        <v>0.1337072045905379</v>
      </c>
      <c r="FR20">
        <v>0</v>
      </c>
      <c r="FS20">
        <v>151.2676470588235</v>
      </c>
      <c r="FT20">
        <v>-3.191749291933499</v>
      </c>
      <c r="FU20">
        <v>6.696255344604059</v>
      </c>
      <c r="FV20">
        <v>0</v>
      </c>
      <c r="FW20">
        <v>-0.132316609075</v>
      </c>
      <c r="FX20">
        <v>-1.933375179816135</v>
      </c>
      <c r="FY20">
        <v>0.2078819229917592</v>
      </c>
      <c r="FZ20">
        <v>0</v>
      </c>
      <c r="GA20">
        <v>0</v>
      </c>
      <c r="GB20">
        <v>3</v>
      </c>
      <c r="GC20" t="s">
        <v>423</v>
      </c>
      <c r="GD20">
        <v>3.10971</v>
      </c>
      <c r="GE20">
        <v>2.72729</v>
      </c>
      <c r="GF20">
        <v>0.088544</v>
      </c>
      <c r="GG20">
        <v>0.0884059</v>
      </c>
      <c r="GH20">
        <v>0.108447</v>
      </c>
      <c r="GI20">
        <v>0.110331</v>
      </c>
      <c r="GJ20">
        <v>23895.5</v>
      </c>
      <c r="GK20">
        <v>21689.3</v>
      </c>
      <c r="GL20">
        <v>26776.2</v>
      </c>
      <c r="GM20">
        <v>24001.6</v>
      </c>
      <c r="GN20">
        <v>38145.7</v>
      </c>
      <c r="GO20">
        <v>31517.3</v>
      </c>
      <c r="GP20">
        <v>46735.8</v>
      </c>
      <c r="GQ20">
        <v>37964.4</v>
      </c>
      <c r="GR20">
        <v>1.88375</v>
      </c>
      <c r="GS20">
        <v>1.87182</v>
      </c>
      <c r="GT20">
        <v>0.148773</v>
      </c>
      <c r="GU20">
        <v>0</v>
      </c>
      <c r="GV20">
        <v>27.6782</v>
      </c>
      <c r="GW20">
        <v>999.9</v>
      </c>
      <c r="GX20">
        <v>63.1</v>
      </c>
      <c r="GY20">
        <v>29.1</v>
      </c>
      <c r="GZ20">
        <v>28.1195</v>
      </c>
      <c r="HA20">
        <v>61.44</v>
      </c>
      <c r="HB20">
        <v>19.8397</v>
      </c>
      <c r="HC20">
        <v>1</v>
      </c>
      <c r="HD20">
        <v>0.08070629999999999</v>
      </c>
      <c r="HE20">
        <v>-1.64648</v>
      </c>
      <c r="HF20">
        <v>20.3279</v>
      </c>
      <c r="HG20">
        <v>5.22148</v>
      </c>
      <c r="HH20">
        <v>11.98</v>
      </c>
      <c r="HI20">
        <v>4.96525</v>
      </c>
      <c r="HJ20">
        <v>3.2757</v>
      </c>
      <c r="HK20">
        <v>9999</v>
      </c>
      <c r="HL20">
        <v>9999</v>
      </c>
      <c r="HM20">
        <v>9999</v>
      </c>
      <c r="HN20">
        <v>999.9</v>
      </c>
      <c r="HO20">
        <v>1.8636</v>
      </c>
      <c r="HP20">
        <v>1.85974</v>
      </c>
      <c r="HQ20">
        <v>1.85797</v>
      </c>
      <c r="HR20">
        <v>1.85936</v>
      </c>
      <c r="HS20">
        <v>1.85959</v>
      </c>
      <c r="HT20">
        <v>1.85805</v>
      </c>
      <c r="HU20">
        <v>1.8571</v>
      </c>
      <c r="HV20">
        <v>1.85209</v>
      </c>
      <c r="HW20">
        <v>0</v>
      </c>
      <c r="HX20">
        <v>0</v>
      </c>
      <c r="HY20">
        <v>0</v>
      </c>
      <c r="HZ20">
        <v>0</v>
      </c>
      <c r="IA20" t="s">
        <v>424</v>
      </c>
      <c r="IB20" t="s">
        <v>425</v>
      </c>
      <c r="IC20" t="s">
        <v>426</v>
      </c>
      <c r="ID20" t="s">
        <v>426</v>
      </c>
      <c r="IE20" t="s">
        <v>426</v>
      </c>
      <c r="IF20" t="s">
        <v>426</v>
      </c>
      <c r="IG20">
        <v>0</v>
      </c>
      <c r="IH20">
        <v>100</v>
      </c>
      <c r="II20">
        <v>100</v>
      </c>
      <c r="IJ20">
        <v>-0.617</v>
      </c>
      <c r="IK20">
        <v>0.208</v>
      </c>
      <c r="IL20">
        <v>-1.405955206116699</v>
      </c>
      <c r="IM20">
        <v>0.001328113201692861</v>
      </c>
      <c r="IN20">
        <v>1.538283238170363E-06</v>
      </c>
      <c r="IO20">
        <v>-5.795655626708063E-10</v>
      </c>
      <c r="IP20">
        <v>-0.04918981781385694</v>
      </c>
      <c r="IQ20">
        <v>-0.004593102289677449</v>
      </c>
      <c r="IR20">
        <v>0.0008253994458280543</v>
      </c>
      <c r="IS20">
        <v>-7.403632370499484E-06</v>
      </c>
      <c r="IT20">
        <v>2</v>
      </c>
      <c r="IU20">
        <v>1985</v>
      </c>
      <c r="IV20">
        <v>1</v>
      </c>
      <c r="IW20">
        <v>27</v>
      </c>
      <c r="IX20">
        <v>0.4</v>
      </c>
      <c r="IY20">
        <v>0.6</v>
      </c>
      <c r="IZ20">
        <v>1.12061</v>
      </c>
      <c r="JA20">
        <v>2.55981</v>
      </c>
      <c r="JB20">
        <v>1.49658</v>
      </c>
      <c r="JC20">
        <v>2.34131</v>
      </c>
      <c r="JD20">
        <v>1.54907</v>
      </c>
      <c r="JE20">
        <v>2.35718</v>
      </c>
      <c r="JF20">
        <v>31.6517</v>
      </c>
      <c r="JG20">
        <v>14.6574</v>
      </c>
      <c r="JH20">
        <v>18</v>
      </c>
      <c r="JI20">
        <v>482.794</v>
      </c>
      <c r="JJ20">
        <v>504.665</v>
      </c>
      <c r="JK20">
        <v>31.6432</v>
      </c>
      <c r="JL20">
        <v>28.2866</v>
      </c>
      <c r="JM20">
        <v>29.9997</v>
      </c>
      <c r="JN20">
        <v>28.5916</v>
      </c>
      <c r="JO20">
        <v>28.5947</v>
      </c>
      <c r="JP20">
        <v>22.5426</v>
      </c>
      <c r="JQ20">
        <v>20.9861</v>
      </c>
      <c r="JR20">
        <v>81.53149999999999</v>
      </c>
      <c r="JS20">
        <v>31.5804</v>
      </c>
      <c r="JT20">
        <v>420</v>
      </c>
      <c r="JU20">
        <v>23.6441</v>
      </c>
      <c r="JV20">
        <v>102.201</v>
      </c>
      <c r="JW20">
        <v>91.56399999999999</v>
      </c>
    </row>
    <row r="21" spans="1:283">
      <c r="A21">
        <v>3</v>
      </c>
      <c r="B21">
        <v>1761018073.5</v>
      </c>
      <c r="C21">
        <v>4</v>
      </c>
      <c r="D21" t="s">
        <v>429</v>
      </c>
      <c r="E21" t="s">
        <v>430</v>
      </c>
      <c r="F21">
        <v>5</v>
      </c>
      <c r="G21" t="s">
        <v>419</v>
      </c>
      <c r="H21">
        <v>1761018070.8125</v>
      </c>
      <c r="I21">
        <f>(J21)/1000</f>
        <v>0</v>
      </c>
      <c r="J21">
        <f>1000*DJ21*AH21*(DF21-DG21)/(100*CY21*(1000-AH21*DF21))</f>
        <v>0</v>
      </c>
      <c r="K21">
        <f>DJ21*AH21*(DE21-DD21*(1000-AH21*DG21)/(1000-AH21*DF21))/(100*CY21)</f>
        <v>0</v>
      </c>
      <c r="L21">
        <f>DD21 - IF(AH21&gt;1, K21*CY21*100.0/(AJ21), 0)</f>
        <v>0</v>
      </c>
      <c r="M21">
        <f>((S21-I21/2)*L21-K21)/(S21+I21/2)</f>
        <v>0</v>
      </c>
      <c r="N21">
        <f>M21*(DK21+DL21)/1000.0</f>
        <v>0</v>
      </c>
      <c r="O21">
        <f>(DD21 - IF(AH21&gt;1, K21*CY21*100.0/(AJ21), 0))*(DK21+DL21)/1000.0</f>
        <v>0</v>
      </c>
      <c r="P21">
        <f>2.0/((1/R21-1/Q21)+SIGN(R21)*SQRT((1/R21-1/Q21)*(1/R21-1/Q21) + 4*CZ21/((CZ21+1)*(CZ21+1))*(2*1/R21*1/Q21-1/Q21*1/Q21)))</f>
        <v>0</v>
      </c>
      <c r="Q21">
        <f>IF(LEFT(DA21,1)&lt;&gt;"0",IF(LEFT(DA21,1)="1",3.0,DB21),$D$5+$E$5*(DR21*DK21/($K$5*1000))+$F$5*(DR21*DK21/($K$5*1000))*MAX(MIN(CY21,$J$5),$I$5)*MAX(MIN(CY21,$J$5),$I$5)+$G$5*MAX(MIN(CY21,$J$5),$I$5)*(DR21*DK21/($K$5*1000))+$H$5*(DR21*DK21/($K$5*1000))*(DR21*DK21/($K$5*1000)))</f>
        <v>0</v>
      </c>
      <c r="R21">
        <f>I21*(1000-(1000*0.61365*exp(17.502*V21/(240.97+V21))/(DK21+DL21)+DF21)/2)/(1000*0.61365*exp(17.502*V21/(240.97+V21))/(DK21+DL21)-DF21)</f>
        <v>0</v>
      </c>
      <c r="S21">
        <f>1/((CZ21+1)/(P21/1.6)+1/(Q21/1.37)) + CZ21/((CZ21+1)/(P21/1.6) + CZ21/(Q21/1.37))</f>
        <v>0</v>
      </c>
      <c r="T21">
        <f>(CU21*CX21)</f>
        <v>0</v>
      </c>
      <c r="U21">
        <f>(DM21+(T21+2*0.95*5.67E-8*(((DM21+$B$9)+273)^4-(DM21+273)^4)-44100*I21)/(1.84*29.3*Q21+8*0.95*5.67E-8*(DM21+273)^3))</f>
        <v>0</v>
      </c>
      <c r="V21">
        <f>($C$9*DN21+$D$9*DO21+$E$9*U21)</f>
        <v>0</v>
      </c>
      <c r="W21">
        <f>0.61365*exp(17.502*V21/(240.97+V21))</f>
        <v>0</v>
      </c>
      <c r="X21">
        <f>(Y21/Z21*100)</f>
        <v>0</v>
      </c>
      <c r="Y21">
        <f>DF21*(DK21+DL21)/1000</f>
        <v>0</v>
      </c>
      <c r="Z21">
        <f>0.61365*exp(17.502*DM21/(240.97+DM21))</f>
        <v>0</v>
      </c>
      <c r="AA21">
        <f>(W21-DF21*(DK21+DL21)/1000)</f>
        <v>0</v>
      </c>
      <c r="AB21">
        <f>(-I21*44100)</f>
        <v>0</v>
      </c>
      <c r="AC21">
        <f>2*29.3*Q21*0.92*(DM21-V21)</f>
        <v>0</v>
      </c>
      <c r="AD21">
        <f>2*0.95*5.67E-8*(((DM21+$B$9)+273)^4-(V21+273)^4)</f>
        <v>0</v>
      </c>
      <c r="AE21">
        <f>T21+AD21+AB21+AC21</f>
        <v>0</v>
      </c>
      <c r="AF21">
        <v>0</v>
      </c>
      <c r="AG21">
        <v>0</v>
      </c>
      <c r="AH21">
        <f>IF(AF21*$H$15&gt;=AJ21,1.0,(AJ21/(AJ21-AF21*$H$15)))</f>
        <v>0</v>
      </c>
      <c r="AI21">
        <f>(AH21-1)*100</f>
        <v>0</v>
      </c>
      <c r="AJ21">
        <f>MAX(0,($B$15+$C$15*DR21)/(1+$D$15*DR21)*DK21/(DM21+273)*$E$15)</f>
        <v>0</v>
      </c>
      <c r="AK21" t="s">
        <v>420</v>
      </c>
      <c r="AL21" t="s">
        <v>420</v>
      </c>
      <c r="AM21">
        <v>0</v>
      </c>
      <c r="AN21">
        <v>0</v>
      </c>
      <c r="AO21">
        <f>1-AM21/AN21</f>
        <v>0</v>
      </c>
      <c r="AP21">
        <v>0</v>
      </c>
      <c r="AQ21" t="s">
        <v>420</v>
      </c>
      <c r="AR21" t="s">
        <v>420</v>
      </c>
      <c r="AS21">
        <v>0</v>
      </c>
      <c r="AT21">
        <v>0</v>
      </c>
      <c r="AU21">
        <f>1-AS21/AT21</f>
        <v>0</v>
      </c>
      <c r="AV21">
        <v>0.5</v>
      </c>
      <c r="AW21">
        <f>CV21</f>
        <v>0</v>
      </c>
      <c r="AX21">
        <f>K21</f>
        <v>0</v>
      </c>
      <c r="AY21">
        <f>AU21*AV21*AW21</f>
        <v>0</v>
      </c>
      <c r="AZ21">
        <f>(AX21-AP21)/AW21</f>
        <v>0</v>
      </c>
      <c r="BA21">
        <f>(AN21-AT21)/AT21</f>
        <v>0</v>
      </c>
      <c r="BB21">
        <f>AM21/(AO21+AM21/AT21)</f>
        <v>0</v>
      </c>
      <c r="BC21" t="s">
        <v>420</v>
      </c>
      <c r="BD21">
        <v>0</v>
      </c>
      <c r="BE21">
        <f>IF(BD21&lt;&gt;0, BD21, BB21)</f>
        <v>0</v>
      </c>
      <c r="BF21">
        <f>1-BE21/AT21</f>
        <v>0</v>
      </c>
      <c r="BG21">
        <f>(AT21-AS21)/(AT21-BE21)</f>
        <v>0</v>
      </c>
      <c r="BH21">
        <f>(AN21-AT21)/(AN21-BE21)</f>
        <v>0</v>
      </c>
      <c r="BI21">
        <f>(AT21-AS21)/(AT21-AM21)</f>
        <v>0</v>
      </c>
      <c r="BJ21">
        <f>(AN21-AT21)/(AN21-AM21)</f>
        <v>0</v>
      </c>
      <c r="BK21">
        <f>(BG21*BE21/AS21)</f>
        <v>0</v>
      </c>
      <c r="BL21">
        <f>(1-BK21)</f>
        <v>0</v>
      </c>
      <c r="CU21">
        <f>$B$13*DS21+$C$13*DT21+$F$13*EE21*(1-EH21)</f>
        <v>0</v>
      </c>
      <c r="CV21">
        <f>CU21*CW21</f>
        <v>0</v>
      </c>
      <c r="CW21">
        <f>($B$13*$D$11+$C$13*$D$11+$F$13*((ER21+EJ21)/MAX(ER21+EJ21+ES21, 0.1)*$I$11+ES21/MAX(ER21+EJ21+ES21, 0.1)*$J$11))/($B$13+$C$13+$F$13)</f>
        <v>0</v>
      </c>
      <c r="CX21">
        <f>($B$13*$K$11+$C$13*$K$11+$F$13*((ER21+EJ21)/MAX(ER21+EJ21+ES21, 0.1)*$P$11+ES21/MAX(ER21+EJ21+ES21, 0.1)*$Q$11))/($B$13+$C$13+$F$13)</f>
        <v>0</v>
      </c>
      <c r="CY21">
        <v>2.7</v>
      </c>
      <c r="CZ21">
        <v>0.5</v>
      </c>
      <c r="DA21" t="s">
        <v>421</v>
      </c>
      <c r="DB21">
        <v>2</v>
      </c>
      <c r="DC21">
        <v>1761018070.8125</v>
      </c>
      <c r="DD21">
        <v>420.458</v>
      </c>
      <c r="DE21">
        <v>419.92</v>
      </c>
      <c r="DF21">
        <v>23.91705</v>
      </c>
      <c r="DG21">
        <v>24.1844375</v>
      </c>
      <c r="DH21">
        <v>421.075125</v>
      </c>
      <c r="DI21">
        <v>23.7098125</v>
      </c>
      <c r="DJ21">
        <v>499.960875</v>
      </c>
      <c r="DK21">
        <v>90.771125</v>
      </c>
      <c r="DL21">
        <v>0.0356160625</v>
      </c>
      <c r="DM21">
        <v>30.254425</v>
      </c>
      <c r="DN21">
        <v>30.1027</v>
      </c>
      <c r="DO21">
        <v>999.9</v>
      </c>
      <c r="DP21">
        <v>0</v>
      </c>
      <c r="DQ21">
        <v>0</v>
      </c>
      <c r="DR21">
        <v>9998.431250000001</v>
      </c>
      <c r="DS21">
        <v>0</v>
      </c>
      <c r="DT21">
        <v>0.242856</v>
      </c>
      <c r="DU21">
        <v>0.53768925</v>
      </c>
      <c r="DV21">
        <v>430.7605</v>
      </c>
      <c r="DW21">
        <v>430.327625</v>
      </c>
      <c r="DX21">
        <v>-0.267379625</v>
      </c>
      <c r="DY21">
        <v>419.92</v>
      </c>
      <c r="DZ21">
        <v>24.1844375</v>
      </c>
      <c r="EA21">
        <v>2.17097625</v>
      </c>
      <c r="EB21">
        <v>2.195245</v>
      </c>
      <c r="EC21">
        <v>18.7496875</v>
      </c>
      <c r="ED21">
        <v>18.9276375</v>
      </c>
      <c r="EE21">
        <v>0.00500078</v>
      </c>
      <c r="EF21">
        <v>0</v>
      </c>
      <c r="EG21">
        <v>0</v>
      </c>
      <c r="EH21">
        <v>0</v>
      </c>
      <c r="EI21">
        <v>150</v>
      </c>
      <c r="EJ21">
        <v>0.00500078</v>
      </c>
      <c r="EK21">
        <v>-14.5875</v>
      </c>
      <c r="EL21">
        <v>-0.2625</v>
      </c>
      <c r="EM21">
        <v>35.570125</v>
      </c>
      <c r="EN21">
        <v>39.71075</v>
      </c>
      <c r="EO21">
        <v>37.827875</v>
      </c>
      <c r="EP21">
        <v>40.29649999999999</v>
      </c>
      <c r="EQ21">
        <v>38.31999999999999</v>
      </c>
      <c r="ER21">
        <v>0</v>
      </c>
      <c r="ES21">
        <v>0</v>
      </c>
      <c r="ET21">
        <v>0</v>
      </c>
      <c r="EU21">
        <v>1761018072.7</v>
      </c>
      <c r="EV21">
        <v>0</v>
      </c>
      <c r="EW21">
        <v>151.5423076923077</v>
      </c>
      <c r="EX21">
        <v>-26.10256412684333</v>
      </c>
      <c r="EY21">
        <v>-4.475213758853774</v>
      </c>
      <c r="EZ21">
        <v>-13.22692307692308</v>
      </c>
      <c r="FA21">
        <v>15</v>
      </c>
      <c r="FB21">
        <v>1761018049.5</v>
      </c>
      <c r="FC21" t="s">
        <v>422</v>
      </c>
      <c r="FD21">
        <v>1761018049.5</v>
      </c>
      <c r="FE21">
        <v>1761018035.5</v>
      </c>
      <c r="FF21">
        <v>23</v>
      </c>
      <c r="FG21">
        <v>1.295</v>
      </c>
      <c r="FH21">
        <v>0.011</v>
      </c>
      <c r="FI21">
        <v>-0.618</v>
      </c>
      <c r="FJ21">
        <v>0.192</v>
      </c>
      <c r="FK21">
        <v>420</v>
      </c>
      <c r="FL21">
        <v>23</v>
      </c>
      <c r="FM21">
        <v>0.42</v>
      </c>
      <c r="FN21">
        <v>0.17</v>
      </c>
      <c r="FO21">
        <v>0.5107303170731707</v>
      </c>
      <c r="FP21">
        <v>0.2403191916376319</v>
      </c>
      <c r="FQ21">
        <v>0.09523792377845693</v>
      </c>
      <c r="FR21">
        <v>1</v>
      </c>
      <c r="FS21">
        <v>151.6441176470588</v>
      </c>
      <c r="FT21">
        <v>-7.943468190011798</v>
      </c>
      <c r="FU21">
        <v>6.602503588277556</v>
      </c>
      <c r="FV21">
        <v>0</v>
      </c>
      <c r="FW21">
        <v>-0.1480538600731707</v>
      </c>
      <c r="FX21">
        <v>-1.749199996432055</v>
      </c>
      <c r="FY21">
        <v>0.2026295268124098</v>
      </c>
      <c r="FZ21">
        <v>0</v>
      </c>
      <c r="GA21">
        <v>1</v>
      </c>
      <c r="GB21">
        <v>3</v>
      </c>
      <c r="GC21" t="s">
        <v>431</v>
      </c>
      <c r="GD21">
        <v>3.10977</v>
      </c>
      <c r="GE21">
        <v>2.72751</v>
      </c>
      <c r="GF21">
        <v>0.0885557</v>
      </c>
      <c r="GG21">
        <v>0.08841209999999999</v>
      </c>
      <c r="GH21">
        <v>0.108694</v>
      </c>
      <c r="GI21">
        <v>0.110266</v>
      </c>
      <c r="GJ21">
        <v>23895.3</v>
      </c>
      <c r="GK21">
        <v>21689</v>
      </c>
      <c r="GL21">
        <v>26776.3</v>
      </c>
      <c r="GM21">
        <v>24001.4</v>
      </c>
      <c r="GN21">
        <v>38135.1</v>
      </c>
      <c r="GO21">
        <v>31519.2</v>
      </c>
      <c r="GP21">
        <v>46736</v>
      </c>
      <c r="GQ21">
        <v>37963.9</v>
      </c>
      <c r="GR21">
        <v>1.88393</v>
      </c>
      <c r="GS21">
        <v>1.872</v>
      </c>
      <c r="GT21">
        <v>0.147499</v>
      </c>
      <c r="GU21">
        <v>0</v>
      </c>
      <c r="GV21">
        <v>27.6892</v>
      </c>
      <c r="GW21">
        <v>999.9</v>
      </c>
      <c r="GX21">
        <v>63.1</v>
      </c>
      <c r="GY21">
        <v>29.1</v>
      </c>
      <c r="GZ21">
        <v>28.1185</v>
      </c>
      <c r="HA21">
        <v>61.42</v>
      </c>
      <c r="HB21">
        <v>19.6995</v>
      </c>
      <c r="HC21">
        <v>1</v>
      </c>
      <c r="HD21">
        <v>0.0803557</v>
      </c>
      <c r="HE21">
        <v>-1.5632</v>
      </c>
      <c r="HF21">
        <v>20.3288</v>
      </c>
      <c r="HG21">
        <v>5.22148</v>
      </c>
      <c r="HH21">
        <v>11.98</v>
      </c>
      <c r="HI21">
        <v>4.96515</v>
      </c>
      <c r="HJ21">
        <v>3.27585</v>
      </c>
      <c r="HK21">
        <v>9999</v>
      </c>
      <c r="HL21">
        <v>9999</v>
      </c>
      <c r="HM21">
        <v>9999</v>
      </c>
      <c r="HN21">
        <v>999.9</v>
      </c>
      <c r="HO21">
        <v>1.8636</v>
      </c>
      <c r="HP21">
        <v>1.85974</v>
      </c>
      <c r="HQ21">
        <v>1.85798</v>
      </c>
      <c r="HR21">
        <v>1.85935</v>
      </c>
      <c r="HS21">
        <v>1.85959</v>
      </c>
      <c r="HT21">
        <v>1.85806</v>
      </c>
      <c r="HU21">
        <v>1.85711</v>
      </c>
      <c r="HV21">
        <v>1.8521</v>
      </c>
      <c r="HW21">
        <v>0</v>
      </c>
      <c r="HX21">
        <v>0</v>
      </c>
      <c r="HY21">
        <v>0</v>
      </c>
      <c r="HZ21">
        <v>0</v>
      </c>
      <c r="IA21" t="s">
        <v>424</v>
      </c>
      <c r="IB21" t="s">
        <v>425</v>
      </c>
      <c r="IC21" t="s">
        <v>426</v>
      </c>
      <c r="ID21" t="s">
        <v>426</v>
      </c>
      <c r="IE21" t="s">
        <v>426</v>
      </c>
      <c r="IF21" t="s">
        <v>426</v>
      </c>
      <c r="IG21">
        <v>0</v>
      </c>
      <c r="IH21">
        <v>100</v>
      </c>
      <c r="II21">
        <v>100</v>
      </c>
      <c r="IJ21">
        <v>-0.617</v>
      </c>
      <c r="IK21">
        <v>0.2097</v>
      </c>
      <c r="IL21">
        <v>-1.405955206116699</v>
      </c>
      <c r="IM21">
        <v>0.001328113201692861</v>
      </c>
      <c r="IN21">
        <v>1.538283238170363E-06</v>
      </c>
      <c r="IO21">
        <v>-5.795655626708063E-10</v>
      </c>
      <c r="IP21">
        <v>-0.04918981781385694</v>
      </c>
      <c r="IQ21">
        <v>-0.004593102289677449</v>
      </c>
      <c r="IR21">
        <v>0.0008253994458280543</v>
      </c>
      <c r="IS21">
        <v>-7.403632370499484E-06</v>
      </c>
      <c r="IT21">
        <v>2</v>
      </c>
      <c r="IU21">
        <v>1985</v>
      </c>
      <c r="IV21">
        <v>1</v>
      </c>
      <c r="IW21">
        <v>27</v>
      </c>
      <c r="IX21">
        <v>0.4</v>
      </c>
      <c r="IY21">
        <v>0.6</v>
      </c>
      <c r="IZ21">
        <v>1.12061</v>
      </c>
      <c r="JA21">
        <v>2.54639</v>
      </c>
      <c r="JB21">
        <v>1.49658</v>
      </c>
      <c r="JC21">
        <v>2.34131</v>
      </c>
      <c r="JD21">
        <v>1.54907</v>
      </c>
      <c r="JE21">
        <v>2.3999</v>
      </c>
      <c r="JF21">
        <v>31.6517</v>
      </c>
      <c r="JG21">
        <v>14.6661</v>
      </c>
      <c r="JH21">
        <v>18</v>
      </c>
      <c r="JI21">
        <v>482.878</v>
      </c>
      <c r="JJ21">
        <v>504.756</v>
      </c>
      <c r="JK21">
        <v>31.608</v>
      </c>
      <c r="JL21">
        <v>28.2848</v>
      </c>
      <c r="JM21">
        <v>29.9995</v>
      </c>
      <c r="JN21">
        <v>28.5892</v>
      </c>
      <c r="JO21">
        <v>28.5918</v>
      </c>
      <c r="JP21">
        <v>22.538</v>
      </c>
      <c r="JQ21">
        <v>21.7455</v>
      </c>
      <c r="JR21">
        <v>81.53149999999999</v>
      </c>
      <c r="JS21">
        <v>31.5804</v>
      </c>
      <c r="JT21">
        <v>420</v>
      </c>
      <c r="JU21">
        <v>23.5805</v>
      </c>
      <c r="JV21">
        <v>102.202</v>
      </c>
      <c r="JW21">
        <v>91.563</v>
      </c>
    </row>
    <row r="22" spans="1:283">
      <c r="A22">
        <v>4</v>
      </c>
      <c r="B22">
        <v>1761018075.5</v>
      </c>
      <c r="C22">
        <v>6</v>
      </c>
      <c r="D22" t="s">
        <v>432</v>
      </c>
      <c r="E22" t="s">
        <v>433</v>
      </c>
      <c r="F22">
        <v>5</v>
      </c>
      <c r="G22" t="s">
        <v>419</v>
      </c>
      <c r="H22">
        <v>1761018072.5</v>
      </c>
      <c r="I22">
        <f>(J22)/1000</f>
        <v>0</v>
      </c>
      <c r="J22">
        <f>1000*DJ22*AH22*(DF22-DG22)/(100*CY22*(1000-AH22*DF22))</f>
        <v>0</v>
      </c>
      <c r="K22">
        <f>DJ22*AH22*(DE22-DD22*(1000-AH22*DG22)/(1000-AH22*DF22))/(100*CY22)</f>
        <v>0</v>
      </c>
      <c r="L22">
        <f>DD22 - IF(AH22&gt;1, K22*CY22*100.0/(AJ22), 0)</f>
        <v>0</v>
      </c>
      <c r="M22">
        <f>((S22-I22/2)*L22-K22)/(S22+I22/2)</f>
        <v>0</v>
      </c>
      <c r="N22">
        <f>M22*(DK22+DL22)/1000.0</f>
        <v>0</v>
      </c>
      <c r="O22">
        <f>(DD22 - IF(AH22&gt;1, K22*CY22*100.0/(AJ22), 0))*(DK22+DL22)/1000.0</f>
        <v>0</v>
      </c>
      <c r="P22">
        <f>2.0/((1/R22-1/Q22)+SIGN(R22)*SQRT((1/R22-1/Q22)*(1/R22-1/Q22) + 4*CZ22/((CZ22+1)*(CZ22+1))*(2*1/R22*1/Q22-1/Q22*1/Q22)))</f>
        <v>0</v>
      </c>
      <c r="Q22">
        <f>IF(LEFT(DA22,1)&lt;&gt;"0",IF(LEFT(DA22,1)="1",3.0,DB22),$D$5+$E$5*(DR22*DK22/($K$5*1000))+$F$5*(DR22*DK22/($K$5*1000))*MAX(MIN(CY22,$J$5),$I$5)*MAX(MIN(CY22,$J$5),$I$5)+$G$5*MAX(MIN(CY22,$J$5),$I$5)*(DR22*DK22/($K$5*1000))+$H$5*(DR22*DK22/($K$5*1000))*(DR22*DK22/($K$5*1000)))</f>
        <v>0</v>
      </c>
      <c r="R22">
        <f>I22*(1000-(1000*0.61365*exp(17.502*V22/(240.97+V22))/(DK22+DL22)+DF22)/2)/(1000*0.61365*exp(17.502*V22/(240.97+V22))/(DK22+DL22)-DF22)</f>
        <v>0</v>
      </c>
      <c r="S22">
        <f>1/((CZ22+1)/(P22/1.6)+1/(Q22/1.37)) + CZ22/((CZ22+1)/(P22/1.6) + CZ22/(Q22/1.37))</f>
        <v>0</v>
      </c>
      <c r="T22">
        <f>(CU22*CX22)</f>
        <v>0</v>
      </c>
      <c r="U22">
        <f>(DM22+(T22+2*0.95*5.67E-8*(((DM22+$B$9)+273)^4-(DM22+273)^4)-44100*I22)/(1.84*29.3*Q22+8*0.95*5.67E-8*(DM22+273)^3))</f>
        <v>0</v>
      </c>
      <c r="V22">
        <f>($C$9*DN22+$D$9*DO22+$E$9*U22)</f>
        <v>0</v>
      </c>
      <c r="W22">
        <f>0.61365*exp(17.502*V22/(240.97+V22))</f>
        <v>0</v>
      </c>
      <c r="X22">
        <f>(Y22/Z22*100)</f>
        <v>0</v>
      </c>
      <c r="Y22">
        <f>DF22*(DK22+DL22)/1000</f>
        <v>0</v>
      </c>
      <c r="Z22">
        <f>0.61365*exp(17.502*DM22/(240.97+DM22))</f>
        <v>0</v>
      </c>
      <c r="AA22">
        <f>(W22-DF22*(DK22+DL22)/1000)</f>
        <v>0</v>
      </c>
      <c r="AB22">
        <f>(-I22*44100)</f>
        <v>0</v>
      </c>
      <c r="AC22">
        <f>2*29.3*Q22*0.92*(DM22-V22)</f>
        <v>0</v>
      </c>
      <c r="AD22">
        <f>2*0.95*5.67E-8*(((DM22+$B$9)+273)^4-(V22+273)^4)</f>
        <v>0</v>
      </c>
      <c r="AE22">
        <f>T22+AD22+AB22+AC22</f>
        <v>0</v>
      </c>
      <c r="AF22">
        <v>0</v>
      </c>
      <c r="AG22">
        <v>0</v>
      </c>
      <c r="AH22">
        <f>IF(AF22*$H$15&gt;=AJ22,1.0,(AJ22/(AJ22-AF22*$H$15)))</f>
        <v>0</v>
      </c>
      <c r="AI22">
        <f>(AH22-1)*100</f>
        <v>0</v>
      </c>
      <c r="AJ22">
        <f>MAX(0,($B$15+$C$15*DR22)/(1+$D$15*DR22)*DK22/(DM22+273)*$E$15)</f>
        <v>0</v>
      </c>
      <c r="AK22" t="s">
        <v>420</v>
      </c>
      <c r="AL22" t="s">
        <v>420</v>
      </c>
      <c r="AM22">
        <v>0</v>
      </c>
      <c r="AN22">
        <v>0</v>
      </c>
      <c r="AO22">
        <f>1-AM22/AN22</f>
        <v>0</v>
      </c>
      <c r="AP22">
        <v>0</v>
      </c>
      <c r="AQ22" t="s">
        <v>420</v>
      </c>
      <c r="AR22" t="s">
        <v>420</v>
      </c>
      <c r="AS22">
        <v>0</v>
      </c>
      <c r="AT22">
        <v>0</v>
      </c>
      <c r="AU22">
        <f>1-AS22/AT22</f>
        <v>0</v>
      </c>
      <c r="AV22">
        <v>0.5</v>
      </c>
      <c r="AW22">
        <f>CV22</f>
        <v>0</v>
      </c>
      <c r="AX22">
        <f>K22</f>
        <v>0</v>
      </c>
      <c r="AY22">
        <f>AU22*AV22*AW22</f>
        <v>0</v>
      </c>
      <c r="AZ22">
        <f>(AX22-AP22)/AW22</f>
        <v>0</v>
      </c>
      <c r="BA22">
        <f>(AN22-AT22)/AT22</f>
        <v>0</v>
      </c>
      <c r="BB22">
        <f>AM22/(AO22+AM22/AT22)</f>
        <v>0</v>
      </c>
      <c r="BC22" t="s">
        <v>420</v>
      </c>
      <c r="BD22">
        <v>0</v>
      </c>
      <c r="BE22">
        <f>IF(BD22&lt;&gt;0, BD22, BB22)</f>
        <v>0</v>
      </c>
      <c r="BF22">
        <f>1-BE22/AT22</f>
        <v>0</v>
      </c>
      <c r="BG22">
        <f>(AT22-AS22)/(AT22-BE22)</f>
        <v>0</v>
      </c>
      <c r="BH22">
        <f>(AN22-AT22)/(AN22-BE22)</f>
        <v>0</v>
      </c>
      <c r="BI22">
        <f>(AT22-AS22)/(AT22-AM22)</f>
        <v>0</v>
      </c>
      <c r="BJ22">
        <f>(AN22-AT22)/(AN22-AM22)</f>
        <v>0</v>
      </c>
      <c r="BK22">
        <f>(BG22*BE22/AS22)</f>
        <v>0</v>
      </c>
      <c r="BL22">
        <f>(1-BK22)</f>
        <v>0</v>
      </c>
      <c r="CU22">
        <f>$B$13*DS22+$C$13*DT22+$F$13*EE22*(1-EH22)</f>
        <v>0</v>
      </c>
      <c r="CV22">
        <f>CU22*CW22</f>
        <v>0</v>
      </c>
      <c r="CW22">
        <f>($B$13*$D$11+$C$13*$D$11+$F$13*((ER22+EJ22)/MAX(ER22+EJ22+ES22, 0.1)*$I$11+ES22/MAX(ER22+EJ22+ES22, 0.1)*$J$11))/($B$13+$C$13+$F$13)</f>
        <v>0</v>
      </c>
      <c r="CX22">
        <f>($B$13*$K$11+$C$13*$K$11+$F$13*((ER22+EJ22)/MAX(ER22+EJ22+ES22, 0.1)*$P$11+ES22/MAX(ER22+EJ22+ES22, 0.1)*$Q$11))/($B$13+$C$13+$F$13)</f>
        <v>0</v>
      </c>
      <c r="CY22">
        <v>2.7</v>
      </c>
      <c r="CZ22">
        <v>0.5</v>
      </c>
      <c r="DA22" t="s">
        <v>421</v>
      </c>
      <c r="DB22">
        <v>2</v>
      </c>
      <c r="DC22">
        <v>1761018072.5</v>
      </c>
      <c r="DD22">
        <v>420.5</v>
      </c>
      <c r="DE22">
        <v>419.9648888888889</v>
      </c>
      <c r="DF22">
        <v>23.98711111111111</v>
      </c>
      <c r="DG22">
        <v>24.18021111111111</v>
      </c>
      <c r="DH22">
        <v>421.1171111111111</v>
      </c>
      <c r="DI22">
        <v>23.77835555555556</v>
      </c>
      <c r="DJ22">
        <v>499.9642222222222</v>
      </c>
      <c r="DK22">
        <v>90.77112222222222</v>
      </c>
      <c r="DL22">
        <v>0.0356202</v>
      </c>
      <c r="DM22">
        <v>30.25146666666667</v>
      </c>
      <c r="DN22">
        <v>30.09857777777778</v>
      </c>
      <c r="DO22">
        <v>999.9000000000001</v>
      </c>
      <c r="DP22">
        <v>0</v>
      </c>
      <c r="DQ22">
        <v>0</v>
      </c>
      <c r="DR22">
        <v>10007.91111111111</v>
      </c>
      <c r="DS22">
        <v>0</v>
      </c>
      <c r="DT22">
        <v>0.242856</v>
      </c>
      <c r="DU22">
        <v>0.534868</v>
      </c>
      <c r="DV22">
        <v>430.8345555555556</v>
      </c>
      <c r="DW22">
        <v>430.3716666666667</v>
      </c>
      <c r="DX22">
        <v>-0.1930957</v>
      </c>
      <c r="DY22">
        <v>419.9648888888889</v>
      </c>
      <c r="DZ22">
        <v>24.18021111111111</v>
      </c>
      <c r="EA22">
        <v>2.177335555555556</v>
      </c>
      <c r="EB22">
        <v>2.194861111111111</v>
      </c>
      <c r="EC22">
        <v>18.79647777777778</v>
      </c>
      <c r="ED22">
        <v>18.92483333333333</v>
      </c>
      <c r="EE22">
        <v>0.00500078</v>
      </c>
      <c r="EF22">
        <v>0</v>
      </c>
      <c r="EG22">
        <v>0</v>
      </c>
      <c r="EH22">
        <v>0</v>
      </c>
      <c r="EI22">
        <v>151.3444444444445</v>
      </c>
      <c r="EJ22">
        <v>0.00500078</v>
      </c>
      <c r="EK22">
        <v>-13.05555555555555</v>
      </c>
      <c r="EL22">
        <v>-0.6</v>
      </c>
      <c r="EM22">
        <v>35.53444444444445</v>
      </c>
      <c r="EN22">
        <v>39.65955555555556</v>
      </c>
      <c r="EO22">
        <v>37.79833333333332</v>
      </c>
      <c r="EP22">
        <v>40.23566666666667</v>
      </c>
      <c r="EQ22">
        <v>38.30511111111111</v>
      </c>
      <c r="ER22">
        <v>0</v>
      </c>
      <c r="ES22">
        <v>0</v>
      </c>
      <c r="ET22">
        <v>0</v>
      </c>
      <c r="EU22">
        <v>1761018074.5</v>
      </c>
      <c r="EV22">
        <v>0</v>
      </c>
      <c r="EW22">
        <v>151.292</v>
      </c>
      <c r="EX22">
        <v>2.630769120635237</v>
      </c>
      <c r="EY22">
        <v>-4.623076862484678</v>
      </c>
      <c r="EZ22">
        <v>-13.576</v>
      </c>
      <c r="FA22">
        <v>15</v>
      </c>
      <c r="FB22">
        <v>1761018049.5</v>
      </c>
      <c r="FC22" t="s">
        <v>422</v>
      </c>
      <c r="FD22">
        <v>1761018049.5</v>
      </c>
      <c r="FE22">
        <v>1761018035.5</v>
      </c>
      <c r="FF22">
        <v>23</v>
      </c>
      <c r="FG22">
        <v>1.295</v>
      </c>
      <c r="FH22">
        <v>0.011</v>
      </c>
      <c r="FI22">
        <v>-0.618</v>
      </c>
      <c r="FJ22">
        <v>0.192</v>
      </c>
      <c r="FK22">
        <v>420</v>
      </c>
      <c r="FL22">
        <v>23</v>
      </c>
      <c r="FM22">
        <v>0.42</v>
      </c>
      <c r="FN22">
        <v>0.17</v>
      </c>
      <c r="FO22">
        <v>0.5381813249999999</v>
      </c>
      <c r="FP22">
        <v>-0.1788307429643532</v>
      </c>
      <c r="FQ22">
        <v>0.05458584166722516</v>
      </c>
      <c r="FR22">
        <v>1</v>
      </c>
      <c r="FS22">
        <v>151.3588235294118</v>
      </c>
      <c r="FT22">
        <v>0.4278074895466862</v>
      </c>
      <c r="FU22">
        <v>6.70167308553086</v>
      </c>
      <c r="FV22">
        <v>1</v>
      </c>
      <c r="FW22">
        <v>-0.189030181575</v>
      </c>
      <c r="FX22">
        <v>-0.9046950270056285</v>
      </c>
      <c r="FY22">
        <v>0.1651109442723387</v>
      </c>
      <c r="FZ22">
        <v>0</v>
      </c>
      <c r="GA22">
        <v>2</v>
      </c>
      <c r="GB22">
        <v>3</v>
      </c>
      <c r="GC22" t="s">
        <v>434</v>
      </c>
      <c r="GD22">
        <v>3.10977</v>
      </c>
      <c r="GE22">
        <v>2.72741</v>
      </c>
      <c r="GF22">
        <v>0.0885608</v>
      </c>
      <c r="GG22">
        <v>0.08843520000000001</v>
      </c>
      <c r="GH22">
        <v>0.108865</v>
      </c>
      <c r="GI22">
        <v>0.110019</v>
      </c>
      <c r="GJ22">
        <v>23895.2</v>
      </c>
      <c r="GK22">
        <v>21688.4</v>
      </c>
      <c r="GL22">
        <v>26776.4</v>
      </c>
      <c r="GM22">
        <v>24001.3</v>
      </c>
      <c r="GN22">
        <v>38127.8</v>
      </c>
      <c r="GO22">
        <v>31527.7</v>
      </c>
      <c r="GP22">
        <v>46736.1</v>
      </c>
      <c r="GQ22">
        <v>37963.5</v>
      </c>
      <c r="GR22">
        <v>1.88398</v>
      </c>
      <c r="GS22">
        <v>1.87202</v>
      </c>
      <c r="GT22">
        <v>0.146404</v>
      </c>
      <c r="GU22">
        <v>0</v>
      </c>
      <c r="GV22">
        <v>27.6996</v>
      </c>
      <c r="GW22">
        <v>999.9</v>
      </c>
      <c r="GX22">
        <v>63.1</v>
      </c>
      <c r="GY22">
        <v>29.1</v>
      </c>
      <c r="GZ22">
        <v>28.1199</v>
      </c>
      <c r="HA22">
        <v>61.28</v>
      </c>
      <c r="HB22">
        <v>19.8958</v>
      </c>
      <c r="HC22">
        <v>1</v>
      </c>
      <c r="HD22">
        <v>0.0800915</v>
      </c>
      <c r="HE22">
        <v>-1.62519</v>
      </c>
      <c r="HF22">
        <v>20.3283</v>
      </c>
      <c r="HG22">
        <v>5.22148</v>
      </c>
      <c r="HH22">
        <v>11.98</v>
      </c>
      <c r="HI22">
        <v>4.9651</v>
      </c>
      <c r="HJ22">
        <v>3.27585</v>
      </c>
      <c r="HK22">
        <v>9999</v>
      </c>
      <c r="HL22">
        <v>9999</v>
      </c>
      <c r="HM22">
        <v>9999</v>
      </c>
      <c r="HN22">
        <v>999.9</v>
      </c>
      <c r="HO22">
        <v>1.86361</v>
      </c>
      <c r="HP22">
        <v>1.85974</v>
      </c>
      <c r="HQ22">
        <v>1.858</v>
      </c>
      <c r="HR22">
        <v>1.85934</v>
      </c>
      <c r="HS22">
        <v>1.85959</v>
      </c>
      <c r="HT22">
        <v>1.85805</v>
      </c>
      <c r="HU22">
        <v>1.85708</v>
      </c>
      <c r="HV22">
        <v>1.8521</v>
      </c>
      <c r="HW22">
        <v>0</v>
      </c>
      <c r="HX22">
        <v>0</v>
      </c>
      <c r="HY22">
        <v>0</v>
      </c>
      <c r="HZ22">
        <v>0</v>
      </c>
      <c r="IA22" t="s">
        <v>424</v>
      </c>
      <c r="IB22" t="s">
        <v>425</v>
      </c>
      <c r="IC22" t="s">
        <v>426</v>
      </c>
      <c r="ID22" t="s">
        <v>426</v>
      </c>
      <c r="IE22" t="s">
        <v>426</v>
      </c>
      <c r="IF22" t="s">
        <v>426</v>
      </c>
      <c r="IG22">
        <v>0</v>
      </c>
      <c r="IH22">
        <v>100</v>
      </c>
      <c r="II22">
        <v>100</v>
      </c>
      <c r="IJ22">
        <v>-0.617</v>
      </c>
      <c r="IK22">
        <v>0.2109</v>
      </c>
      <c r="IL22">
        <v>-1.405955206116699</v>
      </c>
      <c r="IM22">
        <v>0.001328113201692861</v>
      </c>
      <c r="IN22">
        <v>1.538283238170363E-06</v>
      </c>
      <c r="IO22">
        <v>-5.795655626708063E-10</v>
      </c>
      <c r="IP22">
        <v>-0.04918981781385694</v>
      </c>
      <c r="IQ22">
        <v>-0.004593102289677449</v>
      </c>
      <c r="IR22">
        <v>0.0008253994458280543</v>
      </c>
      <c r="IS22">
        <v>-7.403632370499484E-06</v>
      </c>
      <c r="IT22">
        <v>2</v>
      </c>
      <c r="IU22">
        <v>1985</v>
      </c>
      <c r="IV22">
        <v>1</v>
      </c>
      <c r="IW22">
        <v>27</v>
      </c>
      <c r="IX22">
        <v>0.4</v>
      </c>
      <c r="IY22">
        <v>0.7</v>
      </c>
      <c r="IZ22">
        <v>1.12061</v>
      </c>
      <c r="JA22">
        <v>2.54883</v>
      </c>
      <c r="JB22">
        <v>1.49658</v>
      </c>
      <c r="JC22">
        <v>2.34131</v>
      </c>
      <c r="JD22">
        <v>1.54907</v>
      </c>
      <c r="JE22">
        <v>2.46948</v>
      </c>
      <c r="JF22">
        <v>31.6517</v>
      </c>
      <c r="JG22">
        <v>14.6749</v>
      </c>
      <c r="JH22">
        <v>18</v>
      </c>
      <c r="JI22">
        <v>482.888</v>
      </c>
      <c r="JJ22">
        <v>504.746</v>
      </c>
      <c r="JK22">
        <v>31.5663</v>
      </c>
      <c r="JL22">
        <v>28.2824</v>
      </c>
      <c r="JM22">
        <v>29.9995</v>
      </c>
      <c r="JN22">
        <v>28.5868</v>
      </c>
      <c r="JO22">
        <v>28.5887</v>
      </c>
      <c r="JP22">
        <v>22.5352</v>
      </c>
      <c r="JQ22">
        <v>22.3396</v>
      </c>
      <c r="JR22">
        <v>81.53149999999999</v>
      </c>
      <c r="JS22">
        <v>31.4825</v>
      </c>
      <c r="JT22">
        <v>420</v>
      </c>
      <c r="JU22">
        <v>23.5312</v>
      </c>
      <c r="JV22">
        <v>102.202</v>
      </c>
      <c r="JW22">
        <v>91.56229999999999</v>
      </c>
    </row>
    <row r="23" spans="1:283">
      <c r="A23">
        <v>5</v>
      </c>
      <c r="B23">
        <v>1761018077.5</v>
      </c>
      <c r="C23">
        <v>8</v>
      </c>
      <c r="D23" t="s">
        <v>435</v>
      </c>
      <c r="E23" t="s">
        <v>436</v>
      </c>
      <c r="F23">
        <v>5</v>
      </c>
      <c r="G23" t="s">
        <v>419</v>
      </c>
      <c r="H23">
        <v>1761018074.5</v>
      </c>
      <c r="I23">
        <f>(J23)/1000</f>
        <v>0</v>
      </c>
      <c r="J23">
        <f>1000*DJ23*AH23*(DF23-DG23)/(100*CY23*(1000-AH23*DF23))</f>
        <v>0</v>
      </c>
      <c r="K23">
        <f>DJ23*AH23*(DE23-DD23*(1000-AH23*DG23)/(1000-AH23*DF23))/(100*CY23)</f>
        <v>0</v>
      </c>
      <c r="L23">
        <f>DD23 - IF(AH23&gt;1, K23*CY23*100.0/(AJ23), 0)</f>
        <v>0</v>
      </c>
      <c r="M23">
        <f>((S23-I23/2)*L23-K23)/(S23+I23/2)</f>
        <v>0</v>
      </c>
      <c r="N23">
        <f>M23*(DK23+DL23)/1000.0</f>
        <v>0</v>
      </c>
      <c r="O23">
        <f>(DD23 - IF(AH23&gt;1, K23*CY23*100.0/(AJ23), 0))*(DK23+DL23)/1000.0</f>
        <v>0</v>
      </c>
      <c r="P23">
        <f>2.0/((1/R23-1/Q23)+SIGN(R23)*SQRT((1/R23-1/Q23)*(1/R23-1/Q23) + 4*CZ23/((CZ23+1)*(CZ23+1))*(2*1/R23*1/Q23-1/Q23*1/Q23)))</f>
        <v>0</v>
      </c>
      <c r="Q23">
        <f>IF(LEFT(DA23,1)&lt;&gt;"0",IF(LEFT(DA23,1)="1",3.0,DB23),$D$5+$E$5*(DR23*DK23/($K$5*1000))+$F$5*(DR23*DK23/($K$5*1000))*MAX(MIN(CY23,$J$5),$I$5)*MAX(MIN(CY23,$J$5),$I$5)+$G$5*MAX(MIN(CY23,$J$5),$I$5)*(DR23*DK23/($K$5*1000))+$H$5*(DR23*DK23/($K$5*1000))*(DR23*DK23/($K$5*1000)))</f>
        <v>0</v>
      </c>
      <c r="R23">
        <f>I23*(1000-(1000*0.61365*exp(17.502*V23/(240.97+V23))/(DK23+DL23)+DF23)/2)/(1000*0.61365*exp(17.502*V23/(240.97+V23))/(DK23+DL23)-DF23)</f>
        <v>0</v>
      </c>
      <c r="S23">
        <f>1/((CZ23+1)/(P23/1.6)+1/(Q23/1.37)) + CZ23/((CZ23+1)/(P23/1.6) + CZ23/(Q23/1.37))</f>
        <v>0</v>
      </c>
      <c r="T23">
        <f>(CU23*CX23)</f>
        <v>0</v>
      </c>
      <c r="U23">
        <f>(DM23+(T23+2*0.95*5.67E-8*(((DM23+$B$9)+273)^4-(DM23+273)^4)-44100*I23)/(1.84*29.3*Q23+8*0.95*5.67E-8*(DM23+273)^3))</f>
        <v>0</v>
      </c>
      <c r="V23">
        <f>($C$9*DN23+$D$9*DO23+$E$9*U23)</f>
        <v>0</v>
      </c>
      <c r="W23">
        <f>0.61365*exp(17.502*V23/(240.97+V23))</f>
        <v>0</v>
      </c>
      <c r="X23">
        <f>(Y23/Z23*100)</f>
        <v>0</v>
      </c>
      <c r="Y23">
        <f>DF23*(DK23+DL23)/1000</f>
        <v>0</v>
      </c>
      <c r="Z23">
        <f>0.61365*exp(17.502*DM23/(240.97+DM23))</f>
        <v>0</v>
      </c>
      <c r="AA23">
        <f>(W23-DF23*(DK23+DL23)/1000)</f>
        <v>0</v>
      </c>
      <c r="AB23">
        <f>(-I23*44100)</f>
        <v>0</v>
      </c>
      <c r="AC23">
        <f>2*29.3*Q23*0.92*(DM23-V23)</f>
        <v>0</v>
      </c>
      <c r="AD23">
        <f>2*0.95*5.67E-8*(((DM23+$B$9)+273)^4-(V23+273)^4)</f>
        <v>0</v>
      </c>
      <c r="AE23">
        <f>T23+AD23+AB23+AC23</f>
        <v>0</v>
      </c>
      <c r="AF23">
        <v>0</v>
      </c>
      <c r="AG23">
        <v>0</v>
      </c>
      <c r="AH23">
        <f>IF(AF23*$H$15&gt;=AJ23,1.0,(AJ23/(AJ23-AF23*$H$15)))</f>
        <v>0</v>
      </c>
      <c r="AI23">
        <f>(AH23-1)*100</f>
        <v>0</v>
      </c>
      <c r="AJ23">
        <f>MAX(0,($B$15+$C$15*DR23)/(1+$D$15*DR23)*DK23/(DM23+273)*$E$15)</f>
        <v>0</v>
      </c>
      <c r="AK23" t="s">
        <v>420</v>
      </c>
      <c r="AL23" t="s">
        <v>420</v>
      </c>
      <c r="AM23">
        <v>0</v>
      </c>
      <c r="AN23">
        <v>0</v>
      </c>
      <c r="AO23">
        <f>1-AM23/AN23</f>
        <v>0</v>
      </c>
      <c r="AP23">
        <v>0</v>
      </c>
      <c r="AQ23" t="s">
        <v>420</v>
      </c>
      <c r="AR23" t="s">
        <v>420</v>
      </c>
      <c r="AS23">
        <v>0</v>
      </c>
      <c r="AT23">
        <v>0</v>
      </c>
      <c r="AU23">
        <f>1-AS23/AT23</f>
        <v>0</v>
      </c>
      <c r="AV23">
        <v>0.5</v>
      </c>
      <c r="AW23">
        <f>CV23</f>
        <v>0</v>
      </c>
      <c r="AX23">
        <f>K23</f>
        <v>0</v>
      </c>
      <c r="AY23">
        <f>AU23*AV23*AW23</f>
        <v>0</v>
      </c>
      <c r="AZ23">
        <f>(AX23-AP23)/AW23</f>
        <v>0</v>
      </c>
      <c r="BA23">
        <f>(AN23-AT23)/AT23</f>
        <v>0</v>
      </c>
      <c r="BB23">
        <f>AM23/(AO23+AM23/AT23)</f>
        <v>0</v>
      </c>
      <c r="BC23" t="s">
        <v>420</v>
      </c>
      <c r="BD23">
        <v>0</v>
      </c>
      <c r="BE23">
        <f>IF(BD23&lt;&gt;0, BD23, BB23)</f>
        <v>0</v>
      </c>
      <c r="BF23">
        <f>1-BE23/AT23</f>
        <v>0</v>
      </c>
      <c r="BG23">
        <f>(AT23-AS23)/(AT23-BE23)</f>
        <v>0</v>
      </c>
      <c r="BH23">
        <f>(AN23-AT23)/(AN23-BE23)</f>
        <v>0</v>
      </c>
      <c r="BI23">
        <f>(AT23-AS23)/(AT23-AM23)</f>
        <v>0</v>
      </c>
      <c r="BJ23">
        <f>(AN23-AT23)/(AN23-AM23)</f>
        <v>0</v>
      </c>
      <c r="BK23">
        <f>(BG23*BE23/AS23)</f>
        <v>0</v>
      </c>
      <c r="BL23">
        <f>(1-BK23)</f>
        <v>0</v>
      </c>
      <c r="CU23">
        <f>$B$13*DS23+$C$13*DT23+$F$13*EE23*(1-EH23)</f>
        <v>0</v>
      </c>
      <c r="CV23">
        <f>CU23*CW23</f>
        <v>0</v>
      </c>
      <c r="CW23">
        <f>($B$13*$D$11+$C$13*$D$11+$F$13*((ER23+EJ23)/MAX(ER23+EJ23+ES23, 0.1)*$I$11+ES23/MAX(ER23+EJ23+ES23, 0.1)*$J$11))/($B$13+$C$13+$F$13)</f>
        <v>0</v>
      </c>
      <c r="CX23">
        <f>($B$13*$K$11+$C$13*$K$11+$F$13*((ER23+EJ23)/MAX(ER23+EJ23+ES23, 0.1)*$P$11+ES23/MAX(ER23+EJ23+ES23, 0.1)*$Q$11))/($B$13+$C$13+$F$13)</f>
        <v>0</v>
      </c>
      <c r="CY23">
        <v>2.7</v>
      </c>
      <c r="CZ23">
        <v>0.5</v>
      </c>
      <c r="DA23" t="s">
        <v>421</v>
      </c>
      <c r="DB23">
        <v>2</v>
      </c>
      <c r="DC23">
        <v>1761018074.5</v>
      </c>
      <c r="DD23">
        <v>420.5426666666667</v>
      </c>
      <c r="DE23">
        <v>420.0337777777777</v>
      </c>
      <c r="DF23">
        <v>24.0522</v>
      </c>
      <c r="DG23">
        <v>24.12956666666667</v>
      </c>
      <c r="DH23">
        <v>421.1596666666667</v>
      </c>
      <c r="DI23">
        <v>23.84203333333333</v>
      </c>
      <c r="DJ23">
        <v>499.9882222222222</v>
      </c>
      <c r="DK23">
        <v>90.77122222222221</v>
      </c>
      <c r="DL23">
        <v>0.03563542222222222</v>
      </c>
      <c r="DM23">
        <v>30.24765555555556</v>
      </c>
      <c r="DN23">
        <v>30.09065555555556</v>
      </c>
      <c r="DO23">
        <v>999.9000000000001</v>
      </c>
      <c r="DP23">
        <v>0</v>
      </c>
      <c r="DQ23">
        <v>0</v>
      </c>
      <c r="DR23">
        <v>10014.37777777778</v>
      </c>
      <c r="DS23">
        <v>0</v>
      </c>
      <c r="DT23">
        <v>0.242856</v>
      </c>
      <c r="DU23">
        <v>0.5086194444444445</v>
      </c>
      <c r="DV23">
        <v>430.907</v>
      </c>
      <c r="DW23">
        <v>430.4198888888889</v>
      </c>
      <c r="DX23">
        <v>-0.07736757777777778</v>
      </c>
      <c r="DY23">
        <v>420.0337777777777</v>
      </c>
      <c r="DZ23">
        <v>24.12956666666667</v>
      </c>
      <c r="EA23">
        <v>2.183246666666667</v>
      </c>
      <c r="EB23">
        <v>2.190268888888889</v>
      </c>
      <c r="EC23">
        <v>18.83987777777778</v>
      </c>
      <c r="ED23">
        <v>18.89123333333334</v>
      </c>
      <c r="EE23">
        <v>0.00500078</v>
      </c>
      <c r="EF23">
        <v>0</v>
      </c>
      <c r="EG23">
        <v>0</v>
      </c>
      <c r="EH23">
        <v>0</v>
      </c>
      <c r="EI23">
        <v>155.2444444444444</v>
      </c>
      <c r="EJ23">
        <v>0.00500078</v>
      </c>
      <c r="EK23">
        <v>-14.66666666666667</v>
      </c>
      <c r="EL23">
        <v>-1.033333333333333</v>
      </c>
      <c r="EM23">
        <v>35.48588888888889</v>
      </c>
      <c r="EN23">
        <v>39.58322222222223</v>
      </c>
      <c r="EO23">
        <v>37.72888888888889</v>
      </c>
      <c r="EP23">
        <v>40.12455555555555</v>
      </c>
      <c r="EQ23">
        <v>38.30511111111111</v>
      </c>
      <c r="ER23">
        <v>0</v>
      </c>
      <c r="ES23">
        <v>0</v>
      </c>
      <c r="ET23">
        <v>0</v>
      </c>
      <c r="EU23">
        <v>1761018076.9</v>
      </c>
      <c r="EV23">
        <v>0</v>
      </c>
      <c r="EW23">
        <v>151.904</v>
      </c>
      <c r="EX23">
        <v>29.12307691292004</v>
      </c>
      <c r="EY23">
        <v>-4.607692471505162</v>
      </c>
      <c r="EZ23">
        <v>-15.076</v>
      </c>
      <c r="FA23">
        <v>15</v>
      </c>
      <c r="FB23">
        <v>1761018049.5</v>
      </c>
      <c r="FC23" t="s">
        <v>422</v>
      </c>
      <c r="FD23">
        <v>1761018049.5</v>
      </c>
      <c r="FE23">
        <v>1761018035.5</v>
      </c>
      <c r="FF23">
        <v>23</v>
      </c>
      <c r="FG23">
        <v>1.295</v>
      </c>
      <c r="FH23">
        <v>0.011</v>
      </c>
      <c r="FI23">
        <v>-0.618</v>
      </c>
      <c r="FJ23">
        <v>0.192</v>
      </c>
      <c r="FK23">
        <v>420</v>
      </c>
      <c r="FL23">
        <v>23</v>
      </c>
      <c r="FM23">
        <v>0.42</v>
      </c>
      <c r="FN23">
        <v>0.17</v>
      </c>
      <c r="FO23">
        <v>0.53222735</v>
      </c>
      <c r="FP23">
        <v>-0.2110619212007522</v>
      </c>
      <c r="FQ23">
        <v>0.05648567490592194</v>
      </c>
      <c r="FR23">
        <v>1</v>
      </c>
      <c r="FS23">
        <v>151.7705882352941</v>
      </c>
      <c r="FT23">
        <v>-2.25515661105762</v>
      </c>
      <c r="FU23">
        <v>6.602607747378602</v>
      </c>
      <c r="FV23">
        <v>0</v>
      </c>
      <c r="FW23">
        <v>-0.197972706575</v>
      </c>
      <c r="FX23">
        <v>-0.3933711157260786</v>
      </c>
      <c r="FY23">
        <v>0.1490100874308658</v>
      </c>
      <c r="FZ23">
        <v>0</v>
      </c>
      <c r="GA23">
        <v>1</v>
      </c>
      <c r="GB23">
        <v>3</v>
      </c>
      <c r="GC23" t="s">
        <v>431</v>
      </c>
      <c r="GD23">
        <v>3.10965</v>
      </c>
      <c r="GE23">
        <v>2.72734</v>
      </c>
      <c r="GF23">
        <v>0.0885653</v>
      </c>
      <c r="GG23">
        <v>0.08844539999999999</v>
      </c>
      <c r="GH23">
        <v>0.108943</v>
      </c>
      <c r="GI23">
        <v>0.10958</v>
      </c>
      <c r="GJ23">
        <v>23895.1</v>
      </c>
      <c r="GK23">
        <v>21687.9</v>
      </c>
      <c r="GL23">
        <v>26776.4</v>
      </c>
      <c r="GM23">
        <v>24001.1</v>
      </c>
      <c r="GN23">
        <v>38124.5</v>
      </c>
      <c r="GO23">
        <v>31542.9</v>
      </c>
      <c r="GP23">
        <v>46736.2</v>
      </c>
      <c r="GQ23">
        <v>37962.9</v>
      </c>
      <c r="GR23">
        <v>1.88398</v>
      </c>
      <c r="GS23">
        <v>1.8721</v>
      </c>
      <c r="GT23">
        <v>0.145406</v>
      </c>
      <c r="GU23">
        <v>0</v>
      </c>
      <c r="GV23">
        <v>27.7078</v>
      </c>
      <c r="GW23">
        <v>999.9</v>
      </c>
      <c r="GX23">
        <v>63.1</v>
      </c>
      <c r="GY23">
        <v>29.1</v>
      </c>
      <c r="GZ23">
        <v>28.1174</v>
      </c>
      <c r="HA23">
        <v>61.41</v>
      </c>
      <c r="HB23">
        <v>19.9199</v>
      </c>
      <c r="HC23">
        <v>1</v>
      </c>
      <c r="HD23">
        <v>0.0798958</v>
      </c>
      <c r="HE23">
        <v>-1.53986</v>
      </c>
      <c r="HF23">
        <v>20.329</v>
      </c>
      <c r="HG23">
        <v>5.22133</v>
      </c>
      <c r="HH23">
        <v>11.98</v>
      </c>
      <c r="HI23">
        <v>4.96505</v>
      </c>
      <c r="HJ23">
        <v>3.27585</v>
      </c>
      <c r="HK23">
        <v>9999</v>
      </c>
      <c r="HL23">
        <v>9999</v>
      </c>
      <c r="HM23">
        <v>9999</v>
      </c>
      <c r="HN23">
        <v>999.9</v>
      </c>
      <c r="HO23">
        <v>1.8636</v>
      </c>
      <c r="HP23">
        <v>1.85974</v>
      </c>
      <c r="HQ23">
        <v>1.85798</v>
      </c>
      <c r="HR23">
        <v>1.85933</v>
      </c>
      <c r="HS23">
        <v>1.85959</v>
      </c>
      <c r="HT23">
        <v>1.85804</v>
      </c>
      <c r="HU23">
        <v>1.85707</v>
      </c>
      <c r="HV23">
        <v>1.85211</v>
      </c>
      <c r="HW23">
        <v>0</v>
      </c>
      <c r="HX23">
        <v>0</v>
      </c>
      <c r="HY23">
        <v>0</v>
      </c>
      <c r="HZ23">
        <v>0</v>
      </c>
      <c r="IA23" t="s">
        <v>424</v>
      </c>
      <c r="IB23" t="s">
        <v>425</v>
      </c>
      <c r="IC23" t="s">
        <v>426</v>
      </c>
      <c r="ID23" t="s">
        <v>426</v>
      </c>
      <c r="IE23" t="s">
        <v>426</v>
      </c>
      <c r="IF23" t="s">
        <v>426</v>
      </c>
      <c r="IG23">
        <v>0</v>
      </c>
      <c r="IH23">
        <v>100</v>
      </c>
      <c r="II23">
        <v>100</v>
      </c>
      <c r="IJ23">
        <v>-0.617</v>
      </c>
      <c r="IK23">
        <v>0.2114</v>
      </c>
      <c r="IL23">
        <v>-1.405955206116699</v>
      </c>
      <c r="IM23">
        <v>0.001328113201692861</v>
      </c>
      <c r="IN23">
        <v>1.538283238170363E-06</v>
      </c>
      <c r="IO23">
        <v>-5.795655626708063E-10</v>
      </c>
      <c r="IP23">
        <v>-0.04918981781385694</v>
      </c>
      <c r="IQ23">
        <v>-0.004593102289677449</v>
      </c>
      <c r="IR23">
        <v>0.0008253994458280543</v>
      </c>
      <c r="IS23">
        <v>-7.403632370499484E-06</v>
      </c>
      <c r="IT23">
        <v>2</v>
      </c>
      <c r="IU23">
        <v>1985</v>
      </c>
      <c r="IV23">
        <v>1</v>
      </c>
      <c r="IW23">
        <v>27</v>
      </c>
      <c r="IX23">
        <v>0.5</v>
      </c>
      <c r="IY23">
        <v>0.7</v>
      </c>
      <c r="IZ23">
        <v>1.12061</v>
      </c>
      <c r="JA23">
        <v>2.55615</v>
      </c>
      <c r="JB23">
        <v>1.49658</v>
      </c>
      <c r="JC23">
        <v>2.34253</v>
      </c>
      <c r="JD23">
        <v>1.54907</v>
      </c>
      <c r="JE23">
        <v>2.39624</v>
      </c>
      <c r="JF23">
        <v>31.6517</v>
      </c>
      <c r="JG23">
        <v>14.6661</v>
      </c>
      <c r="JH23">
        <v>18</v>
      </c>
      <c r="JI23">
        <v>482.865</v>
      </c>
      <c r="JJ23">
        <v>504.765</v>
      </c>
      <c r="JK23">
        <v>31.5339</v>
      </c>
      <c r="JL23">
        <v>28.28</v>
      </c>
      <c r="JM23">
        <v>29.9996</v>
      </c>
      <c r="JN23">
        <v>28.5837</v>
      </c>
      <c r="JO23">
        <v>28.5851</v>
      </c>
      <c r="JP23">
        <v>22.5329</v>
      </c>
      <c r="JQ23">
        <v>22.6536</v>
      </c>
      <c r="JR23">
        <v>81.53149999999999</v>
      </c>
      <c r="JS23">
        <v>31.4825</v>
      </c>
      <c r="JT23">
        <v>420</v>
      </c>
      <c r="JU23">
        <v>23.5037</v>
      </c>
      <c r="JV23">
        <v>102.202</v>
      </c>
      <c r="JW23">
        <v>91.5612</v>
      </c>
    </row>
    <row r="24" spans="1:283">
      <c r="A24">
        <v>6</v>
      </c>
      <c r="B24">
        <v>1761018079.5</v>
      </c>
      <c r="C24">
        <v>10</v>
      </c>
      <c r="D24" t="s">
        <v>437</v>
      </c>
      <c r="E24" t="s">
        <v>438</v>
      </c>
      <c r="F24">
        <v>5</v>
      </c>
      <c r="G24" t="s">
        <v>419</v>
      </c>
      <c r="H24">
        <v>1761018076.5</v>
      </c>
      <c r="I24">
        <f>(J24)/1000</f>
        <v>0</v>
      </c>
      <c r="J24">
        <f>1000*DJ24*AH24*(DF24-DG24)/(100*CY24*(1000-AH24*DF24))</f>
        <v>0</v>
      </c>
      <c r="K24">
        <f>DJ24*AH24*(DE24-DD24*(1000-AH24*DG24)/(1000-AH24*DF24))/(100*CY24)</f>
        <v>0</v>
      </c>
      <c r="L24">
        <f>DD24 - IF(AH24&gt;1, K24*CY24*100.0/(AJ24), 0)</f>
        <v>0</v>
      </c>
      <c r="M24">
        <f>((S24-I24/2)*L24-K24)/(S24+I24/2)</f>
        <v>0</v>
      </c>
      <c r="N24">
        <f>M24*(DK24+DL24)/1000.0</f>
        <v>0</v>
      </c>
      <c r="O24">
        <f>(DD24 - IF(AH24&gt;1, K24*CY24*100.0/(AJ24), 0))*(DK24+DL24)/1000.0</f>
        <v>0</v>
      </c>
      <c r="P24">
        <f>2.0/((1/R24-1/Q24)+SIGN(R24)*SQRT((1/R24-1/Q24)*(1/R24-1/Q24) + 4*CZ24/((CZ24+1)*(CZ24+1))*(2*1/R24*1/Q24-1/Q24*1/Q24)))</f>
        <v>0</v>
      </c>
      <c r="Q24">
        <f>IF(LEFT(DA24,1)&lt;&gt;"0",IF(LEFT(DA24,1)="1",3.0,DB24),$D$5+$E$5*(DR24*DK24/($K$5*1000))+$F$5*(DR24*DK24/($K$5*1000))*MAX(MIN(CY24,$J$5),$I$5)*MAX(MIN(CY24,$J$5),$I$5)+$G$5*MAX(MIN(CY24,$J$5),$I$5)*(DR24*DK24/($K$5*1000))+$H$5*(DR24*DK24/($K$5*1000))*(DR24*DK24/($K$5*1000)))</f>
        <v>0</v>
      </c>
      <c r="R24">
        <f>I24*(1000-(1000*0.61365*exp(17.502*V24/(240.97+V24))/(DK24+DL24)+DF24)/2)/(1000*0.61365*exp(17.502*V24/(240.97+V24))/(DK24+DL24)-DF24)</f>
        <v>0</v>
      </c>
      <c r="S24">
        <f>1/((CZ24+1)/(P24/1.6)+1/(Q24/1.37)) + CZ24/((CZ24+1)/(P24/1.6) + CZ24/(Q24/1.37))</f>
        <v>0</v>
      </c>
      <c r="T24">
        <f>(CU24*CX24)</f>
        <v>0</v>
      </c>
      <c r="U24">
        <f>(DM24+(T24+2*0.95*5.67E-8*(((DM24+$B$9)+273)^4-(DM24+273)^4)-44100*I24)/(1.84*29.3*Q24+8*0.95*5.67E-8*(DM24+273)^3))</f>
        <v>0</v>
      </c>
      <c r="V24">
        <f>($C$9*DN24+$D$9*DO24+$E$9*U24)</f>
        <v>0</v>
      </c>
      <c r="W24">
        <f>0.61365*exp(17.502*V24/(240.97+V24))</f>
        <v>0</v>
      </c>
      <c r="X24">
        <f>(Y24/Z24*100)</f>
        <v>0</v>
      </c>
      <c r="Y24">
        <f>DF24*(DK24+DL24)/1000</f>
        <v>0</v>
      </c>
      <c r="Z24">
        <f>0.61365*exp(17.502*DM24/(240.97+DM24))</f>
        <v>0</v>
      </c>
      <c r="AA24">
        <f>(W24-DF24*(DK24+DL24)/1000)</f>
        <v>0</v>
      </c>
      <c r="AB24">
        <f>(-I24*44100)</f>
        <v>0</v>
      </c>
      <c r="AC24">
        <f>2*29.3*Q24*0.92*(DM24-V24)</f>
        <v>0</v>
      </c>
      <c r="AD24">
        <f>2*0.95*5.67E-8*(((DM24+$B$9)+273)^4-(V24+273)^4)</f>
        <v>0</v>
      </c>
      <c r="AE24">
        <f>T24+AD24+AB24+AC24</f>
        <v>0</v>
      </c>
      <c r="AF24">
        <v>0</v>
      </c>
      <c r="AG24">
        <v>0</v>
      </c>
      <c r="AH24">
        <f>IF(AF24*$H$15&gt;=AJ24,1.0,(AJ24/(AJ24-AF24*$H$15)))</f>
        <v>0</v>
      </c>
      <c r="AI24">
        <f>(AH24-1)*100</f>
        <v>0</v>
      </c>
      <c r="AJ24">
        <f>MAX(0,($B$15+$C$15*DR24)/(1+$D$15*DR24)*DK24/(DM24+273)*$E$15)</f>
        <v>0</v>
      </c>
      <c r="AK24" t="s">
        <v>420</v>
      </c>
      <c r="AL24" t="s">
        <v>420</v>
      </c>
      <c r="AM24">
        <v>0</v>
      </c>
      <c r="AN24">
        <v>0</v>
      </c>
      <c r="AO24">
        <f>1-AM24/AN24</f>
        <v>0</v>
      </c>
      <c r="AP24">
        <v>0</v>
      </c>
      <c r="AQ24" t="s">
        <v>420</v>
      </c>
      <c r="AR24" t="s">
        <v>420</v>
      </c>
      <c r="AS24">
        <v>0</v>
      </c>
      <c r="AT24">
        <v>0</v>
      </c>
      <c r="AU24">
        <f>1-AS24/AT24</f>
        <v>0</v>
      </c>
      <c r="AV24">
        <v>0.5</v>
      </c>
      <c r="AW24">
        <f>CV24</f>
        <v>0</v>
      </c>
      <c r="AX24">
        <f>K24</f>
        <v>0</v>
      </c>
      <c r="AY24">
        <f>AU24*AV24*AW24</f>
        <v>0</v>
      </c>
      <c r="AZ24">
        <f>(AX24-AP24)/AW24</f>
        <v>0</v>
      </c>
      <c r="BA24">
        <f>(AN24-AT24)/AT24</f>
        <v>0</v>
      </c>
      <c r="BB24">
        <f>AM24/(AO24+AM24/AT24)</f>
        <v>0</v>
      </c>
      <c r="BC24" t="s">
        <v>420</v>
      </c>
      <c r="BD24">
        <v>0</v>
      </c>
      <c r="BE24">
        <f>IF(BD24&lt;&gt;0, BD24, BB24)</f>
        <v>0</v>
      </c>
      <c r="BF24">
        <f>1-BE24/AT24</f>
        <v>0</v>
      </c>
      <c r="BG24">
        <f>(AT24-AS24)/(AT24-BE24)</f>
        <v>0</v>
      </c>
      <c r="BH24">
        <f>(AN24-AT24)/(AN24-BE24)</f>
        <v>0</v>
      </c>
      <c r="BI24">
        <f>(AT24-AS24)/(AT24-AM24)</f>
        <v>0</v>
      </c>
      <c r="BJ24">
        <f>(AN24-AT24)/(AN24-AM24)</f>
        <v>0</v>
      </c>
      <c r="BK24">
        <f>(BG24*BE24/AS24)</f>
        <v>0</v>
      </c>
      <c r="BL24">
        <f>(1-BK24)</f>
        <v>0</v>
      </c>
      <c r="CU24">
        <f>$B$13*DS24+$C$13*DT24+$F$13*EE24*(1-EH24)</f>
        <v>0</v>
      </c>
      <c r="CV24">
        <f>CU24*CW24</f>
        <v>0</v>
      </c>
      <c r="CW24">
        <f>($B$13*$D$11+$C$13*$D$11+$F$13*((ER24+EJ24)/MAX(ER24+EJ24+ES24, 0.1)*$I$11+ES24/MAX(ER24+EJ24+ES24, 0.1)*$J$11))/($B$13+$C$13+$F$13)</f>
        <v>0</v>
      </c>
      <c r="CX24">
        <f>($B$13*$K$11+$C$13*$K$11+$F$13*((ER24+EJ24)/MAX(ER24+EJ24+ES24, 0.1)*$P$11+ES24/MAX(ER24+EJ24+ES24, 0.1)*$Q$11))/($B$13+$C$13+$F$13)</f>
        <v>0</v>
      </c>
      <c r="CY24">
        <v>2.7</v>
      </c>
      <c r="CZ24">
        <v>0.5</v>
      </c>
      <c r="DA24" t="s">
        <v>421</v>
      </c>
      <c r="DB24">
        <v>2</v>
      </c>
      <c r="DC24">
        <v>1761018076.5</v>
      </c>
      <c r="DD24">
        <v>420.5746666666666</v>
      </c>
      <c r="DE24">
        <v>420.1092222222222</v>
      </c>
      <c r="DF24">
        <v>24.09058888888889</v>
      </c>
      <c r="DG24">
        <v>24.02075555555556</v>
      </c>
      <c r="DH24">
        <v>421.1916666666666</v>
      </c>
      <c r="DI24">
        <v>23.8796</v>
      </c>
      <c r="DJ24">
        <v>500.0237777777778</v>
      </c>
      <c r="DK24">
        <v>90.77145555555555</v>
      </c>
      <c r="DL24">
        <v>0.03554377777777778</v>
      </c>
      <c r="DM24">
        <v>30.24434444444444</v>
      </c>
      <c r="DN24">
        <v>30.08334444444444</v>
      </c>
      <c r="DO24">
        <v>999.9000000000001</v>
      </c>
      <c r="DP24">
        <v>0</v>
      </c>
      <c r="DQ24">
        <v>0</v>
      </c>
      <c r="DR24">
        <v>10019.16666666667</v>
      </c>
      <c r="DS24">
        <v>0</v>
      </c>
      <c r="DT24">
        <v>0.242856</v>
      </c>
      <c r="DU24">
        <v>0.4652572222222222</v>
      </c>
      <c r="DV24">
        <v>430.9567777777777</v>
      </c>
      <c r="DW24">
        <v>430.4491111111111</v>
      </c>
      <c r="DX24">
        <v>0.06981442222222221</v>
      </c>
      <c r="DY24">
        <v>420.1092222222222</v>
      </c>
      <c r="DZ24">
        <v>24.02075555555556</v>
      </c>
      <c r="EA24">
        <v>2.186735555555556</v>
      </c>
      <c r="EB24">
        <v>2.1804</v>
      </c>
      <c r="EC24">
        <v>18.86545555555556</v>
      </c>
      <c r="ED24">
        <v>18.81883333333333</v>
      </c>
      <c r="EE24">
        <v>0.00500078</v>
      </c>
      <c r="EF24">
        <v>0</v>
      </c>
      <c r="EG24">
        <v>0</v>
      </c>
      <c r="EH24">
        <v>0</v>
      </c>
      <c r="EI24">
        <v>155.1888888888889</v>
      </c>
      <c r="EJ24">
        <v>0.00500078</v>
      </c>
      <c r="EK24">
        <v>-15.62222222222222</v>
      </c>
      <c r="EL24">
        <v>-1.177777777777778</v>
      </c>
      <c r="EM24">
        <v>35.465</v>
      </c>
      <c r="EN24">
        <v>39.52766666666667</v>
      </c>
      <c r="EO24">
        <v>37.708</v>
      </c>
      <c r="EP24">
        <v>40.06222222222222</v>
      </c>
      <c r="EQ24">
        <v>38.27044444444444</v>
      </c>
      <c r="ER24">
        <v>0</v>
      </c>
      <c r="ES24">
        <v>0</v>
      </c>
      <c r="ET24">
        <v>0</v>
      </c>
      <c r="EU24">
        <v>1761018078.7</v>
      </c>
      <c r="EV24">
        <v>0</v>
      </c>
      <c r="EW24">
        <v>152.8346153846154</v>
      </c>
      <c r="EX24">
        <v>12.24273509884796</v>
      </c>
      <c r="EY24">
        <v>16.34871780201277</v>
      </c>
      <c r="EZ24">
        <v>-14.41538461538461</v>
      </c>
      <c r="FA24">
        <v>15</v>
      </c>
      <c r="FB24">
        <v>1761018049.5</v>
      </c>
      <c r="FC24" t="s">
        <v>422</v>
      </c>
      <c r="FD24">
        <v>1761018049.5</v>
      </c>
      <c r="FE24">
        <v>1761018035.5</v>
      </c>
      <c r="FF24">
        <v>23</v>
      </c>
      <c r="FG24">
        <v>1.295</v>
      </c>
      <c r="FH24">
        <v>0.011</v>
      </c>
      <c r="FI24">
        <v>-0.618</v>
      </c>
      <c r="FJ24">
        <v>0.192</v>
      </c>
      <c r="FK24">
        <v>420</v>
      </c>
      <c r="FL24">
        <v>23</v>
      </c>
      <c r="FM24">
        <v>0.42</v>
      </c>
      <c r="FN24">
        <v>0.17</v>
      </c>
      <c r="FO24">
        <v>0.5012680250000001</v>
      </c>
      <c r="FP24">
        <v>-0.1237349606003763</v>
      </c>
      <c r="FQ24">
        <v>0.04719588326723397</v>
      </c>
      <c r="FR24">
        <v>1</v>
      </c>
      <c r="FS24">
        <v>152.7029411764706</v>
      </c>
      <c r="FT24">
        <v>-1.171886956281504</v>
      </c>
      <c r="FU24">
        <v>6.790108952349372</v>
      </c>
      <c r="FV24">
        <v>0</v>
      </c>
      <c r="FW24">
        <v>-0.1810117825</v>
      </c>
      <c r="FX24">
        <v>1.273797432270169</v>
      </c>
      <c r="FY24">
        <v>0.180893784770598</v>
      </c>
      <c r="FZ24">
        <v>0</v>
      </c>
      <c r="GA24">
        <v>1</v>
      </c>
      <c r="GB24">
        <v>3</v>
      </c>
      <c r="GC24" t="s">
        <v>431</v>
      </c>
      <c r="GD24">
        <v>3.10973</v>
      </c>
      <c r="GE24">
        <v>2.72708</v>
      </c>
      <c r="GF24">
        <v>0.0885749</v>
      </c>
      <c r="GG24">
        <v>0.0884448</v>
      </c>
      <c r="GH24">
        <v>0.108912</v>
      </c>
      <c r="GI24">
        <v>0.108958</v>
      </c>
      <c r="GJ24">
        <v>23894.9</v>
      </c>
      <c r="GK24">
        <v>21687.6</v>
      </c>
      <c r="GL24">
        <v>26776.3</v>
      </c>
      <c r="GM24">
        <v>24000.8</v>
      </c>
      <c r="GN24">
        <v>38125.9</v>
      </c>
      <c r="GO24">
        <v>31564.5</v>
      </c>
      <c r="GP24">
        <v>46736.4</v>
      </c>
      <c r="GQ24">
        <v>37962.3</v>
      </c>
      <c r="GR24">
        <v>1.88437</v>
      </c>
      <c r="GS24">
        <v>1.872</v>
      </c>
      <c r="GT24">
        <v>0.145063</v>
      </c>
      <c r="GU24">
        <v>0</v>
      </c>
      <c r="GV24">
        <v>27.7161</v>
      </c>
      <c r="GW24">
        <v>999.9</v>
      </c>
      <c r="GX24">
        <v>63.1</v>
      </c>
      <c r="GY24">
        <v>29.1</v>
      </c>
      <c r="GZ24">
        <v>28.1198</v>
      </c>
      <c r="HA24">
        <v>61.27</v>
      </c>
      <c r="HB24">
        <v>19.6835</v>
      </c>
      <c r="HC24">
        <v>1</v>
      </c>
      <c r="HD24">
        <v>0.0795554</v>
      </c>
      <c r="HE24">
        <v>-1.5294</v>
      </c>
      <c r="HF24">
        <v>20.3292</v>
      </c>
      <c r="HG24">
        <v>5.22133</v>
      </c>
      <c r="HH24">
        <v>11.98</v>
      </c>
      <c r="HI24">
        <v>4.96505</v>
      </c>
      <c r="HJ24">
        <v>3.27588</v>
      </c>
      <c r="HK24">
        <v>9999</v>
      </c>
      <c r="HL24">
        <v>9999</v>
      </c>
      <c r="HM24">
        <v>9999</v>
      </c>
      <c r="HN24">
        <v>999.9</v>
      </c>
      <c r="HO24">
        <v>1.86359</v>
      </c>
      <c r="HP24">
        <v>1.85974</v>
      </c>
      <c r="HQ24">
        <v>1.85798</v>
      </c>
      <c r="HR24">
        <v>1.85934</v>
      </c>
      <c r="HS24">
        <v>1.85959</v>
      </c>
      <c r="HT24">
        <v>1.85803</v>
      </c>
      <c r="HU24">
        <v>1.85706</v>
      </c>
      <c r="HV24">
        <v>1.85211</v>
      </c>
      <c r="HW24">
        <v>0</v>
      </c>
      <c r="HX24">
        <v>0</v>
      </c>
      <c r="HY24">
        <v>0</v>
      </c>
      <c r="HZ24">
        <v>0</v>
      </c>
      <c r="IA24" t="s">
        <v>424</v>
      </c>
      <c r="IB24" t="s">
        <v>425</v>
      </c>
      <c r="IC24" t="s">
        <v>426</v>
      </c>
      <c r="ID24" t="s">
        <v>426</v>
      </c>
      <c r="IE24" t="s">
        <v>426</v>
      </c>
      <c r="IF24" t="s">
        <v>426</v>
      </c>
      <c r="IG24">
        <v>0</v>
      </c>
      <c r="IH24">
        <v>100</v>
      </c>
      <c r="II24">
        <v>100</v>
      </c>
      <c r="IJ24">
        <v>-0.617</v>
      </c>
      <c r="IK24">
        <v>0.2112</v>
      </c>
      <c r="IL24">
        <v>-1.405955206116699</v>
      </c>
      <c r="IM24">
        <v>0.001328113201692861</v>
      </c>
      <c r="IN24">
        <v>1.538283238170363E-06</v>
      </c>
      <c r="IO24">
        <v>-5.795655626708063E-10</v>
      </c>
      <c r="IP24">
        <v>-0.04918981781385694</v>
      </c>
      <c r="IQ24">
        <v>-0.004593102289677449</v>
      </c>
      <c r="IR24">
        <v>0.0008253994458280543</v>
      </c>
      <c r="IS24">
        <v>-7.403632370499484E-06</v>
      </c>
      <c r="IT24">
        <v>2</v>
      </c>
      <c r="IU24">
        <v>1985</v>
      </c>
      <c r="IV24">
        <v>1</v>
      </c>
      <c r="IW24">
        <v>27</v>
      </c>
      <c r="IX24">
        <v>0.5</v>
      </c>
      <c r="IY24">
        <v>0.7</v>
      </c>
      <c r="IZ24">
        <v>1.12061</v>
      </c>
      <c r="JA24">
        <v>2.55493</v>
      </c>
      <c r="JB24">
        <v>1.49658</v>
      </c>
      <c r="JC24">
        <v>2.34131</v>
      </c>
      <c r="JD24">
        <v>1.54907</v>
      </c>
      <c r="JE24">
        <v>2.37061</v>
      </c>
      <c r="JF24">
        <v>31.6517</v>
      </c>
      <c r="JG24">
        <v>14.6661</v>
      </c>
      <c r="JH24">
        <v>18</v>
      </c>
      <c r="JI24">
        <v>483.074</v>
      </c>
      <c r="JJ24">
        <v>504.668</v>
      </c>
      <c r="JK24">
        <v>31.4922</v>
      </c>
      <c r="JL24">
        <v>28.2776</v>
      </c>
      <c r="JM24">
        <v>29.9995</v>
      </c>
      <c r="JN24">
        <v>28.5807</v>
      </c>
      <c r="JO24">
        <v>28.5816</v>
      </c>
      <c r="JP24">
        <v>22.5309</v>
      </c>
      <c r="JQ24">
        <v>22.6536</v>
      </c>
      <c r="JR24">
        <v>81.53149999999999</v>
      </c>
      <c r="JS24">
        <v>31.4825</v>
      </c>
      <c r="JT24">
        <v>420</v>
      </c>
      <c r="JU24">
        <v>23.5054</v>
      </c>
      <c r="JV24">
        <v>102.202</v>
      </c>
      <c r="JW24">
        <v>91.55970000000001</v>
      </c>
    </row>
    <row r="25" spans="1:283">
      <c r="A25">
        <v>7</v>
      </c>
      <c r="B25">
        <v>1761018081.5</v>
      </c>
      <c r="C25">
        <v>12</v>
      </c>
      <c r="D25" t="s">
        <v>439</v>
      </c>
      <c r="E25" t="s">
        <v>440</v>
      </c>
      <c r="F25">
        <v>5</v>
      </c>
      <c r="G25" t="s">
        <v>419</v>
      </c>
      <c r="H25">
        <v>1761018078.5</v>
      </c>
      <c r="I25">
        <f>(J25)/1000</f>
        <v>0</v>
      </c>
      <c r="J25">
        <f>1000*DJ25*AH25*(DF25-DG25)/(100*CY25*(1000-AH25*DF25))</f>
        <v>0</v>
      </c>
      <c r="K25">
        <f>DJ25*AH25*(DE25-DD25*(1000-AH25*DG25)/(1000-AH25*DF25))/(100*CY25)</f>
        <v>0</v>
      </c>
      <c r="L25">
        <f>DD25 - IF(AH25&gt;1, K25*CY25*100.0/(AJ25), 0)</f>
        <v>0</v>
      </c>
      <c r="M25">
        <f>((S25-I25/2)*L25-K25)/(S25+I25/2)</f>
        <v>0</v>
      </c>
      <c r="N25">
        <f>M25*(DK25+DL25)/1000.0</f>
        <v>0</v>
      </c>
      <c r="O25">
        <f>(DD25 - IF(AH25&gt;1, K25*CY25*100.0/(AJ25), 0))*(DK25+DL25)/1000.0</f>
        <v>0</v>
      </c>
      <c r="P25">
        <f>2.0/((1/R25-1/Q25)+SIGN(R25)*SQRT((1/R25-1/Q25)*(1/R25-1/Q25) + 4*CZ25/((CZ25+1)*(CZ25+1))*(2*1/R25*1/Q25-1/Q25*1/Q25)))</f>
        <v>0</v>
      </c>
      <c r="Q25">
        <f>IF(LEFT(DA25,1)&lt;&gt;"0",IF(LEFT(DA25,1)="1",3.0,DB25),$D$5+$E$5*(DR25*DK25/($K$5*1000))+$F$5*(DR25*DK25/($K$5*1000))*MAX(MIN(CY25,$J$5),$I$5)*MAX(MIN(CY25,$J$5),$I$5)+$G$5*MAX(MIN(CY25,$J$5),$I$5)*(DR25*DK25/($K$5*1000))+$H$5*(DR25*DK25/($K$5*1000))*(DR25*DK25/($K$5*1000)))</f>
        <v>0</v>
      </c>
      <c r="R25">
        <f>I25*(1000-(1000*0.61365*exp(17.502*V25/(240.97+V25))/(DK25+DL25)+DF25)/2)/(1000*0.61365*exp(17.502*V25/(240.97+V25))/(DK25+DL25)-DF25)</f>
        <v>0</v>
      </c>
      <c r="S25">
        <f>1/((CZ25+1)/(P25/1.6)+1/(Q25/1.37)) + CZ25/((CZ25+1)/(P25/1.6) + CZ25/(Q25/1.37))</f>
        <v>0</v>
      </c>
      <c r="T25">
        <f>(CU25*CX25)</f>
        <v>0</v>
      </c>
      <c r="U25">
        <f>(DM25+(T25+2*0.95*5.67E-8*(((DM25+$B$9)+273)^4-(DM25+273)^4)-44100*I25)/(1.84*29.3*Q25+8*0.95*5.67E-8*(DM25+273)^3))</f>
        <v>0</v>
      </c>
      <c r="V25">
        <f>($C$9*DN25+$D$9*DO25+$E$9*U25)</f>
        <v>0</v>
      </c>
      <c r="W25">
        <f>0.61365*exp(17.502*V25/(240.97+V25))</f>
        <v>0</v>
      </c>
      <c r="X25">
        <f>(Y25/Z25*100)</f>
        <v>0</v>
      </c>
      <c r="Y25">
        <f>DF25*(DK25+DL25)/1000</f>
        <v>0</v>
      </c>
      <c r="Z25">
        <f>0.61365*exp(17.502*DM25/(240.97+DM25))</f>
        <v>0</v>
      </c>
      <c r="AA25">
        <f>(W25-DF25*(DK25+DL25)/1000)</f>
        <v>0</v>
      </c>
      <c r="AB25">
        <f>(-I25*44100)</f>
        <v>0</v>
      </c>
      <c r="AC25">
        <f>2*29.3*Q25*0.92*(DM25-V25)</f>
        <v>0</v>
      </c>
      <c r="AD25">
        <f>2*0.95*5.67E-8*(((DM25+$B$9)+273)^4-(V25+273)^4)</f>
        <v>0</v>
      </c>
      <c r="AE25">
        <f>T25+AD25+AB25+AC25</f>
        <v>0</v>
      </c>
      <c r="AF25">
        <v>0</v>
      </c>
      <c r="AG25">
        <v>0</v>
      </c>
      <c r="AH25">
        <f>IF(AF25*$H$15&gt;=AJ25,1.0,(AJ25/(AJ25-AF25*$H$15)))</f>
        <v>0</v>
      </c>
      <c r="AI25">
        <f>(AH25-1)*100</f>
        <v>0</v>
      </c>
      <c r="AJ25">
        <f>MAX(0,($B$15+$C$15*DR25)/(1+$D$15*DR25)*DK25/(DM25+273)*$E$15)</f>
        <v>0</v>
      </c>
      <c r="AK25" t="s">
        <v>420</v>
      </c>
      <c r="AL25" t="s">
        <v>420</v>
      </c>
      <c r="AM25">
        <v>0</v>
      </c>
      <c r="AN25">
        <v>0</v>
      </c>
      <c r="AO25">
        <f>1-AM25/AN25</f>
        <v>0</v>
      </c>
      <c r="AP25">
        <v>0</v>
      </c>
      <c r="AQ25" t="s">
        <v>420</v>
      </c>
      <c r="AR25" t="s">
        <v>420</v>
      </c>
      <c r="AS25">
        <v>0</v>
      </c>
      <c r="AT25">
        <v>0</v>
      </c>
      <c r="AU25">
        <f>1-AS25/AT25</f>
        <v>0</v>
      </c>
      <c r="AV25">
        <v>0.5</v>
      </c>
      <c r="AW25">
        <f>CV25</f>
        <v>0</v>
      </c>
      <c r="AX25">
        <f>K25</f>
        <v>0</v>
      </c>
      <c r="AY25">
        <f>AU25*AV25*AW25</f>
        <v>0</v>
      </c>
      <c r="AZ25">
        <f>(AX25-AP25)/AW25</f>
        <v>0</v>
      </c>
      <c r="BA25">
        <f>(AN25-AT25)/AT25</f>
        <v>0</v>
      </c>
      <c r="BB25">
        <f>AM25/(AO25+AM25/AT25)</f>
        <v>0</v>
      </c>
      <c r="BC25" t="s">
        <v>420</v>
      </c>
      <c r="BD25">
        <v>0</v>
      </c>
      <c r="BE25">
        <f>IF(BD25&lt;&gt;0, BD25, BB25)</f>
        <v>0</v>
      </c>
      <c r="BF25">
        <f>1-BE25/AT25</f>
        <v>0</v>
      </c>
      <c r="BG25">
        <f>(AT25-AS25)/(AT25-BE25)</f>
        <v>0</v>
      </c>
      <c r="BH25">
        <f>(AN25-AT25)/(AN25-BE25)</f>
        <v>0</v>
      </c>
      <c r="BI25">
        <f>(AT25-AS25)/(AT25-AM25)</f>
        <v>0</v>
      </c>
      <c r="BJ25">
        <f>(AN25-AT25)/(AN25-AM25)</f>
        <v>0</v>
      </c>
      <c r="BK25">
        <f>(BG25*BE25/AS25)</f>
        <v>0</v>
      </c>
      <c r="BL25">
        <f>(1-BK25)</f>
        <v>0</v>
      </c>
      <c r="CU25">
        <f>$B$13*DS25+$C$13*DT25+$F$13*EE25*(1-EH25)</f>
        <v>0</v>
      </c>
      <c r="CV25">
        <f>CU25*CW25</f>
        <v>0</v>
      </c>
      <c r="CW25">
        <f>($B$13*$D$11+$C$13*$D$11+$F$13*((ER25+EJ25)/MAX(ER25+EJ25+ES25, 0.1)*$I$11+ES25/MAX(ER25+EJ25+ES25, 0.1)*$J$11))/($B$13+$C$13+$F$13)</f>
        <v>0</v>
      </c>
      <c r="CX25">
        <f>($B$13*$K$11+$C$13*$K$11+$F$13*((ER25+EJ25)/MAX(ER25+EJ25+ES25, 0.1)*$P$11+ES25/MAX(ER25+EJ25+ES25, 0.1)*$Q$11))/($B$13+$C$13+$F$13)</f>
        <v>0</v>
      </c>
      <c r="CY25">
        <v>2.7</v>
      </c>
      <c r="CZ25">
        <v>0.5</v>
      </c>
      <c r="DA25" t="s">
        <v>421</v>
      </c>
      <c r="DB25">
        <v>2</v>
      </c>
      <c r="DC25">
        <v>1761018078.5</v>
      </c>
      <c r="DD25">
        <v>420.6035555555556</v>
      </c>
      <c r="DE25">
        <v>420.1557777777778</v>
      </c>
      <c r="DF25">
        <v>24.09635555555555</v>
      </c>
      <c r="DG25">
        <v>23.8572</v>
      </c>
      <c r="DH25">
        <v>421.2204444444444</v>
      </c>
      <c r="DI25">
        <v>23.88523333333334</v>
      </c>
      <c r="DJ25">
        <v>500.0413333333333</v>
      </c>
      <c r="DK25">
        <v>90.77176666666666</v>
      </c>
      <c r="DL25">
        <v>0.03543861111111111</v>
      </c>
      <c r="DM25">
        <v>30.24153333333333</v>
      </c>
      <c r="DN25">
        <v>30.08114444444444</v>
      </c>
      <c r="DO25">
        <v>999.9000000000001</v>
      </c>
      <c r="DP25">
        <v>0</v>
      </c>
      <c r="DQ25">
        <v>0</v>
      </c>
      <c r="DR25">
        <v>10009.37444444444</v>
      </c>
      <c r="DS25">
        <v>0</v>
      </c>
      <c r="DT25">
        <v>0.242856</v>
      </c>
      <c r="DU25">
        <v>0.4477774444444445</v>
      </c>
      <c r="DV25">
        <v>430.9887777777778</v>
      </c>
      <c r="DW25">
        <v>430.4244444444444</v>
      </c>
      <c r="DX25">
        <v>0.2391231222222222</v>
      </c>
      <c r="DY25">
        <v>420.1557777777778</v>
      </c>
      <c r="DZ25">
        <v>23.8572</v>
      </c>
      <c r="EA25">
        <v>2.187266666666666</v>
      </c>
      <c r="EB25">
        <v>2.165563333333333</v>
      </c>
      <c r="EC25">
        <v>18.86934444444444</v>
      </c>
      <c r="ED25">
        <v>18.70946666666667</v>
      </c>
      <c r="EE25">
        <v>0.00500078</v>
      </c>
      <c r="EF25">
        <v>0</v>
      </c>
      <c r="EG25">
        <v>0</v>
      </c>
      <c r="EH25">
        <v>0</v>
      </c>
      <c r="EI25">
        <v>152.9555555555555</v>
      </c>
      <c r="EJ25">
        <v>0.00500078</v>
      </c>
      <c r="EK25">
        <v>-15.45555555555556</v>
      </c>
      <c r="EL25">
        <v>-0.8111111111111112</v>
      </c>
      <c r="EM25">
        <v>35.47211111111111</v>
      </c>
      <c r="EN25">
        <v>39.45822222222223</v>
      </c>
      <c r="EO25">
        <v>37.597</v>
      </c>
      <c r="EP25">
        <v>39.95822222222223</v>
      </c>
      <c r="EQ25">
        <v>38.27044444444444</v>
      </c>
      <c r="ER25">
        <v>0</v>
      </c>
      <c r="ES25">
        <v>0</v>
      </c>
      <c r="ET25">
        <v>0</v>
      </c>
      <c r="EU25">
        <v>1761018080.5</v>
      </c>
      <c r="EV25">
        <v>0</v>
      </c>
      <c r="EW25">
        <v>152.276</v>
      </c>
      <c r="EX25">
        <v>25.59230748998013</v>
      </c>
      <c r="EY25">
        <v>3.161538336333551</v>
      </c>
      <c r="EZ25">
        <v>-14.752</v>
      </c>
      <c r="FA25">
        <v>15</v>
      </c>
      <c r="FB25">
        <v>1761018049.5</v>
      </c>
      <c r="FC25" t="s">
        <v>422</v>
      </c>
      <c r="FD25">
        <v>1761018049.5</v>
      </c>
      <c r="FE25">
        <v>1761018035.5</v>
      </c>
      <c r="FF25">
        <v>23</v>
      </c>
      <c r="FG25">
        <v>1.295</v>
      </c>
      <c r="FH25">
        <v>0.011</v>
      </c>
      <c r="FI25">
        <v>-0.618</v>
      </c>
      <c r="FJ25">
        <v>0.192</v>
      </c>
      <c r="FK25">
        <v>420</v>
      </c>
      <c r="FL25">
        <v>23</v>
      </c>
      <c r="FM25">
        <v>0.42</v>
      </c>
      <c r="FN25">
        <v>0.17</v>
      </c>
      <c r="FO25">
        <v>0.494811268292683</v>
      </c>
      <c r="FP25">
        <v>-0.1039050104529617</v>
      </c>
      <c r="FQ25">
        <v>0.04514584851671161</v>
      </c>
      <c r="FR25">
        <v>1</v>
      </c>
      <c r="FS25">
        <v>152.1470588235294</v>
      </c>
      <c r="FT25">
        <v>10.41100064570347</v>
      </c>
      <c r="FU25">
        <v>6.716320565437318</v>
      </c>
      <c r="FV25">
        <v>0</v>
      </c>
      <c r="FW25">
        <v>-0.1440136804878049</v>
      </c>
      <c r="FX25">
        <v>1.918120064111499</v>
      </c>
      <c r="FY25">
        <v>0.230318314563679</v>
      </c>
      <c r="FZ25">
        <v>0</v>
      </c>
      <c r="GA25">
        <v>1</v>
      </c>
      <c r="GB25">
        <v>3</v>
      </c>
      <c r="GC25" t="s">
        <v>431</v>
      </c>
      <c r="GD25">
        <v>3.10958</v>
      </c>
      <c r="GE25">
        <v>2.72678</v>
      </c>
      <c r="GF25">
        <v>0.08857710000000001</v>
      </c>
      <c r="GG25">
        <v>0.0884426</v>
      </c>
      <c r="GH25">
        <v>0.108755</v>
      </c>
      <c r="GI25">
        <v>0.108253</v>
      </c>
      <c r="GJ25">
        <v>23894.8</v>
      </c>
      <c r="GK25">
        <v>21687.6</v>
      </c>
      <c r="GL25">
        <v>26776.3</v>
      </c>
      <c r="GM25">
        <v>24000.7</v>
      </c>
      <c r="GN25">
        <v>38132.8</v>
      </c>
      <c r="GO25">
        <v>31589.4</v>
      </c>
      <c r="GP25">
        <v>46736.4</v>
      </c>
      <c r="GQ25">
        <v>37961.9</v>
      </c>
      <c r="GR25">
        <v>1.88442</v>
      </c>
      <c r="GS25">
        <v>1.87225</v>
      </c>
      <c r="GT25">
        <v>0.144951</v>
      </c>
      <c r="GU25">
        <v>0</v>
      </c>
      <c r="GV25">
        <v>27.7244</v>
      </c>
      <c r="GW25">
        <v>999.9</v>
      </c>
      <c r="GX25">
        <v>63.1</v>
      </c>
      <c r="GY25">
        <v>29.1</v>
      </c>
      <c r="GZ25">
        <v>28.1195</v>
      </c>
      <c r="HA25">
        <v>61.49</v>
      </c>
      <c r="HB25">
        <v>19.8438</v>
      </c>
      <c r="HC25">
        <v>1</v>
      </c>
      <c r="HD25">
        <v>0.07949440000000001</v>
      </c>
      <c r="HE25">
        <v>-1.54938</v>
      </c>
      <c r="HF25">
        <v>20.3286</v>
      </c>
      <c r="HG25">
        <v>5.21864</v>
      </c>
      <c r="HH25">
        <v>11.9797</v>
      </c>
      <c r="HI25">
        <v>4.96475</v>
      </c>
      <c r="HJ25">
        <v>3.27533</v>
      </c>
      <c r="HK25">
        <v>9999</v>
      </c>
      <c r="HL25">
        <v>9999</v>
      </c>
      <c r="HM25">
        <v>9999</v>
      </c>
      <c r="HN25">
        <v>999.9</v>
      </c>
      <c r="HO25">
        <v>1.86361</v>
      </c>
      <c r="HP25">
        <v>1.85974</v>
      </c>
      <c r="HQ25">
        <v>1.85799</v>
      </c>
      <c r="HR25">
        <v>1.85936</v>
      </c>
      <c r="HS25">
        <v>1.85959</v>
      </c>
      <c r="HT25">
        <v>1.85804</v>
      </c>
      <c r="HU25">
        <v>1.85704</v>
      </c>
      <c r="HV25">
        <v>1.8521</v>
      </c>
      <c r="HW25">
        <v>0</v>
      </c>
      <c r="HX25">
        <v>0</v>
      </c>
      <c r="HY25">
        <v>0</v>
      </c>
      <c r="HZ25">
        <v>0</v>
      </c>
      <c r="IA25" t="s">
        <v>424</v>
      </c>
      <c r="IB25" t="s">
        <v>425</v>
      </c>
      <c r="IC25" t="s">
        <v>426</v>
      </c>
      <c r="ID25" t="s">
        <v>426</v>
      </c>
      <c r="IE25" t="s">
        <v>426</v>
      </c>
      <c r="IF25" t="s">
        <v>426</v>
      </c>
      <c r="IG25">
        <v>0</v>
      </c>
      <c r="IH25">
        <v>100</v>
      </c>
      <c r="II25">
        <v>100</v>
      </c>
      <c r="IJ25">
        <v>-0.617</v>
      </c>
      <c r="IK25">
        <v>0.2101</v>
      </c>
      <c r="IL25">
        <v>-1.405955206116699</v>
      </c>
      <c r="IM25">
        <v>0.001328113201692861</v>
      </c>
      <c r="IN25">
        <v>1.538283238170363E-06</v>
      </c>
      <c r="IO25">
        <v>-5.795655626708063E-10</v>
      </c>
      <c r="IP25">
        <v>-0.04918981781385694</v>
      </c>
      <c r="IQ25">
        <v>-0.004593102289677449</v>
      </c>
      <c r="IR25">
        <v>0.0008253994458280543</v>
      </c>
      <c r="IS25">
        <v>-7.403632370499484E-06</v>
      </c>
      <c r="IT25">
        <v>2</v>
      </c>
      <c r="IU25">
        <v>1985</v>
      </c>
      <c r="IV25">
        <v>1</v>
      </c>
      <c r="IW25">
        <v>27</v>
      </c>
      <c r="IX25">
        <v>0.5</v>
      </c>
      <c r="IY25">
        <v>0.8</v>
      </c>
      <c r="IZ25">
        <v>1.12061</v>
      </c>
      <c r="JA25">
        <v>2.54761</v>
      </c>
      <c r="JB25">
        <v>1.49658</v>
      </c>
      <c r="JC25">
        <v>2.34253</v>
      </c>
      <c r="JD25">
        <v>1.54907</v>
      </c>
      <c r="JE25">
        <v>2.45239</v>
      </c>
      <c r="JF25">
        <v>31.6736</v>
      </c>
      <c r="JG25">
        <v>14.6749</v>
      </c>
      <c r="JH25">
        <v>18</v>
      </c>
      <c r="JI25">
        <v>483.085</v>
      </c>
      <c r="JJ25">
        <v>504.809</v>
      </c>
      <c r="JK25">
        <v>31.4572</v>
      </c>
      <c r="JL25">
        <v>28.2754</v>
      </c>
      <c r="JM25">
        <v>29.9996</v>
      </c>
      <c r="JN25">
        <v>28.5782</v>
      </c>
      <c r="JO25">
        <v>28.5784</v>
      </c>
      <c r="JP25">
        <v>22.5274</v>
      </c>
      <c r="JQ25">
        <v>22.3755</v>
      </c>
      <c r="JR25">
        <v>81.53149999999999</v>
      </c>
      <c r="JS25">
        <v>31.402</v>
      </c>
      <c r="JT25">
        <v>420</v>
      </c>
      <c r="JU25">
        <v>23.5474</v>
      </c>
      <c r="JV25">
        <v>102.202</v>
      </c>
      <c r="JW25">
        <v>91.5592</v>
      </c>
    </row>
    <row r="26" spans="1:283">
      <c r="A26">
        <v>8</v>
      </c>
      <c r="B26">
        <v>1761018083.5</v>
      </c>
      <c r="C26">
        <v>14</v>
      </c>
      <c r="D26" t="s">
        <v>441</v>
      </c>
      <c r="E26" t="s">
        <v>442</v>
      </c>
      <c r="F26">
        <v>5</v>
      </c>
      <c r="G26" t="s">
        <v>419</v>
      </c>
      <c r="H26">
        <v>1761018080.5</v>
      </c>
      <c r="I26">
        <f>(J26)/1000</f>
        <v>0</v>
      </c>
      <c r="J26">
        <f>1000*DJ26*AH26*(DF26-DG26)/(100*CY26*(1000-AH26*DF26))</f>
        <v>0</v>
      </c>
      <c r="K26">
        <f>DJ26*AH26*(DE26-DD26*(1000-AH26*DG26)/(1000-AH26*DF26))/(100*CY26)</f>
        <v>0</v>
      </c>
      <c r="L26">
        <f>DD26 - IF(AH26&gt;1, K26*CY26*100.0/(AJ26), 0)</f>
        <v>0</v>
      </c>
      <c r="M26">
        <f>((S26-I26/2)*L26-K26)/(S26+I26/2)</f>
        <v>0</v>
      </c>
      <c r="N26">
        <f>M26*(DK26+DL26)/1000.0</f>
        <v>0</v>
      </c>
      <c r="O26">
        <f>(DD26 - IF(AH26&gt;1, K26*CY26*100.0/(AJ26), 0))*(DK26+DL26)/1000.0</f>
        <v>0</v>
      </c>
      <c r="P26">
        <f>2.0/((1/R26-1/Q26)+SIGN(R26)*SQRT((1/R26-1/Q26)*(1/R26-1/Q26) + 4*CZ26/((CZ26+1)*(CZ26+1))*(2*1/R26*1/Q26-1/Q26*1/Q26)))</f>
        <v>0</v>
      </c>
      <c r="Q26">
        <f>IF(LEFT(DA26,1)&lt;&gt;"0",IF(LEFT(DA26,1)="1",3.0,DB26),$D$5+$E$5*(DR26*DK26/($K$5*1000))+$F$5*(DR26*DK26/($K$5*1000))*MAX(MIN(CY26,$J$5),$I$5)*MAX(MIN(CY26,$J$5),$I$5)+$G$5*MAX(MIN(CY26,$J$5),$I$5)*(DR26*DK26/($K$5*1000))+$H$5*(DR26*DK26/($K$5*1000))*(DR26*DK26/($K$5*1000)))</f>
        <v>0</v>
      </c>
      <c r="R26">
        <f>I26*(1000-(1000*0.61365*exp(17.502*V26/(240.97+V26))/(DK26+DL26)+DF26)/2)/(1000*0.61365*exp(17.502*V26/(240.97+V26))/(DK26+DL26)-DF26)</f>
        <v>0</v>
      </c>
      <c r="S26">
        <f>1/((CZ26+1)/(P26/1.6)+1/(Q26/1.37)) + CZ26/((CZ26+1)/(P26/1.6) + CZ26/(Q26/1.37))</f>
        <v>0</v>
      </c>
      <c r="T26">
        <f>(CU26*CX26)</f>
        <v>0</v>
      </c>
      <c r="U26">
        <f>(DM26+(T26+2*0.95*5.67E-8*(((DM26+$B$9)+273)^4-(DM26+273)^4)-44100*I26)/(1.84*29.3*Q26+8*0.95*5.67E-8*(DM26+273)^3))</f>
        <v>0</v>
      </c>
      <c r="V26">
        <f>($C$9*DN26+$D$9*DO26+$E$9*U26)</f>
        <v>0</v>
      </c>
      <c r="W26">
        <f>0.61365*exp(17.502*V26/(240.97+V26))</f>
        <v>0</v>
      </c>
      <c r="X26">
        <f>(Y26/Z26*100)</f>
        <v>0</v>
      </c>
      <c r="Y26">
        <f>DF26*(DK26+DL26)/1000</f>
        <v>0</v>
      </c>
      <c r="Z26">
        <f>0.61365*exp(17.502*DM26/(240.97+DM26))</f>
        <v>0</v>
      </c>
      <c r="AA26">
        <f>(W26-DF26*(DK26+DL26)/1000)</f>
        <v>0</v>
      </c>
      <c r="AB26">
        <f>(-I26*44100)</f>
        <v>0</v>
      </c>
      <c r="AC26">
        <f>2*29.3*Q26*0.92*(DM26-V26)</f>
        <v>0</v>
      </c>
      <c r="AD26">
        <f>2*0.95*5.67E-8*(((DM26+$B$9)+273)^4-(V26+273)^4)</f>
        <v>0</v>
      </c>
      <c r="AE26">
        <f>T26+AD26+AB26+AC26</f>
        <v>0</v>
      </c>
      <c r="AF26">
        <v>0</v>
      </c>
      <c r="AG26">
        <v>0</v>
      </c>
      <c r="AH26">
        <f>IF(AF26*$H$15&gt;=AJ26,1.0,(AJ26/(AJ26-AF26*$H$15)))</f>
        <v>0</v>
      </c>
      <c r="AI26">
        <f>(AH26-1)*100</f>
        <v>0</v>
      </c>
      <c r="AJ26">
        <f>MAX(0,($B$15+$C$15*DR26)/(1+$D$15*DR26)*DK26/(DM26+273)*$E$15)</f>
        <v>0</v>
      </c>
      <c r="AK26" t="s">
        <v>420</v>
      </c>
      <c r="AL26" t="s">
        <v>420</v>
      </c>
      <c r="AM26">
        <v>0</v>
      </c>
      <c r="AN26">
        <v>0</v>
      </c>
      <c r="AO26">
        <f>1-AM26/AN26</f>
        <v>0</v>
      </c>
      <c r="AP26">
        <v>0</v>
      </c>
      <c r="AQ26" t="s">
        <v>420</v>
      </c>
      <c r="AR26" t="s">
        <v>420</v>
      </c>
      <c r="AS26">
        <v>0</v>
      </c>
      <c r="AT26">
        <v>0</v>
      </c>
      <c r="AU26">
        <f>1-AS26/AT26</f>
        <v>0</v>
      </c>
      <c r="AV26">
        <v>0.5</v>
      </c>
      <c r="AW26">
        <f>CV26</f>
        <v>0</v>
      </c>
      <c r="AX26">
        <f>K26</f>
        <v>0</v>
      </c>
      <c r="AY26">
        <f>AU26*AV26*AW26</f>
        <v>0</v>
      </c>
      <c r="AZ26">
        <f>(AX26-AP26)/AW26</f>
        <v>0</v>
      </c>
      <c r="BA26">
        <f>(AN26-AT26)/AT26</f>
        <v>0</v>
      </c>
      <c r="BB26">
        <f>AM26/(AO26+AM26/AT26)</f>
        <v>0</v>
      </c>
      <c r="BC26" t="s">
        <v>420</v>
      </c>
      <c r="BD26">
        <v>0</v>
      </c>
      <c r="BE26">
        <f>IF(BD26&lt;&gt;0, BD26, BB26)</f>
        <v>0</v>
      </c>
      <c r="BF26">
        <f>1-BE26/AT26</f>
        <v>0</v>
      </c>
      <c r="BG26">
        <f>(AT26-AS26)/(AT26-BE26)</f>
        <v>0</v>
      </c>
      <c r="BH26">
        <f>(AN26-AT26)/(AN26-BE26)</f>
        <v>0</v>
      </c>
      <c r="BI26">
        <f>(AT26-AS26)/(AT26-AM26)</f>
        <v>0</v>
      </c>
      <c r="BJ26">
        <f>(AN26-AT26)/(AN26-AM26)</f>
        <v>0</v>
      </c>
      <c r="BK26">
        <f>(BG26*BE26/AS26)</f>
        <v>0</v>
      </c>
      <c r="BL26">
        <f>(1-BK26)</f>
        <v>0</v>
      </c>
      <c r="CU26">
        <f>$B$13*DS26+$C$13*DT26+$F$13*EE26*(1-EH26)</f>
        <v>0</v>
      </c>
      <c r="CV26">
        <f>CU26*CW26</f>
        <v>0</v>
      </c>
      <c r="CW26">
        <f>($B$13*$D$11+$C$13*$D$11+$F$13*((ER26+EJ26)/MAX(ER26+EJ26+ES26, 0.1)*$I$11+ES26/MAX(ER26+EJ26+ES26, 0.1)*$J$11))/($B$13+$C$13+$F$13)</f>
        <v>0</v>
      </c>
      <c r="CX26">
        <f>($B$13*$K$11+$C$13*$K$11+$F$13*((ER26+EJ26)/MAX(ER26+EJ26+ES26, 0.1)*$P$11+ES26/MAX(ER26+EJ26+ES26, 0.1)*$Q$11))/($B$13+$C$13+$F$13)</f>
        <v>0</v>
      </c>
      <c r="CY26">
        <v>2.7</v>
      </c>
      <c r="CZ26">
        <v>0.5</v>
      </c>
      <c r="DA26" t="s">
        <v>421</v>
      </c>
      <c r="DB26">
        <v>2</v>
      </c>
      <c r="DC26">
        <v>1761018080.5</v>
      </c>
      <c r="DD26">
        <v>420.6363333333333</v>
      </c>
      <c r="DE26">
        <v>420.1493333333333</v>
      </c>
      <c r="DF26">
        <v>24.0657</v>
      </c>
      <c r="DG26">
        <v>23.65961111111111</v>
      </c>
      <c r="DH26">
        <v>421.253</v>
      </c>
      <c r="DI26">
        <v>23.85525555555555</v>
      </c>
      <c r="DJ26">
        <v>500.0045555555555</v>
      </c>
      <c r="DK26">
        <v>90.77202222222223</v>
      </c>
      <c r="DL26">
        <v>0.03537497777777778</v>
      </c>
      <c r="DM26">
        <v>30.23797777777778</v>
      </c>
      <c r="DN26">
        <v>30.08327777777778</v>
      </c>
      <c r="DO26">
        <v>999.9000000000001</v>
      </c>
      <c r="DP26">
        <v>0</v>
      </c>
      <c r="DQ26">
        <v>0</v>
      </c>
      <c r="DR26">
        <v>9997.286666666667</v>
      </c>
      <c r="DS26">
        <v>0</v>
      </c>
      <c r="DT26">
        <v>0.242856</v>
      </c>
      <c r="DU26">
        <v>0.4869756666666666</v>
      </c>
      <c r="DV26">
        <v>431.0087777777778</v>
      </c>
      <c r="DW26">
        <v>430.3308888888889</v>
      </c>
      <c r="DX26">
        <v>0.4060723333333334</v>
      </c>
      <c r="DY26">
        <v>420.1493333333333</v>
      </c>
      <c r="DZ26">
        <v>23.65961111111111</v>
      </c>
      <c r="EA26">
        <v>2.184491111111111</v>
      </c>
      <c r="EB26">
        <v>2.147633333333333</v>
      </c>
      <c r="EC26">
        <v>18.849</v>
      </c>
      <c r="ED26">
        <v>18.57653333333333</v>
      </c>
      <c r="EE26">
        <v>0.00500078</v>
      </c>
      <c r="EF26">
        <v>0</v>
      </c>
      <c r="EG26">
        <v>0</v>
      </c>
      <c r="EH26">
        <v>0</v>
      </c>
      <c r="EI26">
        <v>151.3333333333333</v>
      </c>
      <c r="EJ26">
        <v>0.00500078</v>
      </c>
      <c r="EK26">
        <v>-14.67777777777778</v>
      </c>
      <c r="EL26">
        <v>-0.3444444444444445</v>
      </c>
      <c r="EM26">
        <v>35.47900000000001</v>
      </c>
      <c r="EN26">
        <v>39.40955555555556</v>
      </c>
      <c r="EO26">
        <v>37.63177777777778</v>
      </c>
      <c r="EP26">
        <v>39.88188888888889</v>
      </c>
      <c r="EQ26">
        <v>38.27744444444444</v>
      </c>
      <c r="ER26">
        <v>0</v>
      </c>
      <c r="ES26">
        <v>0</v>
      </c>
      <c r="ET26">
        <v>0</v>
      </c>
      <c r="EU26">
        <v>1761018082.3</v>
      </c>
      <c r="EV26">
        <v>0</v>
      </c>
      <c r="EW26">
        <v>152.95</v>
      </c>
      <c r="EX26">
        <v>13.61709375818493</v>
      </c>
      <c r="EY26">
        <v>-2.40000008995425</v>
      </c>
      <c r="EZ26">
        <v>-14.75384615384615</v>
      </c>
      <c r="FA26">
        <v>15</v>
      </c>
      <c r="FB26">
        <v>1761018049.5</v>
      </c>
      <c r="FC26" t="s">
        <v>422</v>
      </c>
      <c r="FD26">
        <v>1761018049.5</v>
      </c>
      <c r="FE26">
        <v>1761018035.5</v>
      </c>
      <c r="FF26">
        <v>23</v>
      </c>
      <c r="FG26">
        <v>1.295</v>
      </c>
      <c r="FH26">
        <v>0.011</v>
      </c>
      <c r="FI26">
        <v>-0.618</v>
      </c>
      <c r="FJ26">
        <v>0.192</v>
      </c>
      <c r="FK26">
        <v>420</v>
      </c>
      <c r="FL26">
        <v>23</v>
      </c>
      <c r="FM26">
        <v>0.42</v>
      </c>
      <c r="FN26">
        <v>0.17</v>
      </c>
      <c r="FO26">
        <v>0.5014259250000001</v>
      </c>
      <c r="FP26">
        <v>-0.10910495684803</v>
      </c>
      <c r="FQ26">
        <v>0.04666394713126371</v>
      </c>
      <c r="FR26">
        <v>1</v>
      </c>
      <c r="FS26">
        <v>152.2764705882353</v>
      </c>
      <c r="FT26">
        <v>16.18640177263373</v>
      </c>
      <c r="FU26">
        <v>6.282424542442821</v>
      </c>
      <c r="FV26">
        <v>0</v>
      </c>
      <c r="FW26">
        <v>-0.0457377225</v>
      </c>
      <c r="FX26">
        <v>3.120246807129458</v>
      </c>
      <c r="FY26">
        <v>0.3162779556699103</v>
      </c>
      <c r="FZ26">
        <v>0</v>
      </c>
      <c r="GA26">
        <v>1</v>
      </c>
      <c r="GB26">
        <v>3</v>
      </c>
      <c r="GC26" t="s">
        <v>431</v>
      </c>
      <c r="GD26">
        <v>3.10938</v>
      </c>
      <c r="GE26">
        <v>2.72707</v>
      </c>
      <c r="GF26">
        <v>0.0885822</v>
      </c>
      <c r="GG26">
        <v>0.08843429999999999</v>
      </c>
      <c r="GH26">
        <v>0.108488</v>
      </c>
      <c r="GI26">
        <v>0.107652</v>
      </c>
      <c r="GJ26">
        <v>23894.7</v>
      </c>
      <c r="GK26">
        <v>21687.7</v>
      </c>
      <c r="GL26">
        <v>26776.4</v>
      </c>
      <c r="GM26">
        <v>24000.6</v>
      </c>
      <c r="GN26">
        <v>38144.4</v>
      </c>
      <c r="GO26">
        <v>31610.6</v>
      </c>
      <c r="GP26">
        <v>46736.4</v>
      </c>
      <c r="GQ26">
        <v>37961.6</v>
      </c>
      <c r="GR26">
        <v>1.88433</v>
      </c>
      <c r="GS26">
        <v>1.87235</v>
      </c>
      <c r="GT26">
        <v>0.144243</v>
      </c>
      <c r="GU26">
        <v>0</v>
      </c>
      <c r="GV26">
        <v>27.732</v>
      </c>
      <c r="GW26">
        <v>999.9</v>
      </c>
      <c r="GX26">
        <v>63.1</v>
      </c>
      <c r="GY26">
        <v>29.1</v>
      </c>
      <c r="GZ26">
        <v>28.1198</v>
      </c>
      <c r="HA26">
        <v>61.41</v>
      </c>
      <c r="HB26">
        <v>19.9399</v>
      </c>
      <c r="HC26">
        <v>1</v>
      </c>
      <c r="HD26">
        <v>0.07917680000000001</v>
      </c>
      <c r="HE26">
        <v>-1.50331</v>
      </c>
      <c r="HF26">
        <v>20.3288</v>
      </c>
      <c r="HG26">
        <v>5.21819</v>
      </c>
      <c r="HH26">
        <v>11.9796</v>
      </c>
      <c r="HI26">
        <v>4.9647</v>
      </c>
      <c r="HJ26">
        <v>3.2752</v>
      </c>
      <c r="HK26">
        <v>9999</v>
      </c>
      <c r="HL26">
        <v>9999</v>
      </c>
      <c r="HM26">
        <v>9999</v>
      </c>
      <c r="HN26">
        <v>999.9</v>
      </c>
      <c r="HO26">
        <v>1.86361</v>
      </c>
      <c r="HP26">
        <v>1.85974</v>
      </c>
      <c r="HQ26">
        <v>1.85798</v>
      </c>
      <c r="HR26">
        <v>1.85935</v>
      </c>
      <c r="HS26">
        <v>1.85958</v>
      </c>
      <c r="HT26">
        <v>1.85806</v>
      </c>
      <c r="HU26">
        <v>1.85705</v>
      </c>
      <c r="HV26">
        <v>1.8521</v>
      </c>
      <c r="HW26">
        <v>0</v>
      </c>
      <c r="HX26">
        <v>0</v>
      </c>
      <c r="HY26">
        <v>0</v>
      </c>
      <c r="HZ26">
        <v>0</v>
      </c>
      <c r="IA26" t="s">
        <v>424</v>
      </c>
      <c r="IB26" t="s">
        <v>425</v>
      </c>
      <c r="IC26" t="s">
        <v>426</v>
      </c>
      <c r="ID26" t="s">
        <v>426</v>
      </c>
      <c r="IE26" t="s">
        <v>426</v>
      </c>
      <c r="IF26" t="s">
        <v>426</v>
      </c>
      <c r="IG26">
        <v>0</v>
      </c>
      <c r="IH26">
        <v>100</v>
      </c>
      <c r="II26">
        <v>100</v>
      </c>
      <c r="IJ26">
        <v>-0.617</v>
      </c>
      <c r="IK26">
        <v>0.2082</v>
      </c>
      <c r="IL26">
        <v>-1.405955206116699</v>
      </c>
      <c r="IM26">
        <v>0.001328113201692861</v>
      </c>
      <c r="IN26">
        <v>1.538283238170363E-06</v>
      </c>
      <c r="IO26">
        <v>-5.795655626708063E-10</v>
      </c>
      <c r="IP26">
        <v>-0.04918981781385694</v>
      </c>
      <c r="IQ26">
        <v>-0.004593102289677449</v>
      </c>
      <c r="IR26">
        <v>0.0008253994458280543</v>
      </c>
      <c r="IS26">
        <v>-7.403632370499484E-06</v>
      </c>
      <c r="IT26">
        <v>2</v>
      </c>
      <c r="IU26">
        <v>1985</v>
      </c>
      <c r="IV26">
        <v>1</v>
      </c>
      <c r="IW26">
        <v>27</v>
      </c>
      <c r="IX26">
        <v>0.6</v>
      </c>
      <c r="IY26">
        <v>0.8</v>
      </c>
      <c r="IZ26">
        <v>1.12061</v>
      </c>
      <c r="JA26">
        <v>2.55981</v>
      </c>
      <c r="JB26">
        <v>1.49658</v>
      </c>
      <c r="JC26">
        <v>2.34131</v>
      </c>
      <c r="JD26">
        <v>1.54907</v>
      </c>
      <c r="JE26">
        <v>2.43408</v>
      </c>
      <c r="JF26">
        <v>31.6736</v>
      </c>
      <c r="JG26">
        <v>14.6661</v>
      </c>
      <c r="JH26">
        <v>18</v>
      </c>
      <c r="JI26">
        <v>483.007</v>
      </c>
      <c r="JJ26">
        <v>504.844</v>
      </c>
      <c r="JK26">
        <v>31.4239</v>
      </c>
      <c r="JL26">
        <v>28.2736</v>
      </c>
      <c r="JM26">
        <v>29.9995</v>
      </c>
      <c r="JN26">
        <v>28.5756</v>
      </c>
      <c r="JO26">
        <v>28.5748</v>
      </c>
      <c r="JP26">
        <v>22.528</v>
      </c>
      <c r="JQ26">
        <v>21.6255</v>
      </c>
      <c r="JR26">
        <v>81.53149999999999</v>
      </c>
      <c r="JS26">
        <v>31.402</v>
      </c>
      <c r="JT26">
        <v>420</v>
      </c>
      <c r="JU26">
        <v>23.6094</v>
      </c>
      <c r="JV26">
        <v>102.202</v>
      </c>
      <c r="JW26">
        <v>91.5585</v>
      </c>
    </row>
    <row r="27" spans="1:283">
      <c r="A27">
        <v>9</v>
      </c>
      <c r="B27">
        <v>1761018085.5</v>
      </c>
      <c r="C27">
        <v>16</v>
      </c>
      <c r="D27" t="s">
        <v>443</v>
      </c>
      <c r="E27" t="s">
        <v>444</v>
      </c>
      <c r="F27">
        <v>5</v>
      </c>
      <c r="G27" t="s">
        <v>419</v>
      </c>
      <c r="H27">
        <v>1761018082.5</v>
      </c>
      <c r="I27">
        <f>(J27)/1000</f>
        <v>0</v>
      </c>
      <c r="J27">
        <f>1000*DJ27*AH27*(DF27-DG27)/(100*CY27*(1000-AH27*DF27))</f>
        <v>0</v>
      </c>
      <c r="K27">
        <f>DJ27*AH27*(DE27-DD27*(1000-AH27*DG27)/(1000-AH27*DF27))/(100*CY27)</f>
        <v>0</v>
      </c>
      <c r="L27">
        <f>DD27 - IF(AH27&gt;1, K27*CY27*100.0/(AJ27), 0)</f>
        <v>0</v>
      </c>
      <c r="M27">
        <f>((S27-I27/2)*L27-K27)/(S27+I27/2)</f>
        <v>0</v>
      </c>
      <c r="N27">
        <f>M27*(DK27+DL27)/1000.0</f>
        <v>0</v>
      </c>
      <c r="O27">
        <f>(DD27 - IF(AH27&gt;1, K27*CY27*100.0/(AJ27), 0))*(DK27+DL27)/1000.0</f>
        <v>0</v>
      </c>
      <c r="P27">
        <f>2.0/((1/R27-1/Q27)+SIGN(R27)*SQRT((1/R27-1/Q27)*(1/R27-1/Q27) + 4*CZ27/((CZ27+1)*(CZ27+1))*(2*1/R27*1/Q27-1/Q27*1/Q27)))</f>
        <v>0</v>
      </c>
      <c r="Q27">
        <f>IF(LEFT(DA27,1)&lt;&gt;"0",IF(LEFT(DA27,1)="1",3.0,DB27),$D$5+$E$5*(DR27*DK27/($K$5*1000))+$F$5*(DR27*DK27/($K$5*1000))*MAX(MIN(CY27,$J$5),$I$5)*MAX(MIN(CY27,$J$5),$I$5)+$G$5*MAX(MIN(CY27,$J$5),$I$5)*(DR27*DK27/($K$5*1000))+$H$5*(DR27*DK27/($K$5*1000))*(DR27*DK27/($K$5*1000)))</f>
        <v>0</v>
      </c>
      <c r="R27">
        <f>I27*(1000-(1000*0.61365*exp(17.502*V27/(240.97+V27))/(DK27+DL27)+DF27)/2)/(1000*0.61365*exp(17.502*V27/(240.97+V27))/(DK27+DL27)-DF27)</f>
        <v>0</v>
      </c>
      <c r="S27">
        <f>1/((CZ27+1)/(P27/1.6)+1/(Q27/1.37)) + CZ27/((CZ27+1)/(P27/1.6) + CZ27/(Q27/1.37))</f>
        <v>0</v>
      </c>
      <c r="T27">
        <f>(CU27*CX27)</f>
        <v>0</v>
      </c>
      <c r="U27">
        <f>(DM27+(T27+2*0.95*5.67E-8*(((DM27+$B$9)+273)^4-(DM27+273)^4)-44100*I27)/(1.84*29.3*Q27+8*0.95*5.67E-8*(DM27+273)^3))</f>
        <v>0</v>
      </c>
      <c r="V27">
        <f>($C$9*DN27+$D$9*DO27+$E$9*U27)</f>
        <v>0</v>
      </c>
      <c r="W27">
        <f>0.61365*exp(17.502*V27/(240.97+V27))</f>
        <v>0</v>
      </c>
      <c r="X27">
        <f>(Y27/Z27*100)</f>
        <v>0</v>
      </c>
      <c r="Y27">
        <f>DF27*(DK27+DL27)/1000</f>
        <v>0</v>
      </c>
      <c r="Z27">
        <f>0.61365*exp(17.502*DM27/(240.97+DM27))</f>
        <v>0</v>
      </c>
      <c r="AA27">
        <f>(W27-DF27*(DK27+DL27)/1000)</f>
        <v>0</v>
      </c>
      <c r="AB27">
        <f>(-I27*44100)</f>
        <v>0</v>
      </c>
      <c r="AC27">
        <f>2*29.3*Q27*0.92*(DM27-V27)</f>
        <v>0</v>
      </c>
      <c r="AD27">
        <f>2*0.95*5.67E-8*(((DM27+$B$9)+273)^4-(V27+273)^4)</f>
        <v>0</v>
      </c>
      <c r="AE27">
        <f>T27+AD27+AB27+AC27</f>
        <v>0</v>
      </c>
      <c r="AF27">
        <v>0</v>
      </c>
      <c r="AG27">
        <v>0</v>
      </c>
      <c r="AH27">
        <f>IF(AF27*$H$15&gt;=AJ27,1.0,(AJ27/(AJ27-AF27*$H$15)))</f>
        <v>0</v>
      </c>
      <c r="AI27">
        <f>(AH27-1)*100</f>
        <v>0</v>
      </c>
      <c r="AJ27">
        <f>MAX(0,($B$15+$C$15*DR27)/(1+$D$15*DR27)*DK27/(DM27+273)*$E$15)</f>
        <v>0</v>
      </c>
      <c r="AK27" t="s">
        <v>420</v>
      </c>
      <c r="AL27" t="s">
        <v>420</v>
      </c>
      <c r="AM27">
        <v>0</v>
      </c>
      <c r="AN27">
        <v>0</v>
      </c>
      <c r="AO27">
        <f>1-AM27/AN27</f>
        <v>0</v>
      </c>
      <c r="AP27">
        <v>0</v>
      </c>
      <c r="AQ27" t="s">
        <v>420</v>
      </c>
      <c r="AR27" t="s">
        <v>420</v>
      </c>
      <c r="AS27">
        <v>0</v>
      </c>
      <c r="AT27">
        <v>0</v>
      </c>
      <c r="AU27">
        <f>1-AS27/AT27</f>
        <v>0</v>
      </c>
      <c r="AV27">
        <v>0.5</v>
      </c>
      <c r="AW27">
        <f>CV27</f>
        <v>0</v>
      </c>
      <c r="AX27">
        <f>K27</f>
        <v>0</v>
      </c>
      <c r="AY27">
        <f>AU27*AV27*AW27</f>
        <v>0</v>
      </c>
      <c r="AZ27">
        <f>(AX27-AP27)/AW27</f>
        <v>0</v>
      </c>
      <c r="BA27">
        <f>(AN27-AT27)/AT27</f>
        <v>0</v>
      </c>
      <c r="BB27">
        <f>AM27/(AO27+AM27/AT27)</f>
        <v>0</v>
      </c>
      <c r="BC27" t="s">
        <v>420</v>
      </c>
      <c r="BD27">
        <v>0</v>
      </c>
      <c r="BE27">
        <f>IF(BD27&lt;&gt;0, BD27, BB27)</f>
        <v>0</v>
      </c>
      <c r="BF27">
        <f>1-BE27/AT27</f>
        <v>0</v>
      </c>
      <c r="BG27">
        <f>(AT27-AS27)/(AT27-BE27)</f>
        <v>0</v>
      </c>
      <c r="BH27">
        <f>(AN27-AT27)/(AN27-BE27)</f>
        <v>0</v>
      </c>
      <c r="BI27">
        <f>(AT27-AS27)/(AT27-AM27)</f>
        <v>0</v>
      </c>
      <c r="BJ27">
        <f>(AN27-AT27)/(AN27-AM27)</f>
        <v>0</v>
      </c>
      <c r="BK27">
        <f>(BG27*BE27/AS27)</f>
        <v>0</v>
      </c>
      <c r="BL27">
        <f>(1-BK27)</f>
        <v>0</v>
      </c>
      <c r="CU27">
        <f>$B$13*DS27+$C$13*DT27+$F$13*EE27*(1-EH27)</f>
        <v>0</v>
      </c>
      <c r="CV27">
        <f>CU27*CW27</f>
        <v>0</v>
      </c>
      <c r="CW27">
        <f>($B$13*$D$11+$C$13*$D$11+$F$13*((ER27+EJ27)/MAX(ER27+EJ27+ES27, 0.1)*$I$11+ES27/MAX(ER27+EJ27+ES27, 0.1)*$J$11))/($B$13+$C$13+$F$13)</f>
        <v>0</v>
      </c>
      <c r="CX27">
        <f>($B$13*$K$11+$C$13*$K$11+$F$13*((ER27+EJ27)/MAX(ER27+EJ27+ES27, 0.1)*$P$11+ES27/MAX(ER27+EJ27+ES27, 0.1)*$Q$11))/($B$13+$C$13+$F$13)</f>
        <v>0</v>
      </c>
      <c r="CY27">
        <v>2.7</v>
      </c>
      <c r="CZ27">
        <v>0.5</v>
      </c>
      <c r="DA27" t="s">
        <v>421</v>
      </c>
      <c r="DB27">
        <v>2</v>
      </c>
      <c r="DC27">
        <v>1761018082.5</v>
      </c>
      <c r="DD27">
        <v>420.6552222222223</v>
      </c>
      <c r="DE27">
        <v>420.1281111111111</v>
      </c>
      <c r="DF27">
        <v>24.00042222222222</v>
      </c>
      <c r="DG27">
        <v>23.46661111111111</v>
      </c>
      <c r="DH27">
        <v>421.2717777777777</v>
      </c>
      <c r="DI27">
        <v>23.7914</v>
      </c>
      <c r="DJ27">
        <v>499.9641111111111</v>
      </c>
      <c r="DK27">
        <v>90.77218888888889</v>
      </c>
      <c r="DL27">
        <v>0.03543732222222222</v>
      </c>
      <c r="DM27">
        <v>30.23383333333333</v>
      </c>
      <c r="DN27">
        <v>30.0843</v>
      </c>
      <c r="DO27">
        <v>999.9000000000001</v>
      </c>
      <c r="DP27">
        <v>0</v>
      </c>
      <c r="DQ27">
        <v>0</v>
      </c>
      <c r="DR27">
        <v>9993.542222222222</v>
      </c>
      <c r="DS27">
        <v>0</v>
      </c>
      <c r="DT27">
        <v>0.242856</v>
      </c>
      <c r="DU27">
        <v>0.5270418888888889</v>
      </c>
      <c r="DV27">
        <v>430.9992222222222</v>
      </c>
      <c r="DW27">
        <v>430.2241111111111</v>
      </c>
      <c r="DX27">
        <v>0.5338105555555556</v>
      </c>
      <c r="DY27">
        <v>420.1281111111111</v>
      </c>
      <c r="DZ27">
        <v>23.46661111111111</v>
      </c>
      <c r="EA27">
        <v>2.178572222222222</v>
      </c>
      <c r="EB27">
        <v>2.130117777777778</v>
      </c>
      <c r="EC27">
        <v>18.80554444444445</v>
      </c>
      <c r="ED27">
        <v>18.4459</v>
      </c>
      <c r="EE27">
        <v>0.00500078</v>
      </c>
      <c r="EF27">
        <v>0</v>
      </c>
      <c r="EG27">
        <v>0</v>
      </c>
      <c r="EH27">
        <v>0</v>
      </c>
      <c r="EI27">
        <v>151.8555555555555</v>
      </c>
      <c r="EJ27">
        <v>0.00500078</v>
      </c>
      <c r="EK27">
        <v>-15.45555555555556</v>
      </c>
      <c r="EL27">
        <v>-0.8333333333333334</v>
      </c>
      <c r="EM27">
        <v>35.40944444444445</v>
      </c>
      <c r="EN27">
        <v>39.33322222222223</v>
      </c>
      <c r="EO27">
        <v>37.53444444444445</v>
      </c>
      <c r="EP27">
        <v>39.75677777777778</v>
      </c>
      <c r="EQ27">
        <v>38.17322222222222</v>
      </c>
      <c r="ER27">
        <v>0</v>
      </c>
      <c r="ES27">
        <v>0</v>
      </c>
      <c r="ET27">
        <v>0</v>
      </c>
      <c r="EU27">
        <v>1761018084.7</v>
      </c>
      <c r="EV27">
        <v>0</v>
      </c>
      <c r="EW27">
        <v>153.2038461538461</v>
      </c>
      <c r="EX27">
        <v>3.046153350339372</v>
      </c>
      <c r="EY27">
        <v>-14.17777779960914</v>
      </c>
      <c r="EZ27">
        <v>-14.12692307692308</v>
      </c>
      <c r="FA27">
        <v>15</v>
      </c>
      <c r="FB27">
        <v>1761018049.5</v>
      </c>
      <c r="FC27" t="s">
        <v>422</v>
      </c>
      <c r="FD27">
        <v>1761018049.5</v>
      </c>
      <c r="FE27">
        <v>1761018035.5</v>
      </c>
      <c r="FF27">
        <v>23</v>
      </c>
      <c r="FG27">
        <v>1.295</v>
      </c>
      <c r="FH27">
        <v>0.011</v>
      </c>
      <c r="FI27">
        <v>-0.618</v>
      </c>
      <c r="FJ27">
        <v>0.192</v>
      </c>
      <c r="FK27">
        <v>420</v>
      </c>
      <c r="FL27">
        <v>23</v>
      </c>
      <c r="FM27">
        <v>0.42</v>
      </c>
      <c r="FN27">
        <v>0.17</v>
      </c>
      <c r="FO27">
        <v>0.5076077804878049</v>
      </c>
      <c r="FP27">
        <v>-0.0393138397212548</v>
      </c>
      <c r="FQ27">
        <v>0.04912482455874448</v>
      </c>
      <c r="FR27">
        <v>1</v>
      </c>
      <c r="FS27">
        <v>152.7235294117647</v>
      </c>
      <c r="FT27">
        <v>3.376623260912927</v>
      </c>
      <c r="FU27">
        <v>5.814740843121416</v>
      </c>
      <c r="FV27">
        <v>0</v>
      </c>
      <c r="FW27">
        <v>0.01630670975609756</v>
      </c>
      <c r="FX27">
        <v>3.429687754703833</v>
      </c>
      <c r="FY27">
        <v>0.3488137829222284</v>
      </c>
      <c r="FZ27">
        <v>0</v>
      </c>
      <c r="GA27">
        <v>1</v>
      </c>
      <c r="GB27">
        <v>3</v>
      </c>
      <c r="GC27" t="s">
        <v>431</v>
      </c>
      <c r="GD27">
        <v>3.10957</v>
      </c>
      <c r="GE27">
        <v>2.72754</v>
      </c>
      <c r="GF27">
        <v>0.0885769</v>
      </c>
      <c r="GG27">
        <v>0.08842709999999999</v>
      </c>
      <c r="GH27">
        <v>0.108164</v>
      </c>
      <c r="GI27">
        <v>0.10728</v>
      </c>
      <c r="GJ27">
        <v>23894.9</v>
      </c>
      <c r="GK27">
        <v>21687.8</v>
      </c>
      <c r="GL27">
        <v>26776.4</v>
      </c>
      <c r="GM27">
        <v>24000.5</v>
      </c>
      <c r="GN27">
        <v>38158.5</v>
      </c>
      <c r="GO27">
        <v>31623.5</v>
      </c>
      <c r="GP27">
        <v>46736.6</v>
      </c>
      <c r="GQ27">
        <v>37961.2</v>
      </c>
      <c r="GR27">
        <v>1.8847</v>
      </c>
      <c r="GS27">
        <v>1.87217</v>
      </c>
      <c r="GT27">
        <v>0.143394</v>
      </c>
      <c r="GU27">
        <v>0</v>
      </c>
      <c r="GV27">
        <v>27.7396</v>
      </c>
      <c r="GW27">
        <v>999.9</v>
      </c>
      <c r="GX27">
        <v>63.1</v>
      </c>
      <c r="GY27">
        <v>29.1</v>
      </c>
      <c r="GZ27">
        <v>28.1186</v>
      </c>
      <c r="HA27">
        <v>61.12</v>
      </c>
      <c r="HB27">
        <v>19.7155</v>
      </c>
      <c r="HC27">
        <v>1</v>
      </c>
      <c r="HD27">
        <v>0.0789456</v>
      </c>
      <c r="HE27">
        <v>-1.56218</v>
      </c>
      <c r="HF27">
        <v>20.3288</v>
      </c>
      <c r="HG27">
        <v>5.22118</v>
      </c>
      <c r="HH27">
        <v>11.9797</v>
      </c>
      <c r="HI27">
        <v>4.9652</v>
      </c>
      <c r="HJ27">
        <v>3.27575</v>
      </c>
      <c r="HK27">
        <v>9999</v>
      </c>
      <c r="HL27">
        <v>9999</v>
      </c>
      <c r="HM27">
        <v>9999</v>
      </c>
      <c r="HN27">
        <v>999.9</v>
      </c>
      <c r="HO27">
        <v>1.8636</v>
      </c>
      <c r="HP27">
        <v>1.85974</v>
      </c>
      <c r="HQ27">
        <v>1.85797</v>
      </c>
      <c r="HR27">
        <v>1.85932</v>
      </c>
      <c r="HS27">
        <v>1.85958</v>
      </c>
      <c r="HT27">
        <v>1.85805</v>
      </c>
      <c r="HU27">
        <v>1.85707</v>
      </c>
      <c r="HV27">
        <v>1.85211</v>
      </c>
      <c r="HW27">
        <v>0</v>
      </c>
      <c r="HX27">
        <v>0</v>
      </c>
      <c r="HY27">
        <v>0</v>
      </c>
      <c r="HZ27">
        <v>0</v>
      </c>
      <c r="IA27" t="s">
        <v>424</v>
      </c>
      <c r="IB27" t="s">
        <v>425</v>
      </c>
      <c r="IC27" t="s">
        <v>426</v>
      </c>
      <c r="ID27" t="s">
        <v>426</v>
      </c>
      <c r="IE27" t="s">
        <v>426</v>
      </c>
      <c r="IF27" t="s">
        <v>426</v>
      </c>
      <c r="IG27">
        <v>0</v>
      </c>
      <c r="IH27">
        <v>100</v>
      </c>
      <c r="II27">
        <v>100</v>
      </c>
      <c r="IJ27">
        <v>-0.616</v>
      </c>
      <c r="IK27">
        <v>0.206</v>
      </c>
      <c r="IL27">
        <v>-1.405955206116699</v>
      </c>
      <c r="IM27">
        <v>0.001328113201692861</v>
      </c>
      <c r="IN27">
        <v>1.538283238170363E-06</v>
      </c>
      <c r="IO27">
        <v>-5.795655626708063E-10</v>
      </c>
      <c r="IP27">
        <v>-0.04918981781385694</v>
      </c>
      <c r="IQ27">
        <v>-0.004593102289677449</v>
      </c>
      <c r="IR27">
        <v>0.0008253994458280543</v>
      </c>
      <c r="IS27">
        <v>-7.403632370499484E-06</v>
      </c>
      <c r="IT27">
        <v>2</v>
      </c>
      <c r="IU27">
        <v>1985</v>
      </c>
      <c r="IV27">
        <v>1</v>
      </c>
      <c r="IW27">
        <v>27</v>
      </c>
      <c r="IX27">
        <v>0.6</v>
      </c>
      <c r="IY27">
        <v>0.8</v>
      </c>
      <c r="IZ27">
        <v>1.12061</v>
      </c>
      <c r="JA27">
        <v>2.55859</v>
      </c>
      <c r="JB27">
        <v>1.49658</v>
      </c>
      <c r="JC27">
        <v>2.34131</v>
      </c>
      <c r="JD27">
        <v>1.54907</v>
      </c>
      <c r="JE27">
        <v>2.35107</v>
      </c>
      <c r="JF27">
        <v>31.6736</v>
      </c>
      <c r="JG27">
        <v>14.6574</v>
      </c>
      <c r="JH27">
        <v>18</v>
      </c>
      <c r="JI27">
        <v>483.202</v>
      </c>
      <c r="JJ27">
        <v>504.696</v>
      </c>
      <c r="JK27">
        <v>31.3887</v>
      </c>
      <c r="JL27">
        <v>28.2715</v>
      </c>
      <c r="JM27">
        <v>29.9996</v>
      </c>
      <c r="JN27">
        <v>28.5725</v>
      </c>
      <c r="JO27">
        <v>28.5712</v>
      </c>
      <c r="JP27">
        <v>22.5267</v>
      </c>
      <c r="JQ27">
        <v>20.953</v>
      </c>
      <c r="JR27">
        <v>81.53149999999999</v>
      </c>
      <c r="JS27">
        <v>31.3175</v>
      </c>
      <c r="JT27">
        <v>420</v>
      </c>
      <c r="JU27">
        <v>23.6535</v>
      </c>
      <c r="JV27">
        <v>102.202</v>
      </c>
      <c r="JW27">
        <v>91.5578</v>
      </c>
    </row>
    <row r="28" spans="1:283">
      <c r="A28">
        <v>10</v>
      </c>
      <c r="B28">
        <v>1761018087.5</v>
      </c>
      <c r="C28">
        <v>18</v>
      </c>
      <c r="D28" t="s">
        <v>445</v>
      </c>
      <c r="E28" t="s">
        <v>446</v>
      </c>
      <c r="F28">
        <v>5</v>
      </c>
      <c r="G28" t="s">
        <v>419</v>
      </c>
      <c r="H28">
        <v>1761018084.5</v>
      </c>
      <c r="I28">
        <f>(J28)/1000</f>
        <v>0</v>
      </c>
      <c r="J28">
        <f>1000*DJ28*AH28*(DF28-DG28)/(100*CY28*(1000-AH28*DF28))</f>
        <v>0</v>
      </c>
      <c r="K28">
        <f>DJ28*AH28*(DE28-DD28*(1000-AH28*DG28)/(1000-AH28*DF28))/(100*CY28)</f>
        <v>0</v>
      </c>
      <c r="L28">
        <f>DD28 - IF(AH28&gt;1, K28*CY28*100.0/(AJ28), 0)</f>
        <v>0</v>
      </c>
      <c r="M28">
        <f>((S28-I28/2)*L28-K28)/(S28+I28/2)</f>
        <v>0</v>
      </c>
      <c r="N28">
        <f>M28*(DK28+DL28)/1000.0</f>
        <v>0</v>
      </c>
      <c r="O28">
        <f>(DD28 - IF(AH28&gt;1, K28*CY28*100.0/(AJ28), 0))*(DK28+DL28)/1000.0</f>
        <v>0</v>
      </c>
      <c r="P28">
        <f>2.0/((1/R28-1/Q28)+SIGN(R28)*SQRT((1/R28-1/Q28)*(1/R28-1/Q28) + 4*CZ28/((CZ28+1)*(CZ28+1))*(2*1/R28*1/Q28-1/Q28*1/Q28)))</f>
        <v>0</v>
      </c>
      <c r="Q28">
        <f>IF(LEFT(DA28,1)&lt;&gt;"0",IF(LEFT(DA28,1)="1",3.0,DB28),$D$5+$E$5*(DR28*DK28/($K$5*1000))+$F$5*(DR28*DK28/($K$5*1000))*MAX(MIN(CY28,$J$5),$I$5)*MAX(MIN(CY28,$J$5),$I$5)+$G$5*MAX(MIN(CY28,$J$5),$I$5)*(DR28*DK28/($K$5*1000))+$H$5*(DR28*DK28/($K$5*1000))*(DR28*DK28/($K$5*1000)))</f>
        <v>0</v>
      </c>
      <c r="R28">
        <f>I28*(1000-(1000*0.61365*exp(17.502*V28/(240.97+V28))/(DK28+DL28)+DF28)/2)/(1000*0.61365*exp(17.502*V28/(240.97+V28))/(DK28+DL28)-DF28)</f>
        <v>0</v>
      </c>
      <c r="S28">
        <f>1/((CZ28+1)/(P28/1.6)+1/(Q28/1.37)) + CZ28/((CZ28+1)/(P28/1.6) + CZ28/(Q28/1.37))</f>
        <v>0</v>
      </c>
      <c r="T28">
        <f>(CU28*CX28)</f>
        <v>0</v>
      </c>
      <c r="U28">
        <f>(DM28+(T28+2*0.95*5.67E-8*(((DM28+$B$9)+273)^4-(DM28+273)^4)-44100*I28)/(1.84*29.3*Q28+8*0.95*5.67E-8*(DM28+273)^3))</f>
        <v>0</v>
      </c>
      <c r="V28">
        <f>($C$9*DN28+$D$9*DO28+$E$9*U28)</f>
        <v>0</v>
      </c>
      <c r="W28">
        <f>0.61365*exp(17.502*V28/(240.97+V28))</f>
        <v>0</v>
      </c>
      <c r="X28">
        <f>(Y28/Z28*100)</f>
        <v>0</v>
      </c>
      <c r="Y28">
        <f>DF28*(DK28+DL28)/1000</f>
        <v>0</v>
      </c>
      <c r="Z28">
        <f>0.61365*exp(17.502*DM28/(240.97+DM28))</f>
        <v>0</v>
      </c>
      <c r="AA28">
        <f>(W28-DF28*(DK28+DL28)/1000)</f>
        <v>0</v>
      </c>
      <c r="AB28">
        <f>(-I28*44100)</f>
        <v>0</v>
      </c>
      <c r="AC28">
        <f>2*29.3*Q28*0.92*(DM28-V28)</f>
        <v>0</v>
      </c>
      <c r="AD28">
        <f>2*0.95*5.67E-8*(((DM28+$B$9)+273)^4-(V28+273)^4)</f>
        <v>0</v>
      </c>
      <c r="AE28">
        <f>T28+AD28+AB28+AC28</f>
        <v>0</v>
      </c>
      <c r="AF28">
        <v>0</v>
      </c>
      <c r="AG28">
        <v>0</v>
      </c>
      <c r="AH28">
        <f>IF(AF28*$H$15&gt;=AJ28,1.0,(AJ28/(AJ28-AF28*$H$15)))</f>
        <v>0</v>
      </c>
      <c r="AI28">
        <f>(AH28-1)*100</f>
        <v>0</v>
      </c>
      <c r="AJ28">
        <f>MAX(0,($B$15+$C$15*DR28)/(1+$D$15*DR28)*DK28/(DM28+273)*$E$15)</f>
        <v>0</v>
      </c>
      <c r="AK28" t="s">
        <v>420</v>
      </c>
      <c r="AL28" t="s">
        <v>420</v>
      </c>
      <c r="AM28">
        <v>0</v>
      </c>
      <c r="AN28">
        <v>0</v>
      </c>
      <c r="AO28">
        <f>1-AM28/AN28</f>
        <v>0</v>
      </c>
      <c r="AP28">
        <v>0</v>
      </c>
      <c r="AQ28" t="s">
        <v>420</v>
      </c>
      <c r="AR28" t="s">
        <v>420</v>
      </c>
      <c r="AS28">
        <v>0</v>
      </c>
      <c r="AT28">
        <v>0</v>
      </c>
      <c r="AU28">
        <f>1-AS28/AT28</f>
        <v>0</v>
      </c>
      <c r="AV28">
        <v>0.5</v>
      </c>
      <c r="AW28">
        <f>CV28</f>
        <v>0</v>
      </c>
      <c r="AX28">
        <f>K28</f>
        <v>0</v>
      </c>
      <c r="AY28">
        <f>AU28*AV28*AW28</f>
        <v>0</v>
      </c>
      <c r="AZ28">
        <f>(AX28-AP28)/AW28</f>
        <v>0</v>
      </c>
      <c r="BA28">
        <f>(AN28-AT28)/AT28</f>
        <v>0</v>
      </c>
      <c r="BB28">
        <f>AM28/(AO28+AM28/AT28)</f>
        <v>0</v>
      </c>
      <c r="BC28" t="s">
        <v>420</v>
      </c>
      <c r="BD28">
        <v>0</v>
      </c>
      <c r="BE28">
        <f>IF(BD28&lt;&gt;0, BD28, BB28)</f>
        <v>0</v>
      </c>
      <c r="BF28">
        <f>1-BE28/AT28</f>
        <v>0</v>
      </c>
      <c r="BG28">
        <f>(AT28-AS28)/(AT28-BE28)</f>
        <v>0</v>
      </c>
      <c r="BH28">
        <f>(AN28-AT28)/(AN28-BE28)</f>
        <v>0</v>
      </c>
      <c r="BI28">
        <f>(AT28-AS28)/(AT28-AM28)</f>
        <v>0</v>
      </c>
      <c r="BJ28">
        <f>(AN28-AT28)/(AN28-AM28)</f>
        <v>0</v>
      </c>
      <c r="BK28">
        <f>(BG28*BE28/AS28)</f>
        <v>0</v>
      </c>
      <c r="BL28">
        <f>(1-BK28)</f>
        <v>0</v>
      </c>
      <c r="CU28">
        <f>$B$13*DS28+$C$13*DT28+$F$13*EE28*(1-EH28)</f>
        <v>0</v>
      </c>
      <c r="CV28">
        <f>CU28*CW28</f>
        <v>0</v>
      </c>
      <c r="CW28">
        <f>($B$13*$D$11+$C$13*$D$11+$F$13*((ER28+EJ28)/MAX(ER28+EJ28+ES28, 0.1)*$I$11+ES28/MAX(ER28+EJ28+ES28, 0.1)*$J$11))/($B$13+$C$13+$F$13)</f>
        <v>0</v>
      </c>
      <c r="CX28">
        <f>($B$13*$K$11+$C$13*$K$11+$F$13*((ER28+EJ28)/MAX(ER28+EJ28+ES28, 0.1)*$P$11+ES28/MAX(ER28+EJ28+ES28, 0.1)*$Q$11))/($B$13+$C$13+$F$13)</f>
        <v>0</v>
      </c>
      <c r="CY28">
        <v>2.7</v>
      </c>
      <c r="CZ28">
        <v>0.5</v>
      </c>
      <c r="DA28" t="s">
        <v>421</v>
      </c>
      <c r="DB28">
        <v>2</v>
      </c>
      <c r="DC28">
        <v>1761018084.5</v>
      </c>
      <c r="DD28">
        <v>420.6525555555556</v>
      </c>
      <c r="DE28">
        <v>420.0926666666667</v>
      </c>
      <c r="DF28">
        <v>23.90985555555555</v>
      </c>
      <c r="DG28">
        <v>23.31953333333333</v>
      </c>
      <c r="DH28">
        <v>421.2692222222223</v>
      </c>
      <c r="DI28">
        <v>23.70281111111111</v>
      </c>
      <c r="DJ28">
        <v>499.9992222222223</v>
      </c>
      <c r="DK28">
        <v>90.77217777777777</v>
      </c>
      <c r="DL28">
        <v>0.03556839999999999</v>
      </c>
      <c r="DM28">
        <v>30.22895555555556</v>
      </c>
      <c r="DN28">
        <v>30.08077777777778</v>
      </c>
      <c r="DO28">
        <v>999.9000000000001</v>
      </c>
      <c r="DP28">
        <v>0</v>
      </c>
      <c r="DQ28">
        <v>0</v>
      </c>
      <c r="DR28">
        <v>9995.001111111113</v>
      </c>
      <c r="DS28">
        <v>0</v>
      </c>
      <c r="DT28">
        <v>0.242856</v>
      </c>
      <c r="DU28">
        <v>0.559767</v>
      </c>
      <c r="DV28">
        <v>430.9566666666666</v>
      </c>
      <c r="DW28">
        <v>430.1232222222222</v>
      </c>
      <c r="DX28">
        <v>0.5903434444444444</v>
      </c>
      <c r="DY28">
        <v>420.0926666666667</v>
      </c>
      <c r="DZ28">
        <v>23.31953333333333</v>
      </c>
      <c r="EA28">
        <v>2.170351111111111</v>
      </c>
      <c r="EB28">
        <v>2.116765555555555</v>
      </c>
      <c r="EC28">
        <v>18.74504444444445</v>
      </c>
      <c r="ED28">
        <v>18.34577777777778</v>
      </c>
      <c r="EE28">
        <v>0.00500078</v>
      </c>
      <c r="EF28">
        <v>0</v>
      </c>
      <c r="EG28">
        <v>0</v>
      </c>
      <c r="EH28">
        <v>0</v>
      </c>
      <c r="EI28">
        <v>151.7111111111111</v>
      </c>
      <c r="EJ28">
        <v>0.00500078</v>
      </c>
      <c r="EK28">
        <v>-16.75555555555556</v>
      </c>
      <c r="EL28">
        <v>-0.2555555555555556</v>
      </c>
      <c r="EM28">
        <v>35.36777777777777</v>
      </c>
      <c r="EN28">
        <v>39.27766666666667</v>
      </c>
      <c r="EO28">
        <v>37.50666666666666</v>
      </c>
      <c r="EP28">
        <v>39.68722222222222</v>
      </c>
      <c r="EQ28">
        <v>38.18022222222222</v>
      </c>
      <c r="ER28">
        <v>0</v>
      </c>
      <c r="ES28">
        <v>0</v>
      </c>
      <c r="ET28">
        <v>0</v>
      </c>
      <c r="EU28">
        <v>1761018086.5</v>
      </c>
      <c r="EV28">
        <v>0</v>
      </c>
      <c r="EW28">
        <v>152.988</v>
      </c>
      <c r="EX28">
        <v>-17.92307756337458</v>
      </c>
      <c r="EY28">
        <v>-9.05384608826923</v>
      </c>
      <c r="EZ28">
        <v>-15.592</v>
      </c>
      <c r="FA28">
        <v>15</v>
      </c>
      <c r="FB28">
        <v>1761018049.5</v>
      </c>
      <c r="FC28" t="s">
        <v>422</v>
      </c>
      <c r="FD28">
        <v>1761018049.5</v>
      </c>
      <c r="FE28">
        <v>1761018035.5</v>
      </c>
      <c r="FF28">
        <v>23</v>
      </c>
      <c r="FG28">
        <v>1.295</v>
      </c>
      <c r="FH28">
        <v>0.011</v>
      </c>
      <c r="FI28">
        <v>-0.618</v>
      </c>
      <c r="FJ28">
        <v>0.192</v>
      </c>
      <c r="FK28">
        <v>420</v>
      </c>
      <c r="FL28">
        <v>23</v>
      </c>
      <c r="FM28">
        <v>0.42</v>
      </c>
      <c r="FN28">
        <v>0.17</v>
      </c>
      <c r="FO28">
        <v>0.51538235</v>
      </c>
      <c r="FP28">
        <v>0.06949445403377104</v>
      </c>
      <c r="FQ28">
        <v>0.05324790167159172</v>
      </c>
      <c r="FR28">
        <v>1</v>
      </c>
      <c r="FS28">
        <v>152.2705882352941</v>
      </c>
      <c r="FT28">
        <v>8.990068519954852</v>
      </c>
      <c r="FU28">
        <v>5.899777134961502</v>
      </c>
      <c r="FV28">
        <v>0</v>
      </c>
      <c r="FW28">
        <v>0.1455584275</v>
      </c>
      <c r="FX28">
        <v>3.681934233771107</v>
      </c>
      <c r="FY28">
        <v>0.3603476048355282</v>
      </c>
      <c r="FZ28">
        <v>0</v>
      </c>
      <c r="GA28">
        <v>1</v>
      </c>
      <c r="GB28">
        <v>3</v>
      </c>
      <c r="GC28" t="s">
        <v>431</v>
      </c>
      <c r="GD28">
        <v>3.10956</v>
      </c>
      <c r="GE28">
        <v>2.72745</v>
      </c>
      <c r="GF28">
        <v>0.0885727</v>
      </c>
      <c r="GG28">
        <v>0.0884191</v>
      </c>
      <c r="GH28">
        <v>0.107838</v>
      </c>
      <c r="GI28">
        <v>0.107166</v>
      </c>
      <c r="GJ28">
        <v>23894.9</v>
      </c>
      <c r="GK28">
        <v>21687.9</v>
      </c>
      <c r="GL28">
        <v>26776.4</v>
      </c>
      <c r="GM28">
        <v>24000.4</v>
      </c>
      <c r="GN28">
        <v>38172.7</v>
      </c>
      <c r="GO28">
        <v>31627.3</v>
      </c>
      <c r="GP28">
        <v>46736.7</v>
      </c>
      <c r="GQ28">
        <v>37960.9</v>
      </c>
      <c r="GR28">
        <v>1.88485</v>
      </c>
      <c r="GS28">
        <v>1.87248</v>
      </c>
      <c r="GT28">
        <v>0.142552</v>
      </c>
      <c r="GU28">
        <v>0</v>
      </c>
      <c r="GV28">
        <v>27.7466</v>
      </c>
      <c r="GW28">
        <v>999.9</v>
      </c>
      <c r="GX28">
        <v>63.1</v>
      </c>
      <c r="GY28">
        <v>29.1</v>
      </c>
      <c r="GZ28">
        <v>28.1175</v>
      </c>
      <c r="HA28">
        <v>61.46</v>
      </c>
      <c r="HB28">
        <v>19.7957</v>
      </c>
      <c r="HC28">
        <v>1</v>
      </c>
      <c r="HD28">
        <v>0.0788542</v>
      </c>
      <c r="HE28">
        <v>-1.49152</v>
      </c>
      <c r="HF28">
        <v>20.3295</v>
      </c>
      <c r="HG28">
        <v>5.22178</v>
      </c>
      <c r="HH28">
        <v>11.9798</v>
      </c>
      <c r="HI28">
        <v>4.9654</v>
      </c>
      <c r="HJ28">
        <v>3.27585</v>
      </c>
      <c r="HK28">
        <v>9999</v>
      </c>
      <c r="HL28">
        <v>9999</v>
      </c>
      <c r="HM28">
        <v>9999</v>
      </c>
      <c r="HN28">
        <v>999.9</v>
      </c>
      <c r="HO28">
        <v>1.86361</v>
      </c>
      <c r="HP28">
        <v>1.85974</v>
      </c>
      <c r="HQ28">
        <v>1.85799</v>
      </c>
      <c r="HR28">
        <v>1.8593</v>
      </c>
      <c r="HS28">
        <v>1.85959</v>
      </c>
      <c r="HT28">
        <v>1.85804</v>
      </c>
      <c r="HU28">
        <v>1.85711</v>
      </c>
      <c r="HV28">
        <v>1.85211</v>
      </c>
      <c r="HW28">
        <v>0</v>
      </c>
      <c r="HX28">
        <v>0</v>
      </c>
      <c r="HY28">
        <v>0</v>
      </c>
      <c r="HZ28">
        <v>0</v>
      </c>
      <c r="IA28" t="s">
        <v>424</v>
      </c>
      <c r="IB28" t="s">
        <v>425</v>
      </c>
      <c r="IC28" t="s">
        <v>426</v>
      </c>
      <c r="ID28" t="s">
        <v>426</v>
      </c>
      <c r="IE28" t="s">
        <v>426</v>
      </c>
      <c r="IF28" t="s">
        <v>426</v>
      </c>
      <c r="IG28">
        <v>0</v>
      </c>
      <c r="IH28">
        <v>100</v>
      </c>
      <c r="II28">
        <v>100</v>
      </c>
      <c r="IJ28">
        <v>-0.617</v>
      </c>
      <c r="IK28">
        <v>0.2037</v>
      </c>
      <c r="IL28">
        <v>-1.405955206116699</v>
      </c>
      <c r="IM28">
        <v>0.001328113201692861</v>
      </c>
      <c r="IN28">
        <v>1.538283238170363E-06</v>
      </c>
      <c r="IO28">
        <v>-5.795655626708063E-10</v>
      </c>
      <c r="IP28">
        <v>-0.04918981781385694</v>
      </c>
      <c r="IQ28">
        <v>-0.004593102289677449</v>
      </c>
      <c r="IR28">
        <v>0.0008253994458280543</v>
      </c>
      <c r="IS28">
        <v>-7.403632370499484E-06</v>
      </c>
      <c r="IT28">
        <v>2</v>
      </c>
      <c r="IU28">
        <v>1985</v>
      </c>
      <c r="IV28">
        <v>1</v>
      </c>
      <c r="IW28">
        <v>27</v>
      </c>
      <c r="IX28">
        <v>0.6</v>
      </c>
      <c r="IY28">
        <v>0.9</v>
      </c>
      <c r="IZ28">
        <v>1.12061</v>
      </c>
      <c r="JA28">
        <v>2.55127</v>
      </c>
      <c r="JB28">
        <v>1.49658</v>
      </c>
      <c r="JC28">
        <v>2.34253</v>
      </c>
      <c r="JD28">
        <v>1.54907</v>
      </c>
      <c r="JE28">
        <v>2.44629</v>
      </c>
      <c r="JF28">
        <v>31.6736</v>
      </c>
      <c r="JG28">
        <v>14.6749</v>
      </c>
      <c r="JH28">
        <v>18</v>
      </c>
      <c r="JI28">
        <v>483.263</v>
      </c>
      <c r="JJ28">
        <v>504.876</v>
      </c>
      <c r="JK28">
        <v>31.3605</v>
      </c>
      <c r="JL28">
        <v>28.2691</v>
      </c>
      <c r="JM28">
        <v>29.9996</v>
      </c>
      <c r="JN28">
        <v>28.5691</v>
      </c>
      <c r="JO28">
        <v>28.5688</v>
      </c>
      <c r="JP28">
        <v>22.5282</v>
      </c>
      <c r="JQ28">
        <v>20.2642</v>
      </c>
      <c r="JR28">
        <v>81.53149999999999</v>
      </c>
      <c r="JS28">
        <v>31.3175</v>
      </c>
      <c r="JT28">
        <v>420</v>
      </c>
      <c r="JU28">
        <v>23.7315</v>
      </c>
      <c r="JV28">
        <v>102.203</v>
      </c>
      <c r="JW28">
        <v>91.55710000000001</v>
      </c>
    </row>
    <row r="29" spans="1:283">
      <c r="A29">
        <v>11</v>
      </c>
      <c r="B29">
        <v>1761018089.5</v>
      </c>
      <c r="C29">
        <v>20</v>
      </c>
      <c r="D29" t="s">
        <v>447</v>
      </c>
      <c r="E29" t="s">
        <v>448</v>
      </c>
      <c r="F29">
        <v>5</v>
      </c>
      <c r="G29" t="s">
        <v>419</v>
      </c>
      <c r="H29">
        <v>1761018086.5</v>
      </c>
      <c r="I29">
        <f>(J29)/1000</f>
        <v>0</v>
      </c>
      <c r="J29">
        <f>1000*DJ29*AH29*(DF29-DG29)/(100*CY29*(1000-AH29*DF29))</f>
        <v>0</v>
      </c>
      <c r="K29">
        <f>DJ29*AH29*(DE29-DD29*(1000-AH29*DG29)/(1000-AH29*DF29))/(100*CY29)</f>
        <v>0</v>
      </c>
      <c r="L29">
        <f>DD29 - IF(AH29&gt;1, K29*CY29*100.0/(AJ29), 0)</f>
        <v>0</v>
      </c>
      <c r="M29">
        <f>((S29-I29/2)*L29-K29)/(S29+I29/2)</f>
        <v>0</v>
      </c>
      <c r="N29">
        <f>M29*(DK29+DL29)/1000.0</f>
        <v>0</v>
      </c>
      <c r="O29">
        <f>(DD29 - IF(AH29&gt;1, K29*CY29*100.0/(AJ29), 0))*(DK29+DL29)/1000.0</f>
        <v>0</v>
      </c>
      <c r="P29">
        <f>2.0/((1/R29-1/Q29)+SIGN(R29)*SQRT((1/R29-1/Q29)*(1/R29-1/Q29) + 4*CZ29/((CZ29+1)*(CZ29+1))*(2*1/R29*1/Q29-1/Q29*1/Q29)))</f>
        <v>0</v>
      </c>
      <c r="Q29">
        <f>IF(LEFT(DA29,1)&lt;&gt;"0",IF(LEFT(DA29,1)="1",3.0,DB29),$D$5+$E$5*(DR29*DK29/($K$5*1000))+$F$5*(DR29*DK29/($K$5*1000))*MAX(MIN(CY29,$J$5),$I$5)*MAX(MIN(CY29,$J$5),$I$5)+$G$5*MAX(MIN(CY29,$J$5),$I$5)*(DR29*DK29/($K$5*1000))+$H$5*(DR29*DK29/($K$5*1000))*(DR29*DK29/($K$5*1000)))</f>
        <v>0</v>
      </c>
      <c r="R29">
        <f>I29*(1000-(1000*0.61365*exp(17.502*V29/(240.97+V29))/(DK29+DL29)+DF29)/2)/(1000*0.61365*exp(17.502*V29/(240.97+V29))/(DK29+DL29)-DF29)</f>
        <v>0</v>
      </c>
      <c r="S29">
        <f>1/((CZ29+1)/(P29/1.6)+1/(Q29/1.37)) + CZ29/((CZ29+1)/(P29/1.6) + CZ29/(Q29/1.37))</f>
        <v>0</v>
      </c>
      <c r="T29">
        <f>(CU29*CX29)</f>
        <v>0</v>
      </c>
      <c r="U29">
        <f>(DM29+(T29+2*0.95*5.67E-8*(((DM29+$B$9)+273)^4-(DM29+273)^4)-44100*I29)/(1.84*29.3*Q29+8*0.95*5.67E-8*(DM29+273)^3))</f>
        <v>0</v>
      </c>
      <c r="V29">
        <f>($C$9*DN29+$D$9*DO29+$E$9*U29)</f>
        <v>0</v>
      </c>
      <c r="W29">
        <f>0.61365*exp(17.502*V29/(240.97+V29))</f>
        <v>0</v>
      </c>
      <c r="X29">
        <f>(Y29/Z29*100)</f>
        <v>0</v>
      </c>
      <c r="Y29">
        <f>DF29*(DK29+DL29)/1000</f>
        <v>0</v>
      </c>
      <c r="Z29">
        <f>0.61365*exp(17.502*DM29/(240.97+DM29))</f>
        <v>0</v>
      </c>
      <c r="AA29">
        <f>(W29-DF29*(DK29+DL29)/1000)</f>
        <v>0</v>
      </c>
      <c r="AB29">
        <f>(-I29*44100)</f>
        <v>0</v>
      </c>
      <c r="AC29">
        <f>2*29.3*Q29*0.92*(DM29-V29)</f>
        <v>0</v>
      </c>
      <c r="AD29">
        <f>2*0.95*5.67E-8*(((DM29+$B$9)+273)^4-(V29+273)^4)</f>
        <v>0</v>
      </c>
      <c r="AE29">
        <f>T29+AD29+AB29+AC29</f>
        <v>0</v>
      </c>
      <c r="AF29">
        <v>0</v>
      </c>
      <c r="AG29">
        <v>0</v>
      </c>
      <c r="AH29">
        <f>IF(AF29*$H$15&gt;=AJ29,1.0,(AJ29/(AJ29-AF29*$H$15)))</f>
        <v>0</v>
      </c>
      <c r="AI29">
        <f>(AH29-1)*100</f>
        <v>0</v>
      </c>
      <c r="AJ29">
        <f>MAX(0,($B$15+$C$15*DR29)/(1+$D$15*DR29)*DK29/(DM29+273)*$E$15)</f>
        <v>0</v>
      </c>
      <c r="AK29" t="s">
        <v>420</v>
      </c>
      <c r="AL29" t="s">
        <v>420</v>
      </c>
      <c r="AM29">
        <v>0</v>
      </c>
      <c r="AN29">
        <v>0</v>
      </c>
      <c r="AO29">
        <f>1-AM29/AN29</f>
        <v>0</v>
      </c>
      <c r="AP29">
        <v>0</v>
      </c>
      <c r="AQ29" t="s">
        <v>420</v>
      </c>
      <c r="AR29" t="s">
        <v>420</v>
      </c>
      <c r="AS29">
        <v>0</v>
      </c>
      <c r="AT29">
        <v>0</v>
      </c>
      <c r="AU29">
        <f>1-AS29/AT29</f>
        <v>0</v>
      </c>
      <c r="AV29">
        <v>0.5</v>
      </c>
      <c r="AW29">
        <f>CV29</f>
        <v>0</v>
      </c>
      <c r="AX29">
        <f>K29</f>
        <v>0</v>
      </c>
      <c r="AY29">
        <f>AU29*AV29*AW29</f>
        <v>0</v>
      </c>
      <c r="AZ29">
        <f>(AX29-AP29)/AW29</f>
        <v>0</v>
      </c>
      <c r="BA29">
        <f>(AN29-AT29)/AT29</f>
        <v>0</v>
      </c>
      <c r="BB29">
        <f>AM29/(AO29+AM29/AT29)</f>
        <v>0</v>
      </c>
      <c r="BC29" t="s">
        <v>420</v>
      </c>
      <c r="BD29">
        <v>0</v>
      </c>
      <c r="BE29">
        <f>IF(BD29&lt;&gt;0, BD29, BB29)</f>
        <v>0</v>
      </c>
      <c r="BF29">
        <f>1-BE29/AT29</f>
        <v>0</v>
      </c>
      <c r="BG29">
        <f>(AT29-AS29)/(AT29-BE29)</f>
        <v>0</v>
      </c>
      <c r="BH29">
        <f>(AN29-AT29)/(AN29-BE29)</f>
        <v>0</v>
      </c>
      <c r="BI29">
        <f>(AT29-AS29)/(AT29-AM29)</f>
        <v>0</v>
      </c>
      <c r="BJ29">
        <f>(AN29-AT29)/(AN29-AM29)</f>
        <v>0</v>
      </c>
      <c r="BK29">
        <f>(BG29*BE29/AS29)</f>
        <v>0</v>
      </c>
      <c r="BL29">
        <f>(1-BK29)</f>
        <v>0</v>
      </c>
      <c r="CU29">
        <f>$B$13*DS29+$C$13*DT29+$F$13*EE29*(1-EH29)</f>
        <v>0</v>
      </c>
      <c r="CV29">
        <f>CU29*CW29</f>
        <v>0</v>
      </c>
      <c r="CW29">
        <f>($B$13*$D$11+$C$13*$D$11+$F$13*((ER29+EJ29)/MAX(ER29+EJ29+ES29, 0.1)*$I$11+ES29/MAX(ER29+EJ29+ES29, 0.1)*$J$11))/($B$13+$C$13+$F$13)</f>
        <v>0</v>
      </c>
      <c r="CX29">
        <f>($B$13*$K$11+$C$13*$K$11+$F$13*((ER29+EJ29)/MAX(ER29+EJ29+ES29, 0.1)*$P$11+ES29/MAX(ER29+EJ29+ES29, 0.1)*$Q$11))/($B$13+$C$13+$F$13)</f>
        <v>0</v>
      </c>
      <c r="CY29">
        <v>2.7</v>
      </c>
      <c r="CZ29">
        <v>0.5</v>
      </c>
      <c r="DA29" t="s">
        <v>421</v>
      </c>
      <c r="DB29">
        <v>2</v>
      </c>
      <c r="DC29">
        <v>1761018086.5</v>
      </c>
      <c r="DD29">
        <v>420.6364444444445</v>
      </c>
      <c r="DE29">
        <v>420.0475555555556</v>
      </c>
      <c r="DF29">
        <v>23.81037777777778</v>
      </c>
      <c r="DG29">
        <v>23.24354444444445</v>
      </c>
      <c r="DH29">
        <v>421.2533333333333</v>
      </c>
      <c r="DI29">
        <v>23.60546666666667</v>
      </c>
      <c r="DJ29">
        <v>500.0417777777778</v>
      </c>
      <c r="DK29">
        <v>90.7718888888889</v>
      </c>
      <c r="DL29">
        <v>0.03568992222222223</v>
      </c>
      <c r="DM29">
        <v>30.22251111111111</v>
      </c>
      <c r="DN29">
        <v>30.0743</v>
      </c>
      <c r="DO29">
        <v>999.9000000000001</v>
      </c>
      <c r="DP29">
        <v>0</v>
      </c>
      <c r="DQ29">
        <v>0</v>
      </c>
      <c r="DR29">
        <v>9998.542222222222</v>
      </c>
      <c r="DS29">
        <v>0</v>
      </c>
      <c r="DT29">
        <v>0.242856</v>
      </c>
      <c r="DU29">
        <v>0.5888907777777779</v>
      </c>
      <c r="DV29">
        <v>430.8963333333334</v>
      </c>
      <c r="DW29">
        <v>430.0433333333334</v>
      </c>
      <c r="DX29">
        <v>0.5668495555555556</v>
      </c>
      <c r="DY29">
        <v>420.0475555555556</v>
      </c>
      <c r="DZ29">
        <v>23.24354444444445</v>
      </c>
      <c r="EA29">
        <v>2.161314444444444</v>
      </c>
      <c r="EB29">
        <v>2.109861111111111</v>
      </c>
      <c r="EC29">
        <v>18.67833333333333</v>
      </c>
      <c r="ED29">
        <v>18.29379999999999</v>
      </c>
      <c r="EE29">
        <v>0.00500078</v>
      </c>
      <c r="EF29">
        <v>0</v>
      </c>
      <c r="EG29">
        <v>0</v>
      </c>
      <c r="EH29">
        <v>0</v>
      </c>
      <c r="EI29">
        <v>150.1</v>
      </c>
      <c r="EJ29">
        <v>0.00500078</v>
      </c>
      <c r="EK29">
        <v>-16.03333333333333</v>
      </c>
      <c r="EL29">
        <v>-0.7222222222222222</v>
      </c>
      <c r="EM29">
        <v>35.333</v>
      </c>
      <c r="EN29">
        <v>39.222</v>
      </c>
      <c r="EO29">
        <v>37.33311111111111</v>
      </c>
      <c r="EP29">
        <v>39.62466666666666</v>
      </c>
      <c r="EQ29">
        <v>38.19411111111111</v>
      </c>
      <c r="ER29">
        <v>0</v>
      </c>
      <c r="ES29">
        <v>0</v>
      </c>
      <c r="ET29">
        <v>0</v>
      </c>
      <c r="EU29">
        <v>1761018088.9</v>
      </c>
      <c r="EV29">
        <v>0</v>
      </c>
      <c r="EW29">
        <v>152.468</v>
      </c>
      <c r="EX29">
        <v>-34.3153851193785</v>
      </c>
      <c r="EY29">
        <v>-3.938461549653617</v>
      </c>
      <c r="EZ29">
        <v>-14.988</v>
      </c>
      <c r="FA29">
        <v>15</v>
      </c>
      <c r="FB29">
        <v>1761018049.5</v>
      </c>
      <c r="FC29" t="s">
        <v>422</v>
      </c>
      <c r="FD29">
        <v>1761018049.5</v>
      </c>
      <c r="FE29">
        <v>1761018035.5</v>
      </c>
      <c r="FF29">
        <v>23</v>
      </c>
      <c r="FG29">
        <v>1.295</v>
      </c>
      <c r="FH29">
        <v>0.011</v>
      </c>
      <c r="FI29">
        <v>-0.618</v>
      </c>
      <c r="FJ29">
        <v>0.192</v>
      </c>
      <c r="FK29">
        <v>420</v>
      </c>
      <c r="FL29">
        <v>23</v>
      </c>
      <c r="FM29">
        <v>0.42</v>
      </c>
      <c r="FN29">
        <v>0.17</v>
      </c>
      <c r="FO29">
        <v>0.5222011219512195</v>
      </c>
      <c r="FP29">
        <v>0.1959342857142868</v>
      </c>
      <c r="FQ29">
        <v>0.05887498461382228</v>
      </c>
      <c r="FR29">
        <v>1</v>
      </c>
      <c r="FS29">
        <v>151.8970588235294</v>
      </c>
      <c r="FT29">
        <v>-2.812834443847877</v>
      </c>
      <c r="FU29">
        <v>5.78687588651697</v>
      </c>
      <c r="FV29">
        <v>0</v>
      </c>
      <c r="FW29">
        <v>0.197204368292683</v>
      </c>
      <c r="FX29">
        <v>3.419000818118466</v>
      </c>
      <c r="FY29">
        <v>0.3497964164960509</v>
      </c>
      <c r="FZ29">
        <v>0</v>
      </c>
      <c r="GA29">
        <v>1</v>
      </c>
      <c r="GB29">
        <v>3</v>
      </c>
      <c r="GC29" t="s">
        <v>431</v>
      </c>
      <c r="GD29">
        <v>3.1095</v>
      </c>
      <c r="GE29">
        <v>2.72721</v>
      </c>
      <c r="GF29">
        <v>0.0885706</v>
      </c>
      <c r="GG29">
        <v>0.0884083</v>
      </c>
      <c r="GH29">
        <v>0.107571</v>
      </c>
      <c r="GI29">
        <v>0.107287</v>
      </c>
      <c r="GJ29">
        <v>23895.1</v>
      </c>
      <c r="GK29">
        <v>21688.1</v>
      </c>
      <c r="GL29">
        <v>26776.5</v>
      </c>
      <c r="GM29">
        <v>24000.3</v>
      </c>
      <c r="GN29">
        <v>38184.4</v>
      </c>
      <c r="GO29">
        <v>31622.7</v>
      </c>
      <c r="GP29">
        <v>46736.8</v>
      </c>
      <c r="GQ29">
        <v>37960.5</v>
      </c>
      <c r="GR29">
        <v>1.88477</v>
      </c>
      <c r="GS29">
        <v>1.87275</v>
      </c>
      <c r="GT29">
        <v>0.141881</v>
      </c>
      <c r="GU29">
        <v>0</v>
      </c>
      <c r="GV29">
        <v>27.7531</v>
      </c>
      <c r="GW29">
        <v>999.9</v>
      </c>
      <c r="GX29">
        <v>63.1</v>
      </c>
      <c r="GY29">
        <v>29.1</v>
      </c>
      <c r="GZ29">
        <v>28.1204</v>
      </c>
      <c r="HA29">
        <v>61.47</v>
      </c>
      <c r="HB29">
        <v>19.9559</v>
      </c>
      <c r="HC29">
        <v>1</v>
      </c>
      <c r="HD29">
        <v>0.0784832</v>
      </c>
      <c r="HE29">
        <v>-1.49244</v>
      </c>
      <c r="HF29">
        <v>20.3295</v>
      </c>
      <c r="HG29">
        <v>5.22163</v>
      </c>
      <c r="HH29">
        <v>11.98</v>
      </c>
      <c r="HI29">
        <v>4.9653</v>
      </c>
      <c r="HJ29">
        <v>3.27583</v>
      </c>
      <c r="HK29">
        <v>9999</v>
      </c>
      <c r="HL29">
        <v>9999</v>
      </c>
      <c r="HM29">
        <v>9999</v>
      </c>
      <c r="HN29">
        <v>999.9</v>
      </c>
      <c r="HO29">
        <v>1.86362</v>
      </c>
      <c r="HP29">
        <v>1.85974</v>
      </c>
      <c r="HQ29">
        <v>1.858</v>
      </c>
      <c r="HR29">
        <v>1.85931</v>
      </c>
      <c r="HS29">
        <v>1.85959</v>
      </c>
      <c r="HT29">
        <v>1.85804</v>
      </c>
      <c r="HU29">
        <v>1.85709</v>
      </c>
      <c r="HV29">
        <v>1.8521</v>
      </c>
      <c r="HW29">
        <v>0</v>
      </c>
      <c r="HX29">
        <v>0</v>
      </c>
      <c r="HY29">
        <v>0</v>
      </c>
      <c r="HZ29">
        <v>0</v>
      </c>
      <c r="IA29" t="s">
        <v>424</v>
      </c>
      <c r="IB29" t="s">
        <v>425</v>
      </c>
      <c r="IC29" t="s">
        <v>426</v>
      </c>
      <c r="ID29" t="s">
        <v>426</v>
      </c>
      <c r="IE29" t="s">
        <v>426</v>
      </c>
      <c r="IF29" t="s">
        <v>426</v>
      </c>
      <c r="IG29">
        <v>0</v>
      </c>
      <c r="IH29">
        <v>100</v>
      </c>
      <c r="II29">
        <v>100</v>
      </c>
      <c r="IJ29">
        <v>-0.617</v>
      </c>
      <c r="IK29">
        <v>0.2019</v>
      </c>
      <c r="IL29">
        <v>-1.405955206116699</v>
      </c>
      <c r="IM29">
        <v>0.001328113201692861</v>
      </c>
      <c r="IN29">
        <v>1.538283238170363E-06</v>
      </c>
      <c r="IO29">
        <v>-5.795655626708063E-10</v>
      </c>
      <c r="IP29">
        <v>-0.04918981781385694</v>
      </c>
      <c r="IQ29">
        <v>-0.004593102289677449</v>
      </c>
      <c r="IR29">
        <v>0.0008253994458280543</v>
      </c>
      <c r="IS29">
        <v>-7.403632370499484E-06</v>
      </c>
      <c r="IT29">
        <v>2</v>
      </c>
      <c r="IU29">
        <v>1985</v>
      </c>
      <c r="IV29">
        <v>1</v>
      </c>
      <c r="IW29">
        <v>27</v>
      </c>
      <c r="IX29">
        <v>0.7</v>
      </c>
      <c r="IY29">
        <v>0.9</v>
      </c>
      <c r="IZ29">
        <v>1.12061</v>
      </c>
      <c r="JA29">
        <v>2.55981</v>
      </c>
      <c r="JB29">
        <v>1.49658</v>
      </c>
      <c r="JC29">
        <v>2.34131</v>
      </c>
      <c r="JD29">
        <v>1.54907</v>
      </c>
      <c r="JE29">
        <v>2.43652</v>
      </c>
      <c r="JF29">
        <v>31.6736</v>
      </c>
      <c r="JG29">
        <v>14.6661</v>
      </c>
      <c r="JH29">
        <v>18</v>
      </c>
      <c r="JI29">
        <v>483.196</v>
      </c>
      <c r="JJ29">
        <v>505.045</v>
      </c>
      <c r="JK29">
        <v>31.3232</v>
      </c>
      <c r="JL29">
        <v>28.2667</v>
      </c>
      <c r="JM29">
        <v>29.9995</v>
      </c>
      <c r="JN29">
        <v>28.5661</v>
      </c>
      <c r="JO29">
        <v>28.567</v>
      </c>
      <c r="JP29">
        <v>22.5299</v>
      </c>
      <c r="JQ29">
        <v>19.6444</v>
      </c>
      <c r="JR29">
        <v>81.53149999999999</v>
      </c>
      <c r="JS29">
        <v>31.3175</v>
      </c>
      <c r="JT29">
        <v>420</v>
      </c>
      <c r="JU29">
        <v>23.8004</v>
      </c>
      <c r="JV29">
        <v>102.203</v>
      </c>
      <c r="JW29">
        <v>91.5565</v>
      </c>
    </row>
    <row r="30" spans="1:283">
      <c r="A30">
        <v>12</v>
      </c>
      <c r="B30">
        <v>1761018091.5</v>
      </c>
      <c r="C30">
        <v>22</v>
      </c>
      <c r="D30" t="s">
        <v>449</v>
      </c>
      <c r="E30" t="s">
        <v>450</v>
      </c>
      <c r="F30">
        <v>5</v>
      </c>
      <c r="G30" t="s">
        <v>419</v>
      </c>
      <c r="H30">
        <v>1761018088.5</v>
      </c>
      <c r="I30">
        <f>(J30)/1000</f>
        <v>0</v>
      </c>
      <c r="J30">
        <f>1000*DJ30*AH30*(DF30-DG30)/(100*CY30*(1000-AH30*DF30))</f>
        <v>0</v>
      </c>
      <c r="K30">
        <f>DJ30*AH30*(DE30-DD30*(1000-AH30*DG30)/(1000-AH30*DF30))/(100*CY30)</f>
        <v>0</v>
      </c>
      <c r="L30">
        <f>DD30 - IF(AH30&gt;1, K30*CY30*100.0/(AJ30), 0)</f>
        <v>0</v>
      </c>
      <c r="M30">
        <f>((S30-I30/2)*L30-K30)/(S30+I30/2)</f>
        <v>0</v>
      </c>
      <c r="N30">
        <f>M30*(DK30+DL30)/1000.0</f>
        <v>0</v>
      </c>
      <c r="O30">
        <f>(DD30 - IF(AH30&gt;1, K30*CY30*100.0/(AJ30), 0))*(DK30+DL30)/1000.0</f>
        <v>0</v>
      </c>
      <c r="P30">
        <f>2.0/((1/R30-1/Q30)+SIGN(R30)*SQRT((1/R30-1/Q30)*(1/R30-1/Q30) + 4*CZ30/((CZ30+1)*(CZ30+1))*(2*1/R30*1/Q30-1/Q30*1/Q30)))</f>
        <v>0</v>
      </c>
      <c r="Q30">
        <f>IF(LEFT(DA30,1)&lt;&gt;"0",IF(LEFT(DA30,1)="1",3.0,DB30),$D$5+$E$5*(DR30*DK30/($K$5*1000))+$F$5*(DR30*DK30/($K$5*1000))*MAX(MIN(CY30,$J$5),$I$5)*MAX(MIN(CY30,$J$5),$I$5)+$G$5*MAX(MIN(CY30,$J$5),$I$5)*(DR30*DK30/($K$5*1000))+$H$5*(DR30*DK30/($K$5*1000))*(DR30*DK30/($K$5*1000)))</f>
        <v>0</v>
      </c>
      <c r="R30">
        <f>I30*(1000-(1000*0.61365*exp(17.502*V30/(240.97+V30))/(DK30+DL30)+DF30)/2)/(1000*0.61365*exp(17.502*V30/(240.97+V30))/(DK30+DL30)-DF30)</f>
        <v>0</v>
      </c>
      <c r="S30">
        <f>1/((CZ30+1)/(P30/1.6)+1/(Q30/1.37)) + CZ30/((CZ30+1)/(P30/1.6) + CZ30/(Q30/1.37))</f>
        <v>0</v>
      </c>
      <c r="T30">
        <f>(CU30*CX30)</f>
        <v>0</v>
      </c>
      <c r="U30">
        <f>(DM30+(T30+2*0.95*5.67E-8*(((DM30+$B$9)+273)^4-(DM30+273)^4)-44100*I30)/(1.84*29.3*Q30+8*0.95*5.67E-8*(DM30+273)^3))</f>
        <v>0</v>
      </c>
      <c r="V30">
        <f>($C$9*DN30+$D$9*DO30+$E$9*U30)</f>
        <v>0</v>
      </c>
      <c r="W30">
        <f>0.61365*exp(17.502*V30/(240.97+V30))</f>
        <v>0</v>
      </c>
      <c r="X30">
        <f>(Y30/Z30*100)</f>
        <v>0</v>
      </c>
      <c r="Y30">
        <f>DF30*(DK30+DL30)/1000</f>
        <v>0</v>
      </c>
      <c r="Z30">
        <f>0.61365*exp(17.502*DM30/(240.97+DM30))</f>
        <v>0</v>
      </c>
      <c r="AA30">
        <f>(W30-DF30*(DK30+DL30)/1000)</f>
        <v>0</v>
      </c>
      <c r="AB30">
        <f>(-I30*44100)</f>
        <v>0</v>
      </c>
      <c r="AC30">
        <f>2*29.3*Q30*0.92*(DM30-V30)</f>
        <v>0</v>
      </c>
      <c r="AD30">
        <f>2*0.95*5.67E-8*(((DM30+$B$9)+273)^4-(V30+273)^4)</f>
        <v>0</v>
      </c>
      <c r="AE30">
        <f>T30+AD30+AB30+AC30</f>
        <v>0</v>
      </c>
      <c r="AF30">
        <v>0</v>
      </c>
      <c r="AG30">
        <v>0</v>
      </c>
      <c r="AH30">
        <f>IF(AF30*$H$15&gt;=AJ30,1.0,(AJ30/(AJ30-AF30*$H$15)))</f>
        <v>0</v>
      </c>
      <c r="AI30">
        <f>(AH30-1)*100</f>
        <v>0</v>
      </c>
      <c r="AJ30">
        <f>MAX(0,($B$15+$C$15*DR30)/(1+$D$15*DR30)*DK30/(DM30+273)*$E$15)</f>
        <v>0</v>
      </c>
      <c r="AK30" t="s">
        <v>420</v>
      </c>
      <c r="AL30" t="s">
        <v>420</v>
      </c>
      <c r="AM30">
        <v>0</v>
      </c>
      <c r="AN30">
        <v>0</v>
      </c>
      <c r="AO30">
        <f>1-AM30/AN30</f>
        <v>0</v>
      </c>
      <c r="AP30">
        <v>0</v>
      </c>
      <c r="AQ30" t="s">
        <v>420</v>
      </c>
      <c r="AR30" t="s">
        <v>420</v>
      </c>
      <c r="AS30">
        <v>0</v>
      </c>
      <c r="AT30">
        <v>0</v>
      </c>
      <c r="AU30">
        <f>1-AS30/AT30</f>
        <v>0</v>
      </c>
      <c r="AV30">
        <v>0.5</v>
      </c>
      <c r="AW30">
        <f>CV30</f>
        <v>0</v>
      </c>
      <c r="AX30">
        <f>K30</f>
        <v>0</v>
      </c>
      <c r="AY30">
        <f>AU30*AV30*AW30</f>
        <v>0</v>
      </c>
      <c r="AZ30">
        <f>(AX30-AP30)/AW30</f>
        <v>0</v>
      </c>
      <c r="BA30">
        <f>(AN30-AT30)/AT30</f>
        <v>0</v>
      </c>
      <c r="BB30">
        <f>AM30/(AO30+AM30/AT30)</f>
        <v>0</v>
      </c>
      <c r="BC30" t="s">
        <v>420</v>
      </c>
      <c r="BD30">
        <v>0</v>
      </c>
      <c r="BE30">
        <f>IF(BD30&lt;&gt;0, BD30, BB30)</f>
        <v>0</v>
      </c>
      <c r="BF30">
        <f>1-BE30/AT30</f>
        <v>0</v>
      </c>
      <c r="BG30">
        <f>(AT30-AS30)/(AT30-BE30)</f>
        <v>0</v>
      </c>
      <c r="BH30">
        <f>(AN30-AT30)/(AN30-BE30)</f>
        <v>0</v>
      </c>
      <c r="BI30">
        <f>(AT30-AS30)/(AT30-AM30)</f>
        <v>0</v>
      </c>
      <c r="BJ30">
        <f>(AN30-AT30)/(AN30-AM30)</f>
        <v>0</v>
      </c>
      <c r="BK30">
        <f>(BG30*BE30/AS30)</f>
        <v>0</v>
      </c>
      <c r="BL30">
        <f>(1-BK30)</f>
        <v>0</v>
      </c>
      <c r="CU30">
        <f>$B$13*DS30+$C$13*DT30+$F$13*EE30*(1-EH30)</f>
        <v>0</v>
      </c>
      <c r="CV30">
        <f>CU30*CW30</f>
        <v>0</v>
      </c>
      <c r="CW30">
        <f>($B$13*$D$11+$C$13*$D$11+$F$13*((ER30+EJ30)/MAX(ER30+EJ30+ES30, 0.1)*$I$11+ES30/MAX(ER30+EJ30+ES30, 0.1)*$J$11))/($B$13+$C$13+$F$13)</f>
        <v>0</v>
      </c>
      <c r="CX30">
        <f>($B$13*$K$11+$C$13*$K$11+$F$13*((ER30+EJ30)/MAX(ER30+EJ30+ES30, 0.1)*$P$11+ES30/MAX(ER30+EJ30+ES30, 0.1)*$Q$11))/($B$13+$C$13+$F$13)</f>
        <v>0</v>
      </c>
      <c r="CY30">
        <v>2.7</v>
      </c>
      <c r="CZ30">
        <v>0.5</v>
      </c>
      <c r="DA30" t="s">
        <v>421</v>
      </c>
      <c r="DB30">
        <v>2</v>
      </c>
      <c r="DC30">
        <v>1761018088.5</v>
      </c>
      <c r="DD30">
        <v>420.6116666666667</v>
      </c>
      <c r="DE30">
        <v>419.9757777777778</v>
      </c>
      <c r="DF30">
        <v>23.71981111111111</v>
      </c>
      <c r="DG30">
        <v>23.24154444444444</v>
      </c>
      <c r="DH30">
        <v>421.2286666666666</v>
      </c>
      <c r="DI30">
        <v>23.51683333333334</v>
      </c>
      <c r="DJ30">
        <v>500.0372222222222</v>
      </c>
      <c r="DK30">
        <v>90.77144444444444</v>
      </c>
      <c r="DL30">
        <v>0.03571347777777778</v>
      </c>
      <c r="DM30">
        <v>30.21502222222222</v>
      </c>
      <c r="DN30">
        <v>30.06864444444444</v>
      </c>
      <c r="DO30">
        <v>999.9000000000001</v>
      </c>
      <c r="DP30">
        <v>0</v>
      </c>
      <c r="DQ30">
        <v>0</v>
      </c>
      <c r="DR30">
        <v>9996.040000000001</v>
      </c>
      <c r="DS30">
        <v>0</v>
      </c>
      <c r="DT30">
        <v>0.242856</v>
      </c>
      <c r="DU30">
        <v>0.6359591111111111</v>
      </c>
      <c r="DV30">
        <v>430.831</v>
      </c>
      <c r="DW30">
        <v>429.9687777777778</v>
      </c>
      <c r="DX30">
        <v>0.4782972222222223</v>
      </c>
      <c r="DY30">
        <v>419.9757777777778</v>
      </c>
      <c r="DZ30">
        <v>23.24154444444444</v>
      </c>
      <c r="EA30">
        <v>2.153083333333333</v>
      </c>
      <c r="EB30">
        <v>2.109667777777778</v>
      </c>
      <c r="EC30">
        <v>18.61737777777778</v>
      </c>
      <c r="ED30">
        <v>18.29234444444445</v>
      </c>
      <c r="EE30">
        <v>0.00500078</v>
      </c>
      <c r="EF30">
        <v>0</v>
      </c>
      <c r="EG30">
        <v>0</v>
      </c>
      <c r="EH30">
        <v>0</v>
      </c>
      <c r="EI30">
        <v>148.2777777777778</v>
      </c>
      <c r="EJ30">
        <v>0.00500078</v>
      </c>
      <c r="EK30">
        <v>-14.43333333333333</v>
      </c>
      <c r="EL30">
        <v>-0.3111111111111111</v>
      </c>
      <c r="EM30">
        <v>35.31233333333333</v>
      </c>
      <c r="EN30">
        <v>39.16633333333333</v>
      </c>
      <c r="EO30">
        <v>37.36088888888889</v>
      </c>
      <c r="EP30">
        <v>39.54822222222222</v>
      </c>
      <c r="EQ30">
        <v>38.15955555555556</v>
      </c>
      <c r="ER30">
        <v>0</v>
      </c>
      <c r="ES30">
        <v>0</v>
      </c>
      <c r="ET30">
        <v>0</v>
      </c>
      <c r="EU30">
        <v>1761018090.7</v>
      </c>
      <c r="EV30">
        <v>0</v>
      </c>
      <c r="EW30">
        <v>152.0846153846154</v>
      </c>
      <c r="EX30">
        <v>-33.51111158421169</v>
      </c>
      <c r="EY30">
        <v>10.28034171504717</v>
      </c>
      <c r="EZ30">
        <v>-15.01153846153846</v>
      </c>
      <c r="FA30">
        <v>15</v>
      </c>
      <c r="FB30">
        <v>1761018049.5</v>
      </c>
      <c r="FC30" t="s">
        <v>422</v>
      </c>
      <c r="FD30">
        <v>1761018049.5</v>
      </c>
      <c r="FE30">
        <v>1761018035.5</v>
      </c>
      <c r="FF30">
        <v>23</v>
      </c>
      <c r="FG30">
        <v>1.295</v>
      </c>
      <c r="FH30">
        <v>0.011</v>
      </c>
      <c r="FI30">
        <v>-0.618</v>
      </c>
      <c r="FJ30">
        <v>0.192</v>
      </c>
      <c r="FK30">
        <v>420</v>
      </c>
      <c r="FL30">
        <v>23</v>
      </c>
      <c r="FM30">
        <v>0.42</v>
      </c>
      <c r="FN30">
        <v>0.17</v>
      </c>
      <c r="FO30">
        <v>0.5436042000000001</v>
      </c>
      <c r="FP30">
        <v>0.5275220938086315</v>
      </c>
      <c r="FQ30">
        <v>0.08097010118160901</v>
      </c>
      <c r="FR30">
        <v>0</v>
      </c>
      <c r="FS30">
        <v>151.9647058823529</v>
      </c>
      <c r="FT30">
        <v>-14.89381233777847</v>
      </c>
      <c r="FU30">
        <v>5.619759381123902</v>
      </c>
      <c r="FV30">
        <v>0</v>
      </c>
      <c r="FW30">
        <v>0.2968210025</v>
      </c>
      <c r="FX30">
        <v>2.48193064727955</v>
      </c>
      <c r="FY30">
        <v>0.2868190931409462</v>
      </c>
      <c r="FZ30">
        <v>0</v>
      </c>
      <c r="GA30">
        <v>0</v>
      </c>
      <c r="GB30">
        <v>3</v>
      </c>
      <c r="GC30" t="s">
        <v>423</v>
      </c>
      <c r="GD30">
        <v>3.10952</v>
      </c>
      <c r="GE30">
        <v>2.72706</v>
      </c>
      <c r="GF30">
        <v>0.08856219999999999</v>
      </c>
      <c r="GG30">
        <v>0.08839379999999999</v>
      </c>
      <c r="GH30">
        <v>0.1074</v>
      </c>
      <c r="GI30">
        <v>0.107579</v>
      </c>
      <c r="GJ30">
        <v>23895.4</v>
      </c>
      <c r="GK30">
        <v>21688.4</v>
      </c>
      <c r="GL30">
        <v>26776.6</v>
      </c>
      <c r="GM30">
        <v>24000.2</v>
      </c>
      <c r="GN30">
        <v>38191.8</v>
      </c>
      <c r="GO30">
        <v>31612.1</v>
      </c>
      <c r="GP30">
        <v>46736.9</v>
      </c>
      <c r="GQ30">
        <v>37960.3</v>
      </c>
      <c r="GR30">
        <v>1.8846</v>
      </c>
      <c r="GS30">
        <v>1.87305</v>
      </c>
      <c r="GT30">
        <v>0.14139</v>
      </c>
      <c r="GU30">
        <v>0</v>
      </c>
      <c r="GV30">
        <v>27.759</v>
      </c>
      <c r="GW30">
        <v>999.9</v>
      </c>
      <c r="GX30">
        <v>63.1</v>
      </c>
      <c r="GY30">
        <v>29.1</v>
      </c>
      <c r="GZ30">
        <v>28.1189</v>
      </c>
      <c r="HA30">
        <v>61.3</v>
      </c>
      <c r="HB30">
        <v>19.7396</v>
      </c>
      <c r="HC30">
        <v>1</v>
      </c>
      <c r="HD30">
        <v>0.0782952</v>
      </c>
      <c r="HE30">
        <v>-1.5119</v>
      </c>
      <c r="HF30">
        <v>20.3291</v>
      </c>
      <c r="HG30">
        <v>5.22014</v>
      </c>
      <c r="HH30">
        <v>11.98</v>
      </c>
      <c r="HI30">
        <v>4.9649</v>
      </c>
      <c r="HJ30">
        <v>3.2757</v>
      </c>
      <c r="HK30">
        <v>9999</v>
      </c>
      <c r="HL30">
        <v>9999</v>
      </c>
      <c r="HM30">
        <v>9999</v>
      </c>
      <c r="HN30">
        <v>999.9</v>
      </c>
      <c r="HO30">
        <v>1.86362</v>
      </c>
      <c r="HP30">
        <v>1.85974</v>
      </c>
      <c r="HQ30">
        <v>1.85797</v>
      </c>
      <c r="HR30">
        <v>1.85934</v>
      </c>
      <c r="HS30">
        <v>1.85959</v>
      </c>
      <c r="HT30">
        <v>1.85805</v>
      </c>
      <c r="HU30">
        <v>1.85709</v>
      </c>
      <c r="HV30">
        <v>1.8521</v>
      </c>
      <c r="HW30">
        <v>0</v>
      </c>
      <c r="HX30">
        <v>0</v>
      </c>
      <c r="HY30">
        <v>0</v>
      </c>
      <c r="HZ30">
        <v>0</v>
      </c>
      <c r="IA30" t="s">
        <v>424</v>
      </c>
      <c r="IB30" t="s">
        <v>425</v>
      </c>
      <c r="IC30" t="s">
        <v>426</v>
      </c>
      <c r="ID30" t="s">
        <v>426</v>
      </c>
      <c r="IE30" t="s">
        <v>426</v>
      </c>
      <c r="IF30" t="s">
        <v>426</v>
      </c>
      <c r="IG30">
        <v>0</v>
      </c>
      <c r="IH30">
        <v>100</v>
      </c>
      <c r="II30">
        <v>100</v>
      </c>
      <c r="IJ30">
        <v>-0.617</v>
      </c>
      <c r="IK30">
        <v>0.2008</v>
      </c>
      <c r="IL30">
        <v>-1.405955206116699</v>
      </c>
      <c r="IM30">
        <v>0.001328113201692861</v>
      </c>
      <c r="IN30">
        <v>1.538283238170363E-06</v>
      </c>
      <c r="IO30">
        <v>-5.795655626708063E-10</v>
      </c>
      <c r="IP30">
        <v>-0.04918981781385694</v>
      </c>
      <c r="IQ30">
        <v>-0.004593102289677449</v>
      </c>
      <c r="IR30">
        <v>0.0008253994458280543</v>
      </c>
      <c r="IS30">
        <v>-7.403632370499484E-06</v>
      </c>
      <c r="IT30">
        <v>2</v>
      </c>
      <c r="IU30">
        <v>1985</v>
      </c>
      <c r="IV30">
        <v>1</v>
      </c>
      <c r="IW30">
        <v>27</v>
      </c>
      <c r="IX30">
        <v>0.7</v>
      </c>
      <c r="IY30">
        <v>0.9</v>
      </c>
      <c r="IZ30">
        <v>1.12061</v>
      </c>
      <c r="JA30">
        <v>2.55737</v>
      </c>
      <c r="JB30">
        <v>1.49658</v>
      </c>
      <c r="JC30">
        <v>2.34253</v>
      </c>
      <c r="JD30">
        <v>1.54907</v>
      </c>
      <c r="JE30">
        <v>2.33032</v>
      </c>
      <c r="JF30">
        <v>31.6736</v>
      </c>
      <c r="JG30">
        <v>14.6574</v>
      </c>
      <c r="JH30">
        <v>18</v>
      </c>
      <c r="JI30">
        <v>483.076</v>
      </c>
      <c r="JJ30">
        <v>505.231</v>
      </c>
      <c r="JK30">
        <v>31.293</v>
      </c>
      <c r="JL30">
        <v>28.2643</v>
      </c>
      <c r="JM30">
        <v>29.9996</v>
      </c>
      <c r="JN30">
        <v>28.5637</v>
      </c>
      <c r="JO30">
        <v>28.5652</v>
      </c>
      <c r="JP30">
        <v>22.5347</v>
      </c>
      <c r="JQ30">
        <v>19.2831</v>
      </c>
      <c r="JR30">
        <v>81.53149999999999</v>
      </c>
      <c r="JS30">
        <v>31.2468</v>
      </c>
      <c r="JT30">
        <v>420</v>
      </c>
      <c r="JU30">
        <v>23.7621</v>
      </c>
      <c r="JV30">
        <v>102.203</v>
      </c>
      <c r="JW30">
        <v>91.556</v>
      </c>
    </row>
    <row r="31" spans="1:283">
      <c r="A31">
        <v>13</v>
      </c>
      <c r="B31">
        <v>1761018093.5</v>
      </c>
      <c r="C31">
        <v>24</v>
      </c>
      <c r="D31" t="s">
        <v>451</v>
      </c>
      <c r="E31" t="s">
        <v>452</v>
      </c>
      <c r="F31">
        <v>5</v>
      </c>
      <c r="G31" t="s">
        <v>419</v>
      </c>
      <c r="H31">
        <v>1761018090.5</v>
      </c>
      <c r="I31">
        <f>(J31)/1000</f>
        <v>0</v>
      </c>
      <c r="J31">
        <f>1000*DJ31*AH31*(DF31-DG31)/(100*CY31*(1000-AH31*DF31))</f>
        <v>0</v>
      </c>
      <c r="K31">
        <f>DJ31*AH31*(DE31-DD31*(1000-AH31*DG31)/(1000-AH31*DF31))/(100*CY31)</f>
        <v>0</v>
      </c>
      <c r="L31">
        <f>DD31 - IF(AH31&gt;1, K31*CY31*100.0/(AJ31), 0)</f>
        <v>0</v>
      </c>
      <c r="M31">
        <f>((S31-I31/2)*L31-K31)/(S31+I31/2)</f>
        <v>0</v>
      </c>
      <c r="N31">
        <f>M31*(DK31+DL31)/1000.0</f>
        <v>0</v>
      </c>
      <c r="O31">
        <f>(DD31 - IF(AH31&gt;1, K31*CY31*100.0/(AJ31), 0))*(DK31+DL31)/1000.0</f>
        <v>0</v>
      </c>
      <c r="P31">
        <f>2.0/((1/R31-1/Q31)+SIGN(R31)*SQRT((1/R31-1/Q31)*(1/R31-1/Q31) + 4*CZ31/((CZ31+1)*(CZ31+1))*(2*1/R31*1/Q31-1/Q31*1/Q31)))</f>
        <v>0</v>
      </c>
      <c r="Q31">
        <f>IF(LEFT(DA31,1)&lt;&gt;"0",IF(LEFT(DA31,1)="1",3.0,DB31),$D$5+$E$5*(DR31*DK31/($K$5*1000))+$F$5*(DR31*DK31/($K$5*1000))*MAX(MIN(CY31,$J$5),$I$5)*MAX(MIN(CY31,$J$5),$I$5)+$G$5*MAX(MIN(CY31,$J$5),$I$5)*(DR31*DK31/($K$5*1000))+$H$5*(DR31*DK31/($K$5*1000))*(DR31*DK31/($K$5*1000)))</f>
        <v>0</v>
      </c>
      <c r="R31">
        <f>I31*(1000-(1000*0.61365*exp(17.502*V31/(240.97+V31))/(DK31+DL31)+DF31)/2)/(1000*0.61365*exp(17.502*V31/(240.97+V31))/(DK31+DL31)-DF31)</f>
        <v>0</v>
      </c>
      <c r="S31">
        <f>1/((CZ31+1)/(P31/1.6)+1/(Q31/1.37)) + CZ31/((CZ31+1)/(P31/1.6) + CZ31/(Q31/1.37))</f>
        <v>0</v>
      </c>
      <c r="T31">
        <f>(CU31*CX31)</f>
        <v>0</v>
      </c>
      <c r="U31">
        <f>(DM31+(T31+2*0.95*5.67E-8*(((DM31+$B$9)+273)^4-(DM31+273)^4)-44100*I31)/(1.84*29.3*Q31+8*0.95*5.67E-8*(DM31+273)^3))</f>
        <v>0</v>
      </c>
      <c r="V31">
        <f>($C$9*DN31+$D$9*DO31+$E$9*U31)</f>
        <v>0</v>
      </c>
      <c r="W31">
        <f>0.61365*exp(17.502*V31/(240.97+V31))</f>
        <v>0</v>
      </c>
      <c r="X31">
        <f>(Y31/Z31*100)</f>
        <v>0</v>
      </c>
      <c r="Y31">
        <f>DF31*(DK31+DL31)/1000</f>
        <v>0</v>
      </c>
      <c r="Z31">
        <f>0.61365*exp(17.502*DM31/(240.97+DM31))</f>
        <v>0</v>
      </c>
      <c r="AA31">
        <f>(W31-DF31*(DK31+DL31)/1000)</f>
        <v>0</v>
      </c>
      <c r="AB31">
        <f>(-I31*44100)</f>
        <v>0</v>
      </c>
      <c r="AC31">
        <f>2*29.3*Q31*0.92*(DM31-V31)</f>
        <v>0</v>
      </c>
      <c r="AD31">
        <f>2*0.95*5.67E-8*(((DM31+$B$9)+273)^4-(V31+273)^4)</f>
        <v>0</v>
      </c>
      <c r="AE31">
        <f>T31+AD31+AB31+AC31</f>
        <v>0</v>
      </c>
      <c r="AF31">
        <v>0</v>
      </c>
      <c r="AG31">
        <v>0</v>
      </c>
      <c r="AH31">
        <f>IF(AF31*$H$15&gt;=AJ31,1.0,(AJ31/(AJ31-AF31*$H$15)))</f>
        <v>0</v>
      </c>
      <c r="AI31">
        <f>(AH31-1)*100</f>
        <v>0</v>
      </c>
      <c r="AJ31">
        <f>MAX(0,($B$15+$C$15*DR31)/(1+$D$15*DR31)*DK31/(DM31+273)*$E$15)</f>
        <v>0</v>
      </c>
      <c r="AK31" t="s">
        <v>420</v>
      </c>
      <c r="AL31" t="s">
        <v>420</v>
      </c>
      <c r="AM31">
        <v>0</v>
      </c>
      <c r="AN31">
        <v>0</v>
      </c>
      <c r="AO31">
        <f>1-AM31/AN31</f>
        <v>0</v>
      </c>
      <c r="AP31">
        <v>0</v>
      </c>
      <c r="AQ31" t="s">
        <v>420</v>
      </c>
      <c r="AR31" t="s">
        <v>420</v>
      </c>
      <c r="AS31">
        <v>0</v>
      </c>
      <c r="AT31">
        <v>0</v>
      </c>
      <c r="AU31">
        <f>1-AS31/AT31</f>
        <v>0</v>
      </c>
      <c r="AV31">
        <v>0.5</v>
      </c>
      <c r="AW31">
        <f>CV31</f>
        <v>0</v>
      </c>
      <c r="AX31">
        <f>K31</f>
        <v>0</v>
      </c>
      <c r="AY31">
        <f>AU31*AV31*AW31</f>
        <v>0</v>
      </c>
      <c r="AZ31">
        <f>(AX31-AP31)/AW31</f>
        <v>0</v>
      </c>
      <c r="BA31">
        <f>(AN31-AT31)/AT31</f>
        <v>0</v>
      </c>
      <c r="BB31">
        <f>AM31/(AO31+AM31/AT31)</f>
        <v>0</v>
      </c>
      <c r="BC31" t="s">
        <v>420</v>
      </c>
      <c r="BD31">
        <v>0</v>
      </c>
      <c r="BE31">
        <f>IF(BD31&lt;&gt;0, BD31, BB31)</f>
        <v>0</v>
      </c>
      <c r="BF31">
        <f>1-BE31/AT31</f>
        <v>0</v>
      </c>
      <c r="BG31">
        <f>(AT31-AS31)/(AT31-BE31)</f>
        <v>0</v>
      </c>
      <c r="BH31">
        <f>(AN31-AT31)/(AN31-BE31)</f>
        <v>0</v>
      </c>
      <c r="BI31">
        <f>(AT31-AS31)/(AT31-AM31)</f>
        <v>0</v>
      </c>
      <c r="BJ31">
        <f>(AN31-AT31)/(AN31-AM31)</f>
        <v>0</v>
      </c>
      <c r="BK31">
        <f>(BG31*BE31/AS31)</f>
        <v>0</v>
      </c>
      <c r="BL31">
        <f>(1-BK31)</f>
        <v>0</v>
      </c>
      <c r="CU31">
        <f>$B$13*DS31+$C$13*DT31+$F$13*EE31*(1-EH31)</f>
        <v>0</v>
      </c>
      <c r="CV31">
        <f>CU31*CW31</f>
        <v>0</v>
      </c>
      <c r="CW31">
        <f>($B$13*$D$11+$C$13*$D$11+$F$13*((ER31+EJ31)/MAX(ER31+EJ31+ES31, 0.1)*$I$11+ES31/MAX(ER31+EJ31+ES31, 0.1)*$J$11))/($B$13+$C$13+$F$13)</f>
        <v>0</v>
      </c>
      <c r="CX31">
        <f>($B$13*$K$11+$C$13*$K$11+$F$13*((ER31+EJ31)/MAX(ER31+EJ31+ES31, 0.1)*$P$11+ES31/MAX(ER31+EJ31+ES31, 0.1)*$Q$11))/($B$13+$C$13+$F$13)</f>
        <v>0</v>
      </c>
      <c r="CY31">
        <v>2.7</v>
      </c>
      <c r="CZ31">
        <v>0.5</v>
      </c>
      <c r="DA31" t="s">
        <v>421</v>
      </c>
      <c r="DB31">
        <v>2</v>
      </c>
      <c r="DC31">
        <v>1761018090.5</v>
      </c>
      <c r="DD31">
        <v>420.5821111111111</v>
      </c>
      <c r="DE31">
        <v>419.8981111111111</v>
      </c>
      <c r="DF31">
        <v>23.65182222222222</v>
      </c>
      <c r="DG31">
        <v>23.3016</v>
      </c>
      <c r="DH31">
        <v>421.1991111111112</v>
      </c>
      <c r="DI31">
        <v>23.45028888888889</v>
      </c>
      <c r="DJ31">
        <v>499.9822222222222</v>
      </c>
      <c r="DK31">
        <v>90.77140000000001</v>
      </c>
      <c r="DL31">
        <v>0.03551427777777778</v>
      </c>
      <c r="DM31">
        <v>30.20771111111112</v>
      </c>
      <c r="DN31">
        <v>30.06416666666667</v>
      </c>
      <c r="DO31">
        <v>999.9000000000001</v>
      </c>
      <c r="DP31">
        <v>0</v>
      </c>
      <c r="DQ31">
        <v>0</v>
      </c>
      <c r="DR31">
        <v>9994.998888888887</v>
      </c>
      <c r="DS31">
        <v>0</v>
      </c>
      <c r="DT31">
        <v>0.242856</v>
      </c>
      <c r="DU31">
        <v>0.6839294444444444</v>
      </c>
      <c r="DV31">
        <v>430.7706666666667</v>
      </c>
      <c r="DW31">
        <v>429.9157777777778</v>
      </c>
      <c r="DX31">
        <v>0.3502444444444445</v>
      </c>
      <c r="DY31">
        <v>419.8981111111111</v>
      </c>
      <c r="DZ31">
        <v>23.3016</v>
      </c>
      <c r="EA31">
        <v>2.14691</v>
      </c>
      <c r="EB31">
        <v>2.115117777777778</v>
      </c>
      <c r="EC31">
        <v>18.57153333333333</v>
      </c>
      <c r="ED31">
        <v>18.33342222222222</v>
      </c>
      <c r="EE31">
        <v>0.00500078</v>
      </c>
      <c r="EF31">
        <v>0</v>
      </c>
      <c r="EG31">
        <v>0</v>
      </c>
      <c r="EH31">
        <v>0</v>
      </c>
      <c r="EI31">
        <v>150.7777777777778</v>
      </c>
      <c r="EJ31">
        <v>0.00500078</v>
      </c>
      <c r="EK31">
        <v>-15.97777777777778</v>
      </c>
      <c r="EL31">
        <v>-0.8666666666666666</v>
      </c>
      <c r="EM31">
        <v>35.29833333333332</v>
      </c>
      <c r="EN31">
        <v>39.11066666666667</v>
      </c>
      <c r="EO31">
        <v>37.27744444444444</v>
      </c>
      <c r="EP31">
        <v>39.465</v>
      </c>
      <c r="EQ31">
        <v>38.05544444444445</v>
      </c>
      <c r="ER31">
        <v>0</v>
      </c>
      <c r="ES31">
        <v>0</v>
      </c>
      <c r="ET31">
        <v>0</v>
      </c>
      <c r="EU31">
        <v>1761018092.5</v>
      </c>
      <c r="EV31">
        <v>0</v>
      </c>
      <c r="EW31">
        <v>151.364</v>
      </c>
      <c r="EX31">
        <v>-10.59230797598942</v>
      </c>
      <c r="EY31">
        <v>-3.061538741339286</v>
      </c>
      <c r="EZ31">
        <v>-15.284</v>
      </c>
      <c r="FA31">
        <v>15</v>
      </c>
      <c r="FB31">
        <v>1761018049.5</v>
      </c>
      <c r="FC31" t="s">
        <v>422</v>
      </c>
      <c r="FD31">
        <v>1761018049.5</v>
      </c>
      <c r="FE31">
        <v>1761018035.5</v>
      </c>
      <c r="FF31">
        <v>23</v>
      </c>
      <c r="FG31">
        <v>1.295</v>
      </c>
      <c r="FH31">
        <v>0.011</v>
      </c>
      <c r="FI31">
        <v>-0.618</v>
      </c>
      <c r="FJ31">
        <v>0.192</v>
      </c>
      <c r="FK31">
        <v>420</v>
      </c>
      <c r="FL31">
        <v>23</v>
      </c>
      <c r="FM31">
        <v>0.42</v>
      </c>
      <c r="FN31">
        <v>0.17</v>
      </c>
      <c r="FO31">
        <v>0.5555880731707317</v>
      </c>
      <c r="FP31">
        <v>0.7064104181184666</v>
      </c>
      <c r="FQ31">
        <v>0.09171319603867696</v>
      </c>
      <c r="FR31">
        <v>0</v>
      </c>
      <c r="FS31">
        <v>152.2647058823529</v>
      </c>
      <c r="FT31">
        <v>-14.9854852687807</v>
      </c>
      <c r="FU31">
        <v>5.730202868441466</v>
      </c>
      <c r="FV31">
        <v>0</v>
      </c>
      <c r="FW31">
        <v>0.3190361731707317</v>
      </c>
      <c r="FX31">
        <v>1.755812466898955</v>
      </c>
      <c r="FY31">
        <v>0.2568894778776615</v>
      </c>
      <c r="FZ31">
        <v>0</v>
      </c>
      <c r="GA31">
        <v>0</v>
      </c>
      <c r="GB31">
        <v>3</v>
      </c>
      <c r="GC31" t="s">
        <v>423</v>
      </c>
      <c r="GD31">
        <v>3.10944</v>
      </c>
      <c r="GE31">
        <v>2.72692</v>
      </c>
      <c r="GF31">
        <v>0.088557</v>
      </c>
      <c r="GG31">
        <v>0.0883912</v>
      </c>
      <c r="GH31">
        <v>0.107334</v>
      </c>
      <c r="GI31">
        <v>0.107987</v>
      </c>
      <c r="GJ31">
        <v>23895.7</v>
      </c>
      <c r="GK31">
        <v>21688.3</v>
      </c>
      <c r="GL31">
        <v>26776.7</v>
      </c>
      <c r="GM31">
        <v>24000</v>
      </c>
      <c r="GN31">
        <v>38194.8</v>
      </c>
      <c r="GO31">
        <v>31597.3</v>
      </c>
      <c r="GP31">
        <v>46737</v>
      </c>
      <c r="GQ31">
        <v>37960</v>
      </c>
      <c r="GR31">
        <v>1.8845</v>
      </c>
      <c r="GS31">
        <v>1.87348</v>
      </c>
      <c r="GT31">
        <v>0.140741</v>
      </c>
      <c r="GU31">
        <v>0</v>
      </c>
      <c r="GV31">
        <v>27.7642</v>
      </c>
      <c r="GW31">
        <v>999.9</v>
      </c>
      <c r="GX31">
        <v>63.1</v>
      </c>
      <c r="GY31">
        <v>29.1</v>
      </c>
      <c r="GZ31">
        <v>28.1209</v>
      </c>
      <c r="HA31">
        <v>61.64</v>
      </c>
      <c r="HB31">
        <v>19.8117</v>
      </c>
      <c r="HC31">
        <v>1</v>
      </c>
      <c r="HD31">
        <v>0.0780386</v>
      </c>
      <c r="HE31">
        <v>-1.47169</v>
      </c>
      <c r="HF31">
        <v>20.3289</v>
      </c>
      <c r="HG31">
        <v>5.21789</v>
      </c>
      <c r="HH31">
        <v>11.9797</v>
      </c>
      <c r="HI31">
        <v>4.9645</v>
      </c>
      <c r="HJ31">
        <v>3.2753</v>
      </c>
      <c r="HK31">
        <v>9999</v>
      </c>
      <c r="HL31">
        <v>9999</v>
      </c>
      <c r="HM31">
        <v>9999</v>
      </c>
      <c r="HN31">
        <v>999.9</v>
      </c>
      <c r="HO31">
        <v>1.86362</v>
      </c>
      <c r="HP31">
        <v>1.85974</v>
      </c>
      <c r="HQ31">
        <v>1.85796</v>
      </c>
      <c r="HR31">
        <v>1.85932</v>
      </c>
      <c r="HS31">
        <v>1.85959</v>
      </c>
      <c r="HT31">
        <v>1.85805</v>
      </c>
      <c r="HU31">
        <v>1.8571</v>
      </c>
      <c r="HV31">
        <v>1.85209</v>
      </c>
      <c r="HW31">
        <v>0</v>
      </c>
      <c r="HX31">
        <v>0</v>
      </c>
      <c r="HY31">
        <v>0</v>
      </c>
      <c r="HZ31">
        <v>0</v>
      </c>
      <c r="IA31" t="s">
        <v>424</v>
      </c>
      <c r="IB31" t="s">
        <v>425</v>
      </c>
      <c r="IC31" t="s">
        <v>426</v>
      </c>
      <c r="ID31" t="s">
        <v>426</v>
      </c>
      <c r="IE31" t="s">
        <v>426</v>
      </c>
      <c r="IF31" t="s">
        <v>426</v>
      </c>
      <c r="IG31">
        <v>0</v>
      </c>
      <c r="IH31">
        <v>100</v>
      </c>
      <c r="II31">
        <v>100</v>
      </c>
      <c r="IJ31">
        <v>-0.618</v>
      </c>
      <c r="IK31">
        <v>0.2004</v>
      </c>
      <c r="IL31">
        <v>-1.405955206116699</v>
      </c>
      <c r="IM31">
        <v>0.001328113201692861</v>
      </c>
      <c r="IN31">
        <v>1.538283238170363E-06</v>
      </c>
      <c r="IO31">
        <v>-5.795655626708063E-10</v>
      </c>
      <c r="IP31">
        <v>-0.04918981781385694</v>
      </c>
      <c r="IQ31">
        <v>-0.004593102289677449</v>
      </c>
      <c r="IR31">
        <v>0.0008253994458280543</v>
      </c>
      <c r="IS31">
        <v>-7.403632370499484E-06</v>
      </c>
      <c r="IT31">
        <v>2</v>
      </c>
      <c r="IU31">
        <v>1985</v>
      </c>
      <c r="IV31">
        <v>1</v>
      </c>
      <c r="IW31">
        <v>27</v>
      </c>
      <c r="IX31">
        <v>0.7</v>
      </c>
      <c r="IY31">
        <v>1</v>
      </c>
      <c r="IZ31">
        <v>1.12061</v>
      </c>
      <c r="JA31">
        <v>2.55005</v>
      </c>
      <c r="JB31">
        <v>1.49658</v>
      </c>
      <c r="JC31">
        <v>2.34131</v>
      </c>
      <c r="JD31">
        <v>1.54907</v>
      </c>
      <c r="JE31">
        <v>2.46582</v>
      </c>
      <c r="JF31">
        <v>31.6736</v>
      </c>
      <c r="JG31">
        <v>14.6661</v>
      </c>
      <c r="JH31">
        <v>18</v>
      </c>
      <c r="JI31">
        <v>483</v>
      </c>
      <c r="JJ31">
        <v>505.496</v>
      </c>
      <c r="JK31">
        <v>31.2644</v>
      </c>
      <c r="JL31">
        <v>28.2619</v>
      </c>
      <c r="JM31">
        <v>29.9996</v>
      </c>
      <c r="JN31">
        <v>28.5613</v>
      </c>
      <c r="JO31">
        <v>28.5629</v>
      </c>
      <c r="JP31">
        <v>22.5356</v>
      </c>
      <c r="JQ31">
        <v>19.2831</v>
      </c>
      <c r="JR31">
        <v>81.53149999999999</v>
      </c>
      <c r="JS31">
        <v>31.2468</v>
      </c>
      <c r="JT31">
        <v>420</v>
      </c>
      <c r="JU31">
        <v>23.7735</v>
      </c>
      <c r="JV31">
        <v>102.203</v>
      </c>
      <c r="JW31">
        <v>91.5553</v>
      </c>
    </row>
    <row r="32" spans="1:283">
      <c r="A32">
        <v>14</v>
      </c>
      <c r="B32">
        <v>1761018095.5</v>
      </c>
      <c r="C32">
        <v>26</v>
      </c>
      <c r="D32" t="s">
        <v>453</v>
      </c>
      <c r="E32" t="s">
        <v>454</v>
      </c>
      <c r="F32">
        <v>5</v>
      </c>
      <c r="G32" t="s">
        <v>419</v>
      </c>
      <c r="H32">
        <v>1761018092.5</v>
      </c>
      <c r="I32">
        <f>(J32)/1000</f>
        <v>0</v>
      </c>
      <c r="J32">
        <f>1000*DJ32*AH32*(DF32-DG32)/(100*CY32*(1000-AH32*DF32))</f>
        <v>0</v>
      </c>
      <c r="K32">
        <f>DJ32*AH32*(DE32-DD32*(1000-AH32*DG32)/(1000-AH32*DF32))/(100*CY32)</f>
        <v>0</v>
      </c>
      <c r="L32">
        <f>DD32 - IF(AH32&gt;1, K32*CY32*100.0/(AJ32), 0)</f>
        <v>0</v>
      </c>
      <c r="M32">
        <f>((S32-I32/2)*L32-K32)/(S32+I32/2)</f>
        <v>0</v>
      </c>
      <c r="N32">
        <f>M32*(DK32+DL32)/1000.0</f>
        <v>0</v>
      </c>
      <c r="O32">
        <f>(DD32 - IF(AH32&gt;1, K32*CY32*100.0/(AJ32), 0))*(DK32+DL32)/1000.0</f>
        <v>0</v>
      </c>
      <c r="P32">
        <f>2.0/((1/R32-1/Q32)+SIGN(R32)*SQRT((1/R32-1/Q32)*(1/R32-1/Q32) + 4*CZ32/((CZ32+1)*(CZ32+1))*(2*1/R32*1/Q32-1/Q32*1/Q32)))</f>
        <v>0</v>
      </c>
      <c r="Q32">
        <f>IF(LEFT(DA32,1)&lt;&gt;"0",IF(LEFT(DA32,1)="1",3.0,DB32),$D$5+$E$5*(DR32*DK32/($K$5*1000))+$F$5*(DR32*DK32/($K$5*1000))*MAX(MIN(CY32,$J$5),$I$5)*MAX(MIN(CY32,$J$5),$I$5)+$G$5*MAX(MIN(CY32,$J$5),$I$5)*(DR32*DK32/($K$5*1000))+$H$5*(DR32*DK32/($K$5*1000))*(DR32*DK32/($K$5*1000)))</f>
        <v>0</v>
      </c>
      <c r="R32">
        <f>I32*(1000-(1000*0.61365*exp(17.502*V32/(240.97+V32))/(DK32+DL32)+DF32)/2)/(1000*0.61365*exp(17.502*V32/(240.97+V32))/(DK32+DL32)-DF32)</f>
        <v>0</v>
      </c>
      <c r="S32">
        <f>1/((CZ32+1)/(P32/1.6)+1/(Q32/1.37)) + CZ32/((CZ32+1)/(P32/1.6) + CZ32/(Q32/1.37))</f>
        <v>0</v>
      </c>
      <c r="T32">
        <f>(CU32*CX32)</f>
        <v>0</v>
      </c>
      <c r="U32">
        <f>(DM32+(T32+2*0.95*5.67E-8*(((DM32+$B$9)+273)^4-(DM32+273)^4)-44100*I32)/(1.84*29.3*Q32+8*0.95*5.67E-8*(DM32+273)^3))</f>
        <v>0</v>
      </c>
      <c r="V32">
        <f>($C$9*DN32+$D$9*DO32+$E$9*U32)</f>
        <v>0</v>
      </c>
      <c r="W32">
        <f>0.61365*exp(17.502*V32/(240.97+V32))</f>
        <v>0</v>
      </c>
      <c r="X32">
        <f>(Y32/Z32*100)</f>
        <v>0</v>
      </c>
      <c r="Y32">
        <f>DF32*(DK32+DL32)/1000</f>
        <v>0</v>
      </c>
      <c r="Z32">
        <f>0.61365*exp(17.502*DM32/(240.97+DM32))</f>
        <v>0</v>
      </c>
      <c r="AA32">
        <f>(W32-DF32*(DK32+DL32)/1000)</f>
        <v>0</v>
      </c>
      <c r="AB32">
        <f>(-I32*44100)</f>
        <v>0</v>
      </c>
      <c r="AC32">
        <f>2*29.3*Q32*0.92*(DM32-V32)</f>
        <v>0</v>
      </c>
      <c r="AD32">
        <f>2*0.95*5.67E-8*(((DM32+$B$9)+273)^4-(V32+273)^4)</f>
        <v>0</v>
      </c>
      <c r="AE32">
        <f>T32+AD32+AB32+AC32</f>
        <v>0</v>
      </c>
      <c r="AF32">
        <v>0</v>
      </c>
      <c r="AG32">
        <v>0</v>
      </c>
      <c r="AH32">
        <f>IF(AF32*$H$15&gt;=AJ32,1.0,(AJ32/(AJ32-AF32*$H$15)))</f>
        <v>0</v>
      </c>
      <c r="AI32">
        <f>(AH32-1)*100</f>
        <v>0</v>
      </c>
      <c r="AJ32">
        <f>MAX(0,($B$15+$C$15*DR32)/(1+$D$15*DR32)*DK32/(DM32+273)*$E$15)</f>
        <v>0</v>
      </c>
      <c r="AK32" t="s">
        <v>420</v>
      </c>
      <c r="AL32" t="s">
        <v>420</v>
      </c>
      <c r="AM32">
        <v>0</v>
      </c>
      <c r="AN32">
        <v>0</v>
      </c>
      <c r="AO32">
        <f>1-AM32/AN32</f>
        <v>0</v>
      </c>
      <c r="AP32">
        <v>0</v>
      </c>
      <c r="AQ32" t="s">
        <v>420</v>
      </c>
      <c r="AR32" t="s">
        <v>420</v>
      </c>
      <c r="AS32">
        <v>0</v>
      </c>
      <c r="AT32">
        <v>0</v>
      </c>
      <c r="AU32">
        <f>1-AS32/AT32</f>
        <v>0</v>
      </c>
      <c r="AV32">
        <v>0.5</v>
      </c>
      <c r="AW32">
        <f>CV32</f>
        <v>0</v>
      </c>
      <c r="AX32">
        <f>K32</f>
        <v>0</v>
      </c>
      <c r="AY32">
        <f>AU32*AV32*AW32</f>
        <v>0</v>
      </c>
      <c r="AZ32">
        <f>(AX32-AP32)/AW32</f>
        <v>0</v>
      </c>
      <c r="BA32">
        <f>(AN32-AT32)/AT32</f>
        <v>0</v>
      </c>
      <c r="BB32">
        <f>AM32/(AO32+AM32/AT32)</f>
        <v>0</v>
      </c>
      <c r="BC32" t="s">
        <v>420</v>
      </c>
      <c r="BD32">
        <v>0</v>
      </c>
      <c r="BE32">
        <f>IF(BD32&lt;&gt;0, BD32, BB32)</f>
        <v>0</v>
      </c>
      <c r="BF32">
        <f>1-BE32/AT32</f>
        <v>0</v>
      </c>
      <c r="BG32">
        <f>(AT32-AS32)/(AT32-BE32)</f>
        <v>0</v>
      </c>
      <c r="BH32">
        <f>(AN32-AT32)/(AN32-BE32)</f>
        <v>0</v>
      </c>
      <c r="BI32">
        <f>(AT32-AS32)/(AT32-AM32)</f>
        <v>0</v>
      </c>
      <c r="BJ32">
        <f>(AN32-AT32)/(AN32-AM32)</f>
        <v>0</v>
      </c>
      <c r="BK32">
        <f>(BG32*BE32/AS32)</f>
        <v>0</v>
      </c>
      <c r="BL32">
        <f>(1-BK32)</f>
        <v>0</v>
      </c>
      <c r="CU32">
        <f>$B$13*DS32+$C$13*DT32+$F$13*EE32*(1-EH32)</f>
        <v>0</v>
      </c>
      <c r="CV32">
        <f>CU32*CW32</f>
        <v>0</v>
      </c>
      <c r="CW32">
        <f>($B$13*$D$11+$C$13*$D$11+$F$13*((ER32+EJ32)/MAX(ER32+EJ32+ES32, 0.1)*$I$11+ES32/MAX(ER32+EJ32+ES32, 0.1)*$J$11))/($B$13+$C$13+$F$13)</f>
        <v>0</v>
      </c>
      <c r="CX32">
        <f>($B$13*$K$11+$C$13*$K$11+$F$13*((ER32+EJ32)/MAX(ER32+EJ32+ES32, 0.1)*$P$11+ES32/MAX(ER32+EJ32+ES32, 0.1)*$Q$11))/($B$13+$C$13+$F$13)</f>
        <v>0</v>
      </c>
      <c r="CY32">
        <v>2.7</v>
      </c>
      <c r="CZ32">
        <v>0.5</v>
      </c>
      <c r="DA32" t="s">
        <v>421</v>
      </c>
      <c r="DB32">
        <v>2</v>
      </c>
      <c r="DC32">
        <v>1761018092.5</v>
      </c>
      <c r="DD32">
        <v>420.5452222222222</v>
      </c>
      <c r="DE32">
        <v>419.8513333333333</v>
      </c>
      <c r="DF32">
        <v>23.6139</v>
      </c>
      <c r="DG32">
        <v>23.40614444444444</v>
      </c>
      <c r="DH32">
        <v>421.1623333333334</v>
      </c>
      <c r="DI32">
        <v>23.41317777777778</v>
      </c>
      <c r="DJ32">
        <v>499.9446666666667</v>
      </c>
      <c r="DK32">
        <v>90.77173333333334</v>
      </c>
      <c r="DL32">
        <v>0.03538619999999999</v>
      </c>
      <c r="DM32">
        <v>30.20061111111111</v>
      </c>
      <c r="DN32">
        <v>30.06205555555556</v>
      </c>
      <c r="DO32">
        <v>999.9000000000001</v>
      </c>
      <c r="DP32">
        <v>0</v>
      </c>
      <c r="DQ32">
        <v>0</v>
      </c>
      <c r="DR32">
        <v>9993.747777777775</v>
      </c>
      <c r="DS32">
        <v>0</v>
      </c>
      <c r="DT32">
        <v>0.242856</v>
      </c>
      <c r="DU32">
        <v>0.6938748888888889</v>
      </c>
      <c r="DV32">
        <v>430.7161111111111</v>
      </c>
      <c r="DW32">
        <v>429.914</v>
      </c>
      <c r="DX32">
        <v>0.2077650888888889</v>
      </c>
      <c r="DY32">
        <v>419.8513333333333</v>
      </c>
      <c r="DZ32">
        <v>23.40614444444444</v>
      </c>
      <c r="EA32">
        <v>2.143475555555556</v>
      </c>
      <c r="EB32">
        <v>2.124616666666666</v>
      </c>
      <c r="EC32">
        <v>18.54597777777778</v>
      </c>
      <c r="ED32">
        <v>18.40482222222222</v>
      </c>
      <c r="EE32">
        <v>0.00500078</v>
      </c>
      <c r="EF32">
        <v>0</v>
      </c>
      <c r="EG32">
        <v>0</v>
      </c>
      <c r="EH32">
        <v>0</v>
      </c>
      <c r="EI32">
        <v>148.8666666666667</v>
      </c>
      <c r="EJ32">
        <v>0.00500078</v>
      </c>
      <c r="EK32">
        <v>-15.93333333333333</v>
      </c>
      <c r="EL32">
        <v>-0.8111111111111112</v>
      </c>
      <c r="EM32">
        <v>35.28444444444445</v>
      </c>
      <c r="EN32">
        <v>39.04833333333332</v>
      </c>
      <c r="EO32">
        <v>37.36077777777778</v>
      </c>
      <c r="EP32">
        <v>39.40944444444444</v>
      </c>
      <c r="EQ32">
        <v>37.99977777777778</v>
      </c>
      <c r="ER32">
        <v>0</v>
      </c>
      <c r="ES32">
        <v>0</v>
      </c>
      <c r="ET32">
        <v>0</v>
      </c>
      <c r="EU32">
        <v>1761018094.3</v>
      </c>
      <c r="EV32">
        <v>0</v>
      </c>
      <c r="EW32">
        <v>150.3115384615385</v>
      </c>
      <c r="EX32">
        <v>-26.66324817600095</v>
      </c>
      <c r="EY32">
        <v>10.56068355413684</v>
      </c>
      <c r="EZ32">
        <v>-15.45</v>
      </c>
      <c r="FA32">
        <v>15</v>
      </c>
      <c r="FB32">
        <v>1761018049.5</v>
      </c>
      <c r="FC32" t="s">
        <v>422</v>
      </c>
      <c r="FD32">
        <v>1761018049.5</v>
      </c>
      <c r="FE32">
        <v>1761018035.5</v>
      </c>
      <c r="FF32">
        <v>23</v>
      </c>
      <c r="FG32">
        <v>1.295</v>
      </c>
      <c r="FH32">
        <v>0.011</v>
      </c>
      <c r="FI32">
        <v>-0.618</v>
      </c>
      <c r="FJ32">
        <v>0.192</v>
      </c>
      <c r="FK32">
        <v>420</v>
      </c>
      <c r="FL32">
        <v>23</v>
      </c>
      <c r="FM32">
        <v>0.42</v>
      </c>
      <c r="FN32">
        <v>0.17</v>
      </c>
      <c r="FO32">
        <v>0.571240175</v>
      </c>
      <c r="FP32">
        <v>0.989770345215759</v>
      </c>
      <c r="FQ32">
        <v>0.100612651489484</v>
      </c>
      <c r="FR32">
        <v>0</v>
      </c>
      <c r="FS32">
        <v>151.485294117647</v>
      </c>
      <c r="FT32">
        <v>-28.20626444030822</v>
      </c>
      <c r="FU32">
        <v>5.962437931749512</v>
      </c>
      <c r="FV32">
        <v>0</v>
      </c>
      <c r="FW32">
        <v>0.35933093</v>
      </c>
      <c r="FX32">
        <v>0.03019639699812336</v>
      </c>
      <c r="FY32">
        <v>0.203156777761344</v>
      </c>
      <c r="FZ32">
        <v>1</v>
      </c>
      <c r="GA32">
        <v>1</v>
      </c>
      <c r="GB32">
        <v>3</v>
      </c>
      <c r="GC32" t="s">
        <v>431</v>
      </c>
      <c r="GD32">
        <v>3.10951</v>
      </c>
      <c r="GE32">
        <v>2.7271</v>
      </c>
      <c r="GF32">
        <v>0.08855490000000001</v>
      </c>
      <c r="GG32">
        <v>0.0884031</v>
      </c>
      <c r="GH32">
        <v>0.107367</v>
      </c>
      <c r="GI32">
        <v>0.108439</v>
      </c>
      <c r="GJ32">
        <v>23895.8</v>
      </c>
      <c r="GK32">
        <v>21688</v>
      </c>
      <c r="GL32">
        <v>26776.8</v>
      </c>
      <c r="GM32">
        <v>24000</v>
      </c>
      <c r="GN32">
        <v>38193.6</v>
      </c>
      <c r="GO32">
        <v>31580.8</v>
      </c>
      <c r="GP32">
        <v>46737.3</v>
      </c>
      <c r="GQ32">
        <v>37959.6</v>
      </c>
      <c r="GR32">
        <v>1.88503</v>
      </c>
      <c r="GS32">
        <v>1.87345</v>
      </c>
      <c r="GT32">
        <v>0.140347</v>
      </c>
      <c r="GU32">
        <v>0</v>
      </c>
      <c r="GV32">
        <v>27.7696</v>
      </c>
      <c r="GW32">
        <v>999.9</v>
      </c>
      <c r="GX32">
        <v>63.1</v>
      </c>
      <c r="GY32">
        <v>29.1</v>
      </c>
      <c r="GZ32">
        <v>28.1215</v>
      </c>
      <c r="HA32">
        <v>61.35</v>
      </c>
      <c r="HB32">
        <v>19.972</v>
      </c>
      <c r="HC32">
        <v>1</v>
      </c>
      <c r="HD32">
        <v>0.0777439</v>
      </c>
      <c r="HE32">
        <v>-1.53435</v>
      </c>
      <c r="HF32">
        <v>20.3286</v>
      </c>
      <c r="HG32">
        <v>5.21924</v>
      </c>
      <c r="HH32">
        <v>11.9797</v>
      </c>
      <c r="HI32">
        <v>4.96475</v>
      </c>
      <c r="HJ32">
        <v>3.27545</v>
      </c>
      <c r="HK32">
        <v>9999</v>
      </c>
      <c r="HL32">
        <v>9999</v>
      </c>
      <c r="HM32">
        <v>9999</v>
      </c>
      <c r="HN32">
        <v>999.9</v>
      </c>
      <c r="HO32">
        <v>1.86362</v>
      </c>
      <c r="HP32">
        <v>1.85974</v>
      </c>
      <c r="HQ32">
        <v>1.85797</v>
      </c>
      <c r="HR32">
        <v>1.85932</v>
      </c>
      <c r="HS32">
        <v>1.85959</v>
      </c>
      <c r="HT32">
        <v>1.85805</v>
      </c>
      <c r="HU32">
        <v>1.8571</v>
      </c>
      <c r="HV32">
        <v>1.85209</v>
      </c>
      <c r="HW32">
        <v>0</v>
      </c>
      <c r="HX32">
        <v>0</v>
      </c>
      <c r="HY32">
        <v>0</v>
      </c>
      <c r="HZ32">
        <v>0</v>
      </c>
      <c r="IA32" t="s">
        <v>424</v>
      </c>
      <c r="IB32" t="s">
        <v>425</v>
      </c>
      <c r="IC32" t="s">
        <v>426</v>
      </c>
      <c r="ID32" t="s">
        <v>426</v>
      </c>
      <c r="IE32" t="s">
        <v>426</v>
      </c>
      <c r="IF32" t="s">
        <v>426</v>
      </c>
      <c r="IG32">
        <v>0</v>
      </c>
      <c r="IH32">
        <v>100</v>
      </c>
      <c r="II32">
        <v>100</v>
      </c>
      <c r="IJ32">
        <v>-0.617</v>
      </c>
      <c r="IK32">
        <v>0.2005</v>
      </c>
      <c r="IL32">
        <v>-1.405955206116699</v>
      </c>
      <c r="IM32">
        <v>0.001328113201692861</v>
      </c>
      <c r="IN32">
        <v>1.538283238170363E-06</v>
      </c>
      <c r="IO32">
        <v>-5.795655626708063E-10</v>
      </c>
      <c r="IP32">
        <v>-0.04918981781385694</v>
      </c>
      <c r="IQ32">
        <v>-0.004593102289677449</v>
      </c>
      <c r="IR32">
        <v>0.0008253994458280543</v>
      </c>
      <c r="IS32">
        <v>-7.403632370499484E-06</v>
      </c>
      <c r="IT32">
        <v>2</v>
      </c>
      <c r="IU32">
        <v>1985</v>
      </c>
      <c r="IV32">
        <v>1</v>
      </c>
      <c r="IW32">
        <v>27</v>
      </c>
      <c r="IX32">
        <v>0.8</v>
      </c>
      <c r="IY32">
        <v>1</v>
      </c>
      <c r="IZ32">
        <v>1.12061</v>
      </c>
      <c r="JA32">
        <v>2.55615</v>
      </c>
      <c r="JB32">
        <v>1.49658</v>
      </c>
      <c r="JC32">
        <v>2.34253</v>
      </c>
      <c r="JD32">
        <v>1.54907</v>
      </c>
      <c r="JE32">
        <v>2.43652</v>
      </c>
      <c r="JF32">
        <v>31.6736</v>
      </c>
      <c r="JG32">
        <v>14.6661</v>
      </c>
      <c r="JH32">
        <v>18</v>
      </c>
      <c r="JI32">
        <v>483.287</v>
      </c>
      <c r="JJ32">
        <v>505.463</v>
      </c>
      <c r="JK32">
        <v>31.2333</v>
      </c>
      <c r="JL32">
        <v>28.2595</v>
      </c>
      <c r="JM32">
        <v>29.9996</v>
      </c>
      <c r="JN32">
        <v>28.5588</v>
      </c>
      <c r="JO32">
        <v>28.5611</v>
      </c>
      <c r="JP32">
        <v>22.5357</v>
      </c>
      <c r="JQ32">
        <v>19.2831</v>
      </c>
      <c r="JR32">
        <v>81.53149999999999</v>
      </c>
      <c r="JS32">
        <v>31.185</v>
      </c>
      <c r="JT32">
        <v>420</v>
      </c>
      <c r="JU32">
        <v>23.7617</v>
      </c>
      <c r="JV32">
        <v>102.204</v>
      </c>
      <c r="JW32">
        <v>91.5547</v>
      </c>
    </row>
    <row r="33" spans="1:283">
      <c r="A33">
        <v>15</v>
      </c>
      <c r="B33">
        <v>1761018097.5</v>
      </c>
      <c r="C33">
        <v>28</v>
      </c>
      <c r="D33" t="s">
        <v>455</v>
      </c>
      <c r="E33" t="s">
        <v>456</v>
      </c>
      <c r="F33">
        <v>5</v>
      </c>
      <c r="G33" t="s">
        <v>419</v>
      </c>
      <c r="H33">
        <v>1761018094.5</v>
      </c>
      <c r="I33">
        <f>(J33)/1000</f>
        <v>0</v>
      </c>
      <c r="J33">
        <f>1000*DJ33*AH33*(DF33-DG33)/(100*CY33*(1000-AH33*DF33))</f>
        <v>0</v>
      </c>
      <c r="K33">
        <f>DJ33*AH33*(DE33-DD33*(1000-AH33*DG33)/(1000-AH33*DF33))/(100*CY33)</f>
        <v>0</v>
      </c>
      <c r="L33">
        <f>DD33 - IF(AH33&gt;1, K33*CY33*100.0/(AJ33), 0)</f>
        <v>0</v>
      </c>
      <c r="M33">
        <f>((S33-I33/2)*L33-K33)/(S33+I33/2)</f>
        <v>0</v>
      </c>
      <c r="N33">
        <f>M33*(DK33+DL33)/1000.0</f>
        <v>0</v>
      </c>
      <c r="O33">
        <f>(DD33 - IF(AH33&gt;1, K33*CY33*100.0/(AJ33), 0))*(DK33+DL33)/1000.0</f>
        <v>0</v>
      </c>
      <c r="P33">
        <f>2.0/((1/R33-1/Q33)+SIGN(R33)*SQRT((1/R33-1/Q33)*(1/R33-1/Q33) + 4*CZ33/((CZ33+1)*(CZ33+1))*(2*1/R33*1/Q33-1/Q33*1/Q33)))</f>
        <v>0</v>
      </c>
      <c r="Q33">
        <f>IF(LEFT(DA33,1)&lt;&gt;"0",IF(LEFT(DA33,1)="1",3.0,DB33),$D$5+$E$5*(DR33*DK33/($K$5*1000))+$F$5*(DR33*DK33/($K$5*1000))*MAX(MIN(CY33,$J$5),$I$5)*MAX(MIN(CY33,$J$5),$I$5)+$G$5*MAX(MIN(CY33,$J$5),$I$5)*(DR33*DK33/($K$5*1000))+$H$5*(DR33*DK33/($K$5*1000))*(DR33*DK33/($K$5*1000)))</f>
        <v>0</v>
      </c>
      <c r="R33">
        <f>I33*(1000-(1000*0.61365*exp(17.502*V33/(240.97+V33))/(DK33+DL33)+DF33)/2)/(1000*0.61365*exp(17.502*V33/(240.97+V33))/(DK33+DL33)-DF33)</f>
        <v>0</v>
      </c>
      <c r="S33">
        <f>1/((CZ33+1)/(P33/1.6)+1/(Q33/1.37)) + CZ33/((CZ33+1)/(P33/1.6) + CZ33/(Q33/1.37))</f>
        <v>0</v>
      </c>
      <c r="T33">
        <f>(CU33*CX33)</f>
        <v>0</v>
      </c>
      <c r="U33">
        <f>(DM33+(T33+2*0.95*5.67E-8*(((DM33+$B$9)+273)^4-(DM33+273)^4)-44100*I33)/(1.84*29.3*Q33+8*0.95*5.67E-8*(DM33+273)^3))</f>
        <v>0</v>
      </c>
      <c r="V33">
        <f>($C$9*DN33+$D$9*DO33+$E$9*U33)</f>
        <v>0</v>
      </c>
      <c r="W33">
        <f>0.61365*exp(17.502*V33/(240.97+V33))</f>
        <v>0</v>
      </c>
      <c r="X33">
        <f>(Y33/Z33*100)</f>
        <v>0</v>
      </c>
      <c r="Y33">
        <f>DF33*(DK33+DL33)/1000</f>
        <v>0</v>
      </c>
      <c r="Z33">
        <f>0.61365*exp(17.502*DM33/(240.97+DM33))</f>
        <v>0</v>
      </c>
      <c r="AA33">
        <f>(W33-DF33*(DK33+DL33)/1000)</f>
        <v>0</v>
      </c>
      <c r="AB33">
        <f>(-I33*44100)</f>
        <v>0</v>
      </c>
      <c r="AC33">
        <f>2*29.3*Q33*0.92*(DM33-V33)</f>
        <v>0</v>
      </c>
      <c r="AD33">
        <f>2*0.95*5.67E-8*(((DM33+$B$9)+273)^4-(V33+273)^4)</f>
        <v>0</v>
      </c>
      <c r="AE33">
        <f>T33+AD33+AB33+AC33</f>
        <v>0</v>
      </c>
      <c r="AF33">
        <v>0</v>
      </c>
      <c r="AG33">
        <v>0</v>
      </c>
      <c r="AH33">
        <f>IF(AF33*$H$15&gt;=AJ33,1.0,(AJ33/(AJ33-AF33*$H$15)))</f>
        <v>0</v>
      </c>
      <c r="AI33">
        <f>(AH33-1)*100</f>
        <v>0</v>
      </c>
      <c r="AJ33">
        <f>MAX(0,($B$15+$C$15*DR33)/(1+$D$15*DR33)*DK33/(DM33+273)*$E$15)</f>
        <v>0</v>
      </c>
      <c r="AK33" t="s">
        <v>420</v>
      </c>
      <c r="AL33" t="s">
        <v>420</v>
      </c>
      <c r="AM33">
        <v>0</v>
      </c>
      <c r="AN33">
        <v>0</v>
      </c>
      <c r="AO33">
        <f>1-AM33/AN33</f>
        <v>0</v>
      </c>
      <c r="AP33">
        <v>0</v>
      </c>
      <c r="AQ33" t="s">
        <v>420</v>
      </c>
      <c r="AR33" t="s">
        <v>420</v>
      </c>
      <c r="AS33">
        <v>0</v>
      </c>
      <c r="AT33">
        <v>0</v>
      </c>
      <c r="AU33">
        <f>1-AS33/AT33</f>
        <v>0</v>
      </c>
      <c r="AV33">
        <v>0.5</v>
      </c>
      <c r="AW33">
        <f>CV33</f>
        <v>0</v>
      </c>
      <c r="AX33">
        <f>K33</f>
        <v>0</v>
      </c>
      <c r="AY33">
        <f>AU33*AV33*AW33</f>
        <v>0</v>
      </c>
      <c r="AZ33">
        <f>(AX33-AP33)/AW33</f>
        <v>0</v>
      </c>
      <c r="BA33">
        <f>(AN33-AT33)/AT33</f>
        <v>0</v>
      </c>
      <c r="BB33">
        <f>AM33/(AO33+AM33/AT33)</f>
        <v>0</v>
      </c>
      <c r="BC33" t="s">
        <v>420</v>
      </c>
      <c r="BD33">
        <v>0</v>
      </c>
      <c r="BE33">
        <f>IF(BD33&lt;&gt;0, BD33, BB33)</f>
        <v>0</v>
      </c>
      <c r="BF33">
        <f>1-BE33/AT33</f>
        <v>0</v>
      </c>
      <c r="BG33">
        <f>(AT33-AS33)/(AT33-BE33)</f>
        <v>0</v>
      </c>
      <c r="BH33">
        <f>(AN33-AT33)/(AN33-BE33)</f>
        <v>0</v>
      </c>
      <c r="BI33">
        <f>(AT33-AS33)/(AT33-AM33)</f>
        <v>0</v>
      </c>
      <c r="BJ33">
        <f>(AN33-AT33)/(AN33-AM33)</f>
        <v>0</v>
      </c>
      <c r="BK33">
        <f>(BG33*BE33/AS33)</f>
        <v>0</v>
      </c>
      <c r="BL33">
        <f>(1-BK33)</f>
        <v>0</v>
      </c>
      <c r="CU33">
        <f>$B$13*DS33+$C$13*DT33+$F$13*EE33*(1-EH33)</f>
        <v>0</v>
      </c>
      <c r="CV33">
        <f>CU33*CW33</f>
        <v>0</v>
      </c>
      <c r="CW33">
        <f>($B$13*$D$11+$C$13*$D$11+$F$13*((ER33+EJ33)/MAX(ER33+EJ33+ES33, 0.1)*$I$11+ES33/MAX(ER33+EJ33+ES33, 0.1)*$J$11))/($B$13+$C$13+$F$13)</f>
        <v>0</v>
      </c>
      <c r="CX33">
        <f>($B$13*$K$11+$C$13*$K$11+$F$13*((ER33+EJ33)/MAX(ER33+EJ33+ES33, 0.1)*$P$11+ES33/MAX(ER33+EJ33+ES33, 0.1)*$Q$11))/($B$13+$C$13+$F$13)</f>
        <v>0</v>
      </c>
      <c r="CY33">
        <v>2.7</v>
      </c>
      <c r="CZ33">
        <v>0.5</v>
      </c>
      <c r="DA33" t="s">
        <v>421</v>
      </c>
      <c r="DB33">
        <v>2</v>
      </c>
      <c r="DC33">
        <v>1761018094.5</v>
      </c>
      <c r="DD33">
        <v>420.5171111111111</v>
      </c>
      <c r="DE33">
        <v>419.8638888888888</v>
      </c>
      <c r="DF33">
        <v>23.60741111111111</v>
      </c>
      <c r="DG33">
        <v>23.53457777777778</v>
      </c>
      <c r="DH33">
        <v>421.1343333333334</v>
      </c>
      <c r="DI33">
        <v>23.40682222222222</v>
      </c>
      <c r="DJ33">
        <v>499.9851111111111</v>
      </c>
      <c r="DK33">
        <v>90.77159999999998</v>
      </c>
      <c r="DL33">
        <v>0.0353557</v>
      </c>
      <c r="DM33">
        <v>30.19315555555556</v>
      </c>
      <c r="DN33">
        <v>30.05924444444445</v>
      </c>
      <c r="DO33">
        <v>999.9000000000001</v>
      </c>
      <c r="DP33">
        <v>0</v>
      </c>
      <c r="DQ33">
        <v>0</v>
      </c>
      <c r="DR33">
        <v>9997.927777777779</v>
      </c>
      <c r="DS33">
        <v>0</v>
      </c>
      <c r="DT33">
        <v>0.242856</v>
      </c>
      <c r="DU33">
        <v>0.6533509999999999</v>
      </c>
      <c r="DV33">
        <v>430.6845555555556</v>
      </c>
      <c r="DW33">
        <v>429.9834444444444</v>
      </c>
      <c r="DX33">
        <v>0.0728187</v>
      </c>
      <c r="DY33">
        <v>419.8638888888888</v>
      </c>
      <c r="DZ33">
        <v>23.53457777777778</v>
      </c>
      <c r="EA33">
        <v>2.142881111111111</v>
      </c>
      <c r="EB33">
        <v>2.136273333333333</v>
      </c>
      <c r="EC33">
        <v>18.54155555555555</v>
      </c>
      <c r="ED33">
        <v>18.4921</v>
      </c>
      <c r="EE33">
        <v>0.00500078</v>
      </c>
      <c r="EF33">
        <v>0</v>
      </c>
      <c r="EG33">
        <v>0</v>
      </c>
      <c r="EH33">
        <v>0</v>
      </c>
      <c r="EI33">
        <v>151.3888888888889</v>
      </c>
      <c r="EJ33">
        <v>0.00500078</v>
      </c>
      <c r="EK33">
        <v>-20.57777777777778</v>
      </c>
      <c r="EL33">
        <v>-1.377777777777778</v>
      </c>
      <c r="EM33">
        <v>35.32599999999999</v>
      </c>
      <c r="EN33">
        <v>39.01366666666667</v>
      </c>
      <c r="EO33">
        <v>37.215</v>
      </c>
      <c r="EP33">
        <v>39.38166666666667</v>
      </c>
      <c r="EQ33">
        <v>38.04833333333333</v>
      </c>
      <c r="ER33">
        <v>0</v>
      </c>
      <c r="ES33">
        <v>0</v>
      </c>
      <c r="ET33">
        <v>0</v>
      </c>
      <c r="EU33">
        <v>1761018096.7</v>
      </c>
      <c r="EV33">
        <v>0</v>
      </c>
      <c r="EW33">
        <v>150.4384615384616</v>
      </c>
      <c r="EX33">
        <v>2.030769138766887</v>
      </c>
      <c r="EY33">
        <v>-28.27008561363939</v>
      </c>
      <c r="EZ33">
        <v>-16.55</v>
      </c>
      <c r="FA33">
        <v>15</v>
      </c>
      <c r="FB33">
        <v>1761018049.5</v>
      </c>
      <c r="FC33" t="s">
        <v>422</v>
      </c>
      <c r="FD33">
        <v>1761018049.5</v>
      </c>
      <c r="FE33">
        <v>1761018035.5</v>
      </c>
      <c r="FF33">
        <v>23</v>
      </c>
      <c r="FG33">
        <v>1.295</v>
      </c>
      <c r="FH33">
        <v>0.011</v>
      </c>
      <c r="FI33">
        <v>-0.618</v>
      </c>
      <c r="FJ33">
        <v>0.192</v>
      </c>
      <c r="FK33">
        <v>420</v>
      </c>
      <c r="FL33">
        <v>23</v>
      </c>
      <c r="FM33">
        <v>0.42</v>
      </c>
      <c r="FN33">
        <v>0.17</v>
      </c>
      <c r="FO33">
        <v>0.5786102682926829</v>
      </c>
      <c r="FP33">
        <v>0.8461647177700347</v>
      </c>
      <c r="FQ33">
        <v>0.09623737877845349</v>
      </c>
      <c r="FR33">
        <v>0</v>
      </c>
      <c r="FS33">
        <v>151.3735294117647</v>
      </c>
      <c r="FT33">
        <v>-25.50802146965769</v>
      </c>
      <c r="FU33">
        <v>6.075859117346354</v>
      </c>
      <c r="FV33">
        <v>0</v>
      </c>
      <c r="FW33">
        <v>0.3486361536585366</v>
      </c>
      <c r="FX33">
        <v>-0.7550875191637627</v>
      </c>
      <c r="FY33">
        <v>0.2115514348086341</v>
      </c>
      <c r="FZ33">
        <v>0</v>
      </c>
      <c r="GA33">
        <v>0</v>
      </c>
      <c r="GB33">
        <v>3</v>
      </c>
      <c r="GC33" t="s">
        <v>423</v>
      </c>
      <c r="GD33">
        <v>3.10978</v>
      </c>
      <c r="GE33">
        <v>2.7272</v>
      </c>
      <c r="GF33">
        <v>0.08855250000000001</v>
      </c>
      <c r="GG33">
        <v>0.0884052</v>
      </c>
      <c r="GH33">
        <v>0.107485</v>
      </c>
      <c r="GI33">
        <v>0.108853</v>
      </c>
      <c r="GJ33">
        <v>23895.9</v>
      </c>
      <c r="GK33">
        <v>21687.9</v>
      </c>
      <c r="GL33">
        <v>26776.8</v>
      </c>
      <c r="GM33">
        <v>23999.9</v>
      </c>
      <c r="GN33">
        <v>38188.5</v>
      </c>
      <c r="GO33">
        <v>31565.7</v>
      </c>
      <c r="GP33">
        <v>46737.4</v>
      </c>
      <c r="GQ33">
        <v>37959.2</v>
      </c>
      <c r="GR33">
        <v>1.88545</v>
      </c>
      <c r="GS33">
        <v>1.87342</v>
      </c>
      <c r="GT33">
        <v>0.139579</v>
      </c>
      <c r="GU33">
        <v>0</v>
      </c>
      <c r="GV33">
        <v>27.7755</v>
      </c>
      <c r="GW33">
        <v>999.9</v>
      </c>
      <c r="GX33">
        <v>63.1</v>
      </c>
      <c r="GY33">
        <v>29.1</v>
      </c>
      <c r="GZ33">
        <v>28.1186</v>
      </c>
      <c r="HA33">
        <v>61.3</v>
      </c>
      <c r="HB33">
        <v>19.7436</v>
      </c>
      <c r="HC33">
        <v>1</v>
      </c>
      <c r="HD33">
        <v>0.07764740000000001</v>
      </c>
      <c r="HE33">
        <v>-1.50301</v>
      </c>
      <c r="HF33">
        <v>20.329</v>
      </c>
      <c r="HG33">
        <v>5.21954</v>
      </c>
      <c r="HH33">
        <v>11.9797</v>
      </c>
      <c r="HI33">
        <v>4.9649</v>
      </c>
      <c r="HJ33">
        <v>3.27553</v>
      </c>
      <c r="HK33">
        <v>9999</v>
      </c>
      <c r="HL33">
        <v>9999</v>
      </c>
      <c r="HM33">
        <v>9999</v>
      </c>
      <c r="HN33">
        <v>999.9</v>
      </c>
      <c r="HO33">
        <v>1.86363</v>
      </c>
      <c r="HP33">
        <v>1.85974</v>
      </c>
      <c r="HQ33">
        <v>1.85797</v>
      </c>
      <c r="HR33">
        <v>1.85935</v>
      </c>
      <c r="HS33">
        <v>1.85959</v>
      </c>
      <c r="HT33">
        <v>1.85806</v>
      </c>
      <c r="HU33">
        <v>1.8571</v>
      </c>
      <c r="HV33">
        <v>1.85211</v>
      </c>
      <c r="HW33">
        <v>0</v>
      </c>
      <c r="HX33">
        <v>0</v>
      </c>
      <c r="HY33">
        <v>0</v>
      </c>
      <c r="HZ33">
        <v>0</v>
      </c>
      <c r="IA33" t="s">
        <v>424</v>
      </c>
      <c r="IB33" t="s">
        <v>425</v>
      </c>
      <c r="IC33" t="s">
        <v>426</v>
      </c>
      <c r="ID33" t="s">
        <v>426</v>
      </c>
      <c r="IE33" t="s">
        <v>426</v>
      </c>
      <c r="IF33" t="s">
        <v>426</v>
      </c>
      <c r="IG33">
        <v>0</v>
      </c>
      <c r="IH33">
        <v>100</v>
      </c>
      <c r="II33">
        <v>100</v>
      </c>
      <c r="IJ33">
        <v>-0.618</v>
      </c>
      <c r="IK33">
        <v>0.2014</v>
      </c>
      <c r="IL33">
        <v>-1.405955206116699</v>
      </c>
      <c r="IM33">
        <v>0.001328113201692861</v>
      </c>
      <c r="IN33">
        <v>1.538283238170363E-06</v>
      </c>
      <c r="IO33">
        <v>-5.795655626708063E-10</v>
      </c>
      <c r="IP33">
        <v>-0.04918981781385694</v>
      </c>
      <c r="IQ33">
        <v>-0.004593102289677449</v>
      </c>
      <c r="IR33">
        <v>0.0008253994458280543</v>
      </c>
      <c r="IS33">
        <v>-7.403632370499484E-06</v>
      </c>
      <c r="IT33">
        <v>2</v>
      </c>
      <c r="IU33">
        <v>1985</v>
      </c>
      <c r="IV33">
        <v>1</v>
      </c>
      <c r="IW33">
        <v>27</v>
      </c>
      <c r="IX33">
        <v>0.8</v>
      </c>
      <c r="IY33">
        <v>1</v>
      </c>
      <c r="IZ33">
        <v>1.12061</v>
      </c>
      <c r="JA33">
        <v>2.56226</v>
      </c>
      <c r="JB33">
        <v>1.49658</v>
      </c>
      <c r="JC33">
        <v>2.34131</v>
      </c>
      <c r="JD33">
        <v>1.54907</v>
      </c>
      <c r="JE33">
        <v>2.3291</v>
      </c>
      <c r="JF33">
        <v>31.6736</v>
      </c>
      <c r="JG33">
        <v>14.6486</v>
      </c>
      <c r="JH33">
        <v>18</v>
      </c>
      <c r="JI33">
        <v>483.515</v>
      </c>
      <c r="JJ33">
        <v>505.43</v>
      </c>
      <c r="JK33">
        <v>31.2101</v>
      </c>
      <c r="JL33">
        <v>28.2569</v>
      </c>
      <c r="JM33">
        <v>29.9996</v>
      </c>
      <c r="JN33">
        <v>28.5564</v>
      </c>
      <c r="JO33">
        <v>28.5592</v>
      </c>
      <c r="JP33">
        <v>22.5393</v>
      </c>
      <c r="JQ33">
        <v>19.2831</v>
      </c>
      <c r="JR33">
        <v>81.53149999999999</v>
      </c>
      <c r="JS33">
        <v>31.185</v>
      </c>
      <c r="JT33">
        <v>420</v>
      </c>
      <c r="JU33">
        <v>23.724</v>
      </c>
      <c r="JV33">
        <v>102.204</v>
      </c>
      <c r="JW33">
        <v>91.554</v>
      </c>
    </row>
    <row r="34" spans="1:283">
      <c r="A34">
        <v>16</v>
      </c>
      <c r="B34">
        <v>1761018099.5</v>
      </c>
      <c r="C34">
        <v>30</v>
      </c>
      <c r="D34" t="s">
        <v>457</v>
      </c>
      <c r="E34" t="s">
        <v>458</v>
      </c>
      <c r="F34">
        <v>5</v>
      </c>
      <c r="G34" t="s">
        <v>419</v>
      </c>
      <c r="H34">
        <v>1761018096.5</v>
      </c>
      <c r="I34">
        <f>(J34)/1000</f>
        <v>0</v>
      </c>
      <c r="J34">
        <f>1000*DJ34*AH34*(DF34-DG34)/(100*CY34*(1000-AH34*DF34))</f>
        <v>0</v>
      </c>
      <c r="K34">
        <f>DJ34*AH34*(DE34-DD34*(1000-AH34*DG34)/(1000-AH34*DF34))/(100*CY34)</f>
        <v>0</v>
      </c>
      <c r="L34">
        <f>DD34 - IF(AH34&gt;1, K34*CY34*100.0/(AJ34), 0)</f>
        <v>0</v>
      </c>
      <c r="M34">
        <f>((S34-I34/2)*L34-K34)/(S34+I34/2)</f>
        <v>0</v>
      </c>
      <c r="N34">
        <f>M34*(DK34+DL34)/1000.0</f>
        <v>0</v>
      </c>
      <c r="O34">
        <f>(DD34 - IF(AH34&gt;1, K34*CY34*100.0/(AJ34), 0))*(DK34+DL34)/1000.0</f>
        <v>0</v>
      </c>
      <c r="P34">
        <f>2.0/((1/R34-1/Q34)+SIGN(R34)*SQRT((1/R34-1/Q34)*(1/R34-1/Q34) + 4*CZ34/((CZ34+1)*(CZ34+1))*(2*1/R34*1/Q34-1/Q34*1/Q34)))</f>
        <v>0</v>
      </c>
      <c r="Q34">
        <f>IF(LEFT(DA34,1)&lt;&gt;"0",IF(LEFT(DA34,1)="1",3.0,DB34),$D$5+$E$5*(DR34*DK34/($K$5*1000))+$F$5*(DR34*DK34/($K$5*1000))*MAX(MIN(CY34,$J$5),$I$5)*MAX(MIN(CY34,$J$5),$I$5)+$G$5*MAX(MIN(CY34,$J$5),$I$5)*(DR34*DK34/($K$5*1000))+$H$5*(DR34*DK34/($K$5*1000))*(DR34*DK34/($K$5*1000)))</f>
        <v>0</v>
      </c>
      <c r="R34">
        <f>I34*(1000-(1000*0.61365*exp(17.502*V34/(240.97+V34))/(DK34+DL34)+DF34)/2)/(1000*0.61365*exp(17.502*V34/(240.97+V34))/(DK34+DL34)-DF34)</f>
        <v>0</v>
      </c>
      <c r="S34">
        <f>1/((CZ34+1)/(P34/1.6)+1/(Q34/1.37)) + CZ34/((CZ34+1)/(P34/1.6) + CZ34/(Q34/1.37))</f>
        <v>0</v>
      </c>
      <c r="T34">
        <f>(CU34*CX34)</f>
        <v>0</v>
      </c>
      <c r="U34">
        <f>(DM34+(T34+2*0.95*5.67E-8*(((DM34+$B$9)+273)^4-(DM34+273)^4)-44100*I34)/(1.84*29.3*Q34+8*0.95*5.67E-8*(DM34+273)^3))</f>
        <v>0</v>
      </c>
      <c r="V34">
        <f>($C$9*DN34+$D$9*DO34+$E$9*U34)</f>
        <v>0</v>
      </c>
      <c r="W34">
        <f>0.61365*exp(17.502*V34/(240.97+V34))</f>
        <v>0</v>
      </c>
      <c r="X34">
        <f>(Y34/Z34*100)</f>
        <v>0</v>
      </c>
      <c r="Y34">
        <f>DF34*(DK34+DL34)/1000</f>
        <v>0</v>
      </c>
      <c r="Z34">
        <f>0.61365*exp(17.502*DM34/(240.97+DM34))</f>
        <v>0</v>
      </c>
      <c r="AA34">
        <f>(W34-DF34*(DK34+DL34)/1000)</f>
        <v>0</v>
      </c>
      <c r="AB34">
        <f>(-I34*44100)</f>
        <v>0</v>
      </c>
      <c r="AC34">
        <f>2*29.3*Q34*0.92*(DM34-V34)</f>
        <v>0</v>
      </c>
      <c r="AD34">
        <f>2*0.95*5.67E-8*(((DM34+$B$9)+273)^4-(V34+273)^4)</f>
        <v>0</v>
      </c>
      <c r="AE34">
        <f>T34+AD34+AB34+AC34</f>
        <v>0</v>
      </c>
      <c r="AF34">
        <v>0</v>
      </c>
      <c r="AG34">
        <v>0</v>
      </c>
      <c r="AH34">
        <f>IF(AF34*$H$15&gt;=AJ34,1.0,(AJ34/(AJ34-AF34*$H$15)))</f>
        <v>0</v>
      </c>
      <c r="AI34">
        <f>(AH34-1)*100</f>
        <v>0</v>
      </c>
      <c r="AJ34">
        <f>MAX(0,($B$15+$C$15*DR34)/(1+$D$15*DR34)*DK34/(DM34+273)*$E$15)</f>
        <v>0</v>
      </c>
      <c r="AK34" t="s">
        <v>420</v>
      </c>
      <c r="AL34" t="s">
        <v>420</v>
      </c>
      <c r="AM34">
        <v>0</v>
      </c>
      <c r="AN34">
        <v>0</v>
      </c>
      <c r="AO34">
        <f>1-AM34/AN34</f>
        <v>0</v>
      </c>
      <c r="AP34">
        <v>0</v>
      </c>
      <c r="AQ34" t="s">
        <v>420</v>
      </c>
      <c r="AR34" t="s">
        <v>420</v>
      </c>
      <c r="AS34">
        <v>0</v>
      </c>
      <c r="AT34">
        <v>0</v>
      </c>
      <c r="AU34">
        <f>1-AS34/AT34</f>
        <v>0</v>
      </c>
      <c r="AV34">
        <v>0.5</v>
      </c>
      <c r="AW34">
        <f>CV34</f>
        <v>0</v>
      </c>
      <c r="AX34">
        <f>K34</f>
        <v>0</v>
      </c>
      <c r="AY34">
        <f>AU34*AV34*AW34</f>
        <v>0</v>
      </c>
      <c r="AZ34">
        <f>(AX34-AP34)/AW34</f>
        <v>0</v>
      </c>
      <c r="BA34">
        <f>(AN34-AT34)/AT34</f>
        <v>0</v>
      </c>
      <c r="BB34">
        <f>AM34/(AO34+AM34/AT34)</f>
        <v>0</v>
      </c>
      <c r="BC34" t="s">
        <v>420</v>
      </c>
      <c r="BD34">
        <v>0</v>
      </c>
      <c r="BE34">
        <f>IF(BD34&lt;&gt;0, BD34, BB34)</f>
        <v>0</v>
      </c>
      <c r="BF34">
        <f>1-BE34/AT34</f>
        <v>0</v>
      </c>
      <c r="BG34">
        <f>(AT34-AS34)/(AT34-BE34)</f>
        <v>0</v>
      </c>
      <c r="BH34">
        <f>(AN34-AT34)/(AN34-BE34)</f>
        <v>0</v>
      </c>
      <c r="BI34">
        <f>(AT34-AS34)/(AT34-AM34)</f>
        <v>0</v>
      </c>
      <c r="BJ34">
        <f>(AN34-AT34)/(AN34-AM34)</f>
        <v>0</v>
      </c>
      <c r="BK34">
        <f>(BG34*BE34/AS34)</f>
        <v>0</v>
      </c>
      <c r="BL34">
        <f>(1-BK34)</f>
        <v>0</v>
      </c>
      <c r="CU34">
        <f>$B$13*DS34+$C$13*DT34+$F$13*EE34*(1-EH34)</f>
        <v>0</v>
      </c>
      <c r="CV34">
        <f>CU34*CW34</f>
        <v>0</v>
      </c>
      <c r="CW34">
        <f>($B$13*$D$11+$C$13*$D$11+$F$13*((ER34+EJ34)/MAX(ER34+EJ34+ES34, 0.1)*$I$11+ES34/MAX(ER34+EJ34+ES34, 0.1)*$J$11))/($B$13+$C$13+$F$13)</f>
        <v>0</v>
      </c>
      <c r="CX34">
        <f>($B$13*$K$11+$C$13*$K$11+$F$13*((ER34+EJ34)/MAX(ER34+EJ34+ES34, 0.1)*$P$11+ES34/MAX(ER34+EJ34+ES34, 0.1)*$Q$11))/($B$13+$C$13+$F$13)</f>
        <v>0</v>
      </c>
      <c r="CY34">
        <v>2.7</v>
      </c>
      <c r="CZ34">
        <v>0.5</v>
      </c>
      <c r="DA34" t="s">
        <v>421</v>
      </c>
      <c r="DB34">
        <v>2</v>
      </c>
      <c r="DC34">
        <v>1761018096.5</v>
      </c>
      <c r="DD34">
        <v>420.5002222222222</v>
      </c>
      <c r="DE34">
        <v>419.8927777777778</v>
      </c>
      <c r="DF34">
        <v>23.6301</v>
      </c>
      <c r="DG34">
        <v>23.66555555555556</v>
      </c>
      <c r="DH34">
        <v>421.1174444444444</v>
      </c>
      <c r="DI34">
        <v>23.42902222222222</v>
      </c>
      <c r="DJ34">
        <v>500.0257777777778</v>
      </c>
      <c r="DK34">
        <v>90.77046666666668</v>
      </c>
      <c r="DL34">
        <v>0.03540062222222222</v>
      </c>
      <c r="DM34">
        <v>30.1851</v>
      </c>
      <c r="DN34">
        <v>30.05374444444444</v>
      </c>
      <c r="DO34">
        <v>999.9000000000001</v>
      </c>
      <c r="DP34">
        <v>0</v>
      </c>
      <c r="DQ34">
        <v>0</v>
      </c>
      <c r="DR34">
        <v>10005.22444444444</v>
      </c>
      <c r="DS34">
        <v>0</v>
      </c>
      <c r="DT34">
        <v>0.242856</v>
      </c>
      <c r="DU34">
        <v>0.6075677777777778</v>
      </c>
      <c r="DV34">
        <v>430.6771111111111</v>
      </c>
      <c r="DW34">
        <v>430.0705555555555</v>
      </c>
      <c r="DX34">
        <v>-0.0354734111111111</v>
      </c>
      <c r="DY34">
        <v>419.8927777777778</v>
      </c>
      <c r="DZ34">
        <v>23.66555555555556</v>
      </c>
      <c r="EA34">
        <v>2.144914444444444</v>
      </c>
      <c r="EB34">
        <v>2.148135555555556</v>
      </c>
      <c r="EC34">
        <v>18.55668888888889</v>
      </c>
      <c r="ED34">
        <v>18.58053333333334</v>
      </c>
      <c r="EE34">
        <v>0.00500078</v>
      </c>
      <c r="EF34">
        <v>0</v>
      </c>
      <c r="EG34">
        <v>0</v>
      </c>
      <c r="EH34">
        <v>0</v>
      </c>
      <c r="EI34">
        <v>148.9444444444445</v>
      </c>
      <c r="EJ34">
        <v>0.00500078</v>
      </c>
      <c r="EK34">
        <v>-16.71111111111112</v>
      </c>
      <c r="EL34">
        <v>-0.9888888888888889</v>
      </c>
      <c r="EM34">
        <v>35.31211111111111</v>
      </c>
      <c r="EN34">
        <v>38.95133333333334</v>
      </c>
      <c r="EO34">
        <v>37.32622222222223</v>
      </c>
      <c r="EP34">
        <v>39.3261111111111</v>
      </c>
      <c r="EQ34">
        <v>38.00655555555555</v>
      </c>
      <c r="ER34">
        <v>0</v>
      </c>
      <c r="ES34">
        <v>0</v>
      </c>
      <c r="ET34">
        <v>0</v>
      </c>
      <c r="EU34">
        <v>1761018098.5</v>
      </c>
      <c r="EV34">
        <v>0</v>
      </c>
      <c r="EW34">
        <v>150.268</v>
      </c>
      <c r="EX34">
        <v>0.02307678056608524</v>
      </c>
      <c r="EY34">
        <v>-22.49230766634963</v>
      </c>
      <c r="EZ34">
        <v>-16.588</v>
      </c>
      <c r="FA34">
        <v>15</v>
      </c>
      <c r="FB34">
        <v>1761018049.5</v>
      </c>
      <c r="FC34" t="s">
        <v>422</v>
      </c>
      <c r="FD34">
        <v>1761018049.5</v>
      </c>
      <c r="FE34">
        <v>1761018035.5</v>
      </c>
      <c r="FF34">
        <v>23</v>
      </c>
      <c r="FG34">
        <v>1.295</v>
      </c>
      <c r="FH34">
        <v>0.011</v>
      </c>
      <c r="FI34">
        <v>-0.618</v>
      </c>
      <c r="FJ34">
        <v>0.192</v>
      </c>
      <c r="FK34">
        <v>420</v>
      </c>
      <c r="FL34">
        <v>23</v>
      </c>
      <c r="FM34">
        <v>0.42</v>
      </c>
      <c r="FN34">
        <v>0.17</v>
      </c>
      <c r="FO34">
        <v>0.6015922500000001</v>
      </c>
      <c r="FP34">
        <v>0.4473995121951209</v>
      </c>
      <c r="FQ34">
        <v>0.07450910694732223</v>
      </c>
      <c r="FR34">
        <v>1</v>
      </c>
      <c r="FS34">
        <v>150.9647058823529</v>
      </c>
      <c r="FT34">
        <v>-7.682200302924326</v>
      </c>
      <c r="FU34">
        <v>5.992734932592826</v>
      </c>
      <c r="FV34">
        <v>0</v>
      </c>
      <c r="FW34">
        <v>0.31883897</v>
      </c>
      <c r="FX34">
        <v>-2.283032044277676</v>
      </c>
      <c r="FY34">
        <v>0.2550192335365591</v>
      </c>
      <c r="FZ34">
        <v>0</v>
      </c>
      <c r="GA34">
        <v>1</v>
      </c>
      <c r="GB34">
        <v>3</v>
      </c>
      <c r="GC34" t="s">
        <v>431</v>
      </c>
      <c r="GD34">
        <v>3.10966</v>
      </c>
      <c r="GE34">
        <v>2.72725</v>
      </c>
      <c r="GF34">
        <v>0.088551</v>
      </c>
      <c r="GG34">
        <v>0.0884066</v>
      </c>
      <c r="GH34">
        <v>0.107662</v>
      </c>
      <c r="GI34">
        <v>0.109176</v>
      </c>
      <c r="GJ34">
        <v>23895.9</v>
      </c>
      <c r="GK34">
        <v>21687.7</v>
      </c>
      <c r="GL34">
        <v>26776.8</v>
      </c>
      <c r="GM34">
        <v>23999.7</v>
      </c>
      <c r="GN34">
        <v>38180.9</v>
      </c>
      <c r="GO34">
        <v>31553.8</v>
      </c>
      <c r="GP34">
        <v>46737.4</v>
      </c>
      <c r="GQ34">
        <v>37958.8</v>
      </c>
      <c r="GR34">
        <v>1.88485</v>
      </c>
      <c r="GS34">
        <v>1.87383</v>
      </c>
      <c r="GT34">
        <v>0.13902</v>
      </c>
      <c r="GU34">
        <v>0</v>
      </c>
      <c r="GV34">
        <v>27.7807</v>
      </c>
      <c r="GW34">
        <v>999.9</v>
      </c>
      <c r="GX34">
        <v>63.1</v>
      </c>
      <c r="GY34">
        <v>29.1</v>
      </c>
      <c r="GZ34">
        <v>28.12</v>
      </c>
      <c r="HA34">
        <v>61.31</v>
      </c>
      <c r="HB34">
        <v>19.7716</v>
      </c>
      <c r="HC34">
        <v>1</v>
      </c>
      <c r="HD34">
        <v>0.077373</v>
      </c>
      <c r="HE34">
        <v>-1.51825</v>
      </c>
      <c r="HF34">
        <v>20.3287</v>
      </c>
      <c r="HG34">
        <v>5.21789</v>
      </c>
      <c r="HH34">
        <v>11.9797</v>
      </c>
      <c r="HI34">
        <v>4.9647</v>
      </c>
      <c r="HJ34">
        <v>3.27518</v>
      </c>
      <c r="HK34">
        <v>9999</v>
      </c>
      <c r="HL34">
        <v>9999</v>
      </c>
      <c r="HM34">
        <v>9999</v>
      </c>
      <c r="HN34">
        <v>999.9</v>
      </c>
      <c r="HO34">
        <v>1.86361</v>
      </c>
      <c r="HP34">
        <v>1.85974</v>
      </c>
      <c r="HQ34">
        <v>1.85797</v>
      </c>
      <c r="HR34">
        <v>1.85935</v>
      </c>
      <c r="HS34">
        <v>1.85959</v>
      </c>
      <c r="HT34">
        <v>1.85806</v>
      </c>
      <c r="HU34">
        <v>1.8571</v>
      </c>
      <c r="HV34">
        <v>1.8521</v>
      </c>
      <c r="HW34">
        <v>0</v>
      </c>
      <c r="HX34">
        <v>0</v>
      </c>
      <c r="HY34">
        <v>0</v>
      </c>
      <c r="HZ34">
        <v>0</v>
      </c>
      <c r="IA34" t="s">
        <v>424</v>
      </c>
      <c r="IB34" t="s">
        <v>425</v>
      </c>
      <c r="IC34" t="s">
        <v>426</v>
      </c>
      <c r="ID34" t="s">
        <v>426</v>
      </c>
      <c r="IE34" t="s">
        <v>426</v>
      </c>
      <c r="IF34" t="s">
        <v>426</v>
      </c>
      <c r="IG34">
        <v>0</v>
      </c>
      <c r="IH34">
        <v>100</v>
      </c>
      <c r="II34">
        <v>100</v>
      </c>
      <c r="IJ34">
        <v>-0.617</v>
      </c>
      <c r="IK34">
        <v>0.2026</v>
      </c>
      <c r="IL34">
        <v>-1.405955206116699</v>
      </c>
      <c r="IM34">
        <v>0.001328113201692861</v>
      </c>
      <c r="IN34">
        <v>1.538283238170363E-06</v>
      </c>
      <c r="IO34">
        <v>-5.795655626708063E-10</v>
      </c>
      <c r="IP34">
        <v>-0.04918981781385694</v>
      </c>
      <c r="IQ34">
        <v>-0.004593102289677449</v>
      </c>
      <c r="IR34">
        <v>0.0008253994458280543</v>
      </c>
      <c r="IS34">
        <v>-7.403632370499484E-06</v>
      </c>
      <c r="IT34">
        <v>2</v>
      </c>
      <c r="IU34">
        <v>1985</v>
      </c>
      <c r="IV34">
        <v>1</v>
      </c>
      <c r="IW34">
        <v>27</v>
      </c>
      <c r="IX34">
        <v>0.8</v>
      </c>
      <c r="IY34">
        <v>1.1</v>
      </c>
      <c r="IZ34">
        <v>1.12061</v>
      </c>
      <c r="JA34">
        <v>2.54761</v>
      </c>
      <c r="JB34">
        <v>1.49658</v>
      </c>
      <c r="JC34">
        <v>2.34253</v>
      </c>
      <c r="JD34">
        <v>1.54907</v>
      </c>
      <c r="JE34">
        <v>2.44385</v>
      </c>
      <c r="JF34">
        <v>31.6736</v>
      </c>
      <c r="JG34">
        <v>14.6661</v>
      </c>
      <c r="JH34">
        <v>18</v>
      </c>
      <c r="JI34">
        <v>483.148</v>
      </c>
      <c r="JJ34">
        <v>505.678</v>
      </c>
      <c r="JK34">
        <v>31.1822</v>
      </c>
      <c r="JL34">
        <v>28.2539</v>
      </c>
      <c r="JM34">
        <v>29.9995</v>
      </c>
      <c r="JN34">
        <v>28.554</v>
      </c>
      <c r="JO34">
        <v>28.5567</v>
      </c>
      <c r="JP34">
        <v>22.5384</v>
      </c>
      <c r="JQ34">
        <v>19.5732</v>
      </c>
      <c r="JR34">
        <v>81.53149999999999</v>
      </c>
      <c r="JS34">
        <v>31.185</v>
      </c>
      <c r="JT34">
        <v>420</v>
      </c>
      <c r="JU34">
        <v>23.7133</v>
      </c>
      <c r="JV34">
        <v>102.204</v>
      </c>
      <c r="JW34">
        <v>91.553</v>
      </c>
    </row>
    <row r="35" spans="1:283">
      <c r="A35">
        <v>17</v>
      </c>
      <c r="B35">
        <v>1761018101.5</v>
      </c>
      <c r="C35">
        <v>32</v>
      </c>
      <c r="D35" t="s">
        <v>459</v>
      </c>
      <c r="E35" t="s">
        <v>460</v>
      </c>
      <c r="F35">
        <v>5</v>
      </c>
      <c r="G35" t="s">
        <v>419</v>
      </c>
      <c r="H35">
        <v>1761018098.5</v>
      </c>
      <c r="I35">
        <f>(J35)/1000</f>
        <v>0</v>
      </c>
      <c r="J35">
        <f>1000*DJ35*AH35*(DF35-DG35)/(100*CY35*(1000-AH35*DF35))</f>
        <v>0</v>
      </c>
      <c r="K35">
        <f>DJ35*AH35*(DE35-DD35*(1000-AH35*DG35)/(1000-AH35*DF35))/(100*CY35)</f>
        <v>0</v>
      </c>
      <c r="L35">
        <f>DD35 - IF(AH35&gt;1, K35*CY35*100.0/(AJ35), 0)</f>
        <v>0</v>
      </c>
      <c r="M35">
        <f>((S35-I35/2)*L35-K35)/(S35+I35/2)</f>
        <v>0</v>
      </c>
      <c r="N35">
        <f>M35*(DK35+DL35)/1000.0</f>
        <v>0</v>
      </c>
      <c r="O35">
        <f>(DD35 - IF(AH35&gt;1, K35*CY35*100.0/(AJ35), 0))*(DK35+DL35)/1000.0</f>
        <v>0</v>
      </c>
      <c r="P35">
        <f>2.0/((1/R35-1/Q35)+SIGN(R35)*SQRT((1/R35-1/Q35)*(1/R35-1/Q35) + 4*CZ35/((CZ35+1)*(CZ35+1))*(2*1/R35*1/Q35-1/Q35*1/Q35)))</f>
        <v>0</v>
      </c>
      <c r="Q35">
        <f>IF(LEFT(DA35,1)&lt;&gt;"0",IF(LEFT(DA35,1)="1",3.0,DB35),$D$5+$E$5*(DR35*DK35/($K$5*1000))+$F$5*(DR35*DK35/($K$5*1000))*MAX(MIN(CY35,$J$5),$I$5)*MAX(MIN(CY35,$J$5),$I$5)+$G$5*MAX(MIN(CY35,$J$5),$I$5)*(DR35*DK35/($K$5*1000))+$H$5*(DR35*DK35/($K$5*1000))*(DR35*DK35/($K$5*1000)))</f>
        <v>0</v>
      </c>
      <c r="R35">
        <f>I35*(1000-(1000*0.61365*exp(17.502*V35/(240.97+V35))/(DK35+DL35)+DF35)/2)/(1000*0.61365*exp(17.502*V35/(240.97+V35))/(DK35+DL35)-DF35)</f>
        <v>0</v>
      </c>
      <c r="S35">
        <f>1/((CZ35+1)/(P35/1.6)+1/(Q35/1.37)) + CZ35/((CZ35+1)/(P35/1.6) + CZ35/(Q35/1.37))</f>
        <v>0</v>
      </c>
      <c r="T35">
        <f>(CU35*CX35)</f>
        <v>0</v>
      </c>
      <c r="U35">
        <f>(DM35+(T35+2*0.95*5.67E-8*(((DM35+$B$9)+273)^4-(DM35+273)^4)-44100*I35)/(1.84*29.3*Q35+8*0.95*5.67E-8*(DM35+273)^3))</f>
        <v>0</v>
      </c>
      <c r="V35">
        <f>($C$9*DN35+$D$9*DO35+$E$9*U35)</f>
        <v>0</v>
      </c>
      <c r="W35">
        <f>0.61365*exp(17.502*V35/(240.97+V35))</f>
        <v>0</v>
      </c>
      <c r="X35">
        <f>(Y35/Z35*100)</f>
        <v>0</v>
      </c>
      <c r="Y35">
        <f>DF35*(DK35+DL35)/1000</f>
        <v>0</v>
      </c>
      <c r="Z35">
        <f>0.61365*exp(17.502*DM35/(240.97+DM35))</f>
        <v>0</v>
      </c>
      <c r="AA35">
        <f>(W35-DF35*(DK35+DL35)/1000)</f>
        <v>0</v>
      </c>
      <c r="AB35">
        <f>(-I35*44100)</f>
        <v>0</v>
      </c>
      <c r="AC35">
        <f>2*29.3*Q35*0.92*(DM35-V35)</f>
        <v>0</v>
      </c>
      <c r="AD35">
        <f>2*0.95*5.67E-8*(((DM35+$B$9)+273)^4-(V35+273)^4)</f>
        <v>0</v>
      </c>
      <c r="AE35">
        <f>T35+AD35+AB35+AC35</f>
        <v>0</v>
      </c>
      <c r="AF35">
        <v>0</v>
      </c>
      <c r="AG35">
        <v>0</v>
      </c>
      <c r="AH35">
        <f>IF(AF35*$H$15&gt;=AJ35,1.0,(AJ35/(AJ35-AF35*$H$15)))</f>
        <v>0</v>
      </c>
      <c r="AI35">
        <f>(AH35-1)*100</f>
        <v>0</v>
      </c>
      <c r="AJ35">
        <f>MAX(0,($B$15+$C$15*DR35)/(1+$D$15*DR35)*DK35/(DM35+273)*$E$15)</f>
        <v>0</v>
      </c>
      <c r="AK35" t="s">
        <v>420</v>
      </c>
      <c r="AL35" t="s">
        <v>420</v>
      </c>
      <c r="AM35">
        <v>0</v>
      </c>
      <c r="AN35">
        <v>0</v>
      </c>
      <c r="AO35">
        <f>1-AM35/AN35</f>
        <v>0</v>
      </c>
      <c r="AP35">
        <v>0</v>
      </c>
      <c r="AQ35" t="s">
        <v>420</v>
      </c>
      <c r="AR35" t="s">
        <v>420</v>
      </c>
      <c r="AS35">
        <v>0</v>
      </c>
      <c r="AT35">
        <v>0</v>
      </c>
      <c r="AU35">
        <f>1-AS35/AT35</f>
        <v>0</v>
      </c>
      <c r="AV35">
        <v>0.5</v>
      </c>
      <c r="AW35">
        <f>CV35</f>
        <v>0</v>
      </c>
      <c r="AX35">
        <f>K35</f>
        <v>0</v>
      </c>
      <c r="AY35">
        <f>AU35*AV35*AW35</f>
        <v>0</v>
      </c>
      <c r="AZ35">
        <f>(AX35-AP35)/AW35</f>
        <v>0</v>
      </c>
      <c r="BA35">
        <f>(AN35-AT35)/AT35</f>
        <v>0</v>
      </c>
      <c r="BB35">
        <f>AM35/(AO35+AM35/AT35)</f>
        <v>0</v>
      </c>
      <c r="BC35" t="s">
        <v>420</v>
      </c>
      <c r="BD35">
        <v>0</v>
      </c>
      <c r="BE35">
        <f>IF(BD35&lt;&gt;0, BD35, BB35)</f>
        <v>0</v>
      </c>
      <c r="BF35">
        <f>1-BE35/AT35</f>
        <v>0</v>
      </c>
      <c r="BG35">
        <f>(AT35-AS35)/(AT35-BE35)</f>
        <v>0</v>
      </c>
      <c r="BH35">
        <f>(AN35-AT35)/(AN35-BE35)</f>
        <v>0</v>
      </c>
      <c r="BI35">
        <f>(AT35-AS35)/(AT35-AM35)</f>
        <v>0</v>
      </c>
      <c r="BJ35">
        <f>(AN35-AT35)/(AN35-AM35)</f>
        <v>0</v>
      </c>
      <c r="BK35">
        <f>(BG35*BE35/AS35)</f>
        <v>0</v>
      </c>
      <c r="BL35">
        <f>(1-BK35)</f>
        <v>0</v>
      </c>
      <c r="CU35">
        <f>$B$13*DS35+$C$13*DT35+$F$13*EE35*(1-EH35)</f>
        <v>0</v>
      </c>
      <c r="CV35">
        <f>CU35*CW35</f>
        <v>0</v>
      </c>
      <c r="CW35">
        <f>($B$13*$D$11+$C$13*$D$11+$F$13*((ER35+EJ35)/MAX(ER35+EJ35+ES35, 0.1)*$I$11+ES35/MAX(ER35+EJ35+ES35, 0.1)*$J$11))/($B$13+$C$13+$F$13)</f>
        <v>0</v>
      </c>
      <c r="CX35">
        <f>($B$13*$K$11+$C$13*$K$11+$F$13*((ER35+EJ35)/MAX(ER35+EJ35+ES35, 0.1)*$P$11+ES35/MAX(ER35+EJ35+ES35, 0.1)*$Q$11))/($B$13+$C$13+$F$13)</f>
        <v>0</v>
      </c>
      <c r="CY35">
        <v>2.7</v>
      </c>
      <c r="CZ35">
        <v>0.5</v>
      </c>
      <c r="DA35" t="s">
        <v>421</v>
      </c>
      <c r="DB35">
        <v>2</v>
      </c>
      <c r="DC35">
        <v>1761018098.5</v>
      </c>
      <c r="DD35">
        <v>420.4943333333333</v>
      </c>
      <c r="DE35">
        <v>419.9061111111112</v>
      </c>
      <c r="DF35">
        <v>23.67537777777778</v>
      </c>
      <c r="DG35">
        <v>23.77931111111111</v>
      </c>
      <c r="DH35">
        <v>421.1114444444444</v>
      </c>
      <c r="DI35">
        <v>23.47333333333333</v>
      </c>
      <c r="DJ35">
        <v>500.0450000000001</v>
      </c>
      <c r="DK35">
        <v>90.76928888888889</v>
      </c>
      <c r="DL35">
        <v>0.03548268888888888</v>
      </c>
      <c r="DM35">
        <v>30.17774444444444</v>
      </c>
      <c r="DN35">
        <v>30.04993333333333</v>
      </c>
      <c r="DO35">
        <v>999.9000000000001</v>
      </c>
      <c r="DP35">
        <v>0</v>
      </c>
      <c r="DQ35">
        <v>0</v>
      </c>
      <c r="DR35">
        <v>10006.26666666667</v>
      </c>
      <c r="DS35">
        <v>0</v>
      </c>
      <c r="DT35">
        <v>0.242856</v>
      </c>
      <c r="DU35">
        <v>0.5882737777777778</v>
      </c>
      <c r="DV35">
        <v>430.691</v>
      </c>
      <c r="DW35">
        <v>430.1342222222222</v>
      </c>
      <c r="DX35">
        <v>-0.1039415</v>
      </c>
      <c r="DY35">
        <v>419.9061111111112</v>
      </c>
      <c r="DZ35">
        <v>23.77931111111111</v>
      </c>
      <c r="EA35">
        <v>2.148996666666667</v>
      </c>
      <c r="EB35">
        <v>2.158432222222222</v>
      </c>
      <c r="EC35">
        <v>18.58705555555555</v>
      </c>
      <c r="ED35">
        <v>18.65697777777778</v>
      </c>
      <c r="EE35">
        <v>0.00500078</v>
      </c>
      <c r="EF35">
        <v>0</v>
      </c>
      <c r="EG35">
        <v>0</v>
      </c>
      <c r="EH35">
        <v>0</v>
      </c>
      <c r="EI35">
        <v>152.1888888888889</v>
      </c>
      <c r="EJ35">
        <v>0.00500078</v>
      </c>
      <c r="EK35">
        <v>-18.41111111111111</v>
      </c>
      <c r="EL35">
        <v>-1.088888888888889</v>
      </c>
      <c r="EM35">
        <v>35.25655555555555</v>
      </c>
      <c r="EN35">
        <v>38.88866666666667</v>
      </c>
      <c r="EO35">
        <v>37.25666666666667</v>
      </c>
      <c r="EP35">
        <v>39.18722222222222</v>
      </c>
      <c r="EQ35">
        <v>37.89555555555555</v>
      </c>
      <c r="ER35">
        <v>0</v>
      </c>
      <c r="ES35">
        <v>0</v>
      </c>
      <c r="ET35">
        <v>0</v>
      </c>
      <c r="EU35">
        <v>1761018100.3</v>
      </c>
      <c r="EV35">
        <v>0</v>
      </c>
      <c r="EW35">
        <v>150.2884615384615</v>
      </c>
      <c r="EX35">
        <v>13.50085473489075</v>
      </c>
      <c r="EY35">
        <v>-18.04786329330243</v>
      </c>
      <c r="EZ35">
        <v>-17.05</v>
      </c>
      <c r="FA35">
        <v>15</v>
      </c>
      <c r="FB35">
        <v>1761018049.5</v>
      </c>
      <c r="FC35" t="s">
        <v>422</v>
      </c>
      <c r="FD35">
        <v>1761018049.5</v>
      </c>
      <c r="FE35">
        <v>1761018035.5</v>
      </c>
      <c r="FF35">
        <v>23</v>
      </c>
      <c r="FG35">
        <v>1.295</v>
      </c>
      <c r="FH35">
        <v>0.011</v>
      </c>
      <c r="FI35">
        <v>-0.618</v>
      </c>
      <c r="FJ35">
        <v>0.192</v>
      </c>
      <c r="FK35">
        <v>420</v>
      </c>
      <c r="FL35">
        <v>23</v>
      </c>
      <c r="FM35">
        <v>0.42</v>
      </c>
      <c r="FN35">
        <v>0.17</v>
      </c>
      <c r="FO35">
        <v>0.6086187317073171</v>
      </c>
      <c r="FP35">
        <v>0.2800350731707322</v>
      </c>
      <c r="FQ35">
        <v>0.06562260249075563</v>
      </c>
      <c r="FR35">
        <v>1</v>
      </c>
      <c r="FS35">
        <v>150.8294117647059</v>
      </c>
      <c r="FT35">
        <v>3.416348199832533</v>
      </c>
      <c r="FU35">
        <v>5.88175291057335</v>
      </c>
      <c r="FV35">
        <v>0</v>
      </c>
      <c r="FW35">
        <v>0.2835767268292683</v>
      </c>
      <c r="FX35">
        <v>-2.635676995818814</v>
      </c>
      <c r="FY35">
        <v>0.2784071773972799</v>
      </c>
      <c r="FZ35">
        <v>0</v>
      </c>
      <c r="GA35">
        <v>1</v>
      </c>
      <c r="GB35">
        <v>3</v>
      </c>
      <c r="GC35" t="s">
        <v>431</v>
      </c>
      <c r="GD35">
        <v>3.10951</v>
      </c>
      <c r="GE35">
        <v>2.7273</v>
      </c>
      <c r="GF35">
        <v>0.0885528</v>
      </c>
      <c r="GG35">
        <v>0.08841350000000001</v>
      </c>
      <c r="GH35">
        <v>0.10787</v>
      </c>
      <c r="GI35">
        <v>0.109397</v>
      </c>
      <c r="GJ35">
        <v>23896</v>
      </c>
      <c r="GK35">
        <v>21687.3</v>
      </c>
      <c r="GL35">
        <v>26776.9</v>
      </c>
      <c r="GM35">
        <v>23999.5</v>
      </c>
      <c r="GN35">
        <v>38172</v>
      </c>
      <c r="GO35">
        <v>31545.6</v>
      </c>
      <c r="GP35">
        <v>46737.6</v>
      </c>
      <c r="GQ35">
        <v>37958.4</v>
      </c>
      <c r="GR35">
        <v>1.88468</v>
      </c>
      <c r="GS35">
        <v>1.8738</v>
      </c>
      <c r="GT35">
        <v>0.139028</v>
      </c>
      <c r="GU35">
        <v>0</v>
      </c>
      <c r="GV35">
        <v>27.7855</v>
      </c>
      <c r="GW35">
        <v>999.9</v>
      </c>
      <c r="GX35">
        <v>63.1</v>
      </c>
      <c r="GY35">
        <v>29.1</v>
      </c>
      <c r="GZ35">
        <v>28.1213</v>
      </c>
      <c r="HA35">
        <v>61.47</v>
      </c>
      <c r="HB35">
        <v>19.98</v>
      </c>
      <c r="HC35">
        <v>1</v>
      </c>
      <c r="HD35">
        <v>0.0771367</v>
      </c>
      <c r="HE35">
        <v>-1.5459</v>
      </c>
      <c r="HF35">
        <v>20.3287</v>
      </c>
      <c r="HG35">
        <v>5.21999</v>
      </c>
      <c r="HH35">
        <v>11.9798</v>
      </c>
      <c r="HI35">
        <v>4.965</v>
      </c>
      <c r="HJ35">
        <v>3.27545</v>
      </c>
      <c r="HK35">
        <v>9999</v>
      </c>
      <c r="HL35">
        <v>9999</v>
      </c>
      <c r="HM35">
        <v>9999</v>
      </c>
      <c r="HN35">
        <v>999.9</v>
      </c>
      <c r="HO35">
        <v>1.8636</v>
      </c>
      <c r="HP35">
        <v>1.85974</v>
      </c>
      <c r="HQ35">
        <v>1.85797</v>
      </c>
      <c r="HR35">
        <v>1.85934</v>
      </c>
      <c r="HS35">
        <v>1.85959</v>
      </c>
      <c r="HT35">
        <v>1.85805</v>
      </c>
      <c r="HU35">
        <v>1.85711</v>
      </c>
      <c r="HV35">
        <v>1.8521</v>
      </c>
      <c r="HW35">
        <v>0</v>
      </c>
      <c r="HX35">
        <v>0</v>
      </c>
      <c r="HY35">
        <v>0</v>
      </c>
      <c r="HZ35">
        <v>0</v>
      </c>
      <c r="IA35" t="s">
        <v>424</v>
      </c>
      <c r="IB35" t="s">
        <v>425</v>
      </c>
      <c r="IC35" t="s">
        <v>426</v>
      </c>
      <c r="ID35" t="s">
        <v>426</v>
      </c>
      <c r="IE35" t="s">
        <v>426</v>
      </c>
      <c r="IF35" t="s">
        <v>426</v>
      </c>
      <c r="IG35">
        <v>0</v>
      </c>
      <c r="IH35">
        <v>100</v>
      </c>
      <c r="II35">
        <v>100</v>
      </c>
      <c r="IJ35">
        <v>-0.617</v>
      </c>
      <c r="IK35">
        <v>0.204</v>
      </c>
      <c r="IL35">
        <v>-1.405955206116699</v>
      </c>
      <c r="IM35">
        <v>0.001328113201692861</v>
      </c>
      <c r="IN35">
        <v>1.538283238170363E-06</v>
      </c>
      <c r="IO35">
        <v>-5.795655626708063E-10</v>
      </c>
      <c r="IP35">
        <v>-0.04918981781385694</v>
      </c>
      <c r="IQ35">
        <v>-0.004593102289677449</v>
      </c>
      <c r="IR35">
        <v>0.0008253994458280543</v>
      </c>
      <c r="IS35">
        <v>-7.403632370499484E-06</v>
      </c>
      <c r="IT35">
        <v>2</v>
      </c>
      <c r="IU35">
        <v>1985</v>
      </c>
      <c r="IV35">
        <v>1</v>
      </c>
      <c r="IW35">
        <v>27</v>
      </c>
      <c r="IX35">
        <v>0.9</v>
      </c>
      <c r="IY35">
        <v>1.1</v>
      </c>
      <c r="IZ35">
        <v>1.12183</v>
      </c>
      <c r="JA35">
        <v>2.55737</v>
      </c>
      <c r="JB35">
        <v>1.49658</v>
      </c>
      <c r="JC35">
        <v>2.34131</v>
      </c>
      <c r="JD35">
        <v>1.54907</v>
      </c>
      <c r="JE35">
        <v>2.45972</v>
      </c>
      <c r="JF35">
        <v>31.6736</v>
      </c>
      <c r="JG35">
        <v>14.6661</v>
      </c>
      <c r="JH35">
        <v>18</v>
      </c>
      <c r="JI35">
        <v>483.027</v>
      </c>
      <c r="JJ35">
        <v>505.64</v>
      </c>
      <c r="JK35">
        <v>31.1605</v>
      </c>
      <c r="JL35">
        <v>28.2511</v>
      </c>
      <c r="JM35">
        <v>29.9995</v>
      </c>
      <c r="JN35">
        <v>28.5515</v>
      </c>
      <c r="JO35">
        <v>28.5543</v>
      </c>
      <c r="JP35">
        <v>22.5398</v>
      </c>
      <c r="JQ35">
        <v>20.1504</v>
      </c>
      <c r="JR35">
        <v>81.53149999999999</v>
      </c>
      <c r="JS35">
        <v>31.1346</v>
      </c>
      <c r="JT35">
        <v>420</v>
      </c>
      <c r="JU35">
        <v>23.6743</v>
      </c>
      <c r="JV35">
        <v>102.205</v>
      </c>
      <c r="JW35">
        <v>91.5521</v>
      </c>
    </row>
    <row r="36" spans="1:283">
      <c r="A36">
        <v>18</v>
      </c>
      <c r="B36">
        <v>1761018103.5</v>
      </c>
      <c r="C36">
        <v>34</v>
      </c>
      <c r="D36" t="s">
        <v>461</v>
      </c>
      <c r="E36" t="s">
        <v>462</v>
      </c>
      <c r="F36">
        <v>5</v>
      </c>
      <c r="G36" t="s">
        <v>419</v>
      </c>
      <c r="H36">
        <v>1761018100.5</v>
      </c>
      <c r="I36">
        <f>(J36)/1000</f>
        <v>0</v>
      </c>
      <c r="J36">
        <f>1000*DJ36*AH36*(DF36-DG36)/(100*CY36*(1000-AH36*DF36))</f>
        <v>0</v>
      </c>
      <c r="K36">
        <f>DJ36*AH36*(DE36-DD36*(1000-AH36*DG36)/(1000-AH36*DF36))/(100*CY36)</f>
        <v>0</v>
      </c>
      <c r="L36">
        <f>DD36 - IF(AH36&gt;1, K36*CY36*100.0/(AJ36), 0)</f>
        <v>0</v>
      </c>
      <c r="M36">
        <f>((S36-I36/2)*L36-K36)/(S36+I36/2)</f>
        <v>0</v>
      </c>
      <c r="N36">
        <f>M36*(DK36+DL36)/1000.0</f>
        <v>0</v>
      </c>
      <c r="O36">
        <f>(DD36 - IF(AH36&gt;1, K36*CY36*100.0/(AJ36), 0))*(DK36+DL36)/1000.0</f>
        <v>0</v>
      </c>
      <c r="P36">
        <f>2.0/((1/R36-1/Q36)+SIGN(R36)*SQRT((1/R36-1/Q36)*(1/R36-1/Q36) + 4*CZ36/((CZ36+1)*(CZ36+1))*(2*1/R36*1/Q36-1/Q36*1/Q36)))</f>
        <v>0</v>
      </c>
      <c r="Q36">
        <f>IF(LEFT(DA36,1)&lt;&gt;"0",IF(LEFT(DA36,1)="1",3.0,DB36),$D$5+$E$5*(DR36*DK36/($K$5*1000))+$F$5*(DR36*DK36/($K$5*1000))*MAX(MIN(CY36,$J$5),$I$5)*MAX(MIN(CY36,$J$5),$I$5)+$G$5*MAX(MIN(CY36,$J$5),$I$5)*(DR36*DK36/($K$5*1000))+$H$5*(DR36*DK36/($K$5*1000))*(DR36*DK36/($K$5*1000)))</f>
        <v>0</v>
      </c>
      <c r="R36">
        <f>I36*(1000-(1000*0.61365*exp(17.502*V36/(240.97+V36))/(DK36+DL36)+DF36)/2)/(1000*0.61365*exp(17.502*V36/(240.97+V36))/(DK36+DL36)-DF36)</f>
        <v>0</v>
      </c>
      <c r="S36">
        <f>1/((CZ36+1)/(P36/1.6)+1/(Q36/1.37)) + CZ36/((CZ36+1)/(P36/1.6) + CZ36/(Q36/1.37))</f>
        <v>0</v>
      </c>
      <c r="T36">
        <f>(CU36*CX36)</f>
        <v>0</v>
      </c>
      <c r="U36">
        <f>(DM36+(T36+2*0.95*5.67E-8*(((DM36+$B$9)+273)^4-(DM36+273)^4)-44100*I36)/(1.84*29.3*Q36+8*0.95*5.67E-8*(DM36+273)^3))</f>
        <v>0</v>
      </c>
      <c r="V36">
        <f>($C$9*DN36+$D$9*DO36+$E$9*U36)</f>
        <v>0</v>
      </c>
      <c r="W36">
        <f>0.61365*exp(17.502*V36/(240.97+V36))</f>
        <v>0</v>
      </c>
      <c r="X36">
        <f>(Y36/Z36*100)</f>
        <v>0</v>
      </c>
      <c r="Y36">
        <f>DF36*(DK36+DL36)/1000</f>
        <v>0</v>
      </c>
      <c r="Z36">
        <f>0.61365*exp(17.502*DM36/(240.97+DM36))</f>
        <v>0</v>
      </c>
      <c r="AA36">
        <f>(W36-DF36*(DK36+DL36)/1000)</f>
        <v>0</v>
      </c>
      <c r="AB36">
        <f>(-I36*44100)</f>
        <v>0</v>
      </c>
      <c r="AC36">
        <f>2*29.3*Q36*0.92*(DM36-V36)</f>
        <v>0</v>
      </c>
      <c r="AD36">
        <f>2*0.95*5.67E-8*(((DM36+$B$9)+273)^4-(V36+273)^4)</f>
        <v>0</v>
      </c>
      <c r="AE36">
        <f>T36+AD36+AB36+AC36</f>
        <v>0</v>
      </c>
      <c r="AF36">
        <v>0</v>
      </c>
      <c r="AG36">
        <v>0</v>
      </c>
      <c r="AH36">
        <f>IF(AF36*$H$15&gt;=AJ36,1.0,(AJ36/(AJ36-AF36*$H$15)))</f>
        <v>0</v>
      </c>
      <c r="AI36">
        <f>(AH36-1)*100</f>
        <v>0</v>
      </c>
      <c r="AJ36">
        <f>MAX(0,($B$15+$C$15*DR36)/(1+$D$15*DR36)*DK36/(DM36+273)*$E$15)</f>
        <v>0</v>
      </c>
      <c r="AK36" t="s">
        <v>420</v>
      </c>
      <c r="AL36" t="s">
        <v>420</v>
      </c>
      <c r="AM36">
        <v>0</v>
      </c>
      <c r="AN36">
        <v>0</v>
      </c>
      <c r="AO36">
        <f>1-AM36/AN36</f>
        <v>0</v>
      </c>
      <c r="AP36">
        <v>0</v>
      </c>
      <c r="AQ36" t="s">
        <v>420</v>
      </c>
      <c r="AR36" t="s">
        <v>420</v>
      </c>
      <c r="AS36">
        <v>0</v>
      </c>
      <c r="AT36">
        <v>0</v>
      </c>
      <c r="AU36">
        <f>1-AS36/AT36</f>
        <v>0</v>
      </c>
      <c r="AV36">
        <v>0.5</v>
      </c>
      <c r="AW36">
        <f>CV36</f>
        <v>0</v>
      </c>
      <c r="AX36">
        <f>K36</f>
        <v>0</v>
      </c>
      <c r="AY36">
        <f>AU36*AV36*AW36</f>
        <v>0</v>
      </c>
      <c r="AZ36">
        <f>(AX36-AP36)/AW36</f>
        <v>0</v>
      </c>
      <c r="BA36">
        <f>(AN36-AT36)/AT36</f>
        <v>0</v>
      </c>
      <c r="BB36">
        <f>AM36/(AO36+AM36/AT36)</f>
        <v>0</v>
      </c>
      <c r="BC36" t="s">
        <v>420</v>
      </c>
      <c r="BD36">
        <v>0</v>
      </c>
      <c r="BE36">
        <f>IF(BD36&lt;&gt;0, BD36, BB36)</f>
        <v>0</v>
      </c>
      <c r="BF36">
        <f>1-BE36/AT36</f>
        <v>0</v>
      </c>
      <c r="BG36">
        <f>(AT36-AS36)/(AT36-BE36)</f>
        <v>0</v>
      </c>
      <c r="BH36">
        <f>(AN36-AT36)/(AN36-BE36)</f>
        <v>0</v>
      </c>
      <c r="BI36">
        <f>(AT36-AS36)/(AT36-AM36)</f>
        <v>0</v>
      </c>
      <c r="BJ36">
        <f>(AN36-AT36)/(AN36-AM36)</f>
        <v>0</v>
      </c>
      <c r="BK36">
        <f>(BG36*BE36/AS36)</f>
        <v>0</v>
      </c>
      <c r="BL36">
        <f>(1-BK36)</f>
        <v>0</v>
      </c>
      <c r="CU36">
        <f>$B$13*DS36+$C$13*DT36+$F$13*EE36*(1-EH36)</f>
        <v>0</v>
      </c>
      <c r="CV36">
        <f>CU36*CW36</f>
        <v>0</v>
      </c>
      <c r="CW36">
        <f>($B$13*$D$11+$C$13*$D$11+$F$13*((ER36+EJ36)/MAX(ER36+EJ36+ES36, 0.1)*$I$11+ES36/MAX(ER36+EJ36+ES36, 0.1)*$J$11))/($B$13+$C$13+$F$13)</f>
        <v>0</v>
      </c>
      <c r="CX36">
        <f>($B$13*$K$11+$C$13*$K$11+$F$13*((ER36+EJ36)/MAX(ER36+EJ36+ES36, 0.1)*$P$11+ES36/MAX(ER36+EJ36+ES36, 0.1)*$Q$11))/($B$13+$C$13+$F$13)</f>
        <v>0</v>
      </c>
      <c r="CY36">
        <v>2.7</v>
      </c>
      <c r="CZ36">
        <v>0.5</v>
      </c>
      <c r="DA36" t="s">
        <v>421</v>
      </c>
      <c r="DB36">
        <v>2</v>
      </c>
      <c r="DC36">
        <v>1761018100.5</v>
      </c>
      <c r="DD36">
        <v>420.4887777777778</v>
      </c>
      <c r="DE36">
        <v>419.9021111111111</v>
      </c>
      <c r="DF36">
        <v>23.73393333333333</v>
      </c>
      <c r="DG36">
        <v>23.86386666666667</v>
      </c>
      <c r="DH36">
        <v>421.1057777777778</v>
      </c>
      <c r="DI36">
        <v>23.53063333333334</v>
      </c>
      <c r="DJ36">
        <v>500.0424444444444</v>
      </c>
      <c r="DK36">
        <v>90.7696111111111</v>
      </c>
      <c r="DL36">
        <v>0.03548935555555555</v>
      </c>
      <c r="DM36">
        <v>30.17172222222222</v>
      </c>
      <c r="DN36">
        <v>30.04975555555556</v>
      </c>
      <c r="DO36">
        <v>999.9000000000001</v>
      </c>
      <c r="DP36">
        <v>0</v>
      </c>
      <c r="DQ36">
        <v>0</v>
      </c>
      <c r="DR36">
        <v>10004.59777777778</v>
      </c>
      <c r="DS36">
        <v>0</v>
      </c>
      <c r="DT36">
        <v>0.242856</v>
      </c>
      <c r="DU36">
        <v>0.5864561111111112</v>
      </c>
      <c r="DV36">
        <v>430.7108888888889</v>
      </c>
      <c r="DW36">
        <v>430.1674444444445</v>
      </c>
      <c r="DX36">
        <v>-0.1299317777777778</v>
      </c>
      <c r="DY36">
        <v>419.9021111111111</v>
      </c>
      <c r="DZ36">
        <v>23.86386666666667</v>
      </c>
      <c r="EA36">
        <v>2.15432</v>
      </c>
      <c r="EB36">
        <v>2.166114444444444</v>
      </c>
      <c r="EC36">
        <v>18.62657777777778</v>
      </c>
      <c r="ED36">
        <v>18.71381111111111</v>
      </c>
      <c r="EE36">
        <v>0.00500078</v>
      </c>
      <c r="EF36">
        <v>0</v>
      </c>
      <c r="EG36">
        <v>0</v>
      </c>
      <c r="EH36">
        <v>0</v>
      </c>
      <c r="EI36">
        <v>150.6333333333333</v>
      </c>
      <c r="EJ36">
        <v>0.00500078</v>
      </c>
      <c r="EK36">
        <v>-16.51111111111111</v>
      </c>
      <c r="EL36">
        <v>-0.8333333333333333</v>
      </c>
      <c r="EM36">
        <v>35.22888888888888</v>
      </c>
      <c r="EN36">
        <v>38.833</v>
      </c>
      <c r="EO36">
        <v>37.31922222222223</v>
      </c>
      <c r="EP36">
        <v>39.12488888888889</v>
      </c>
      <c r="EQ36">
        <v>37.87466666666666</v>
      </c>
      <c r="ER36">
        <v>0</v>
      </c>
      <c r="ES36">
        <v>0</v>
      </c>
      <c r="ET36">
        <v>0</v>
      </c>
      <c r="EU36">
        <v>1761018102.7</v>
      </c>
      <c r="EV36">
        <v>0</v>
      </c>
      <c r="EW36">
        <v>150.4769230769231</v>
      </c>
      <c r="EX36">
        <v>5.100854695411356</v>
      </c>
      <c r="EY36">
        <v>-13.02564101658428</v>
      </c>
      <c r="EZ36">
        <v>-17.02307692307692</v>
      </c>
      <c r="FA36">
        <v>15</v>
      </c>
      <c r="FB36">
        <v>1761018049.5</v>
      </c>
      <c r="FC36" t="s">
        <v>422</v>
      </c>
      <c r="FD36">
        <v>1761018049.5</v>
      </c>
      <c r="FE36">
        <v>1761018035.5</v>
      </c>
      <c r="FF36">
        <v>23</v>
      </c>
      <c r="FG36">
        <v>1.295</v>
      </c>
      <c r="FH36">
        <v>0.011</v>
      </c>
      <c r="FI36">
        <v>-0.618</v>
      </c>
      <c r="FJ36">
        <v>0.192</v>
      </c>
      <c r="FK36">
        <v>420</v>
      </c>
      <c r="FL36">
        <v>23</v>
      </c>
      <c r="FM36">
        <v>0.42</v>
      </c>
      <c r="FN36">
        <v>0.17</v>
      </c>
      <c r="FO36">
        <v>0.6186896749999999</v>
      </c>
      <c r="FP36">
        <v>-0.05924549718574135</v>
      </c>
      <c r="FQ36">
        <v>0.05479831240302364</v>
      </c>
      <c r="FR36">
        <v>1</v>
      </c>
      <c r="FS36">
        <v>150.7</v>
      </c>
      <c r="FT36">
        <v>1.56149722626131</v>
      </c>
      <c r="FU36">
        <v>6.190029934356965</v>
      </c>
      <c r="FV36">
        <v>0</v>
      </c>
      <c r="FW36">
        <v>0.19723097</v>
      </c>
      <c r="FX36">
        <v>-2.963983940712948</v>
      </c>
      <c r="FY36">
        <v>0.2923459354047771</v>
      </c>
      <c r="FZ36">
        <v>0</v>
      </c>
      <c r="GA36">
        <v>1</v>
      </c>
      <c r="GB36">
        <v>3</v>
      </c>
      <c r="GC36" t="s">
        <v>431</v>
      </c>
      <c r="GD36">
        <v>3.10983</v>
      </c>
      <c r="GE36">
        <v>2.72708</v>
      </c>
      <c r="GF36">
        <v>0.08855780000000001</v>
      </c>
      <c r="GG36">
        <v>0.0884057</v>
      </c>
      <c r="GH36">
        <v>0.108071</v>
      </c>
      <c r="GI36">
        <v>0.109519</v>
      </c>
      <c r="GJ36">
        <v>23896</v>
      </c>
      <c r="GK36">
        <v>21687.3</v>
      </c>
      <c r="GL36">
        <v>26777.1</v>
      </c>
      <c r="GM36">
        <v>23999.2</v>
      </c>
      <c r="GN36">
        <v>38163.5</v>
      </c>
      <c r="GO36">
        <v>31540.9</v>
      </c>
      <c r="GP36">
        <v>46737.8</v>
      </c>
      <c r="GQ36">
        <v>37958</v>
      </c>
      <c r="GR36">
        <v>1.88505</v>
      </c>
      <c r="GS36">
        <v>1.87345</v>
      </c>
      <c r="GT36">
        <v>0.138827</v>
      </c>
      <c r="GU36">
        <v>0</v>
      </c>
      <c r="GV36">
        <v>27.7902</v>
      </c>
      <c r="GW36">
        <v>999.9</v>
      </c>
      <c r="GX36">
        <v>63.2</v>
      </c>
      <c r="GY36">
        <v>29.1</v>
      </c>
      <c r="GZ36">
        <v>28.1651</v>
      </c>
      <c r="HA36">
        <v>61.57</v>
      </c>
      <c r="HB36">
        <v>19.7316</v>
      </c>
      <c r="HC36">
        <v>1</v>
      </c>
      <c r="HD36">
        <v>0.0769029</v>
      </c>
      <c r="HE36">
        <v>-1.52345</v>
      </c>
      <c r="HF36">
        <v>20.3291</v>
      </c>
      <c r="HG36">
        <v>5.22193</v>
      </c>
      <c r="HH36">
        <v>11.9798</v>
      </c>
      <c r="HI36">
        <v>4.9654</v>
      </c>
      <c r="HJ36">
        <v>3.2758</v>
      </c>
      <c r="HK36">
        <v>9999</v>
      </c>
      <c r="HL36">
        <v>9999</v>
      </c>
      <c r="HM36">
        <v>9999</v>
      </c>
      <c r="HN36">
        <v>999.9</v>
      </c>
      <c r="HO36">
        <v>1.86361</v>
      </c>
      <c r="HP36">
        <v>1.85974</v>
      </c>
      <c r="HQ36">
        <v>1.85796</v>
      </c>
      <c r="HR36">
        <v>1.85934</v>
      </c>
      <c r="HS36">
        <v>1.85959</v>
      </c>
      <c r="HT36">
        <v>1.85804</v>
      </c>
      <c r="HU36">
        <v>1.85711</v>
      </c>
      <c r="HV36">
        <v>1.85207</v>
      </c>
      <c r="HW36">
        <v>0</v>
      </c>
      <c r="HX36">
        <v>0</v>
      </c>
      <c r="HY36">
        <v>0</v>
      </c>
      <c r="HZ36">
        <v>0</v>
      </c>
      <c r="IA36" t="s">
        <v>424</v>
      </c>
      <c r="IB36" t="s">
        <v>425</v>
      </c>
      <c r="IC36" t="s">
        <v>426</v>
      </c>
      <c r="ID36" t="s">
        <v>426</v>
      </c>
      <c r="IE36" t="s">
        <v>426</v>
      </c>
      <c r="IF36" t="s">
        <v>426</v>
      </c>
      <c r="IG36">
        <v>0</v>
      </c>
      <c r="IH36">
        <v>100</v>
      </c>
      <c r="II36">
        <v>100</v>
      </c>
      <c r="IJ36">
        <v>-0.617</v>
      </c>
      <c r="IK36">
        <v>0.2053</v>
      </c>
      <c r="IL36">
        <v>-1.405955206116699</v>
      </c>
      <c r="IM36">
        <v>0.001328113201692861</v>
      </c>
      <c r="IN36">
        <v>1.538283238170363E-06</v>
      </c>
      <c r="IO36">
        <v>-5.795655626708063E-10</v>
      </c>
      <c r="IP36">
        <v>-0.04918981781385694</v>
      </c>
      <c r="IQ36">
        <v>-0.004593102289677449</v>
      </c>
      <c r="IR36">
        <v>0.0008253994458280543</v>
      </c>
      <c r="IS36">
        <v>-7.403632370499484E-06</v>
      </c>
      <c r="IT36">
        <v>2</v>
      </c>
      <c r="IU36">
        <v>1985</v>
      </c>
      <c r="IV36">
        <v>1</v>
      </c>
      <c r="IW36">
        <v>27</v>
      </c>
      <c r="IX36">
        <v>0.9</v>
      </c>
      <c r="IY36">
        <v>1.1</v>
      </c>
      <c r="IZ36">
        <v>1.12183</v>
      </c>
      <c r="JA36">
        <v>2.55981</v>
      </c>
      <c r="JB36">
        <v>1.49658</v>
      </c>
      <c r="JC36">
        <v>2.34131</v>
      </c>
      <c r="JD36">
        <v>1.54907</v>
      </c>
      <c r="JE36">
        <v>2.34009</v>
      </c>
      <c r="JF36">
        <v>31.6736</v>
      </c>
      <c r="JG36">
        <v>14.6486</v>
      </c>
      <c r="JH36">
        <v>18</v>
      </c>
      <c r="JI36">
        <v>483.227</v>
      </c>
      <c r="JJ36">
        <v>505.384</v>
      </c>
      <c r="JK36">
        <v>31.1413</v>
      </c>
      <c r="JL36">
        <v>28.2487</v>
      </c>
      <c r="JM36">
        <v>29.9995</v>
      </c>
      <c r="JN36">
        <v>28.5491</v>
      </c>
      <c r="JO36">
        <v>28.5519</v>
      </c>
      <c r="JP36">
        <v>22.5449</v>
      </c>
      <c r="JQ36">
        <v>20.492</v>
      </c>
      <c r="JR36">
        <v>81.53149999999999</v>
      </c>
      <c r="JS36">
        <v>31.1346</v>
      </c>
      <c r="JT36">
        <v>420</v>
      </c>
      <c r="JU36">
        <v>23.6245</v>
      </c>
      <c r="JV36">
        <v>102.205</v>
      </c>
      <c r="JW36">
        <v>91.55110000000001</v>
      </c>
    </row>
    <row r="37" spans="1:283">
      <c r="A37">
        <v>19</v>
      </c>
      <c r="B37">
        <v>1761018105.5</v>
      </c>
      <c r="C37">
        <v>36</v>
      </c>
      <c r="D37" t="s">
        <v>463</v>
      </c>
      <c r="E37" t="s">
        <v>464</v>
      </c>
      <c r="F37">
        <v>5</v>
      </c>
      <c r="G37" t="s">
        <v>419</v>
      </c>
      <c r="H37">
        <v>1761018102.5</v>
      </c>
      <c r="I37">
        <f>(J37)/1000</f>
        <v>0</v>
      </c>
      <c r="J37">
        <f>1000*DJ37*AH37*(DF37-DG37)/(100*CY37*(1000-AH37*DF37))</f>
        <v>0</v>
      </c>
      <c r="K37">
        <f>DJ37*AH37*(DE37-DD37*(1000-AH37*DG37)/(1000-AH37*DF37))/(100*CY37)</f>
        <v>0</v>
      </c>
      <c r="L37">
        <f>DD37 - IF(AH37&gt;1, K37*CY37*100.0/(AJ37), 0)</f>
        <v>0</v>
      </c>
      <c r="M37">
        <f>((S37-I37/2)*L37-K37)/(S37+I37/2)</f>
        <v>0</v>
      </c>
      <c r="N37">
        <f>M37*(DK37+DL37)/1000.0</f>
        <v>0</v>
      </c>
      <c r="O37">
        <f>(DD37 - IF(AH37&gt;1, K37*CY37*100.0/(AJ37), 0))*(DK37+DL37)/1000.0</f>
        <v>0</v>
      </c>
      <c r="P37">
        <f>2.0/((1/R37-1/Q37)+SIGN(R37)*SQRT((1/R37-1/Q37)*(1/R37-1/Q37) + 4*CZ37/((CZ37+1)*(CZ37+1))*(2*1/R37*1/Q37-1/Q37*1/Q37)))</f>
        <v>0</v>
      </c>
      <c r="Q37">
        <f>IF(LEFT(DA37,1)&lt;&gt;"0",IF(LEFT(DA37,1)="1",3.0,DB37),$D$5+$E$5*(DR37*DK37/($K$5*1000))+$F$5*(DR37*DK37/($K$5*1000))*MAX(MIN(CY37,$J$5),$I$5)*MAX(MIN(CY37,$J$5),$I$5)+$G$5*MAX(MIN(CY37,$J$5),$I$5)*(DR37*DK37/($K$5*1000))+$H$5*(DR37*DK37/($K$5*1000))*(DR37*DK37/($K$5*1000)))</f>
        <v>0</v>
      </c>
      <c r="R37">
        <f>I37*(1000-(1000*0.61365*exp(17.502*V37/(240.97+V37))/(DK37+DL37)+DF37)/2)/(1000*0.61365*exp(17.502*V37/(240.97+V37))/(DK37+DL37)-DF37)</f>
        <v>0</v>
      </c>
      <c r="S37">
        <f>1/((CZ37+1)/(P37/1.6)+1/(Q37/1.37)) + CZ37/((CZ37+1)/(P37/1.6) + CZ37/(Q37/1.37))</f>
        <v>0</v>
      </c>
      <c r="T37">
        <f>(CU37*CX37)</f>
        <v>0</v>
      </c>
      <c r="U37">
        <f>(DM37+(T37+2*0.95*5.67E-8*(((DM37+$B$9)+273)^4-(DM37+273)^4)-44100*I37)/(1.84*29.3*Q37+8*0.95*5.67E-8*(DM37+273)^3))</f>
        <v>0</v>
      </c>
      <c r="V37">
        <f>($C$9*DN37+$D$9*DO37+$E$9*U37)</f>
        <v>0</v>
      </c>
      <c r="W37">
        <f>0.61365*exp(17.502*V37/(240.97+V37))</f>
        <v>0</v>
      </c>
      <c r="X37">
        <f>(Y37/Z37*100)</f>
        <v>0</v>
      </c>
      <c r="Y37">
        <f>DF37*(DK37+DL37)/1000</f>
        <v>0</v>
      </c>
      <c r="Z37">
        <f>0.61365*exp(17.502*DM37/(240.97+DM37))</f>
        <v>0</v>
      </c>
      <c r="AA37">
        <f>(W37-DF37*(DK37+DL37)/1000)</f>
        <v>0</v>
      </c>
      <c r="AB37">
        <f>(-I37*44100)</f>
        <v>0</v>
      </c>
      <c r="AC37">
        <f>2*29.3*Q37*0.92*(DM37-V37)</f>
        <v>0</v>
      </c>
      <c r="AD37">
        <f>2*0.95*5.67E-8*(((DM37+$B$9)+273)^4-(V37+273)^4)</f>
        <v>0</v>
      </c>
      <c r="AE37">
        <f>T37+AD37+AB37+AC37</f>
        <v>0</v>
      </c>
      <c r="AF37">
        <v>0</v>
      </c>
      <c r="AG37">
        <v>0</v>
      </c>
      <c r="AH37">
        <f>IF(AF37*$H$15&gt;=AJ37,1.0,(AJ37/(AJ37-AF37*$H$15)))</f>
        <v>0</v>
      </c>
      <c r="AI37">
        <f>(AH37-1)*100</f>
        <v>0</v>
      </c>
      <c r="AJ37">
        <f>MAX(0,($B$15+$C$15*DR37)/(1+$D$15*DR37)*DK37/(DM37+273)*$E$15)</f>
        <v>0</v>
      </c>
      <c r="AK37" t="s">
        <v>420</v>
      </c>
      <c r="AL37" t="s">
        <v>420</v>
      </c>
      <c r="AM37">
        <v>0</v>
      </c>
      <c r="AN37">
        <v>0</v>
      </c>
      <c r="AO37">
        <f>1-AM37/AN37</f>
        <v>0</v>
      </c>
      <c r="AP37">
        <v>0</v>
      </c>
      <c r="AQ37" t="s">
        <v>420</v>
      </c>
      <c r="AR37" t="s">
        <v>420</v>
      </c>
      <c r="AS37">
        <v>0</v>
      </c>
      <c r="AT37">
        <v>0</v>
      </c>
      <c r="AU37">
        <f>1-AS37/AT37</f>
        <v>0</v>
      </c>
      <c r="AV37">
        <v>0.5</v>
      </c>
      <c r="AW37">
        <f>CV37</f>
        <v>0</v>
      </c>
      <c r="AX37">
        <f>K37</f>
        <v>0</v>
      </c>
      <c r="AY37">
        <f>AU37*AV37*AW37</f>
        <v>0</v>
      </c>
      <c r="AZ37">
        <f>(AX37-AP37)/AW37</f>
        <v>0</v>
      </c>
      <c r="BA37">
        <f>(AN37-AT37)/AT37</f>
        <v>0</v>
      </c>
      <c r="BB37">
        <f>AM37/(AO37+AM37/AT37)</f>
        <v>0</v>
      </c>
      <c r="BC37" t="s">
        <v>420</v>
      </c>
      <c r="BD37">
        <v>0</v>
      </c>
      <c r="BE37">
        <f>IF(BD37&lt;&gt;0, BD37, BB37)</f>
        <v>0</v>
      </c>
      <c r="BF37">
        <f>1-BE37/AT37</f>
        <v>0</v>
      </c>
      <c r="BG37">
        <f>(AT37-AS37)/(AT37-BE37)</f>
        <v>0</v>
      </c>
      <c r="BH37">
        <f>(AN37-AT37)/(AN37-BE37)</f>
        <v>0</v>
      </c>
      <c r="BI37">
        <f>(AT37-AS37)/(AT37-AM37)</f>
        <v>0</v>
      </c>
      <c r="BJ37">
        <f>(AN37-AT37)/(AN37-AM37)</f>
        <v>0</v>
      </c>
      <c r="BK37">
        <f>(BG37*BE37/AS37)</f>
        <v>0</v>
      </c>
      <c r="BL37">
        <f>(1-BK37)</f>
        <v>0</v>
      </c>
      <c r="CU37">
        <f>$B$13*DS37+$C$13*DT37+$F$13*EE37*(1-EH37)</f>
        <v>0</v>
      </c>
      <c r="CV37">
        <f>CU37*CW37</f>
        <v>0</v>
      </c>
      <c r="CW37">
        <f>($B$13*$D$11+$C$13*$D$11+$F$13*((ER37+EJ37)/MAX(ER37+EJ37+ES37, 0.1)*$I$11+ES37/MAX(ER37+EJ37+ES37, 0.1)*$J$11))/($B$13+$C$13+$F$13)</f>
        <v>0</v>
      </c>
      <c r="CX37">
        <f>($B$13*$K$11+$C$13*$K$11+$F$13*((ER37+EJ37)/MAX(ER37+EJ37+ES37, 0.1)*$P$11+ES37/MAX(ER37+EJ37+ES37, 0.1)*$Q$11))/($B$13+$C$13+$F$13)</f>
        <v>0</v>
      </c>
      <c r="CY37">
        <v>2.7</v>
      </c>
      <c r="CZ37">
        <v>0.5</v>
      </c>
      <c r="DA37" t="s">
        <v>421</v>
      </c>
      <c r="DB37">
        <v>2</v>
      </c>
      <c r="DC37">
        <v>1761018102.5</v>
      </c>
      <c r="DD37">
        <v>420.4882222222222</v>
      </c>
      <c r="DE37">
        <v>419.8927777777778</v>
      </c>
      <c r="DF37">
        <v>23.79546666666667</v>
      </c>
      <c r="DG37">
        <v>23.91761111111111</v>
      </c>
      <c r="DH37">
        <v>421.1052222222222</v>
      </c>
      <c r="DI37">
        <v>23.59084444444444</v>
      </c>
      <c r="DJ37">
        <v>500.0098888888889</v>
      </c>
      <c r="DK37">
        <v>90.77126666666666</v>
      </c>
      <c r="DL37">
        <v>0.03548432222222222</v>
      </c>
      <c r="DM37">
        <v>30.16564444444444</v>
      </c>
      <c r="DN37">
        <v>30.05235555555556</v>
      </c>
      <c r="DO37">
        <v>999.9000000000001</v>
      </c>
      <c r="DP37">
        <v>0</v>
      </c>
      <c r="DQ37">
        <v>0</v>
      </c>
      <c r="DR37">
        <v>10003.12888888889</v>
      </c>
      <c r="DS37">
        <v>0</v>
      </c>
      <c r="DT37">
        <v>0.242856</v>
      </c>
      <c r="DU37">
        <v>0.5952756666666666</v>
      </c>
      <c r="DV37">
        <v>430.7376666666667</v>
      </c>
      <c r="DW37">
        <v>430.1816666666666</v>
      </c>
      <c r="DX37">
        <v>-0.1221458666666667</v>
      </c>
      <c r="DY37">
        <v>419.8927777777778</v>
      </c>
      <c r="DZ37">
        <v>23.91761111111111</v>
      </c>
      <c r="EA37">
        <v>2.159943333333333</v>
      </c>
      <c r="EB37">
        <v>2.171033333333334</v>
      </c>
      <c r="EC37">
        <v>18.66824444444445</v>
      </c>
      <c r="ED37">
        <v>18.7501</v>
      </c>
      <c r="EE37">
        <v>0.00500078</v>
      </c>
      <c r="EF37">
        <v>0</v>
      </c>
      <c r="EG37">
        <v>0</v>
      </c>
      <c r="EH37">
        <v>0</v>
      </c>
      <c r="EI37">
        <v>150.3555555555556</v>
      </c>
      <c r="EJ37">
        <v>0.00500078</v>
      </c>
      <c r="EK37">
        <v>-17.85555555555555</v>
      </c>
      <c r="EL37">
        <v>-1.088888888888889</v>
      </c>
      <c r="EM37">
        <v>35.20811111111111</v>
      </c>
      <c r="EN37">
        <v>38.79133333333333</v>
      </c>
      <c r="EO37">
        <v>37.23588888888889</v>
      </c>
      <c r="EP37">
        <v>39.06222222222222</v>
      </c>
      <c r="EQ37">
        <v>37.88866666666667</v>
      </c>
      <c r="ER37">
        <v>0</v>
      </c>
      <c r="ES37">
        <v>0</v>
      </c>
      <c r="ET37">
        <v>0</v>
      </c>
      <c r="EU37">
        <v>1761018104.5</v>
      </c>
      <c r="EV37">
        <v>0</v>
      </c>
      <c r="EW37">
        <v>150.064</v>
      </c>
      <c r="EX37">
        <v>-9.153846053118697</v>
      </c>
      <c r="EY37">
        <v>-0.9692308573562678</v>
      </c>
      <c r="EZ37">
        <v>-17.176</v>
      </c>
      <c r="FA37">
        <v>15</v>
      </c>
      <c r="FB37">
        <v>1761018049.5</v>
      </c>
      <c r="FC37" t="s">
        <v>422</v>
      </c>
      <c r="FD37">
        <v>1761018049.5</v>
      </c>
      <c r="FE37">
        <v>1761018035.5</v>
      </c>
      <c r="FF37">
        <v>23</v>
      </c>
      <c r="FG37">
        <v>1.295</v>
      </c>
      <c r="FH37">
        <v>0.011</v>
      </c>
      <c r="FI37">
        <v>-0.618</v>
      </c>
      <c r="FJ37">
        <v>0.192</v>
      </c>
      <c r="FK37">
        <v>420</v>
      </c>
      <c r="FL37">
        <v>23</v>
      </c>
      <c r="FM37">
        <v>0.42</v>
      </c>
      <c r="FN37">
        <v>0.17</v>
      </c>
      <c r="FO37">
        <v>0.6201781707317072</v>
      </c>
      <c r="FP37">
        <v>-0.1071031777003478</v>
      </c>
      <c r="FQ37">
        <v>0.05336822168893342</v>
      </c>
      <c r="FR37">
        <v>1</v>
      </c>
      <c r="FS37">
        <v>150.2088235294117</v>
      </c>
      <c r="FT37">
        <v>-2.495034459843221</v>
      </c>
      <c r="FU37">
        <v>6.282532631270272</v>
      </c>
      <c r="FV37">
        <v>0</v>
      </c>
      <c r="FW37">
        <v>0.154955343902439</v>
      </c>
      <c r="FX37">
        <v>-2.741943777700347</v>
      </c>
      <c r="FY37">
        <v>0.2828460029478698</v>
      </c>
      <c r="FZ37">
        <v>0</v>
      </c>
      <c r="GA37">
        <v>1</v>
      </c>
      <c r="GB37">
        <v>3</v>
      </c>
      <c r="GC37" t="s">
        <v>431</v>
      </c>
      <c r="GD37">
        <v>3.10978</v>
      </c>
      <c r="GE37">
        <v>2.72692</v>
      </c>
      <c r="GF37">
        <v>0.08856219999999999</v>
      </c>
      <c r="GG37">
        <v>0.08840870000000001</v>
      </c>
      <c r="GH37">
        <v>0.108238</v>
      </c>
      <c r="GI37">
        <v>0.109563</v>
      </c>
      <c r="GJ37">
        <v>23896</v>
      </c>
      <c r="GK37">
        <v>21687.2</v>
      </c>
      <c r="GL37">
        <v>26777.2</v>
      </c>
      <c r="GM37">
        <v>23999.2</v>
      </c>
      <c r="GN37">
        <v>38156.4</v>
      </c>
      <c r="GO37">
        <v>31539.2</v>
      </c>
      <c r="GP37">
        <v>46738</v>
      </c>
      <c r="GQ37">
        <v>37957.8</v>
      </c>
      <c r="GR37">
        <v>1.88468</v>
      </c>
      <c r="GS37">
        <v>1.8737</v>
      </c>
      <c r="GT37">
        <v>0.138439</v>
      </c>
      <c r="GU37">
        <v>0</v>
      </c>
      <c r="GV37">
        <v>27.7948</v>
      </c>
      <c r="GW37">
        <v>999.9</v>
      </c>
      <c r="GX37">
        <v>63.2</v>
      </c>
      <c r="GY37">
        <v>29.1</v>
      </c>
      <c r="GZ37">
        <v>28.1658</v>
      </c>
      <c r="HA37">
        <v>61.28</v>
      </c>
      <c r="HB37">
        <v>19.7155</v>
      </c>
      <c r="HC37">
        <v>1</v>
      </c>
      <c r="HD37">
        <v>0.0766768</v>
      </c>
      <c r="HE37">
        <v>-1.56777</v>
      </c>
      <c r="HF37">
        <v>20.3287</v>
      </c>
      <c r="HG37">
        <v>5.22193</v>
      </c>
      <c r="HH37">
        <v>11.98</v>
      </c>
      <c r="HI37">
        <v>4.96545</v>
      </c>
      <c r="HJ37">
        <v>3.27588</v>
      </c>
      <c r="HK37">
        <v>9999</v>
      </c>
      <c r="HL37">
        <v>9999</v>
      </c>
      <c r="HM37">
        <v>9999</v>
      </c>
      <c r="HN37">
        <v>999.9</v>
      </c>
      <c r="HO37">
        <v>1.8636</v>
      </c>
      <c r="HP37">
        <v>1.85974</v>
      </c>
      <c r="HQ37">
        <v>1.85794</v>
      </c>
      <c r="HR37">
        <v>1.85934</v>
      </c>
      <c r="HS37">
        <v>1.85959</v>
      </c>
      <c r="HT37">
        <v>1.85804</v>
      </c>
      <c r="HU37">
        <v>1.85711</v>
      </c>
      <c r="HV37">
        <v>1.85205</v>
      </c>
      <c r="HW37">
        <v>0</v>
      </c>
      <c r="HX37">
        <v>0</v>
      </c>
      <c r="HY37">
        <v>0</v>
      </c>
      <c r="HZ37">
        <v>0</v>
      </c>
      <c r="IA37" t="s">
        <v>424</v>
      </c>
      <c r="IB37" t="s">
        <v>425</v>
      </c>
      <c r="IC37" t="s">
        <v>426</v>
      </c>
      <c r="ID37" t="s">
        <v>426</v>
      </c>
      <c r="IE37" t="s">
        <v>426</v>
      </c>
      <c r="IF37" t="s">
        <v>426</v>
      </c>
      <c r="IG37">
        <v>0</v>
      </c>
      <c r="IH37">
        <v>100</v>
      </c>
      <c r="II37">
        <v>100</v>
      </c>
      <c r="IJ37">
        <v>-0.617</v>
      </c>
      <c r="IK37">
        <v>0.2064</v>
      </c>
      <c r="IL37">
        <v>-1.405955206116699</v>
      </c>
      <c r="IM37">
        <v>0.001328113201692861</v>
      </c>
      <c r="IN37">
        <v>1.538283238170363E-06</v>
      </c>
      <c r="IO37">
        <v>-5.795655626708063E-10</v>
      </c>
      <c r="IP37">
        <v>-0.04918981781385694</v>
      </c>
      <c r="IQ37">
        <v>-0.004593102289677449</v>
      </c>
      <c r="IR37">
        <v>0.0008253994458280543</v>
      </c>
      <c r="IS37">
        <v>-7.403632370499484E-06</v>
      </c>
      <c r="IT37">
        <v>2</v>
      </c>
      <c r="IU37">
        <v>1985</v>
      </c>
      <c r="IV37">
        <v>1</v>
      </c>
      <c r="IW37">
        <v>27</v>
      </c>
      <c r="IX37">
        <v>0.9</v>
      </c>
      <c r="IY37">
        <v>1.2</v>
      </c>
      <c r="IZ37">
        <v>1.12061</v>
      </c>
      <c r="JA37">
        <v>2.54883</v>
      </c>
      <c r="JB37">
        <v>1.49658</v>
      </c>
      <c r="JC37">
        <v>2.34253</v>
      </c>
      <c r="JD37">
        <v>1.54907</v>
      </c>
      <c r="JE37">
        <v>2.43408</v>
      </c>
      <c r="JF37">
        <v>31.6736</v>
      </c>
      <c r="JG37">
        <v>14.6661</v>
      </c>
      <c r="JH37">
        <v>18</v>
      </c>
      <c r="JI37">
        <v>482.99</v>
      </c>
      <c r="JJ37">
        <v>505.531</v>
      </c>
      <c r="JK37">
        <v>31.1203</v>
      </c>
      <c r="JL37">
        <v>28.2463</v>
      </c>
      <c r="JM37">
        <v>29.9996</v>
      </c>
      <c r="JN37">
        <v>28.5467</v>
      </c>
      <c r="JO37">
        <v>28.5494</v>
      </c>
      <c r="JP37">
        <v>22.5452</v>
      </c>
      <c r="JQ37">
        <v>20.8717</v>
      </c>
      <c r="JR37">
        <v>81.53149999999999</v>
      </c>
      <c r="JS37">
        <v>31.082</v>
      </c>
      <c r="JT37">
        <v>420</v>
      </c>
      <c r="JU37">
        <v>23.5738</v>
      </c>
      <c r="JV37">
        <v>102.206</v>
      </c>
      <c r="JW37">
        <v>91.55070000000001</v>
      </c>
    </row>
    <row r="38" spans="1:283">
      <c r="A38">
        <v>20</v>
      </c>
      <c r="B38">
        <v>1761018107.5</v>
      </c>
      <c r="C38">
        <v>38</v>
      </c>
      <c r="D38" t="s">
        <v>465</v>
      </c>
      <c r="E38" t="s">
        <v>466</v>
      </c>
      <c r="F38">
        <v>5</v>
      </c>
      <c r="G38" t="s">
        <v>419</v>
      </c>
      <c r="H38">
        <v>1761018104.5</v>
      </c>
      <c r="I38">
        <f>(J38)/1000</f>
        <v>0</v>
      </c>
      <c r="J38">
        <f>1000*DJ38*AH38*(DF38-DG38)/(100*CY38*(1000-AH38*DF38))</f>
        <v>0</v>
      </c>
      <c r="K38">
        <f>DJ38*AH38*(DE38-DD38*(1000-AH38*DG38)/(1000-AH38*DF38))/(100*CY38)</f>
        <v>0</v>
      </c>
      <c r="L38">
        <f>DD38 - IF(AH38&gt;1, K38*CY38*100.0/(AJ38), 0)</f>
        <v>0</v>
      </c>
      <c r="M38">
        <f>((S38-I38/2)*L38-K38)/(S38+I38/2)</f>
        <v>0</v>
      </c>
      <c r="N38">
        <f>M38*(DK38+DL38)/1000.0</f>
        <v>0</v>
      </c>
      <c r="O38">
        <f>(DD38 - IF(AH38&gt;1, K38*CY38*100.0/(AJ38), 0))*(DK38+DL38)/1000.0</f>
        <v>0</v>
      </c>
      <c r="P38">
        <f>2.0/((1/R38-1/Q38)+SIGN(R38)*SQRT((1/R38-1/Q38)*(1/R38-1/Q38) + 4*CZ38/((CZ38+1)*(CZ38+1))*(2*1/R38*1/Q38-1/Q38*1/Q38)))</f>
        <v>0</v>
      </c>
      <c r="Q38">
        <f>IF(LEFT(DA38,1)&lt;&gt;"0",IF(LEFT(DA38,1)="1",3.0,DB38),$D$5+$E$5*(DR38*DK38/($K$5*1000))+$F$5*(DR38*DK38/($K$5*1000))*MAX(MIN(CY38,$J$5),$I$5)*MAX(MIN(CY38,$J$5),$I$5)+$G$5*MAX(MIN(CY38,$J$5),$I$5)*(DR38*DK38/($K$5*1000))+$H$5*(DR38*DK38/($K$5*1000))*(DR38*DK38/($K$5*1000)))</f>
        <v>0</v>
      </c>
      <c r="R38">
        <f>I38*(1000-(1000*0.61365*exp(17.502*V38/(240.97+V38))/(DK38+DL38)+DF38)/2)/(1000*0.61365*exp(17.502*V38/(240.97+V38))/(DK38+DL38)-DF38)</f>
        <v>0</v>
      </c>
      <c r="S38">
        <f>1/((CZ38+1)/(P38/1.6)+1/(Q38/1.37)) + CZ38/((CZ38+1)/(P38/1.6) + CZ38/(Q38/1.37))</f>
        <v>0</v>
      </c>
      <c r="T38">
        <f>(CU38*CX38)</f>
        <v>0</v>
      </c>
      <c r="U38">
        <f>(DM38+(T38+2*0.95*5.67E-8*(((DM38+$B$9)+273)^4-(DM38+273)^4)-44100*I38)/(1.84*29.3*Q38+8*0.95*5.67E-8*(DM38+273)^3))</f>
        <v>0</v>
      </c>
      <c r="V38">
        <f>($C$9*DN38+$D$9*DO38+$E$9*U38)</f>
        <v>0</v>
      </c>
      <c r="W38">
        <f>0.61365*exp(17.502*V38/(240.97+V38))</f>
        <v>0</v>
      </c>
      <c r="X38">
        <f>(Y38/Z38*100)</f>
        <v>0</v>
      </c>
      <c r="Y38">
        <f>DF38*(DK38+DL38)/1000</f>
        <v>0</v>
      </c>
      <c r="Z38">
        <f>0.61365*exp(17.502*DM38/(240.97+DM38))</f>
        <v>0</v>
      </c>
      <c r="AA38">
        <f>(W38-DF38*(DK38+DL38)/1000)</f>
        <v>0</v>
      </c>
      <c r="AB38">
        <f>(-I38*44100)</f>
        <v>0</v>
      </c>
      <c r="AC38">
        <f>2*29.3*Q38*0.92*(DM38-V38)</f>
        <v>0</v>
      </c>
      <c r="AD38">
        <f>2*0.95*5.67E-8*(((DM38+$B$9)+273)^4-(V38+273)^4)</f>
        <v>0</v>
      </c>
      <c r="AE38">
        <f>T38+AD38+AB38+AC38</f>
        <v>0</v>
      </c>
      <c r="AF38">
        <v>0</v>
      </c>
      <c r="AG38">
        <v>0</v>
      </c>
      <c r="AH38">
        <f>IF(AF38*$H$15&gt;=AJ38,1.0,(AJ38/(AJ38-AF38*$H$15)))</f>
        <v>0</v>
      </c>
      <c r="AI38">
        <f>(AH38-1)*100</f>
        <v>0</v>
      </c>
      <c r="AJ38">
        <f>MAX(0,($B$15+$C$15*DR38)/(1+$D$15*DR38)*DK38/(DM38+273)*$E$15)</f>
        <v>0</v>
      </c>
      <c r="AK38" t="s">
        <v>420</v>
      </c>
      <c r="AL38" t="s">
        <v>420</v>
      </c>
      <c r="AM38">
        <v>0</v>
      </c>
      <c r="AN38">
        <v>0</v>
      </c>
      <c r="AO38">
        <f>1-AM38/AN38</f>
        <v>0</v>
      </c>
      <c r="AP38">
        <v>0</v>
      </c>
      <c r="AQ38" t="s">
        <v>420</v>
      </c>
      <c r="AR38" t="s">
        <v>420</v>
      </c>
      <c r="AS38">
        <v>0</v>
      </c>
      <c r="AT38">
        <v>0</v>
      </c>
      <c r="AU38">
        <f>1-AS38/AT38</f>
        <v>0</v>
      </c>
      <c r="AV38">
        <v>0.5</v>
      </c>
      <c r="AW38">
        <f>CV38</f>
        <v>0</v>
      </c>
      <c r="AX38">
        <f>K38</f>
        <v>0</v>
      </c>
      <c r="AY38">
        <f>AU38*AV38*AW38</f>
        <v>0</v>
      </c>
      <c r="AZ38">
        <f>(AX38-AP38)/AW38</f>
        <v>0</v>
      </c>
      <c r="BA38">
        <f>(AN38-AT38)/AT38</f>
        <v>0</v>
      </c>
      <c r="BB38">
        <f>AM38/(AO38+AM38/AT38)</f>
        <v>0</v>
      </c>
      <c r="BC38" t="s">
        <v>420</v>
      </c>
      <c r="BD38">
        <v>0</v>
      </c>
      <c r="BE38">
        <f>IF(BD38&lt;&gt;0, BD38, BB38)</f>
        <v>0</v>
      </c>
      <c r="BF38">
        <f>1-BE38/AT38</f>
        <v>0</v>
      </c>
      <c r="BG38">
        <f>(AT38-AS38)/(AT38-BE38)</f>
        <v>0</v>
      </c>
      <c r="BH38">
        <f>(AN38-AT38)/(AN38-BE38)</f>
        <v>0</v>
      </c>
      <c r="BI38">
        <f>(AT38-AS38)/(AT38-AM38)</f>
        <v>0</v>
      </c>
      <c r="BJ38">
        <f>(AN38-AT38)/(AN38-AM38)</f>
        <v>0</v>
      </c>
      <c r="BK38">
        <f>(BG38*BE38/AS38)</f>
        <v>0</v>
      </c>
      <c r="BL38">
        <f>(1-BK38)</f>
        <v>0</v>
      </c>
      <c r="CU38">
        <f>$B$13*DS38+$C$13*DT38+$F$13*EE38*(1-EH38)</f>
        <v>0</v>
      </c>
      <c r="CV38">
        <f>CU38*CW38</f>
        <v>0</v>
      </c>
      <c r="CW38">
        <f>($B$13*$D$11+$C$13*$D$11+$F$13*((ER38+EJ38)/MAX(ER38+EJ38+ES38, 0.1)*$I$11+ES38/MAX(ER38+EJ38+ES38, 0.1)*$J$11))/($B$13+$C$13+$F$13)</f>
        <v>0</v>
      </c>
      <c r="CX38">
        <f>($B$13*$K$11+$C$13*$K$11+$F$13*((ER38+EJ38)/MAX(ER38+EJ38+ES38, 0.1)*$P$11+ES38/MAX(ER38+EJ38+ES38, 0.1)*$Q$11))/($B$13+$C$13+$F$13)</f>
        <v>0</v>
      </c>
      <c r="CY38">
        <v>2.7</v>
      </c>
      <c r="CZ38">
        <v>0.5</v>
      </c>
      <c r="DA38" t="s">
        <v>421</v>
      </c>
      <c r="DB38">
        <v>2</v>
      </c>
      <c r="DC38">
        <v>1761018104.5</v>
      </c>
      <c r="DD38">
        <v>420.4971111111111</v>
      </c>
      <c r="DE38">
        <v>419.9173333333334</v>
      </c>
      <c r="DF38">
        <v>23.85201111111111</v>
      </c>
      <c r="DG38">
        <v>23.94385555555556</v>
      </c>
      <c r="DH38">
        <v>421.1142222222222</v>
      </c>
      <c r="DI38">
        <v>23.64616666666667</v>
      </c>
      <c r="DJ38">
        <v>499.992888888889</v>
      </c>
      <c r="DK38">
        <v>90.77277777777778</v>
      </c>
      <c r="DL38">
        <v>0.03534086666666666</v>
      </c>
      <c r="DM38">
        <v>30.15937777777778</v>
      </c>
      <c r="DN38">
        <v>30.05121111111112</v>
      </c>
      <c r="DO38">
        <v>999.9000000000001</v>
      </c>
      <c r="DP38">
        <v>0</v>
      </c>
      <c r="DQ38">
        <v>0</v>
      </c>
      <c r="DR38">
        <v>10002.08444444444</v>
      </c>
      <c r="DS38">
        <v>0</v>
      </c>
      <c r="DT38">
        <v>0.242856</v>
      </c>
      <c r="DU38">
        <v>0.5797525555555555</v>
      </c>
      <c r="DV38">
        <v>430.7718888888889</v>
      </c>
      <c r="DW38">
        <v>430.2183333333334</v>
      </c>
      <c r="DX38">
        <v>-0.09183005555555557</v>
      </c>
      <c r="DY38">
        <v>419.9173333333334</v>
      </c>
      <c r="DZ38">
        <v>23.94385555555556</v>
      </c>
      <c r="EA38">
        <v>2.165112222222222</v>
      </c>
      <c r="EB38">
        <v>2.17345</v>
      </c>
      <c r="EC38">
        <v>18.70646666666666</v>
      </c>
      <c r="ED38">
        <v>18.76792222222222</v>
      </c>
      <c r="EE38">
        <v>0.00500078</v>
      </c>
      <c r="EF38">
        <v>0</v>
      </c>
      <c r="EG38">
        <v>0</v>
      </c>
      <c r="EH38">
        <v>0</v>
      </c>
      <c r="EI38">
        <v>151.4777777777778</v>
      </c>
      <c r="EJ38">
        <v>0.00500078</v>
      </c>
      <c r="EK38">
        <v>-19.46666666666667</v>
      </c>
      <c r="EL38">
        <v>-1.255555555555556</v>
      </c>
      <c r="EM38">
        <v>35.229</v>
      </c>
      <c r="EN38">
        <v>38.75666666666666</v>
      </c>
      <c r="EO38">
        <v>37.20811111111112</v>
      </c>
      <c r="EP38">
        <v>39.083</v>
      </c>
      <c r="EQ38">
        <v>37.9511111111111</v>
      </c>
      <c r="ER38">
        <v>0</v>
      </c>
      <c r="ES38">
        <v>0</v>
      </c>
      <c r="ET38">
        <v>0</v>
      </c>
      <c r="EU38">
        <v>1761018106.3</v>
      </c>
      <c r="EV38">
        <v>0</v>
      </c>
      <c r="EW38">
        <v>150.8076923076923</v>
      </c>
      <c r="EX38">
        <v>6.270085331382033</v>
      </c>
      <c r="EY38">
        <v>-3.312820408452043</v>
      </c>
      <c r="EZ38">
        <v>-18.36538461538461</v>
      </c>
      <c r="FA38">
        <v>15</v>
      </c>
      <c r="FB38">
        <v>1761018049.5</v>
      </c>
      <c r="FC38" t="s">
        <v>422</v>
      </c>
      <c r="FD38">
        <v>1761018049.5</v>
      </c>
      <c r="FE38">
        <v>1761018035.5</v>
      </c>
      <c r="FF38">
        <v>23</v>
      </c>
      <c r="FG38">
        <v>1.295</v>
      </c>
      <c r="FH38">
        <v>0.011</v>
      </c>
      <c r="FI38">
        <v>-0.618</v>
      </c>
      <c r="FJ38">
        <v>0.192</v>
      </c>
      <c r="FK38">
        <v>420</v>
      </c>
      <c r="FL38">
        <v>23</v>
      </c>
      <c r="FM38">
        <v>0.42</v>
      </c>
      <c r="FN38">
        <v>0.17</v>
      </c>
      <c r="FO38">
        <v>0.623226925</v>
      </c>
      <c r="FP38">
        <v>-0.3621766941838671</v>
      </c>
      <c r="FQ38">
        <v>0.05342370824146687</v>
      </c>
      <c r="FR38">
        <v>1</v>
      </c>
      <c r="FS38">
        <v>150.3764705882353</v>
      </c>
      <c r="FT38">
        <v>9.54010691411569</v>
      </c>
      <c r="FU38">
        <v>6.308633618422288</v>
      </c>
      <c r="FV38">
        <v>0</v>
      </c>
      <c r="FW38">
        <v>0.06026976749999999</v>
      </c>
      <c r="FX38">
        <v>-1.977164918949342</v>
      </c>
      <c r="FY38">
        <v>0.2204289171958654</v>
      </c>
      <c r="FZ38">
        <v>0</v>
      </c>
      <c r="GA38">
        <v>1</v>
      </c>
      <c r="GB38">
        <v>3</v>
      </c>
      <c r="GC38" t="s">
        <v>431</v>
      </c>
      <c r="GD38">
        <v>3.10949</v>
      </c>
      <c r="GE38">
        <v>2.72672</v>
      </c>
      <c r="GF38">
        <v>0.0885606</v>
      </c>
      <c r="GG38">
        <v>0.0884315</v>
      </c>
      <c r="GH38">
        <v>0.108366</v>
      </c>
      <c r="GI38">
        <v>0.109521</v>
      </c>
      <c r="GJ38">
        <v>23896.2</v>
      </c>
      <c r="GK38">
        <v>21686.7</v>
      </c>
      <c r="GL38">
        <v>26777.3</v>
      </c>
      <c r="GM38">
        <v>23999.3</v>
      </c>
      <c r="GN38">
        <v>38151</v>
      </c>
      <c r="GO38">
        <v>31540.5</v>
      </c>
      <c r="GP38">
        <v>46738.2</v>
      </c>
      <c r="GQ38">
        <v>37957.6</v>
      </c>
      <c r="GR38">
        <v>1.88485</v>
      </c>
      <c r="GS38">
        <v>1.87383</v>
      </c>
      <c r="GT38">
        <v>0.137657</v>
      </c>
      <c r="GU38">
        <v>0</v>
      </c>
      <c r="GV38">
        <v>27.7984</v>
      </c>
      <c r="GW38">
        <v>999.9</v>
      </c>
      <c r="GX38">
        <v>63.2</v>
      </c>
      <c r="GY38">
        <v>29.1</v>
      </c>
      <c r="GZ38">
        <v>28.1616</v>
      </c>
      <c r="HA38">
        <v>61.23</v>
      </c>
      <c r="HB38">
        <v>19.972</v>
      </c>
      <c r="HC38">
        <v>1</v>
      </c>
      <c r="HD38">
        <v>0.0765854</v>
      </c>
      <c r="HE38">
        <v>-1.52775</v>
      </c>
      <c r="HF38">
        <v>20.329</v>
      </c>
      <c r="HG38">
        <v>5.22133</v>
      </c>
      <c r="HH38">
        <v>11.98</v>
      </c>
      <c r="HI38">
        <v>4.9653</v>
      </c>
      <c r="HJ38">
        <v>3.2759</v>
      </c>
      <c r="HK38">
        <v>9999</v>
      </c>
      <c r="HL38">
        <v>9999</v>
      </c>
      <c r="HM38">
        <v>9999</v>
      </c>
      <c r="HN38">
        <v>999.9</v>
      </c>
      <c r="HO38">
        <v>1.86358</v>
      </c>
      <c r="HP38">
        <v>1.85974</v>
      </c>
      <c r="HQ38">
        <v>1.85793</v>
      </c>
      <c r="HR38">
        <v>1.85932</v>
      </c>
      <c r="HS38">
        <v>1.85959</v>
      </c>
      <c r="HT38">
        <v>1.85804</v>
      </c>
      <c r="HU38">
        <v>1.85712</v>
      </c>
      <c r="HV38">
        <v>1.85206</v>
      </c>
      <c r="HW38">
        <v>0</v>
      </c>
      <c r="HX38">
        <v>0</v>
      </c>
      <c r="HY38">
        <v>0</v>
      </c>
      <c r="HZ38">
        <v>0</v>
      </c>
      <c r="IA38" t="s">
        <v>424</v>
      </c>
      <c r="IB38" t="s">
        <v>425</v>
      </c>
      <c r="IC38" t="s">
        <v>426</v>
      </c>
      <c r="ID38" t="s">
        <v>426</v>
      </c>
      <c r="IE38" t="s">
        <v>426</v>
      </c>
      <c r="IF38" t="s">
        <v>426</v>
      </c>
      <c r="IG38">
        <v>0</v>
      </c>
      <c r="IH38">
        <v>100</v>
      </c>
      <c r="II38">
        <v>100</v>
      </c>
      <c r="IJ38">
        <v>-0.617</v>
      </c>
      <c r="IK38">
        <v>0.2074</v>
      </c>
      <c r="IL38">
        <v>-1.405955206116699</v>
      </c>
      <c r="IM38">
        <v>0.001328113201692861</v>
      </c>
      <c r="IN38">
        <v>1.538283238170363E-06</v>
      </c>
      <c r="IO38">
        <v>-5.795655626708063E-10</v>
      </c>
      <c r="IP38">
        <v>-0.04918981781385694</v>
      </c>
      <c r="IQ38">
        <v>-0.004593102289677449</v>
      </c>
      <c r="IR38">
        <v>0.0008253994458280543</v>
      </c>
      <c r="IS38">
        <v>-7.403632370499484E-06</v>
      </c>
      <c r="IT38">
        <v>2</v>
      </c>
      <c r="IU38">
        <v>1985</v>
      </c>
      <c r="IV38">
        <v>1</v>
      </c>
      <c r="IW38">
        <v>27</v>
      </c>
      <c r="IX38">
        <v>1</v>
      </c>
      <c r="IY38">
        <v>1.2</v>
      </c>
      <c r="IZ38">
        <v>1.12183</v>
      </c>
      <c r="JA38">
        <v>2.55981</v>
      </c>
      <c r="JB38">
        <v>1.49658</v>
      </c>
      <c r="JC38">
        <v>2.34131</v>
      </c>
      <c r="JD38">
        <v>1.54907</v>
      </c>
      <c r="JE38">
        <v>2.45728</v>
      </c>
      <c r="JF38">
        <v>31.6736</v>
      </c>
      <c r="JG38">
        <v>14.6837</v>
      </c>
      <c r="JH38">
        <v>18</v>
      </c>
      <c r="JI38">
        <v>483.074</v>
      </c>
      <c r="JJ38">
        <v>505.588</v>
      </c>
      <c r="JK38">
        <v>31.1039</v>
      </c>
      <c r="JL38">
        <v>28.2439</v>
      </c>
      <c r="JM38">
        <v>29.9997</v>
      </c>
      <c r="JN38">
        <v>28.5442</v>
      </c>
      <c r="JO38">
        <v>28.5464</v>
      </c>
      <c r="JP38">
        <v>22.5421</v>
      </c>
      <c r="JQ38">
        <v>21.6008</v>
      </c>
      <c r="JR38">
        <v>81.53149999999999</v>
      </c>
      <c r="JS38">
        <v>31.082</v>
      </c>
      <c r="JT38">
        <v>420</v>
      </c>
      <c r="JU38">
        <v>23.5307</v>
      </c>
      <c r="JV38">
        <v>102.206</v>
      </c>
      <c r="JW38">
        <v>91.55070000000001</v>
      </c>
    </row>
    <row r="39" spans="1:283">
      <c r="A39">
        <v>21</v>
      </c>
      <c r="B39">
        <v>1761018109.5</v>
      </c>
      <c r="C39">
        <v>40</v>
      </c>
      <c r="D39" t="s">
        <v>467</v>
      </c>
      <c r="E39" t="s">
        <v>468</v>
      </c>
      <c r="F39">
        <v>5</v>
      </c>
      <c r="G39" t="s">
        <v>419</v>
      </c>
      <c r="H39">
        <v>1761018106.5</v>
      </c>
      <c r="I39">
        <f>(J39)/1000</f>
        <v>0</v>
      </c>
      <c r="J39">
        <f>1000*DJ39*AH39*(DF39-DG39)/(100*CY39*(1000-AH39*DF39))</f>
        <v>0</v>
      </c>
      <c r="K39">
        <f>DJ39*AH39*(DE39-DD39*(1000-AH39*DG39)/(1000-AH39*DF39))/(100*CY39)</f>
        <v>0</v>
      </c>
      <c r="L39">
        <f>DD39 - IF(AH39&gt;1, K39*CY39*100.0/(AJ39), 0)</f>
        <v>0</v>
      </c>
      <c r="M39">
        <f>((S39-I39/2)*L39-K39)/(S39+I39/2)</f>
        <v>0</v>
      </c>
      <c r="N39">
        <f>M39*(DK39+DL39)/1000.0</f>
        <v>0</v>
      </c>
      <c r="O39">
        <f>(DD39 - IF(AH39&gt;1, K39*CY39*100.0/(AJ39), 0))*(DK39+DL39)/1000.0</f>
        <v>0</v>
      </c>
      <c r="P39">
        <f>2.0/((1/R39-1/Q39)+SIGN(R39)*SQRT((1/R39-1/Q39)*(1/R39-1/Q39) + 4*CZ39/((CZ39+1)*(CZ39+1))*(2*1/R39*1/Q39-1/Q39*1/Q39)))</f>
        <v>0</v>
      </c>
      <c r="Q39">
        <f>IF(LEFT(DA39,1)&lt;&gt;"0",IF(LEFT(DA39,1)="1",3.0,DB39),$D$5+$E$5*(DR39*DK39/($K$5*1000))+$F$5*(DR39*DK39/($K$5*1000))*MAX(MIN(CY39,$J$5),$I$5)*MAX(MIN(CY39,$J$5),$I$5)+$G$5*MAX(MIN(CY39,$J$5),$I$5)*(DR39*DK39/($K$5*1000))+$H$5*(DR39*DK39/($K$5*1000))*(DR39*DK39/($K$5*1000)))</f>
        <v>0</v>
      </c>
      <c r="R39">
        <f>I39*(1000-(1000*0.61365*exp(17.502*V39/(240.97+V39))/(DK39+DL39)+DF39)/2)/(1000*0.61365*exp(17.502*V39/(240.97+V39))/(DK39+DL39)-DF39)</f>
        <v>0</v>
      </c>
      <c r="S39">
        <f>1/((CZ39+1)/(P39/1.6)+1/(Q39/1.37)) + CZ39/((CZ39+1)/(P39/1.6) + CZ39/(Q39/1.37))</f>
        <v>0</v>
      </c>
      <c r="T39">
        <f>(CU39*CX39)</f>
        <v>0</v>
      </c>
      <c r="U39">
        <f>(DM39+(T39+2*0.95*5.67E-8*(((DM39+$B$9)+273)^4-(DM39+273)^4)-44100*I39)/(1.84*29.3*Q39+8*0.95*5.67E-8*(DM39+273)^3))</f>
        <v>0</v>
      </c>
      <c r="V39">
        <f>($C$9*DN39+$D$9*DO39+$E$9*U39)</f>
        <v>0</v>
      </c>
      <c r="W39">
        <f>0.61365*exp(17.502*V39/(240.97+V39))</f>
        <v>0</v>
      </c>
      <c r="X39">
        <f>(Y39/Z39*100)</f>
        <v>0</v>
      </c>
      <c r="Y39">
        <f>DF39*(DK39+DL39)/1000</f>
        <v>0</v>
      </c>
      <c r="Z39">
        <f>0.61365*exp(17.502*DM39/(240.97+DM39))</f>
        <v>0</v>
      </c>
      <c r="AA39">
        <f>(W39-DF39*(DK39+DL39)/1000)</f>
        <v>0</v>
      </c>
      <c r="AB39">
        <f>(-I39*44100)</f>
        <v>0</v>
      </c>
      <c r="AC39">
        <f>2*29.3*Q39*0.92*(DM39-V39)</f>
        <v>0</v>
      </c>
      <c r="AD39">
        <f>2*0.95*5.67E-8*(((DM39+$B$9)+273)^4-(V39+273)^4)</f>
        <v>0</v>
      </c>
      <c r="AE39">
        <f>T39+AD39+AB39+AC39</f>
        <v>0</v>
      </c>
      <c r="AF39">
        <v>0</v>
      </c>
      <c r="AG39">
        <v>0</v>
      </c>
      <c r="AH39">
        <f>IF(AF39*$H$15&gt;=AJ39,1.0,(AJ39/(AJ39-AF39*$H$15)))</f>
        <v>0</v>
      </c>
      <c r="AI39">
        <f>(AH39-1)*100</f>
        <v>0</v>
      </c>
      <c r="AJ39">
        <f>MAX(0,($B$15+$C$15*DR39)/(1+$D$15*DR39)*DK39/(DM39+273)*$E$15)</f>
        <v>0</v>
      </c>
      <c r="AK39" t="s">
        <v>420</v>
      </c>
      <c r="AL39" t="s">
        <v>420</v>
      </c>
      <c r="AM39">
        <v>0</v>
      </c>
      <c r="AN39">
        <v>0</v>
      </c>
      <c r="AO39">
        <f>1-AM39/AN39</f>
        <v>0</v>
      </c>
      <c r="AP39">
        <v>0</v>
      </c>
      <c r="AQ39" t="s">
        <v>420</v>
      </c>
      <c r="AR39" t="s">
        <v>420</v>
      </c>
      <c r="AS39">
        <v>0</v>
      </c>
      <c r="AT39">
        <v>0</v>
      </c>
      <c r="AU39">
        <f>1-AS39/AT39</f>
        <v>0</v>
      </c>
      <c r="AV39">
        <v>0.5</v>
      </c>
      <c r="AW39">
        <f>CV39</f>
        <v>0</v>
      </c>
      <c r="AX39">
        <f>K39</f>
        <v>0</v>
      </c>
      <c r="AY39">
        <f>AU39*AV39*AW39</f>
        <v>0</v>
      </c>
      <c r="AZ39">
        <f>(AX39-AP39)/AW39</f>
        <v>0</v>
      </c>
      <c r="BA39">
        <f>(AN39-AT39)/AT39</f>
        <v>0</v>
      </c>
      <c r="BB39">
        <f>AM39/(AO39+AM39/AT39)</f>
        <v>0</v>
      </c>
      <c r="BC39" t="s">
        <v>420</v>
      </c>
      <c r="BD39">
        <v>0</v>
      </c>
      <c r="BE39">
        <f>IF(BD39&lt;&gt;0, BD39, BB39)</f>
        <v>0</v>
      </c>
      <c r="BF39">
        <f>1-BE39/AT39</f>
        <v>0</v>
      </c>
      <c r="BG39">
        <f>(AT39-AS39)/(AT39-BE39)</f>
        <v>0</v>
      </c>
      <c r="BH39">
        <f>(AN39-AT39)/(AN39-BE39)</f>
        <v>0</v>
      </c>
      <c r="BI39">
        <f>(AT39-AS39)/(AT39-AM39)</f>
        <v>0</v>
      </c>
      <c r="BJ39">
        <f>(AN39-AT39)/(AN39-AM39)</f>
        <v>0</v>
      </c>
      <c r="BK39">
        <f>(BG39*BE39/AS39)</f>
        <v>0</v>
      </c>
      <c r="BL39">
        <f>(1-BK39)</f>
        <v>0</v>
      </c>
      <c r="CU39">
        <f>$B$13*DS39+$C$13*DT39+$F$13*EE39*(1-EH39)</f>
        <v>0</v>
      </c>
      <c r="CV39">
        <f>CU39*CW39</f>
        <v>0</v>
      </c>
      <c r="CW39">
        <f>($B$13*$D$11+$C$13*$D$11+$F$13*((ER39+EJ39)/MAX(ER39+EJ39+ES39, 0.1)*$I$11+ES39/MAX(ER39+EJ39+ES39, 0.1)*$J$11))/($B$13+$C$13+$F$13)</f>
        <v>0</v>
      </c>
      <c r="CX39">
        <f>($B$13*$K$11+$C$13*$K$11+$F$13*((ER39+EJ39)/MAX(ER39+EJ39+ES39, 0.1)*$P$11+ES39/MAX(ER39+EJ39+ES39, 0.1)*$Q$11))/($B$13+$C$13+$F$13)</f>
        <v>0</v>
      </c>
      <c r="CY39">
        <v>2.7</v>
      </c>
      <c r="CZ39">
        <v>0.5</v>
      </c>
      <c r="DA39" t="s">
        <v>421</v>
      </c>
      <c r="DB39">
        <v>2</v>
      </c>
      <c r="DC39">
        <v>1761018106.5</v>
      </c>
      <c r="DD39">
        <v>420.5051111111111</v>
      </c>
      <c r="DE39">
        <v>419.9706666666667</v>
      </c>
      <c r="DF39">
        <v>23.89873333333333</v>
      </c>
      <c r="DG39">
        <v>23.94236666666667</v>
      </c>
      <c r="DH39">
        <v>421.1222222222222</v>
      </c>
      <c r="DI39">
        <v>23.69187777777778</v>
      </c>
      <c r="DJ39">
        <v>499.9805555555556</v>
      </c>
      <c r="DK39">
        <v>90.77284444444446</v>
      </c>
      <c r="DL39">
        <v>0.03514199999999999</v>
      </c>
      <c r="DM39">
        <v>30.15242222222222</v>
      </c>
      <c r="DN39">
        <v>30.04585555555556</v>
      </c>
      <c r="DO39">
        <v>999.9000000000001</v>
      </c>
      <c r="DP39">
        <v>0</v>
      </c>
      <c r="DQ39">
        <v>0</v>
      </c>
      <c r="DR39">
        <v>10001.02</v>
      </c>
      <c r="DS39">
        <v>0</v>
      </c>
      <c r="DT39">
        <v>0.242856</v>
      </c>
      <c r="DU39">
        <v>0.5345222222222222</v>
      </c>
      <c r="DV39">
        <v>430.8008888888889</v>
      </c>
      <c r="DW39">
        <v>430.2723333333333</v>
      </c>
      <c r="DX39">
        <v>-0.04362912222222223</v>
      </c>
      <c r="DY39">
        <v>419.9706666666667</v>
      </c>
      <c r="DZ39">
        <v>23.94236666666667</v>
      </c>
      <c r="EA39">
        <v>2.169354444444444</v>
      </c>
      <c r="EB39">
        <v>2.173316666666667</v>
      </c>
      <c r="EC39">
        <v>18.73777777777778</v>
      </c>
      <c r="ED39">
        <v>18.76694444444444</v>
      </c>
      <c r="EE39">
        <v>0.00500078</v>
      </c>
      <c r="EF39">
        <v>0</v>
      </c>
      <c r="EG39">
        <v>0</v>
      </c>
      <c r="EH39">
        <v>0</v>
      </c>
      <c r="EI39">
        <v>149.8444444444444</v>
      </c>
      <c r="EJ39">
        <v>0.00500078</v>
      </c>
      <c r="EK39">
        <v>-17.35555555555555</v>
      </c>
      <c r="EL39">
        <v>-1.266666666666667</v>
      </c>
      <c r="EM39">
        <v>35.2011111111111</v>
      </c>
      <c r="EN39">
        <v>38.70811111111111</v>
      </c>
      <c r="EO39">
        <v>37.20811111111112</v>
      </c>
      <c r="EP39">
        <v>39.01355555555555</v>
      </c>
      <c r="EQ39">
        <v>37.958</v>
      </c>
      <c r="ER39">
        <v>0</v>
      </c>
      <c r="ES39">
        <v>0</v>
      </c>
      <c r="ET39">
        <v>0</v>
      </c>
      <c r="EU39">
        <v>1761018108.7</v>
      </c>
      <c r="EV39">
        <v>0</v>
      </c>
      <c r="EW39">
        <v>150.1153846153846</v>
      </c>
      <c r="EX39">
        <v>0.7521363748655081</v>
      </c>
      <c r="EY39">
        <v>17.84615428380327</v>
      </c>
      <c r="EZ39">
        <v>-17.67692307692307</v>
      </c>
      <c r="FA39">
        <v>15</v>
      </c>
      <c r="FB39">
        <v>1761018049.5</v>
      </c>
      <c r="FC39" t="s">
        <v>422</v>
      </c>
      <c r="FD39">
        <v>1761018049.5</v>
      </c>
      <c r="FE39">
        <v>1761018035.5</v>
      </c>
      <c r="FF39">
        <v>23</v>
      </c>
      <c r="FG39">
        <v>1.295</v>
      </c>
      <c r="FH39">
        <v>0.011</v>
      </c>
      <c r="FI39">
        <v>-0.618</v>
      </c>
      <c r="FJ39">
        <v>0.192</v>
      </c>
      <c r="FK39">
        <v>420</v>
      </c>
      <c r="FL39">
        <v>23</v>
      </c>
      <c r="FM39">
        <v>0.42</v>
      </c>
      <c r="FN39">
        <v>0.17</v>
      </c>
      <c r="FO39">
        <v>0.6121476341463414</v>
      </c>
      <c r="FP39">
        <v>-0.5388595191637626</v>
      </c>
      <c r="FQ39">
        <v>0.06732868117539041</v>
      </c>
      <c r="FR39">
        <v>0</v>
      </c>
      <c r="FS39">
        <v>150.2264705882353</v>
      </c>
      <c r="FT39">
        <v>-0.658518044318456</v>
      </c>
      <c r="FU39">
        <v>6.44156122944309</v>
      </c>
      <c r="FV39">
        <v>1</v>
      </c>
      <c r="FW39">
        <v>0.03249577073170731</v>
      </c>
      <c r="FX39">
        <v>-1.48337936445993</v>
      </c>
      <c r="FY39">
        <v>0.1895786094269478</v>
      </c>
      <c r="FZ39">
        <v>0</v>
      </c>
      <c r="GA39">
        <v>1</v>
      </c>
      <c r="GB39">
        <v>3</v>
      </c>
      <c r="GC39" t="s">
        <v>431</v>
      </c>
      <c r="GD39">
        <v>3.1096</v>
      </c>
      <c r="GE39">
        <v>2.72677</v>
      </c>
      <c r="GF39">
        <v>0.0885638</v>
      </c>
      <c r="GG39">
        <v>0.0884438</v>
      </c>
      <c r="GH39">
        <v>0.108451</v>
      </c>
      <c r="GI39">
        <v>0.109354</v>
      </c>
      <c r="GJ39">
        <v>23896.2</v>
      </c>
      <c r="GK39">
        <v>21686.3</v>
      </c>
      <c r="GL39">
        <v>26777.4</v>
      </c>
      <c r="GM39">
        <v>23999.1</v>
      </c>
      <c r="GN39">
        <v>38147.5</v>
      </c>
      <c r="GO39">
        <v>31546.1</v>
      </c>
      <c r="GP39">
        <v>46738.4</v>
      </c>
      <c r="GQ39">
        <v>37957.1</v>
      </c>
      <c r="GR39">
        <v>1.88535</v>
      </c>
      <c r="GS39">
        <v>1.87355</v>
      </c>
      <c r="GT39">
        <v>0.136726</v>
      </c>
      <c r="GU39">
        <v>0</v>
      </c>
      <c r="GV39">
        <v>27.8013</v>
      </c>
      <c r="GW39">
        <v>999.9</v>
      </c>
      <c r="GX39">
        <v>63.2</v>
      </c>
      <c r="GY39">
        <v>29.1</v>
      </c>
      <c r="GZ39">
        <v>28.164</v>
      </c>
      <c r="HA39">
        <v>61.03</v>
      </c>
      <c r="HB39">
        <v>19.8237</v>
      </c>
      <c r="HC39">
        <v>1</v>
      </c>
      <c r="HD39">
        <v>0.0762678</v>
      </c>
      <c r="HE39">
        <v>-1.52949</v>
      </c>
      <c r="HF39">
        <v>20.329</v>
      </c>
      <c r="HG39">
        <v>5.22118</v>
      </c>
      <c r="HH39">
        <v>11.98</v>
      </c>
      <c r="HI39">
        <v>4.9652</v>
      </c>
      <c r="HJ39">
        <v>3.2759</v>
      </c>
      <c r="HK39">
        <v>9999</v>
      </c>
      <c r="HL39">
        <v>9999</v>
      </c>
      <c r="HM39">
        <v>9999</v>
      </c>
      <c r="HN39">
        <v>999.9</v>
      </c>
      <c r="HO39">
        <v>1.86359</v>
      </c>
      <c r="HP39">
        <v>1.85974</v>
      </c>
      <c r="HQ39">
        <v>1.85793</v>
      </c>
      <c r="HR39">
        <v>1.85934</v>
      </c>
      <c r="HS39">
        <v>1.85959</v>
      </c>
      <c r="HT39">
        <v>1.85804</v>
      </c>
      <c r="HU39">
        <v>1.85713</v>
      </c>
      <c r="HV39">
        <v>1.85206</v>
      </c>
      <c r="HW39">
        <v>0</v>
      </c>
      <c r="HX39">
        <v>0</v>
      </c>
      <c r="HY39">
        <v>0</v>
      </c>
      <c r="HZ39">
        <v>0</v>
      </c>
      <c r="IA39" t="s">
        <v>424</v>
      </c>
      <c r="IB39" t="s">
        <v>425</v>
      </c>
      <c r="IC39" t="s">
        <v>426</v>
      </c>
      <c r="ID39" t="s">
        <v>426</v>
      </c>
      <c r="IE39" t="s">
        <v>426</v>
      </c>
      <c r="IF39" t="s">
        <v>426</v>
      </c>
      <c r="IG39">
        <v>0</v>
      </c>
      <c r="IH39">
        <v>100</v>
      </c>
      <c r="II39">
        <v>100</v>
      </c>
      <c r="IJ39">
        <v>-0.617</v>
      </c>
      <c r="IK39">
        <v>0.2079</v>
      </c>
      <c r="IL39">
        <v>-1.405955206116699</v>
      </c>
      <c r="IM39">
        <v>0.001328113201692861</v>
      </c>
      <c r="IN39">
        <v>1.538283238170363E-06</v>
      </c>
      <c r="IO39">
        <v>-5.795655626708063E-10</v>
      </c>
      <c r="IP39">
        <v>-0.04918981781385694</v>
      </c>
      <c r="IQ39">
        <v>-0.004593102289677449</v>
      </c>
      <c r="IR39">
        <v>0.0008253994458280543</v>
      </c>
      <c r="IS39">
        <v>-7.403632370499484E-06</v>
      </c>
      <c r="IT39">
        <v>2</v>
      </c>
      <c r="IU39">
        <v>1985</v>
      </c>
      <c r="IV39">
        <v>1</v>
      </c>
      <c r="IW39">
        <v>27</v>
      </c>
      <c r="IX39">
        <v>1</v>
      </c>
      <c r="IY39">
        <v>1.2</v>
      </c>
      <c r="IZ39">
        <v>1.12061</v>
      </c>
      <c r="JA39">
        <v>2.56226</v>
      </c>
      <c r="JB39">
        <v>1.49658</v>
      </c>
      <c r="JC39">
        <v>2.34131</v>
      </c>
      <c r="JD39">
        <v>1.54907</v>
      </c>
      <c r="JE39">
        <v>2.35962</v>
      </c>
      <c r="JF39">
        <v>31.6955</v>
      </c>
      <c r="JG39">
        <v>14.6486</v>
      </c>
      <c r="JH39">
        <v>18</v>
      </c>
      <c r="JI39">
        <v>483.346</v>
      </c>
      <c r="JJ39">
        <v>505.373</v>
      </c>
      <c r="JK39">
        <v>31.082</v>
      </c>
      <c r="JL39">
        <v>28.2414</v>
      </c>
      <c r="JM39">
        <v>29.9995</v>
      </c>
      <c r="JN39">
        <v>28.5418</v>
      </c>
      <c r="JO39">
        <v>28.5429</v>
      </c>
      <c r="JP39">
        <v>22.5394</v>
      </c>
      <c r="JQ39">
        <v>21.8932</v>
      </c>
      <c r="JR39">
        <v>81.53149999999999</v>
      </c>
      <c r="JS39">
        <v>31.082</v>
      </c>
      <c r="JT39">
        <v>420</v>
      </c>
      <c r="JU39">
        <v>23.4965</v>
      </c>
      <c r="JV39">
        <v>102.206</v>
      </c>
      <c r="JW39">
        <v>91.5497</v>
      </c>
    </row>
    <row r="40" spans="1:283">
      <c r="A40">
        <v>22</v>
      </c>
      <c r="B40">
        <v>1761018111.5</v>
      </c>
      <c r="C40">
        <v>42</v>
      </c>
      <c r="D40" t="s">
        <v>469</v>
      </c>
      <c r="E40" t="s">
        <v>470</v>
      </c>
      <c r="F40">
        <v>5</v>
      </c>
      <c r="G40" t="s">
        <v>419</v>
      </c>
      <c r="H40">
        <v>1761018108.5</v>
      </c>
      <c r="I40">
        <f>(J40)/1000</f>
        <v>0</v>
      </c>
      <c r="J40">
        <f>1000*DJ40*AH40*(DF40-DG40)/(100*CY40*(1000-AH40*DF40))</f>
        <v>0</v>
      </c>
      <c r="K40">
        <f>DJ40*AH40*(DE40-DD40*(1000-AH40*DG40)/(1000-AH40*DF40))/(100*CY40)</f>
        <v>0</v>
      </c>
      <c r="L40">
        <f>DD40 - IF(AH40&gt;1, K40*CY40*100.0/(AJ40), 0)</f>
        <v>0</v>
      </c>
      <c r="M40">
        <f>((S40-I40/2)*L40-K40)/(S40+I40/2)</f>
        <v>0</v>
      </c>
      <c r="N40">
        <f>M40*(DK40+DL40)/1000.0</f>
        <v>0</v>
      </c>
      <c r="O40">
        <f>(DD40 - IF(AH40&gt;1, K40*CY40*100.0/(AJ40), 0))*(DK40+DL40)/1000.0</f>
        <v>0</v>
      </c>
      <c r="P40">
        <f>2.0/((1/R40-1/Q40)+SIGN(R40)*SQRT((1/R40-1/Q40)*(1/R40-1/Q40) + 4*CZ40/((CZ40+1)*(CZ40+1))*(2*1/R40*1/Q40-1/Q40*1/Q40)))</f>
        <v>0</v>
      </c>
      <c r="Q40">
        <f>IF(LEFT(DA40,1)&lt;&gt;"0",IF(LEFT(DA40,1)="1",3.0,DB40),$D$5+$E$5*(DR40*DK40/($K$5*1000))+$F$5*(DR40*DK40/($K$5*1000))*MAX(MIN(CY40,$J$5),$I$5)*MAX(MIN(CY40,$J$5),$I$5)+$G$5*MAX(MIN(CY40,$J$5),$I$5)*(DR40*DK40/($K$5*1000))+$H$5*(DR40*DK40/($K$5*1000))*(DR40*DK40/($K$5*1000)))</f>
        <v>0</v>
      </c>
      <c r="R40">
        <f>I40*(1000-(1000*0.61365*exp(17.502*V40/(240.97+V40))/(DK40+DL40)+DF40)/2)/(1000*0.61365*exp(17.502*V40/(240.97+V40))/(DK40+DL40)-DF40)</f>
        <v>0</v>
      </c>
      <c r="S40">
        <f>1/((CZ40+1)/(P40/1.6)+1/(Q40/1.37)) + CZ40/((CZ40+1)/(P40/1.6) + CZ40/(Q40/1.37))</f>
        <v>0</v>
      </c>
      <c r="T40">
        <f>(CU40*CX40)</f>
        <v>0</v>
      </c>
      <c r="U40">
        <f>(DM40+(T40+2*0.95*5.67E-8*(((DM40+$B$9)+273)^4-(DM40+273)^4)-44100*I40)/(1.84*29.3*Q40+8*0.95*5.67E-8*(DM40+273)^3))</f>
        <v>0</v>
      </c>
      <c r="V40">
        <f>($C$9*DN40+$D$9*DO40+$E$9*U40)</f>
        <v>0</v>
      </c>
      <c r="W40">
        <f>0.61365*exp(17.502*V40/(240.97+V40))</f>
        <v>0</v>
      </c>
      <c r="X40">
        <f>(Y40/Z40*100)</f>
        <v>0</v>
      </c>
      <c r="Y40">
        <f>DF40*(DK40+DL40)/1000</f>
        <v>0</v>
      </c>
      <c r="Z40">
        <f>0.61365*exp(17.502*DM40/(240.97+DM40))</f>
        <v>0</v>
      </c>
      <c r="AA40">
        <f>(W40-DF40*(DK40+DL40)/1000)</f>
        <v>0</v>
      </c>
      <c r="AB40">
        <f>(-I40*44100)</f>
        <v>0</v>
      </c>
      <c r="AC40">
        <f>2*29.3*Q40*0.92*(DM40-V40)</f>
        <v>0</v>
      </c>
      <c r="AD40">
        <f>2*0.95*5.67E-8*(((DM40+$B$9)+273)^4-(V40+273)^4)</f>
        <v>0</v>
      </c>
      <c r="AE40">
        <f>T40+AD40+AB40+AC40</f>
        <v>0</v>
      </c>
      <c r="AF40">
        <v>0</v>
      </c>
      <c r="AG40">
        <v>0</v>
      </c>
      <c r="AH40">
        <f>IF(AF40*$H$15&gt;=AJ40,1.0,(AJ40/(AJ40-AF40*$H$15)))</f>
        <v>0</v>
      </c>
      <c r="AI40">
        <f>(AH40-1)*100</f>
        <v>0</v>
      </c>
      <c r="AJ40">
        <f>MAX(0,($B$15+$C$15*DR40)/(1+$D$15*DR40)*DK40/(DM40+273)*$E$15)</f>
        <v>0</v>
      </c>
      <c r="AK40" t="s">
        <v>420</v>
      </c>
      <c r="AL40" t="s">
        <v>420</v>
      </c>
      <c r="AM40">
        <v>0</v>
      </c>
      <c r="AN40">
        <v>0</v>
      </c>
      <c r="AO40">
        <f>1-AM40/AN40</f>
        <v>0</v>
      </c>
      <c r="AP40">
        <v>0</v>
      </c>
      <c r="AQ40" t="s">
        <v>420</v>
      </c>
      <c r="AR40" t="s">
        <v>420</v>
      </c>
      <c r="AS40">
        <v>0</v>
      </c>
      <c r="AT40">
        <v>0</v>
      </c>
      <c r="AU40">
        <f>1-AS40/AT40</f>
        <v>0</v>
      </c>
      <c r="AV40">
        <v>0.5</v>
      </c>
      <c r="AW40">
        <f>CV40</f>
        <v>0</v>
      </c>
      <c r="AX40">
        <f>K40</f>
        <v>0</v>
      </c>
      <c r="AY40">
        <f>AU40*AV40*AW40</f>
        <v>0</v>
      </c>
      <c r="AZ40">
        <f>(AX40-AP40)/AW40</f>
        <v>0</v>
      </c>
      <c r="BA40">
        <f>(AN40-AT40)/AT40</f>
        <v>0</v>
      </c>
      <c r="BB40">
        <f>AM40/(AO40+AM40/AT40)</f>
        <v>0</v>
      </c>
      <c r="BC40" t="s">
        <v>420</v>
      </c>
      <c r="BD40">
        <v>0</v>
      </c>
      <c r="BE40">
        <f>IF(BD40&lt;&gt;0, BD40, BB40)</f>
        <v>0</v>
      </c>
      <c r="BF40">
        <f>1-BE40/AT40</f>
        <v>0</v>
      </c>
      <c r="BG40">
        <f>(AT40-AS40)/(AT40-BE40)</f>
        <v>0</v>
      </c>
      <c r="BH40">
        <f>(AN40-AT40)/(AN40-BE40)</f>
        <v>0</v>
      </c>
      <c r="BI40">
        <f>(AT40-AS40)/(AT40-AM40)</f>
        <v>0</v>
      </c>
      <c r="BJ40">
        <f>(AN40-AT40)/(AN40-AM40)</f>
        <v>0</v>
      </c>
      <c r="BK40">
        <f>(BG40*BE40/AS40)</f>
        <v>0</v>
      </c>
      <c r="BL40">
        <f>(1-BK40)</f>
        <v>0</v>
      </c>
      <c r="CU40">
        <f>$B$13*DS40+$C$13*DT40+$F$13*EE40*(1-EH40)</f>
        <v>0</v>
      </c>
      <c r="CV40">
        <f>CU40*CW40</f>
        <v>0</v>
      </c>
      <c r="CW40">
        <f>($B$13*$D$11+$C$13*$D$11+$F$13*((ER40+EJ40)/MAX(ER40+EJ40+ES40, 0.1)*$I$11+ES40/MAX(ER40+EJ40+ES40, 0.1)*$J$11))/($B$13+$C$13+$F$13)</f>
        <v>0</v>
      </c>
      <c r="CX40">
        <f>($B$13*$K$11+$C$13*$K$11+$F$13*((ER40+EJ40)/MAX(ER40+EJ40+ES40, 0.1)*$P$11+ES40/MAX(ER40+EJ40+ES40, 0.1)*$Q$11))/($B$13+$C$13+$F$13)</f>
        <v>0</v>
      </c>
      <c r="CY40">
        <v>2.7</v>
      </c>
      <c r="CZ40">
        <v>0.5</v>
      </c>
      <c r="DA40" t="s">
        <v>421</v>
      </c>
      <c r="DB40">
        <v>2</v>
      </c>
      <c r="DC40">
        <v>1761018108.5</v>
      </c>
      <c r="DD40">
        <v>420.5231111111111</v>
      </c>
      <c r="DE40">
        <v>420.0561111111111</v>
      </c>
      <c r="DF40">
        <v>23.93226666666667</v>
      </c>
      <c r="DG40">
        <v>23.90751111111111</v>
      </c>
      <c r="DH40">
        <v>421.1402222222222</v>
      </c>
      <c r="DI40">
        <v>23.72468888888889</v>
      </c>
      <c r="DJ40">
        <v>499.9873333333334</v>
      </c>
      <c r="DK40">
        <v>90.77204444444445</v>
      </c>
      <c r="DL40">
        <v>0.03512402222222222</v>
      </c>
      <c r="DM40">
        <v>30.14546666666667</v>
      </c>
      <c r="DN40">
        <v>30.03764444444444</v>
      </c>
      <c r="DO40">
        <v>999.9000000000001</v>
      </c>
      <c r="DP40">
        <v>0</v>
      </c>
      <c r="DQ40">
        <v>0</v>
      </c>
      <c r="DR40">
        <v>9997.692222222222</v>
      </c>
      <c r="DS40">
        <v>0</v>
      </c>
      <c r="DT40">
        <v>0.242856</v>
      </c>
      <c r="DU40">
        <v>0.4672343333333334</v>
      </c>
      <c r="DV40">
        <v>430.8342222222223</v>
      </c>
      <c r="DW40">
        <v>430.3444444444444</v>
      </c>
      <c r="DX40">
        <v>0.0247665</v>
      </c>
      <c r="DY40">
        <v>420.0561111111111</v>
      </c>
      <c r="DZ40">
        <v>23.90751111111111</v>
      </c>
      <c r="EA40">
        <v>2.172381111111112</v>
      </c>
      <c r="EB40">
        <v>2.170132222222222</v>
      </c>
      <c r="EC40">
        <v>18.76007777777778</v>
      </c>
      <c r="ED40">
        <v>18.74347777777778</v>
      </c>
      <c r="EE40">
        <v>0.00500078</v>
      </c>
      <c r="EF40">
        <v>0</v>
      </c>
      <c r="EG40">
        <v>0</v>
      </c>
      <c r="EH40">
        <v>0</v>
      </c>
      <c r="EI40">
        <v>151.9</v>
      </c>
      <c r="EJ40">
        <v>0.00500078</v>
      </c>
      <c r="EK40">
        <v>-15.83333333333334</v>
      </c>
      <c r="EL40">
        <v>-0.9666666666666666</v>
      </c>
      <c r="EM40">
        <v>35.16644444444444</v>
      </c>
      <c r="EN40">
        <v>38.66644444444444</v>
      </c>
      <c r="EO40">
        <v>37.20099999999999</v>
      </c>
      <c r="EP40">
        <v>38.93022222222222</v>
      </c>
      <c r="EQ40">
        <v>37.944</v>
      </c>
      <c r="ER40">
        <v>0</v>
      </c>
      <c r="ES40">
        <v>0</v>
      </c>
      <c r="ET40">
        <v>0</v>
      </c>
      <c r="EU40">
        <v>1761018110.5</v>
      </c>
      <c r="EV40">
        <v>0</v>
      </c>
      <c r="EW40">
        <v>150.684</v>
      </c>
      <c r="EX40">
        <v>-18.58461583765864</v>
      </c>
      <c r="EY40">
        <v>37.7384618534845</v>
      </c>
      <c r="EZ40">
        <v>-17.344</v>
      </c>
      <c r="FA40">
        <v>15</v>
      </c>
      <c r="FB40">
        <v>1761018049.5</v>
      </c>
      <c r="FC40" t="s">
        <v>422</v>
      </c>
      <c r="FD40">
        <v>1761018049.5</v>
      </c>
      <c r="FE40">
        <v>1761018035.5</v>
      </c>
      <c r="FF40">
        <v>23</v>
      </c>
      <c r="FG40">
        <v>1.295</v>
      </c>
      <c r="FH40">
        <v>0.011</v>
      </c>
      <c r="FI40">
        <v>-0.618</v>
      </c>
      <c r="FJ40">
        <v>0.192</v>
      </c>
      <c r="FK40">
        <v>420</v>
      </c>
      <c r="FL40">
        <v>23</v>
      </c>
      <c r="FM40">
        <v>0.42</v>
      </c>
      <c r="FN40">
        <v>0.17</v>
      </c>
      <c r="FO40">
        <v>0.5769325500000001</v>
      </c>
      <c r="FP40">
        <v>-0.7885973133208269</v>
      </c>
      <c r="FQ40">
        <v>0.08846370372388611</v>
      </c>
      <c r="FR40">
        <v>0</v>
      </c>
      <c r="FS40">
        <v>150.4970588235294</v>
      </c>
      <c r="FT40">
        <v>1.563025158127887</v>
      </c>
      <c r="FU40">
        <v>6.41494052487755</v>
      </c>
      <c r="FV40">
        <v>0</v>
      </c>
      <c r="FW40">
        <v>-0.01714374</v>
      </c>
      <c r="FX40">
        <v>-0.3135472030018762</v>
      </c>
      <c r="FY40">
        <v>0.1154621406144495</v>
      </c>
      <c r="FZ40">
        <v>0</v>
      </c>
      <c r="GA40">
        <v>0</v>
      </c>
      <c r="GB40">
        <v>3</v>
      </c>
      <c r="GC40" t="s">
        <v>423</v>
      </c>
      <c r="GD40">
        <v>3.10964</v>
      </c>
      <c r="GE40">
        <v>2.72703</v>
      </c>
      <c r="GF40">
        <v>0.08857180000000001</v>
      </c>
      <c r="GG40">
        <v>0.08845749999999999</v>
      </c>
      <c r="GH40">
        <v>0.108479</v>
      </c>
      <c r="GI40">
        <v>0.109052</v>
      </c>
      <c r="GJ40">
        <v>23896</v>
      </c>
      <c r="GK40">
        <v>21685.8</v>
      </c>
      <c r="GL40">
        <v>26777.4</v>
      </c>
      <c r="GM40">
        <v>23998.9</v>
      </c>
      <c r="GN40">
        <v>38146.3</v>
      </c>
      <c r="GO40">
        <v>31556.4</v>
      </c>
      <c r="GP40">
        <v>46738.5</v>
      </c>
      <c r="GQ40">
        <v>37956.6</v>
      </c>
      <c r="GR40">
        <v>1.88498</v>
      </c>
      <c r="GS40">
        <v>1.87375</v>
      </c>
      <c r="GT40">
        <v>0.136331</v>
      </c>
      <c r="GU40">
        <v>0</v>
      </c>
      <c r="GV40">
        <v>27.804</v>
      </c>
      <c r="GW40">
        <v>999.9</v>
      </c>
      <c r="GX40">
        <v>63.2</v>
      </c>
      <c r="GY40">
        <v>29.1</v>
      </c>
      <c r="GZ40">
        <v>28.1646</v>
      </c>
      <c r="HA40">
        <v>61.7</v>
      </c>
      <c r="HB40">
        <v>19.7476</v>
      </c>
      <c r="HC40">
        <v>1</v>
      </c>
      <c r="HD40">
        <v>0.0760086</v>
      </c>
      <c r="HE40">
        <v>-1.5518</v>
      </c>
      <c r="HF40">
        <v>20.3287</v>
      </c>
      <c r="HG40">
        <v>5.22163</v>
      </c>
      <c r="HH40">
        <v>11.98</v>
      </c>
      <c r="HI40">
        <v>4.96515</v>
      </c>
      <c r="HJ40">
        <v>3.27585</v>
      </c>
      <c r="HK40">
        <v>9999</v>
      </c>
      <c r="HL40">
        <v>9999</v>
      </c>
      <c r="HM40">
        <v>9999</v>
      </c>
      <c r="HN40">
        <v>999.9</v>
      </c>
      <c r="HO40">
        <v>1.86362</v>
      </c>
      <c r="HP40">
        <v>1.85974</v>
      </c>
      <c r="HQ40">
        <v>1.85793</v>
      </c>
      <c r="HR40">
        <v>1.85934</v>
      </c>
      <c r="HS40">
        <v>1.85959</v>
      </c>
      <c r="HT40">
        <v>1.85804</v>
      </c>
      <c r="HU40">
        <v>1.85713</v>
      </c>
      <c r="HV40">
        <v>1.85205</v>
      </c>
      <c r="HW40">
        <v>0</v>
      </c>
      <c r="HX40">
        <v>0</v>
      </c>
      <c r="HY40">
        <v>0</v>
      </c>
      <c r="HZ40">
        <v>0</v>
      </c>
      <c r="IA40" t="s">
        <v>424</v>
      </c>
      <c r="IB40" t="s">
        <v>425</v>
      </c>
      <c r="IC40" t="s">
        <v>426</v>
      </c>
      <c r="ID40" t="s">
        <v>426</v>
      </c>
      <c r="IE40" t="s">
        <v>426</v>
      </c>
      <c r="IF40" t="s">
        <v>426</v>
      </c>
      <c r="IG40">
        <v>0</v>
      </c>
      <c r="IH40">
        <v>100</v>
      </c>
      <c r="II40">
        <v>100</v>
      </c>
      <c r="IJ40">
        <v>-0.617</v>
      </c>
      <c r="IK40">
        <v>0.2082</v>
      </c>
      <c r="IL40">
        <v>-1.405955206116699</v>
      </c>
      <c r="IM40">
        <v>0.001328113201692861</v>
      </c>
      <c r="IN40">
        <v>1.538283238170363E-06</v>
      </c>
      <c r="IO40">
        <v>-5.795655626708063E-10</v>
      </c>
      <c r="IP40">
        <v>-0.04918981781385694</v>
      </c>
      <c r="IQ40">
        <v>-0.004593102289677449</v>
      </c>
      <c r="IR40">
        <v>0.0008253994458280543</v>
      </c>
      <c r="IS40">
        <v>-7.403632370499484E-06</v>
      </c>
      <c r="IT40">
        <v>2</v>
      </c>
      <c r="IU40">
        <v>1985</v>
      </c>
      <c r="IV40">
        <v>1</v>
      </c>
      <c r="IW40">
        <v>27</v>
      </c>
      <c r="IX40">
        <v>1</v>
      </c>
      <c r="IY40">
        <v>1.3</v>
      </c>
      <c r="IZ40">
        <v>1.12061</v>
      </c>
      <c r="JA40">
        <v>2.54883</v>
      </c>
      <c r="JB40">
        <v>1.49658</v>
      </c>
      <c r="JC40">
        <v>2.34253</v>
      </c>
      <c r="JD40">
        <v>1.54907</v>
      </c>
      <c r="JE40">
        <v>2.40234</v>
      </c>
      <c r="JF40">
        <v>31.6955</v>
      </c>
      <c r="JG40">
        <v>14.6661</v>
      </c>
      <c r="JH40">
        <v>18</v>
      </c>
      <c r="JI40">
        <v>483.108</v>
      </c>
      <c r="JJ40">
        <v>505.481</v>
      </c>
      <c r="JK40">
        <v>31.0637</v>
      </c>
      <c r="JL40">
        <v>28.239</v>
      </c>
      <c r="JM40">
        <v>29.9995</v>
      </c>
      <c r="JN40">
        <v>28.5391</v>
      </c>
      <c r="JO40">
        <v>28.5397</v>
      </c>
      <c r="JP40">
        <v>22.5348</v>
      </c>
      <c r="JQ40">
        <v>21.8932</v>
      </c>
      <c r="JR40">
        <v>81.53149999999999</v>
      </c>
      <c r="JS40">
        <v>31.0414</v>
      </c>
      <c r="JT40">
        <v>420</v>
      </c>
      <c r="JU40">
        <v>23.4764</v>
      </c>
      <c r="JV40">
        <v>102.206</v>
      </c>
      <c r="JW40">
        <v>91.54859999999999</v>
      </c>
    </row>
    <row r="41" spans="1:283">
      <c r="A41">
        <v>23</v>
      </c>
      <c r="B41">
        <v>1761018113.5</v>
      </c>
      <c r="C41">
        <v>44</v>
      </c>
      <c r="D41" t="s">
        <v>471</v>
      </c>
      <c r="E41" t="s">
        <v>472</v>
      </c>
      <c r="F41">
        <v>5</v>
      </c>
      <c r="G41" t="s">
        <v>419</v>
      </c>
      <c r="H41">
        <v>1761018110.5</v>
      </c>
      <c r="I41">
        <f>(J41)/1000</f>
        <v>0</v>
      </c>
      <c r="J41">
        <f>1000*DJ41*AH41*(DF41-DG41)/(100*CY41*(1000-AH41*DF41))</f>
        <v>0</v>
      </c>
      <c r="K41">
        <f>DJ41*AH41*(DE41-DD41*(1000-AH41*DG41)/(1000-AH41*DF41))/(100*CY41)</f>
        <v>0</v>
      </c>
      <c r="L41">
        <f>DD41 - IF(AH41&gt;1, K41*CY41*100.0/(AJ41), 0)</f>
        <v>0</v>
      </c>
      <c r="M41">
        <f>((S41-I41/2)*L41-K41)/(S41+I41/2)</f>
        <v>0</v>
      </c>
      <c r="N41">
        <f>M41*(DK41+DL41)/1000.0</f>
        <v>0</v>
      </c>
      <c r="O41">
        <f>(DD41 - IF(AH41&gt;1, K41*CY41*100.0/(AJ41), 0))*(DK41+DL41)/1000.0</f>
        <v>0</v>
      </c>
      <c r="P41">
        <f>2.0/((1/R41-1/Q41)+SIGN(R41)*SQRT((1/R41-1/Q41)*(1/R41-1/Q41) + 4*CZ41/((CZ41+1)*(CZ41+1))*(2*1/R41*1/Q41-1/Q41*1/Q41)))</f>
        <v>0</v>
      </c>
      <c r="Q41">
        <f>IF(LEFT(DA41,1)&lt;&gt;"0",IF(LEFT(DA41,1)="1",3.0,DB41),$D$5+$E$5*(DR41*DK41/($K$5*1000))+$F$5*(DR41*DK41/($K$5*1000))*MAX(MIN(CY41,$J$5),$I$5)*MAX(MIN(CY41,$J$5),$I$5)+$G$5*MAX(MIN(CY41,$J$5),$I$5)*(DR41*DK41/($K$5*1000))+$H$5*(DR41*DK41/($K$5*1000))*(DR41*DK41/($K$5*1000)))</f>
        <v>0</v>
      </c>
      <c r="R41">
        <f>I41*(1000-(1000*0.61365*exp(17.502*V41/(240.97+V41))/(DK41+DL41)+DF41)/2)/(1000*0.61365*exp(17.502*V41/(240.97+V41))/(DK41+DL41)-DF41)</f>
        <v>0</v>
      </c>
      <c r="S41">
        <f>1/((CZ41+1)/(P41/1.6)+1/(Q41/1.37)) + CZ41/((CZ41+1)/(P41/1.6) + CZ41/(Q41/1.37))</f>
        <v>0</v>
      </c>
      <c r="T41">
        <f>(CU41*CX41)</f>
        <v>0</v>
      </c>
      <c r="U41">
        <f>(DM41+(T41+2*0.95*5.67E-8*(((DM41+$B$9)+273)^4-(DM41+273)^4)-44100*I41)/(1.84*29.3*Q41+8*0.95*5.67E-8*(DM41+273)^3))</f>
        <v>0</v>
      </c>
      <c r="V41">
        <f>($C$9*DN41+$D$9*DO41+$E$9*U41)</f>
        <v>0</v>
      </c>
      <c r="W41">
        <f>0.61365*exp(17.502*V41/(240.97+V41))</f>
        <v>0</v>
      </c>
      <c r="X41">
        <f>(Y41/Z41*100)</f>
        <v>0</v>
      </c>
      <c r="Y41">
        <f>DF41*(DK41+DL41)/1000</f>
        <v>0</v>
      </c>
      <c r="Z41">
        <f>0.61365*exp(17.502*DM41/(240.97+DM41))</f>
        <v>0</v>
      </c>
      <c r="AA41">
        <f>(W41-DF41*(DK41+DL41)/1000)</f>
        <v>0</v>
      </c>
      <c r="AB41">
        <f>(-I41*44100)</f>
        <v>0</v>
      </c>
      <c r="AC41">
        <f>2*29.3*Q41*0.92*(DM41-V41)</f>
        <v>0</v>
      </c>
      <c r="AD41">
        <f>2*0.95*5.67E-8*(((DM41+$B$9)+273)^4-(V41+273)^4)</f>
        <v>0</v>
      </c>
      <c r="AE41">
        <f>T41+AD41+AB41+AC41</f>
        <v>0</v>
      </c>
      <c r="AF41">
        <v>0</v>
      </c>
      <c r="AG41">
        <v>0</v>
      </c>
      <c r="AH41">
        <f>IF(AF41*$H$15&gt;=AJ41,1.0,(AJ41/(AJ41-AF41*$H$15)))</f>
        <v>0</v>
      </c>
      <c r="AI41">
        <f>(AH41-1)*100</f>
        <v>0</v>
      </c>
      <c r="AJ41">
        <f>MAX(0,($B$15+$C$15*DR41)/(1+$D$15*DR41)*DK41/(DM41+273)*$E$15)</f>
        <v>0</v>
      </c>
      <c r="AK41" t="s">
        <v>420</v>
      </c>
      <c r="AL41" t="s">
        <v>420</v>
      </c>
      <c r="AM41">
        <v>0</v>
      </c>
      <c r="AN41">
        <v>0</v>
      </c>
      <c r="AO41">
        <f>1-AM41/AN41</f>
        <v>0</v>
      </c>
      <c r="AP41">
        <v>0</v>
      </c>
      <c r="AQ41" t="s">
        <v>420</v>
      </c>
      <c r="AR41" t="s">
        <v>420</v>
      </c>
      <c r="AS41">
        <v>0</v>
      </c>
      <c r="AT41">
        <v>0</v>
      </c>
      <c r="AU41">
        <f>1-AS41/AT41</f>
        <v>0</v>
      </c>
      <c r="AV41">
        <v>0.5</v>
      </c>
      <c r="AW41">
        <f>CV41</f>
        <v>0</v>
      </c>
      <c r="AX41">
        <f>K41</f>
        <v>0</v>
      </c>
      <c r="AY41">
        <f>AU41*AV41*AW41</f>
        <v>0</v>
      </c>
      <c r="AZ41">
        <f>(AX41-AP41)/AW41</f>
        <v>0</v>
      </c>
      <c r="BA41">
        <f>(AN41-AT41)/AT41</f>
        <v>0</v>
      </c>
      <c r="BB41">
        <f>AM41/(AO41+AM41/AT41)</f>
        <v>0</v>
      </c>
      <c r="BC41" t="s">
        <v>420</v>
      </c>
      <c r="BD41">
        <v>0</v>
      </c>
      <c r="BE41">
        <f>IF(BD41&lt;&gt;0, BD41, BB41)</f>
        <v>0</v>
      </c>
      <c r="BF41">
        <f>1-BE41/AT41</f>
        <v>0</v>
      </c>
      <c r="BG41">
        <f>(AT41-AS41)/(AT41-BE41)</f>
        <v>0</v>
      </c>
      <c r="BH41">
        <f>(AN41-AT41)/(AN41-BE41)</f>
        <v>0</v>
      </c>
      <c r="BI41">
        <f>(AT41-AS41)/(AT41-AM41)</f>
        <v>0</v>
      </c>
      <c r="BJ41">
        <f>(AN41-AT41)/(AN41-AM41)</f>
        <v>0</v>
      </c>
      <c r="BK41">
        <f>(BG41*BE41/AS41)</f>
        <v>0</v>
      </c>
      <c r="BL41">
        <f>(1-BK41)</f>
        <v>0</v>
      </c>
      <c r="CU41">
        <f>$B$13*DS41+$C$13*DT41+$F$13*EE41*(1-EH41)</f>
        <v>0</v>
      </c>
      <c r="CV41">
        <f>CU41*CW41</f>
        <v>0</v>
      </c>
      <c r="CW41">
        <f>($B$13*$D$11+$C$13*$D$11+$F$13*((ER41+EJ41)/MAX(ER41+EJ41+ES41, 0.1)*$I$11+ES41/MAX(ER41+EJ41+ES41, 0.1)*$J$11))/($B$13+$C$13+$F$13)</f>
        <v>0</v>
      </c>
      <c r="CX41">
        <f>($B$13*$K$11+$C$13*$K$11+$F$13*((ER41+EJ41)/MAX(ER41+EJ41+ES41, 0.1)*$P$11+ES41/MAX(ER41+EJ41+ES41, 0.1)*$Q$11))/($B$13+$C$13+$F$13)</f>
        <v>0</v>
      </c>
      <c r="CY41">
        <v>2.7</v>
      </c>
      <c r="CZ41">
        <v>0.5</v>
      </c>
      <c r="DA41" t="s">
        <v>421</v>
      </c>
      <c r="DB41">
        <v>2</v>
      </c>
      <c r="DC41">
        <v>1761018110.5</v>
      </c>
      <c r="DD41">
        <v>420.5497777777777</v>
      </c>
      <c r="DE41">
        <v>420.1262222222222</v>
      </c>
      <c r="DF41">
        <v>23.94974444444444</v>
      </c>
      <c r="DG41">
        <v>23.8341</v>
      </c>
      <c r="DH41">
        <v>421.1667777777778</v>
      </c>
      <c r="DI41">
        <v>23.74178888888889</v>
      </c>
      <c r="DJ41">
        <v>499.9592222222222</v>
      </c>
      <c r="DK41">
        <v>90.77109999999999</v>
      </c>
      <c r="DL41">
        <v>0.03530208888888889</v>
      </c>
      <c r="DM41">
        <v>30.13841111111111</v>
      </c>
      <c r="DN41">
        <v>30.02943333333333</v>
      </c>
      <c r="DO41">
        <v>999.9000000000001</v>
      </c>
      <c r="DP41">
        <v>0</v>
      </c>
      <c r="DQ41">
        <v>0</v>
      </c>
      <c r="DR41">
        <v>9994.778888888888</v>
      </c>
      <c r="DS41">
        <v>0</v>
      </c>
      <c r="DT41">
        <v>0.242856</v>
      </c>
      <c r="DU41">
        <v>0.4236686666666667</v>
      </c>
      <c r="DV41">
        <v>430.8691111111111</v>
      </c>
      <c r="DW41">
        <v>430.3841111111112</v>
      </c>
      <c r="DX41">
        <v>0.1156463555555556</v>
      </c>
      <c r="DY41">
        <v>420.1262222222222</v>
      </c>
      <c r="DZ41">
        <v>23.8341</v>
      </c>
      <c r="EA41">
        <v>2.173944444444444</v>
      </c>
      <c r="EB41">
        <v>2.163446666666667</v>
      </c>
      <c r="EC41">
        <v>18.77158888888889</v>
      </c>
      <c r="ED41">
        <v>18.69408888888889</v>
      </c>
      <c r="EE41">
        <v>0.00500078</v>
      </c>
      <c r="EF41">
        <v>0</v>
      </c>
      <c r="EG41">
        <v>0</v>
      </c>
      <c r="EH41">
        <v>0</v>
      </c>
      <c r="EI41">
        <v>150.5222222222222</v>
      </c>
      <c r="EJ41">
        <v>0.00500078</v>
      </c>
      <c r="EK41">
        <v>-13.37777777777778</v>
      </c>
      <c r="EL41">
        <v>-0.1555555555555556</v>
      </c>
      <c r="EM41">
        <v>35.14566666666667</v>
      </c>
      <c r="EN41">
        <v>38.61777777777777</v>
      </c>
      <c r="EO41">
        <v>37.20811111111111</v>
      </c>
      <c r="EP41">
        <v>38.86088888888889</v>
      </c>
      <c r="EQ41">
        <v>37.944</v>
      </c>
      <c r="ER41">
        <v>0</v>
      </c>
      <c r="ES41">
        <v>0</v>
      </c>
      <c r="ET41">
        <v>0</v>
      </c>
      <c r="EU41">
        <v>1761018112.9</v>
      </c>
      <c r="EV41">
        <v>0</v>
      </c>
      <c r="EW41">
        <v>150.564</v>
      </c>
      <c r="EX41">
        <v>6.323076687949934</v>
      </c>
      <c r="EY41">
        <v>15.47692334689564</v>
      </c>
      <c r="EZ41">
        <v>-16.248</v>
      </c>
      <c r="FA41">
        <v>15</v>
      </c>
      <c r="FB41">
        <v>1761018049.5</v>
      </c>
      <c r="FC41" t="s">
        <v>422</v>
      </c>
      <c r="FD41">
        <v>1761018049.5</v>
      </c>
      <c r="FE41">
        <v>1761018035.5</v>
      </c>
      <c r="FF41">
        <v>23</v>
      </c>
      <c r="FG41">
        <v>1.295</v>
      </c>
      <c r="FH41">
        <v>0.011</v>
      </c>
      <c r="FI41">
        <v>-0.618</v>
      </c>
      <c r="FJ41">
        <v>0.192</v>
      </c>
      <c r="FK41">
        <v>420</v>
      </c>
      <c r="FL41">
        <v>23</v>
      </c>
      <c r="FM41">
        <v>0.42</v>
      </c>
      <c r="FN41">
        <v>0.17</v>
      </c>
      <c r="FO41">
        <v>0.5572003658536585</v>
      </c>
      <c r="FP41">
        <v>-0.8239194146341474</v>
      </c>
      <c r="FQ41">
        <v>0.09345979535627545</v>
      </c>
      <c r="FR41">
        <v>0</v>
      </c>
      <c r="FS41">
        <v>150.3617647058824</v>
      </c>
      <c r="FT41">
        <v>-6.110007730245674</v>
      </c>
      <c r="FU41">
        <v>6.409735917561032</v>
      </c>
      <c r="FV41">
        <v>0</v>
      </c>
      <c r="FW41">
        <v>-0.01542133170731707</v>
      </c>
      <c r="FX41">
        <v>0.2102903707317073</v>
      </c>
      <c r="FY41">
        <v>0.111566782097434</v>
      </c>
      <c r="FZ41">
        <v>0</v>
      </c>
      <c r="GA41">
        <v>0</v>
      </c>
      <c r="GB41">
        <v>3</v>
      </c>
      <c r="GC41" t="s">
        <v>423</v>
      </c>
      <c r="GD41">
        <v>3.10945</v>
      </c>
      <c r="GE41">
        <v>2.72737</v>
      </c>
      <c r="GF41">
        <v>0.088575</v>
      </c>
      <c r="GG41">
        <v>0.0884479</v>
      </c>
      <c r="GH41">
        <v>0.108442</v>
      </c>
      <c r="GI41">
        <v>0.108637</v>
      </c>
      <c r="GJ41">
        <v>23895.9</v>
      </c>
      <c r="GK41">
        <v>21685.9</v>
      </c>
      <c r="GL41">
        <v>26777.4</v>
      </c>
      <c r="GM41">
        <v>23998.8</v>
      </c>
      <c r="GN41">
        <v>38147.9</v>
      </c>
      <c r="GO41">
        <v>31570.9</v>
      </c>
      <c r="GP41">
        <v>46738.5</v>
      </c>
      <c r="GQ41">
        <v>37956.3</v>
      </c>
      <c r="GR41">
        <v>1.88482</v>
      </c>
      <c r="GS41">
        <v>1.87375</v>
      </c>
      <c r="GT41">
        <v>0.135794</v>
      </c>
      <c r="GU41">
        <v>0</v>
      </c>
      <c r="GV41">
        <v>27.8058</v>
      </c>
      <c r="GW41">
        <v>999.9</v>
      </c>
      <c r="GX41">
        <v>63.2</v>
      </c>
      <c r="GY41">
        <v>29.1</v>
      </c>
      <c r="GZ41">
        <v>28.1683</v>
      </c>
      <c r="HA41">
        <v>61.44</v>
      </c>
      <c r="HB41">
        <v>20.008</v>
      </c>
      <c r="HC41">
        <v>1</v>
      </c>
      <c r="HD41">
        <v>0.0758867</v>
      </c>
      <c r="HE41">
        <v>-1.53313</v>
      </c>
      <c r="HF41">
        <v>20.329</v>
      </c>
      <c r="HG41">
        <v>5.22178</v>
      </c>
      <c r="HH41">
        <v>11.98</v>
      </c>
      <c r="HI41">
        <v>4.9652</v>
      </c>
      <c r="HJ41">
        <v>3.27578</v>
      </c>
      <c r="HK41">
        <v>9999</v>
      </c>
      <c r="HL41">
        <v>9999</v>
      </c>
      <c r="HM41">
        <v>9999</v>
      </c>
      <c r="HN41">
        <v>999.9</v>
      </c>
      <c r="HO41">
        <v>1.8636</v>
      </c>
      <c r="HP41">
        <v>1.85974</v>
      </c>
      <c r="HQ41">
        <v>1.85794</v>
      </c>
      <c r="HR41">
        <v>1.85932</v>
      </c>
      <c r="HS41">
        <v>1.85959</v>
      </c>
      <c r="HT41">
        <v>1.85804</v>
      </c>
      <c r="HU41">
        <v>1.85709</v>
      </c>
      <c r="HV41">
        <v>1.85204</v>
      </c>
      <c r="HW41">
        <v>0</v>
      </c>
      <c r="HX41">
        <v>0</v>
      </c>
      <c r="HY41">
        <v>0</v>
      </c>
      <c r="HZ41">
        <v>0</v>
      </c>
      <c r="IA41" t="s">
        <v>424</v>
      </c>
      <c r="IB41" t="s">
        <v>425</v>
      </c>
      <c r="IC41" t="s">
        <v>426</v>
      </c>
      <c r="ID41" t="s">
        <v>426</v>
      </c>
      <c r="IE41" t="s">
        <v>426</v>
      </c>
      <c r="IF41" t="s">
        <v>426</v>
      </c>
      <c r="IG41">
        <v>0</v>
      </c>
      <c r="IH41">
        <v>100</v>
      </c>
      <c r="II41">
        <v>100</v>
      </c>
      <c r="IJ41">
        <v>-0.617</v>
      </c>
      <c r="IK41">
        <v>0.2079</v>
      </c>
      <c r="IL41">
        <v>-1.405955206116699</v>
      </c>
      <c r="IM41">
        <v>0.001328113201692861</v>
      </c>
      <c r="IN41">
        <v>1.538283238170363E-06</v>
      </c>
      <c r="IO41">
        <v>-5.795655626708063E-10</v>
      </c>
      <c r="IP41">
        <v>-0.04918981781385694</v>
      </c>
      <c r="IQ41">
        <v>-0.004593102289677449</v>
      </c>
      <c r="IR41">
        <v>0.0008253994458280543</v>
      </c>
      <c r="IS41">
        <v>-7.403632370499484E-06</v>
      </c>
      <c r="IT41">
        <v>2</v>
      </c>
      <c r="IU41">
        <v>1985</v>
      </c>
      <c r="IV41">
        <v>1</v>
      </c>
      <c r="IW41">
        <v>27</v>
      </c>
      <c r="IX41">
        <v>1.1</v>
      </c>
      <c r="IY41">
        <v>1.3</v>
      </c>
      <c r="IZ41">
        <v>1.12061</v>
      </c>
      <c r="JA41">
        <v>2.55371</v>
      </c>
      <c r="JB41">
        <v>1.49658</v>
      </c>
      <c r="JC41">
        <v>2.34253</v>
      </c>
      <c r="JD41">
        <v>1.54907</v>
      </c>
      <c r="JE41">
        <v>2.43896</v>
      </c>
      <c r="JF41">
        <v>31.6955</v>
      </c>
      <c r="JG41">
        <v>14.6661</v>
      </c>
      <c r="JH41">
        <v>18</v>
      </c>
      <c r="JI41">
        <v>482.998</v>
      </c>
      <c r="JJ41">
        <v>505.454</v>
      </c>
      <c r="JK41">
        <v>31.0478</v>
      </c>
      <c r="JL41">
        <v>28.2366</v>
      </c>
      <c r="JM41">
        <v>29.9996</v>
      </c>
      <c r="JN41">
        <v>28.5361</v>
      </c>
      <c r="JO41">
        <v>28.5367</v>
      </c>
      <c r="JP41">
        <v>22.5364</v>
      </c>
      <c r="JQ41">
        <v>21.8932</v>
      </c>
      <c r="JR41">
        <v>81.53149999999999</v>
      </c>
      <c r="JS41">
        <v>31.0414</v>
      </c>
      <c r="JT41">
        <v>420</v>
      </c>
      <c r="JU41">
        <v>23.4748</v>
      </c>
      <c r="JV41">
        <v>102.207</v>
      </c>
      <c r="JW41">
        <v>91.5479</v>
      </c>
    </row>
    <row r="42" spans="1:283">
      <c r="A42">
        <v>24</v>
      </c>
      <c r="B42">
        <v>1761018115.5</v>
      </c>
      <c r="C42">
        <v>46</v>
      </c>
      <c r="D42" t="s">
        <v>473</v>
      </c>
      <c r="E42" t="s">
        <v>474</v>
      </c>
      <c r="F42">
        <v>5</v>
      </c>
      <c r="G42" t="s">
        <v>419</v>
      </c>
      <c r="H42">
        <v>1761018112.5</v>
      </c>
      <c r="I42">
        <f>(J42)/1000</f>
        <v>0</v>
      </c>
      <c r="J42">
        <f>1000*DJ42*AH42*(DF42-DG42)/(100*CY42*(1000-AH42*DF42))</f>
        <v>0</v>
      </c>
      <c r="K42">
        <f>DJ42*AH42*(DE42-DD42*(1000-AH42*DG42)/(1000-AH42*DF42))/(100*CY42)</f>
        <v>0</v>
      </c>
      <c r="L42">
        <f>DD42 - IF(AH42&gt;1, K42*CY42*100.0/(AJ42), 0)</f>
        <v>0</v>
      </c>
      <c r="M42">
        <f>((S42-I42/2)*L42-K42)/(S42+I42/2)</f>
        <v>0</v>
      </c>
      <c r="N42">
        <f>M42*(DK42+DL42)/1000.0</f>
        <v>0</v>
      </c>
      <c r="O42">
        <f>(DD42 - IF(AH42&gt;1, K42*CY42*100.0/(AJ42), 0))*(DK42+DL42)/1000.0</f>
        <v>0</v>
      </c>
      <c r="P42">
        <f>2.0/((1/R42-1/Q42)+SIGN(R42)*SQRT((1/R42-1/Q42)*(1/R42-1/Q42) + 4*CZ42/((CZ42+1)*(CZ42+1))*(2*1/R42*1/Q42-1/Q42*1/Q42)))</f>
        <v>0</v>
      </c>
      <c r="Q42">
        <f>IF(LEFT(DA42,1)&lt;&gt;"0",IF(LEFT(DA42,1)="1",3.0,DB42),$D$5+$E$5*(DR42*DK42/($K$5*1000))+$F$5*(DR42*DK42/($K$5*1000))*MAX(MIN(CY42,$J$5),$I$5)*MAX(MIN(CY42,$J$5),$I$5)+$G$5*MAX(MIN(CY42,$J$5),$I$5)*(DR42*DK42/($K$5*1000))+$H$5*(DR42*DK42/($K$5*1000))*(DR42*DK42/($K$5*1000)))</f>
        <v>0</v>
      </c>
      <c r="R42">
        <f>I42*(1000-(1000*0.61365*exp(17.502*V42/(240.97+V42))/(DK42+DL42)+DF42)/2)/(1000*0.61365*exp(17.502*V42/(240.97+V42))/(DK42+DL42)-DF42)</f>
        <v>0</v>
      </c>
      <c r="S42">
        <f>1/((CZ42+1)/(P42/1.6)+1/(Q42/1.37)) + CZ42/((CZ42+1)/(P42/1.6) + CZ42/(Q42/1.37))</f>
        <v>0</v>
      </c>
      <c r="T42">
        <f>(CU42*CX42)</f>
        <v>0</v>
      </c>
      <c r="U42">
        <f>(DM42+(T42+2*0.95*5.67E-8*(((DM42+$B$9)+273)^4-(DM42+273)^4)-44100*I42)/(1.84*29.3*Q42+8*0.95*5.67E-8*(DM42+273)^3))</f>
        <v>0</v>
      </c>
      <c r="V42">
        <f>($C$9*DN42+$D$9*DO42+$E$9*U42)</f>
        <v>0</v>
      </c>
      <c r="W42">
        <f>0.61365*exp(17.502*V42/(240.97+V42))</f>
        <v>0</v>
      </c>
      <c r="X42">
        <f>(Y42/Z42*100)</f>
        <v>0</v>
      </c>
      <c r="Y42">
        <f>DF42*(DK42+DL42)/1000</f>
        <v>0</v>
      </c>
      <c r="Z42">
        <f>0.61365*exp(17.502*DM42/(240.97+DM42))</f>
        <v>0</v>
      </c>
      <c r="AA42">
        <f>(W42-DF42*(DK42+DL42)/1000)</f>
        <v>0</v>
      </c>
      <c r="AB42">
        <f>(-I42*44100)</f>
        <v>0</v>
      </c>
      <c r="AC42">
        <f>2*29.3*Q42*0.92*(DM42-V42)</f>
        <v>0</v>
      </c>
      <c r="AD42">
        <f>2*0.95*5.67E-8*(((DM42+$B$9)+273)^4-(V42+273)^4)</f>
        <v>0</v>
      </c>
      <c r="AE42">
        <f>T42+AD42+AB42+AC42</f>
        <v>0</v>
      </c>
      <c r="AF42">
        <v>0</v>
      </c>
      <c r="AG42">
        <v>0</v>
      </c>
      <c r="AH42">
        <f>IF(AF42*$H$15&gt;=AJ42,1.0,(AJ42/(AJ42-AF42*$H$15)))</f>
        <v>0</v>
      </c>
      <c r="AI42">
        <f>(AH42-1)*100</f>
        <v>0</v>
      </c>
      <c r="AJ42">
        <f>MAX(0,($B$15+$C$15*DR42)/(1+$D$15*DR42)*DK42/(DM42+273)*$E$15)</f>
        <v>0</v>
      </c>
      <c r="AK42" t="s">
        <v>420</v>
      </c>
      <c r="AL42" t="s">
        <v>420</v>
      </c>
      <c r="AM42">
        <v>0</v>
      </c>
      <c r="AN42">
        <v>0</v>
      </c>
      <c r="AO42">
        <f>1-AM42/AN42</f>
        <v>0</v>
      </c>
      <c r="AP42">
        <v>0</v>
      </c>
      <c r="AQ42" t="s">
        <v>420</v>
      </c>
      <c r="AR42" t="s">
        <v>420</v>
      </c>
      <c r="AS42">
        <v>0</v>
      </c>
      <c r="AT42">
        <v>0</v>
      </c>
      <c r="AU42">
        <f>1-AS42/AT42</f>
        <v>0</v>
      </c>
      <c r="AV42">
        <v>0.5</v>
      </c>
      <c r="AW42">
        <f>CV42</f>
        <v>0</v>
      </c>
      <c r="AX42">
        <f>K42</f>
        <v>0</v>
      </c>
      <c r="AY42">
        <f>AU42*AV42*AW42</f>
        <v>0</v>
      </c>
      <c r="AZ42">
        <f>(AX42-AP42)/AW42</f>
        <v>0</v>
      </c>
      <c r="BA42">
        <f>(AN42-AT42)/AT42</f>
        <v>0</v>
      </c>
      <c r="BB42">
        <f>AM42/(AO42+AM42/AT42)</f>
        <v>0</v>
      </c>
      <c r="BC42" t="s">
        <v>420</v>
      </c>
      <c r="BD42">
        <v>0</v>
      </c>
      <c r="BE42">
        <f>IF(BD42&lt;&gt;0, BD42, BB42)</f>
        <v>0</v>
      </c>
      <c r="BF42">
        <f>1-BE42/AT42</f>
        <v>0</v>
      </c>
      <c r="BG42">
        <f>(AT42-AS42)/(AT42-BE42)</f>
        <v>0</v>
      </c>
      <c r="BH42">
        <f>(AN42-AT42)/(AN42-BE42)</f>
        <v>0</v>
      </c>
      <c r="BI42">
        <f>(AT42-AS42)/(AT42-AM42)</f>
        <v>0</v>
      </c>
      <c r="BJ42">
        <f>(AN42-AT42)/(AN42-AM42)</f>
        <v>0</v>
      </c>
      <c r="BK42">
        <f>(BG42*BE42/AS42)</f>
        <v>0</v>
      </c>
      <c r="BL42">
        <f>(1-BK42)</f>
        <v>0</v>
      </c>
      <c r="CU42">
        <f>$B$13*DS42+$C$13*DT42+$F$13*EE42*(1-EH42)</f>
        <v>0</v>
      </c>
      <c r="CV42">
        <f>CU42*CW42</f>
        <v>0</v>
      </c>
      <c r="CW42">
        <f>($B$13*$D$11+$C$13*$D$11+$F$13*((ER42+EJ42)/MAX(ER42+EJ42+ES42, 0.1)*$I$11+ES42/MAX(ER42+EJ42+ES42, 0.1)*$J$11))/($B$13+$C$13+$F$13)</f>
        <v>0</v>
      </c>
      <c r="CX42">
        <f>($B$13*$K$11+$C$13*$K$11+$F$13*((ER42+EJ42)/MAX(ER42+EJ42+ES42, 0.1)*$P$11+ES42/MAX(ER42+EJ42+ES42, 0.1)*$Q$11))/($B$13+$C$13+$F$13)</f>
        <v>0</v>
      </c>
      <c r="CY42">
        <v>2.7</v>
      </c>
      <c r="CZ42">
        <v>0.5</v>
      </c>
      <c r="DA42" t="s">
        <v>421</v>
      </c>
      <c r="DB42">
        <v>2</v>
      </c>
      <c r="DC42">
        <v>1761018112.5</v>
      </c>
      <c r="DD42">
        <v>420.582</v>
      </c>
      <c r="DE42">
        <v>420.1318888888889</v>
      </c>
      <c r="DF42">
        <v>23.94751111111112</v>
      </c>
      <c r="DG42">
        <v>23.72534444444445</v>
      </c>
      <c r="DH42">
        <v>421.199</v>
      </c>
      <c r="DI42">
        <v>23.7396</v>
      </c>
      <c r="DJ42">
        <v>499.9220000000001</v>
      </c>
      <c r="DK42">
        <v>90.76994444444443</v>
      </c>
      <c r="DL42">
        <v>0.03557443333333334</v>
      </c>
      <c r="DM42">
        <v>30.13103333333333</v>
      </c>
      <c r="DN42">
        <v>30.02124444444444</v>
      </c>
      <c r="DO42">
        <v>999.9000000000001</v>
      </c>
      <c r="DP42">
        <v>0</v>
      </c>
      <c r="DQ42">
        <v>0</v>
      </c>
      <c r="DR42">
        <v>9992.921111111109</v>
      </c>
      <c r="DS42">
        <v>0</v>
      </c>
      <c r="DT42">
        <v>0.242856</v>
      </c>
      <c r="DU42">
        <v>0.4501443333333334</v>
      </c>
      <c r="DV42">
        <v>430.901</v>
      </c>
      <c r="DW42">
        <v>430.342</v>
      </c>
      <c r="DX42">
        <v>0.2221697555555556</v>
      </c>
      <c r="DY42">
        <v>420.1318888888889</v>
      </c>
      <c r="DZ42">
        <v>23.72534444444445</v>
      </c>
      <c r="EA42">
        <v>2.173714444444445</v>
      </c>
      <c r="EB42">
        <v>2.153546666666666</v>
      </c>
      <c r="EC42">
        <v>18.76988888888889</v>
      </c>
      <c r="ED42">
        <v>18.62072222222222</v>
      </c>
      <c r="EE42">
        <v>0.00500078</v>
      </c>
      <c r="EF42">
        <v>0</v>
      </c>
      <c r="EG42">
        <v>0</v>
      </c>
      <c r="EH42">
        <v>0</v>
      </c>
      <c r="EI42">
        <v>150.7888888888889</v>
      </c>
      <c r="EJ42">
        <v>0.00500078</v>
      </c>
      <c r="EK42">
        <v>-13.67777777777778</v>
      </c>
      <c r="EL42">
        <v>-0.09999999999999999</v>
      </c>
      <c r="EM42">
        <v>35.13188888888889</v>
      </c>
      <c r="EN42">
        <v>38.583</v>
      </c>
      <c r="EO42">
        <v>37.104</v>
      </c>
      <c r="EP42">
        <v>38.80533333333333</v>
      </c>
      <c r="EQ42">
        <v>37.96488888888889</v>
      </c>
      <c r="ER42">
        <v>0</v>
      </c>
      <c r="ES42">
        <v>0</v>
      </c>
      <c r="ET42">
        <v>0</v>
      </c>
      <c r="EU42">
        <v>1761018114.7</v>
      </c>
      <c r="EV42">
        <v>0</v>
      </c>
      <c r="EW42">
        <v>149.8384615384615</v>
      </c>
      <c r="EX42">
        <v>-6.632478657999948</v>
      </c>
      <c r="EY42">
        <v>23.62735064042291</v>
      </c>
      <c r="EZ42">
        <v>-15.30384615384616</v>
      </c>
      <c r="FA42">
        <v>15</v>
      </c>
      <c r="FB42">
        <v>1761018049.5</v>
      </c>
      <c r="FC42" t="s">
        <v>422</v>
      </c>
      <c r="FD42">
        <v>1761018049.5</v>
      </c>
      <c r="FE42">
        <v>1761018035.5</v>
      </c>
      <c r="FF42">
        <v>23</v>
      </c>
      <c r="FG42">
        <v>1.295</v>
      </c>
      <c r="FH42">
        <v>0.011</v>
      </c>
      <c r="FI42">
        <v>-0.618</v>
      </c>
      <c r="FJ42">
        <v>0.192</v>
      </c>
      <c r="FK42">
        <v>420</v>
      </c>
      <c r="FL42">
        <v>23</v>
      </c>
      <c r="FM42">
        <v>0.42</v>
      </c>
      <c r="FN42">
        <v>0.17</v>
      </c>
      <c r="FO42">
        <v>0.5307174499999999</v>
      </c>
      <c r="FP42">
        <v>-0.5975110018761725</v>
      </c>
      <c r="FQ42">
        <v>0.08013657475365105</v>
      </c>
      <c r="FR42">
        <v>0</v>
      </c>
      <c r="FS42">
        <v>150.1794117647059</v>
      </c>
      <c r="FT42">
        <v>-6.501145976042253</v>
      </c>
      <c r="FU42">
        <v>6.623344606135656</v>
      </c>
      <c r="FV42">
        <v>0</v>
      </c>
      <c r="FW42">
        <v>0.00528039</v>
      </c>
      <c r="FX42">
        <v>1.292011600750469</v>
      </c>
      <c r="FY42">
        <v>0.1498867639540026</v>
      </c>
      <c r="FZ42">
        <v>0</v>
      </c>
      <c r="GA42">
        <v>0</v>
      </c>
      <c r="GB42">
        <v>3</v>
      </c>
      <c r="GC42" t="s">
        <v>423</v>
      </c>
      <c r="GD42">
        <v>3.10952</v>
      </c>
      <c r="GE42">
        <v>2.72749</v>
      </c>
      <c r="GF42">
        <v>0.08857660000000001</v>
      </c>
      <c r="GG42">
        <v>0.0884277</v>
      </c>
      <c r="GH42">
        <v>0.108327</v>
      </c>
      <c r="GI42">
        <v>0.108196</v>
      </c>
      <c r="GJ42">
        <v>23896</v>
      </c>
      <c r="GK42">
        <v>21686.2</v>
      </c>
      <c r="GL42">
        <v>26777.6</v>
      </c>
      <c r="GM42">
        <v>23998.6</v>
      </c>
      <c r="GN42">
        <v>38153.2</v>
      </c>
      <c r="GO42">
        <v>31586.5</v>
      </c>
      <c r="GP42">
        <v>46738.9</v>
      </c>
      <c r="GQ42">
        <v>37956.1</v>
      </c>
      <c r="GR42">
        <v>1.8852</v>
      </c>
      <c r="GS42">
        <v>1.87335</v>
      </c>
      <c r="GT42">
        <v>0.135049</v>
      </c>
      <c r="GU42">
        <v>0</v>
      </c>
      <c r="GV42">
        <v>27.8071</v>
      </c>
      <c r="GW42">
        <v>999.9</v>
      </c>
      <c r="GX42">
        <v>63.2</v>
      </c>
      <c r="GY42">
        <v>29.1</v>
      </c>
      <c r="GZ42">
        <v>28.1653</v>
      </c>
      <c r="HA42">
        <v>61.51</v>
      </c>
      <c r="HB42">
        <v>19.8838</v>
      </c>
      <c r="HC42">
        <v>1</v>
      </c>
      <c r="HD42">
        <v>0.0756047</v>
      </c>
      <c r="HE42">
        <v>-1.58131</v>
      </c>
      <c r="HF42">
        <v>20.3286</v>
      </c>
      <c r="HG42">
        <v>5.22178</v>
      </c>
      <c r="HH42">
        <v>11.98</v>
      </c>
      <c r="HI42">
        <v>4.96525</v>
      </c>
      <c r="HJ42">
        <v>3.27578</v>
      </c>
      <c r="HK42">
        <v>9999</v>
      </c>
      <c r="HL42">
        <v>9999</v>
      </c>
      <c r="HM42">
        <v>9999</v>
      </c>
      <c r="HN42">
        <v>999.9</v>
      </c>
      <c r="HO42">
        <v>1.8636</v>
      </c>
      <c r="HP42">
        <v>1.85974</v>
      </c>
      <c r="HQ42">
        <v>1.85794</v>
      </c>
      <c r="HR42">
        <v>1.85933</v>
      </c>
      <c r="HS42">
        <v>1.85959</v>
      </c>
      <c r="HT42">
        <v>1.85802</v>
      </c>
      <c r="HU42">
        <v>1.85708</v>
      </c>
      <c r="HV42">
        <v>1.85204</v>
      </c>
      <c r="HW42">
        <v>0</v>
      </c>
      <c r="HX42">
        <v>0</v>
      </c>
      <c r="HY42">
        <v>0</v>
      </c>
      <c r="HZ42">
        <v>0</v>
      </c>
      <c r="IA42" t="s">
        <v>424</v>
      </c>
      <c r="IB42" t="s">
        <v>425</v>
      </c>
      <c r="IC42" t="s">
        <v>426</v>
      </c>
      <c r="ID42" t="s">
        <v>426</v>
      </c>
      <c r="IE42" t="s">
        <v>426</v>
      </c>
      <c r="IF42" t="s">
        <v>426</v>
      </c>
      <c r="IG42">
        <v>0</v>
      </c>
      <c r="IH42">
        <v>100</v>
      </c>
      <c r="II42">
        <v>100</v>
      </c>
      <c r="IJ42">
        <v>-0.617</v>
      </c>
      <c r="IK42">
        <v>0.2071</v>
      </c>
      <c r="IL42">
        <v>-1.405955206116699</v>
      </c>
      <c r="IM42">
        <v>0.001328113201692861</v>
      </c>
      <c r="IN42">
        <v>1.538283238170363E-06</v>
      </c>
      <c r="IO42">
        <v>-5.795655626708063E-10</v>
      </c>
      <c r="IP42">
        <v>-0.04918981781385694</v>
      </c>
      <c r="IQ42">
        <v>-0.004593102289677449</v>
      </c>
      <c r="IR42">
        <v>0.0008253994458280543</v>
      </c>
      <c r="IS42">
        <v>-7.403632370499484E-06</v>
      </c>
      <c r="IT42">
        <v>2</v>
      </c>
      <c r="IU42">
        <v>1985</v>
      </c>
      <c r="IV42">
        <v>1</v>
      </c>
      <c r="IW42">
        <v>27</v>
      </c>
      <c r="IX42">
        <v>1.1</v>
      </c>
      <c r="IY42">
        <v>1.3</v>
      </c>
      <c r="IZ42">
        <v>1.12061</v>
      </c>
      <c r="JA42">
        <v>2.56226</v>
      </c>
      <c r="JB42">
        <v>1.49658</v>
      </c>
      <c r="JC42">
        <v>2.34131</v>
      </c>
      <c r="JD42">
        <v>1.54907</v>
      </c>
      <c r="JE42">
        <v>2.36694</v>
      </c>
      <c r="JF42">
        <v>31.6955</v>
      </c>
      <c r="JG42">
        <v>14.6486</v>
      </c>
      <c r="JH42">
        <v>18</v>
      </c>
      <c r="JI42">
        <v>483.195</v>
      </c>
      <c r="JJ42">
        <v>505.155</v>
      </c>
      <c r="JK42">
        <v>31.0303</v>
      </c>
      <c r="JL42">
        <v>28.2336</v>
      </c>
      <c r="JM42">
        <v>29.9995</v>
      </c>
      <c r="JN42">
        <v>28.5333</v>
      </c>
      <c r="JO42">
        <v>28.5332</v>
      </c>
      <c r="JP42">
        <v>22.5359</v>
      </c>
      <c r="JQ42">
        <v>21.8932</v>
      </c>
      <c r="JR42">
        <v>81.53149999999999</v>
      </c>
      <c r="JS42">
        <v>31.0204</v>
      </c>
      <c r="JT42">
        <v>420</v>
      </c>
      <c r="JU42">
        <v>23.497</v>
      </c>
      <c r="JV42">
        <v>102.207</v>
      </c>
      <c r="JW42">
        <v>91.54730000000001</v>
      </c>
    </row>
    <row r="43" spans="1:283">
      <c r="A43">
        <v>25</v>
      </c>
      <c r="B43">
        <v>1761018117.5</v>
      </c>
      <c r="C43">
        <v>48</v>
      </c>
      <c r="D43" t="s">
        <v>475</v>
      </c>
      <c r="E43" t="s">
        <v>476</v>
      </c>
      <c r="F43">
        <v>5</v>
      </c>
      <c r="G43" t="s">
        <v>419</v>
      </c>
      <c r="H43">
        <v>1761018114.5</v>
      </c>
      <c r="I43">
        <f>(J43)/1000</f>
        <v>0</v>
      </c>
      <c r="J43">
        <f>1000*DJ43*AH43*(DF43-DG43)/(100*CY43*(1000-AH43*DF43))</f>
        <v>0</v>
      </c>
      <c r="K43">
        <f>DJ43*AH43*(DE43-DD43*(1000-AH43*DG43)/(1000-AH43*DF43))/(100*CY43)</f>
        <v>0</v>
      </c>
      <c r="L43">
        <f>DD43 - IF(AH43&gt;1, K43*CY43*100.0/(AJ43), 0)</f>
        <v>0</v>
      </c>
      <c r="M43">
        <f>((S43-I43/2)*L43-K43)/(S43+I43/2)</f>
        <v>0</v>
      </c>
      <c r="N43">
        <f>M43*(DK43+DL43)/1000.0</f>
        <v>0</v>
      </c>
      <c r="O43">
        <f>(DD43 - IF(AH43&gt;1, K43*CY43*100.0/(AJ43), 0))*(DK43+DL43)/1000.0</f>
        <v>0</v>
      </c>
      <c r="P43">
        <f>2.0/((1/R43-1/Q43)+SIGN(R43)*SQRT((1/R43-1/Q43)*(1/R43-1/Q43) + 4*CZ43/((CZ43+1)*(CZ43+1))*(2*1/R43*1/Q43-1/Q43*1/Q43)))</f>
        <v>0</v>
      </c>
      <c r="Q43">
        <f>IF(LEFT(DA43,1)&lt;&gt;"0",IF(LEFT(DA43,1)="1",3.0,DB43),$D$5+$E$5*(DR43*DK43/($K$5*1000))+$F$5*(DR43*DK43/($K$5*1000))*MAX(MIN(CY43,$J$5),$I$5)*MAX(MIN(CY43,$J$5),$I$5)+$G$5*MAX(MIN(CY43,$J$5),$I$5)*(DR43*DK43/($K$5*1000))+$H$5*(DR43*DK43/($K$5*1000))*(DR43*DK43/($K$5*1000)))</f>
        <v>0</v>
      </c>
      <c r="R43">
        <f>I43*(1000-(1000*0.61365*exp(17.502*V43/(240.97+V43))/(DK43+DL43)+DF43)/2)/(1000*0.61365*exp(17.502*V43/(240.97+V43))/(DK43+DL43)-DF43)</f>
        <v>0</v>
      </c>
      <c r="S43">
        <f>1/((CZ43+1)/(P43/1.6)+1/(Q43/1.37)) + CZ43/((CZ43+1)/(P43/1.6) + CZ43/(Q43/1.37))</f>
        <v>0</v>
      </c>
      <c r="T43">
        <f>(CU43*CX43)</f>
        <v>0</v>
      </c>
      <c r="U43">
        <f>(DM43+(T43+2*0.95*5.67E-8*(((DM43+$B$9)+273)^4-(DM43+273)^4)-44100*I43)/(1.84*29.3*Q43+8*0.95*5.67E-8*(DM43+273)^3))</f>
        <v>0</v>
      </c>
      <c r="V43">
        <f>($C$9*DN43+$D$9*DO43+$E$9*U43)</f>
        <v>0</v>
      </c>
      <c r="W43">
        <f>0.61365*exp(17.502*V43/(240.97+V43))</f>
        <v>0</v>
      </c>
      <c r="X43">
        <f>(Y43/Z43*100)</f>
        <v>0</v>
      </c>
      <c r="Y43">
        <f>DF43*(DK43+DL43)/1000</f>
        <v>0</v>
      </c>
      <c r="Z43">
        <f>0.61365*exp(17.502*DM43/(240.97+DM43))</f>
        <v>0</v>
      </c>
      <c r="AA43">
        <f>(W43-DF43*(DK43+DL43)/1000)</f>
        <v>0</v>
      </c>
      <c r="AB43">
        <f>(-I43*44100)</f>
        <v>0</v>
      </c>
      <c r="AC43">
        <f>2*29.3*Q43*0.92*(DM43-V43)</f>
        <v>0</v>
      </c>
      <c r="AD43">
        <f>2*0.95*5.67E-8*(((DM43+$B$9)+273)^4-(V43+273)^4)</f>
        <v>0</v>
      </c>
      <c r="AE43">
        <f>T43+AD43+AB43+AC43</f>
        <v>0</v>
      </c>
      <c r="AF43">
        <v>0</v>
      </c>
      <c r="AG43">
        <v>0</v>
      </c>
      <c r="AH43">
        <f>IF(AF43*$H$15&gt;=AJ43,1.0,(AJ43/(AJ43-AF43*$H$15)))</f>
        <v>0</v>
      </c>
      <c r="AI43">
        <f>(AH43-1)*100</f>
        <v>0</v>
      </c>
      <c r="AJ43">
        <f>MAX(0,($B$15+$C$15*DR43)/(1+$D$15*DR43)*DK43/(DM43+273)*$E$15)</f>
        <v>0</v>
      </c>
      <c r="AK43" t="s">
        <v>420</v>
      </c>
      <c r="AL43" t="s">
        <v>420</v>
      </c>
      <c r="AM43">
        <v>0</v>
      </c>
      <c r="AN43">
        <v>0</v>
      </c>
      <c r="AO43">
        <f>1-AM43/AN43</f>
        <v>0</v>
      </c>
      <c r="AP43">
        <v>0</v>
      </c>
      <c r="AQ43" t="s">
        <v>420</v>
      </c>
      <c r="AR43" t="s">
        <v>420</v>
      </c>
      <c r="AS43">
        <v>0</v>
      </c>
      <c r="AT43">
        <v>0</v>
      </c>
      <c r="AU43">
        <f>1-AS43/AT43</f>
        <v>0</v>
      </c>
      <c r="AV43">
        <v>0.5</v>
      </c>
      <c r="AW43">
        <f>CV43</f>
        <v>0</v>
      </c>
      <c r="AX43">
        <f>K43</f>
        <v>0</v>
      </c>
      <c r="AY43">
        <f>AU43*AV43*AW43</f>
        <v>0</v>
      </c>
      <c r="AZ43">
        <f>(AX43-AP43)/AW43</f>
        <v>0</v>
      </c>
      <c r="BA43">
        <f>(AN43-AT43)/AT43</f>
        <v>0</v>
      </c>
      <c r="BB43">
        <f>AM43/(AO43+AM43/AT43)</f>
        <v>0</v>
      </c>
      <c r="BC43" t="s">
        <v>420</v>
      </c>
      <c r="BD43">
        <v>0</v>
      </c>
      <c r="BE43">
        <f>IF(BD43&lt;&gt;0, BD43, BB43)</f>
        <v>0</v>
      </c>
      <c r="BF43">
        <f>1-BE43/AT43</f>
        <v>0</v>
      </c>
      <c r="BG43">
        <f>(AT43-AS43)/(AT43-BE43)</f>
        <v>0</v>
      </c>
      <c r="BH43">
        <f>(AN43-AT43)/(AN43-BE43)</f>
        <v>0</v>
      </c>
      <c r="BI43">
        <f>(AT43-AS43)/(AT43-AM43)</f>
        <v>0</v>
      </c>
      <c r="BJ43">
        <f>(AN43-AT43)/(AN43-AM43)</f>
        <v>0</v>
      </c>
      <c r="BK43">
        <f>(BG43*BE43/AS43)</f>
        <v>0</v>
      </c>
      <c r="BL43">
        <f>(1-BK43)</f>
        <v>0</v>
      </c>
      <c r="CU43">
        <f>$B$13*DS43+$C$13*DT43+$F$13*EE43*(1-EH43)</f>
        <v>0</v>
      </c>
      <c r="CV43">
        <f>CU43*CW43</f>
        <v>0</v>
      </c>
      <c r="CW43">
        <f>($B$13*$D$11+$C$13*$D$11+$F$13*((ER43+EJ43)/MAX(ER43+EJ43+ES43, 0.1)*$I$11+ES43/MAX(ER43+EJ43+ES43, 0.1)*$J$11))/($B$13+$C$13+$F$13)</f>
        <v>0</v>
      </c>
      <c r="CX43">
        <f>($B$13*$K$11+$C$13*$K$11+$F$13*((ER43+EJ43)/MAX(ER43+EJ43+ES43, 0.1)*$P$11+ES43/MAX(ER43+EJ43+ES43, 0.1)*$Q$11))/($B$13+$C$13+$F$13)</f>
        <v>0</v>
      </c>
      <c r="CY43">
        <v>2.7</v>
      </c>
      <c r="CZ43">
        <v>0.5</v>
      </c>
      <c r="DA43" t="s">
        <v>421</v>
      </c>
      <c r="DB43">
        <v>2</v>
      </c>
      <c r="DC43">
        <v>1761018114.5</v>
      </c>
      <c r="DD43">
        <v>420.6023333333334</v>
      </c>
      <c r="DE43">
        <v>420.0972222222222</v>
      </c>
      <c r="DF43">
        <v>23.92312222222223</v>
      </c>
      <c r="DG43">
        <v>23.59933333333334</v>
      </c>
      <c r="DH43">
        <v>421.2192222222222</v>
      </c>
      <c r="DI43">
        <v>23.71574444444444</v>
      </c>
      <c r="DJ43">
        <v>499.9216666666667</v>
      </c>
      <c r="DK43">
        <v>90.76864444444445</v>
      </c>
      <c r="DL43">
        <v>0.03570098888888889</v>
      </c>
      <c r="DM43">
        <v>30.12375555555555</v>
      </c>
      <c r="DN43">
        <v>30.01415555555555</v>
      </c>
      <c r="DO43">
        <v>999.9000000000001</v>
      </c>
      <c r="DP43">
        <v>0</v>
      </c>
      <c r="DQ43">
        <v>0</v>
      </c>
      <c r="DR43">
        <v>9998.76222222222</v>
      </c>
      <c r="DS43">
        <v>0</v>
      </c>
      <c r="DT43">
        <v>0.242856</v>
      </c>
      <c r="DU43">
        <v>0.5049811111111111</v>
      </c>
      <c r="DV43">
        <v>430.9108888888888</v>
      </c>
      <c r="DW43">
        <v>430.251</v>
      </c>
      <c r="DX43">
        <v>0.323778</v>
      </c>
      <c r="DY43">
        <v>420.0972222222222</v>
      </c>
      <c r="DZ43">
        <v>23.59933333333334</v>
      </c>
      <c r="EA43">
        <v>2.17147</v>
      </c>
      <c r="EB43">
        <v>2.14208</v>
      </c>
      <c r="EC43">
        <v>18.75335555555556</v>
      </c>
      <c r="ED43">
        <v>18.53543333333333</v>
      </c>
      <c r="EE43">
        <v>0.00500078</v>
      </c>
      <c r="EF43">
        <v>0</v>
      </c>
      <c r="EG43">
        <v>0</v>
      </c>
      <c r="EH43">
        <v>0</v>
      </c>
      <c r="EI43">
        <v>151.4</v>
      </c>
      <c r="EJ43">
        <v>0.00500078</v>
      </c>
      <c r="EK43">
        <v>-15.62222222222222</v>
      </c>
      <c r="EL43">
        <v>-0.3555555555555555</v>
      </c>
      <c r="EM43">
        <v>35.13188888888889</v>
      </c>
      <c r="EN43">
        <v>38.54133333333333</v>
      </c>
      <c r="EO43">
        <v>37.04844444444445</v>
      </c>
      <c r="EP43">
        <v>38.77066666666667</v>
      </c>
      <c r="EQ43">
        <v>37.95099999999999</v>
      </c>
      <c r="ER43">
        <v>0</v>
      </c>
      <c r="ES43">
        <v>0</v>
      </c>
      <c r="ET43">
        <v>0</v>
      </c>
      <c r="EU43">
        <v>1761018116.5</v>
      </c>
      <c r="EV43">
        <v>0</v>
      </c>
      <c r="EW43">
        <v>149.876</v>
      </c>
      <c r="EX43">
        <v>10.33076919613459</v>
      </c>
      <c r="EY43">
        <v>9.200000175451695</v>
      </c>
      <c r="EZ43">
        <v>-14.9</v>
      </c>
      <c r="FA43">
        <v>15</v>
      </c>
      <c r="FB43">
        <v>1761018049.5</v>
      </c>
      <c r="FC43" t="s">
        <v>422</v>
      </c>
      <c r="FD43">
        <v>1761018049.5</v>
      </c>
      <c r="FE43">
        <v>1761018035.5</v>
      </c>
      <c r="FF43">
        <v>23</v>
      </c>
      <c r="FG43">
        <v>1.295</v>
      </c>
      <c r="FH43">
        <v>0.011</v>
      </c>
      <c r="FI43">
        <v>-0.618</v>
      </c>
      <c r="FJ43">
        <v>0.192</v>
      </c>
      <c r="FK43">
        <v>420</v>
      </c>
      <c r="FL43">
        <v>23</v>
      </c>
      <c r="FM43">
        <v>0.42</v>
      </c>
      <c r="FN43">
        <v>0.17</v>
      </c>
      <c r="FO43">
        <v>0.5308309268292681</v>
      </c>
      <c r="FP43">
        <v>-0.4263988850174208</v>
      </c>
      <c r="FQ43">
        <v>0.07861412828474444</v>
      </c>
      <c r="FR43">
        <v>1</v>
      </c>
      <c r="FS43">
        <v>150.7794117647059</v>
      </c>
      <c r="FT43">
        <v>-5.755538701151544</v>
      </c>
      <c r="FU43">
        <v>6.370510156492904</v>
      </c>
      <c r="FV43">
        <v>0</v>
      </c>
      <c r="FW43">
        <v>0.03501142195121951</v>
      </c>
      <c r="FX43">
        <v>1.653656429268292</v>
      </c>
      <c r="FY43">
        <v>0.1799469554313708</v>
      </c>
      <c r="FZ43">
        <v>0</v>
      </c>
      <c r="GA43">
        <v>1</v>
      </c>
      <c r="GB43">
        <v>3</v>
      </c>
      <c r="GC43" t="s">
        <v>431</v>
      </c>
      <c r="GD43">
        <v>3.10968</v>
      </c>
      <c r="GE43">
        <v>2.72736</v>
      </c>
      <c r="GF43">
        <v>0.088579</v>
      </c>
      <c r="GG43">
        <v>0.0884364</v>
      </c>
      <c r="GH43">
        <v>0.108144</v>
      </c>
      <c r="GI43">
        <v>0.107849</v>
      </c>
      <c r="GJ43">
        <v>23896.2</v>
      </c>
      <c r="GK43">
        <v>21685.9</v>
      </c>
      <c r="GL43">
        <v>26777.9</v>
      </c>
      <c r="GM43">
        <v>23998.4</v>
      </c>
      <c r="GN43">
        <v>38161.3</v>
      </c>
      <c r="GO43">
        <v>31598.5</v>
      </c>
      <c r="GP43">
        <v>46739.1</v>
      </c>
      <c r="GQ43">
        <v>37955.7</v>
      </c>
      <c r="GR43">
        <v>1.8854</v>
      </c>
      <c r="GS43">
        <v>1.87322</v>
      </c>
      <c r="GT43">
        <v>0.134669</v>
      </c>
      <c r="GU43">
        <v>0</v>
      </c>
      <c r="GV43">
        <v>27.8088</v>
      </c>
      <c r="GW43">
        <v>999.9</v>
      </c>
      <c r="GX43">
        <v>63.2</v>
      </c>
      <c r="GY43">
        <v>29.1</v>
      </c>
      <c r="GZ43">
        <v>28.1637</v>
      </c>
      <c r="HA43">
        <v>61.37</v>
      </c>
      <c r="HB43">
        <v>19.7516</v>
      </c>
      <c r="HC43">
        <v>1</v>
      </c>
      <c r="HD43">
        <v>0.0753582</v>
      </c>
      <c r="HE43">
        <v>-1.59897</v>
      </c>
      <c r="HF43">
        <v>20.3284</v>
      </c>
      <c r="HG43">
        <v>5.22163</v>
      </c>
      <c r="HH43">
        <v>11.98</v>
      </c>
      <c r="HI43">
        <v>4.9652</v>
      </c>
      <c r="HJ43">
        <v>3.2758</v>
      </c>
      <c r="HK43">
        <v>9999</v>
      </c>
      <c r="HL43">
        <v>9999</v>
      </c>
      <c r="HM43">
        <v>9999</v>
      </c>
      <c r="HN43">
        <v>999.9</v>
      </c>
      <c r="HO43">
        <v>1.8636</v>
      </c>
      <c r="HP43">
        <v>1.85974</v>
      </c>
      <c r="HQ43">
        <v>1.85795</v>
      </c>
      <c r="HR43">
        <v>1.85934</v>
      </c>
      <c r="HS43">
        <v>1.85959</v>
      </c>
      <c r="HT43">
        <v>1.85803</v>
      </c>
      <c r="HU43">
        <v>1.85711</v>
      </c>
      <c r="HV43">
        <v>1.85206</v>
      </c>
      <c r="HW43">
        <v>0</v>
      </c>
      <c r="HX43">
        <v>0</v>
      </c>
      <c r="HY43">
        <v>0</v>
      </c>
      <c r="HZ43">
        <v>0</v>
      </c>
      <c r="IA43" t="s">
        <v>424</v>
      </c>
      <c r="IB43" t="s">
        <v>425</v>
      </c>
      <c r="IC43" t="s">
        <v>426</v>
      </c>
      <c r="ID43" t="s">
        <v>426</v>
      </c>
      <c r="IE43" t="s">
        <v>426</v>
      </c>
      <c r="IF43" t="s">
        <v>426</v>
      </c>
      <c r="IG43">
        <v>0</v>
      </c>
      <c r="IH43">
        <v>100</v>
      </c>
      <c r="II43">
        <v>100</v>
      </c>
      <c r="IJ43">
        <v>-0.617</v>
      </c>
      <c r="IK43">
        <v>0.2058</v>
      </c>
      <c r="IL43">
        <v>-1.405955206116699</v>
      </c>
      <c r="IM43">
        <v>0.001328113201692861</v>
      </c>
      <c r="IN43">
        <v>1.538283238170363E-06</v>
      </c>
      <c r="IO43">
        <v>-5.795655626708063E-10</v>
      </c>
      <c r="IP43">
        <v>-0.04918981781385694</v>
      </c>
      <c r="IQ43">
        <v>-0.004593102289677449</v>
      </c>
      <c r="IR43">
        <v>0.0008253994458280543</v>
      </c>
      <c r="IS43">
        <v>-7.403632370499484E-06</v>
      </c>
      <c r="IT43">
        <v>2</v>
      </c>
      <c r="IU43">
        <v>1985</v>
      </c>
      <c r="IV43">
        <v>1</v>
      </c>
      <c r="IW43">
        <v>27</v>
      </c>
      <c r="IX43">
        <v>1.1</v>
      </c>
      <c r="IY43">
        <v>1.4</v>
      </c>
      <c r="IZ43">
        <v>1.12061</v>
      </c>
      <c r="JA43">
        <v>2.55249</v>
      </c>
      <c r="JB43">
        <v>1.49658</v>
      </c>
      <c r="JC43">
        <v>2.34253</v>
      </c>
      <c r="JD43">
        <v>1.54907</v>
      </c>
      <c r="JE43">
        <v>2.41455</v>
      </c>
      <c r="JF43">
        <v>31.6955</v>
      </c>
      <c r="JG43">
        <v>14.6661</v>
      </c>
      <c r="JH43">
        <v>18</v>
      </c>
      <c r="JI43">
        <v>483.288</v>
      </c>
      <c r="JJ43">
        <v>505.045</v>
      </c>
      <c r="JK43">
        <v>31.0195</v>
      </c>
      <c r="JL43">
        <v>28.2306</v>
      </c>
      <c r="JM43">
        <v>29.9995</v>
      </c>
      <c r="JN43">
        <v>28.5303</v>
      </c>
      <c r="JO43">
        <v>28.5302</v>
      </c>
      <c r="JP43">
        <v>22.532</v>
      </c>
      <c r="JQ43">
        <v>21.8932</v>
      </c>
      <c r="JR43">
        <v>81.53149999999999</v>
      </c>
      <c r="JS43">
        <v>31.0204</v>
      </c>
      <c r="JT43">
        <v>420</v>
      </c>
      <c r="JU43">
        <v>23.5408</v>
      </c>
      <c r="JV43">
        <v>102.208</v>
      </c>
      <c r="JW43">
        <v>91.54649999999999</v>
      </c>
    </row>
    <row r="44" spans="1:283">
      <c r="A44">
        <v>26</v>
      </c>
      <c r="B44">
        <v>1761018119.5</v>
      </c>
      <c r="C44">
        <v>50</v>
      </c>
      <c r="D44" t="s">
        <v>477</v>
      </c>
      <c r="E44" t="s">
        <v>478</v>
      </c>
      <c r="F44">
        <v>5</v>
      </c>
      <c r="G44" t="s">
        <v>419</v>
      </c>
      <c r="H44">
        <v>1761018116.5</v>
      </c>
      <c r="I44">
        <f>(J44)/1000</f>
        <v>0</v>
      </c>
      <c r="J44">
        <f>1000*DJ44*AH44*(DF44-DG44)/(100*CY44*(1000-AH44*DF44))</f>
        <v>0</v>
      </c>
      <c r="K44">
        <f>DJ44*AH44*(DE44-DD44*(1000-AH44*DG44)/(1000-AH44*DF44))/(100*CY44)</f>
        <v>0</v>
      </c>
      <c r="L44">
        <f>DD44 - IF(AH44&gt;1, K44*CY44*100.0/(AJ44), 0)</f>
        <v>0</v>
      </c>
      <c r="M44">
        <f>((S44-I44/2)*L44-K44)/(S44+I44/2)</f>
        <v>0</v>
      </c>
      <c r="N44">
        <f>M44*(DK44+DL44)/1000.0</f>
        <v>0</v>
      </c>
      <c r="O44">
        <f>(DD44 - IF(AH44&gt;1, K44*CY44*100.0/(AJ44), 0))*(DK44+DL44)/1000.0</f>
        <v>0</v>
      </c>
      <c r="P44">
        <f>2.0/((1/R44-1/Q44)+SIGN(R44)*SQRT((1/R44-1/Q44)*(1/R44-1/Q44) + 4*CZ44/((CZ44+1)*(CZ44+1))*(2*1/R44*1/Q44-1/Q44*1/Q44)))</f>
        <v>0</v>
      </c>
      <c r="Q44">
        <f>IF(LEFT(DA44,1)&lt;&gt;"0",IF(LEFT(DA44,1)="1",3.0,DB44),$D$5+$E$5*(DR44*DK44/($K$5*1000))+$F$5*(DR44*DK44/($K$5*1000))*MAX(MIN(CY44,$J$5),$I$5)*MAX(MIN(CY44,$J$5),$I$5)+$G$5*MAX(MIN(CY44,$J$5),$I$5)*(DR44*DK44/($K$5*1000))+$H$5*(DR44*DK44/($K$5*1000))*(DR44*DK44/($K$5*1000)))</f>
        <v>0</v>
      </c>
      <c r="R44">
        <f>I44*(1000-(1000*0.61365*exp(17.502*V44/(240.97+V44))/(DK44+DL44)+DF44)/2)/(1000*0.61365*exp(17.502*V44/(240.97+V44))/(DK44+DL44)-DF44)</f>
        <v>0</v>
      </c>
      <c r="S44">
        <f>1/((CZ44+1)/(P44/1.6)+1/(Q44/1.37)) + CZ44/((CZ44+1)/(P44/1.6) + CZ44/(Q44/1.37))</f>
        <v>0</v>
      </c>
      <c r="T44">
        <f>(CU44*CX44)</f>
        <v>0</v>
      </c>
      <c r="U44">
        <f>(DM44+(T44+2*0.95*5.67E-8*(((DM44+$B$9)+273)^4-(DM44+273)^4)-44100*I44)/(1.84*29.3*Q44+8*0.95*5.67E-8*(DM44+273)^3))</f>
        <v>0</v>
      </c>
      <c r="V44">
        <f>($C$9*DN44+$D$9*DO44+$E$9*U44)</f>
        <v>0</v>
      </c>
      <c r="W44">
        <f>0.61365*exp(17.502*V44/(240.97+V44))</f>
        <v>0</v>
      </c>
      <c r="X44">
        <f>(Y44/Z44*100)</f>
        <v>0</v>
      </c>
      <c r="Y44">
        <f>DF44*(DK44+DL44)/1000</f>
        <v>0</v>
      </c>
      <c r="Z44">
        <f>0.61365*exp(17.502*DM44/(240.97+DM44))</f>
        <v>0</v>
      </c>
      <c r="AA44">
        <f>(W44-DF44*(DK44+DL44)/1000)</f>
        <v>0</v>
      </c>
      <c r="AB44">
        <f>(-I44*44100)</f>
        <v>0</v>
      </c>
      <c r="AC44">
        <f>2*29.3*Q44*0.92*(DM44-V44)</f>
        <v>0</v>
      </c>
      <c r="AD44">
        <f>2*0.95*5.67E-8*(((DM44+$B$9)+273)^4-(V44+273)^4)</f>
        <v>0</v>
      </c>
      <c r="AE44">
        <f>T44+AD44+AB44+AC44</f>
        <v>0</v>
      </c>
      <c r="AF44">
        <v>0</v>
      </c>
      <c r="AG44">
        <v>0</v>
      </c>
      <c r="AH44">
        <f>IF(AF44*$H$15&gt;=AJ44,1.0,(AJ44/(AJ44-AF44*$H$15)))</f>
        <v>0</v>
      </c>
      <c r="AI44">
        <f>(AH44-1)*100</f>
        <v>0</v>
      </c>
      <c r="AJ44">
        <f>MAX(0,($B$15+$C$15*DR44)/(1+$D$15*DR44)*DK44/(DM44+273)*$E$15)</f>
        <v>0</v>
      </c>
      <c r="AK44" t="s">
        <v>420</v>
      </c>
      <c r="AL44" t="s">
        <v>420</v>
      </c>
      <c r="AM44">
        <v>0</v>
      </c>
      <c r="AN44">
        <v>0</v>
      </c>
      <c r="AO44">
        <f>1-AM44/AN44</f>
        <v>0</v>
      </c>
      <c r="AP44">
        <v>0</v>
      </c>
      <c r="AQ44" t="s">
        <v>420</v>
      </c>
      <c r="AR44" t="s">
        <v>420</v>
      </c>
      <c r="AS44">
        <v>0</v>
      </c>
      <c r="AT44">
        <v>0</v>
      </c>
      <c r="AU44">
        <f>1-AS44/AT44</f>
        <v>0</v>
      </c>
      <c r="AV44">
        <v>0.5</v>
      </c>
      <c r="AW44">
        <f>CV44</f>
        <v>0</v>
      </c>
      <c r="AX44">
        <f>K44</f>
        <v>0</v>
      </c>
      <c r="AY44">
        <f>AU44*AV44*AW44</f>
        <v>0</v>
      </c>
      <c r="AZ44">
        <f>(AX44-AP44)/AW44</f>
        <v>0</v>
      </c>
      <c r="BA44">
        <f>(AN44-AT44)/AT44</f>
        <v>0</v>
      </c>
      <c r="BB44">
        <f>AM44/(AO44+AM44/AT44)</f>
        <v>0</v>
      </c>
      <c r="BC44" t="s">
        <v>420</v>
      </c>
      <c r="BD44">
        <v>0</v>
      </c>
      <c r="BE44">
        <f>IF(BD44&lt;&gt;0, BD44, BB44)</f>
        <v>0</v>
      </c>
      <c r="BF44">
        <f>1-BE44/AT44</f>
        <v>0</v>
      </c>
      <c r="BG44">
        <f>(AT44-AS44)/(AT44-BE44)</f>
        <v>0</v>
      </c>
      <c r="BH44">
        <f>(AN44-AT44)/(AN44-BE44)</f>
        <v>0</v>
      </c>
      <c r="BI44">
        <f>(AT44-AS44)/(AT44-AM44)</f>
        <v>0</v>
      </c>
      <c r="BJ44">
        <f>(AN44-AT44)/(AN44-AM44)</f>
        <v>0</v>
      </c>
      <c r="BK44">
        <f>(BG44*BE44/AS44)</f>
        <v>0</v>
      </c>
      <c r="BL44">
        <f>(1-BK44)</f>
        <v>0</v>
      </c>
      <c r="CU44">
        <f>$B$13*DS44+$C$13*DT44+$F$13*EE44*(1-EH44)</f>
        <v>0</v>
      </c>
      <c r="CV44">
        <f>CU44*CW44</f>
        <v>0</v>
      </c>
      <c r="CW44">
        <f>($B$13*$D$11+$C$13*$D$11+$F$13*((ER44+EJ44)/MAX(ER44+EJ44+ES44, 0.1)*$I$11+ES44/MAX(ER44+EJ44+ES44, 0.1)*$J$11))/($B$13+$C$13+$F$13)</f>
        <v>0</v>
      </c>
      <c r="CX44">
        <f>($B$13*$K$11+$C$13*$K$11+$F$13*((ER44+EJ44)/MAX(ER44+EJ44+ES44, 0.1)*$P$11+ES44/MAX(ER44+EJ44+ES44, 0.1)*$Q$11))/($B$13+$C$13+$F$13)</f>
        <v>0</v>
      </c>
      <c r="CY44">
        <v>2.7</v>
      </c>
      <c r="CZ44">
        <v>0.5</v>
      </c>
      <c r="DA44" t="s">
        <v>421</v>
      </c>
      <c r="DB44">
        <v>2</v>
      </c>
      <c r="DC44">
        <v>1761018116.5</v>
      </c>
      <c r="DD44">
        <v>420.6112222222222</v>
      </c>
      <c r="DE44">
        <v>420.0731111111111</v>
      </c>
      <c r="DF44">
        <v>23.8779</v>
      </c>
      <c r="DG44">
        <v>23.48258888888889</v>
      </c>
      <c r="DH44">
        <v>421.228</v>
      </c>
      <c r="DI44">
        <v>23.67151111111112</v>
      </c>
      <c r="DJ44">
        <v>499.9891111111111</v>
      </c>
      <c r="DK44">
        <v>90.76772222222222</v>
      </c>
      <c r="DL44">
        <v>0.03557185555555556</v>
      </c>
      <c r="DM44">
        <v>30.11626666666667</v>
      </c>
      <c r="DN44">
        <v>30.00825555555555</v>
      </c>
      <c r="DO44">
        <v>999.9000000000001</v>
      </c>
      <c r="DP44">
        <v>0</v>
      </c>
      <c r="DQ44">
        <v>0</v>
      </c>
      <c r="DR44">
        <v>10007.51444444444</v>
      </c>
      <c r="DS44">
        <v>0</v>
      </c>
      <c r="DT44">
        <v>0.242856</v>
      </c>
      <c r="DU44">
        <v>0.5378045555555556</v>
      </c>
      <c r="DV44">
        <v>430.9</v>
      </c>
      <c r="DW44">
        <v>430.1748888888889</v>
      </c>
      <c r="DX44">
        <v>0.3953104444444444</v>
      </c>
      <c r="DY44">
        <v>420.0731111111111</v>
      </c>
      <c r="DZ44">
        <v>23.48258888888889</v>
      </c>
      <c r="EA44">
        <v>2.167342222222223</v>
      </c>
      <c r="EB44">
        <v>2.131461111111111</v>
      </c>
      <c r="EC44">
        <v>18.72291111111111</v>
      </c>
      <c r="ED44">
        <v>18.45614444444444</v>
      </c>
      <c r="EE44">
        <v>0.00500078</v>
      </c>
      <c r="EF44">
        <v>0</v>
      </c>
      <c r="EG44">
        <v>0</v>
      </c>
      <c r="EH44">
        <v>0</v>
      </c>
      <c r="EI44">
        <v>151.2222222222223</v>
      </c>
      <c r="EJ44">
        <v>0.00500078</v>
      </c>
      <c r="EK44">
        <v>-17.37777777777778</v>
      </c>
      <c r="EL44">
        <v>-0.911111111111111</v>
      </c>
      <c r="EM44">
        <v>35.125</v>
      </c>
      <c r="EN44">
        <v>38.51366666666667</v>
      </c>
      <c r="EO44">
        <v>36.93022222222223</v>
      </c>
      <c r="EP44">
        <v>38.70122222222223</v>
      </c>
      <c r="EQ44">
        <v>37.944</v>
      </c>
      <c r="ER44">
        <v>0</v>
      </c>
      <c r="ES44">
        <v>0</v>
      </c>
      <c r="ET44">
        <v>0</v>
      </c>
      <c r="EU44">
        <v>1761018118.3</v>
      </c>
      <c r="EV44">
        <v>0</v>
      </c>
      <c r="EW44">
        <v>150.2730769230769</v>
      </c>
      <c r="EX44">
        <v>8.324786410395641</v>
      </c>
      <c r="EY44">
        <v>0.4102567073870733</v>
      </c>
      <c r="EZ44">
        <v>-15.92307692307692</v>
      </c>
      <c r="FA44">
        <v>15</v>
      </c>
      <c r="FB44">
        <v>1761018049.5</v>
      </c>
      <c r="FC44" t="s">
        <v>422</v>
      </c>
      <c r="FD44">
        <v>1761018049.5</v>
      </c>
      <c r="FE44">
        <v>1761018035.5</v>
      </c>
      <c r="FF44">
        <v>23</v>
      </c>
      <c r="FG44">
        <v>1.295</v>
      </c>
      <c r="FH44">
        <v>0.011</v>
      </c>
      <c r="FI44">
        <v>-0.618</v>
      </c>
      <c r="FJ44">
        <v>0.192</v>
      </c>
      <c r="FK44">
        <v>420</v>
      </c>
      <c r="FL44">
        <v>23</v>
      </c>
      <c r="FM44">
        <v>0.42</v>
      </c>
      <c r="FN44">
        <v>0.17</v>
      </c>
      <c r="FO44">
        <v>0.5229117999999999</v>
      </c>
      <c r="FP44">
        <v>-0.3041555121951234</v>
      </c>
      <c r="FQ44">
        <v>0.07658785413340682</v>
      </c>
      <c r="FR44">
        <v>1</v>
      </c>
      <c r="FS44">
        <v>150.3882352941176</v>
      </c>
      <c r="FT44">
        <v>1.631779979563761</v>
      </c>
      <c r="FU44">
        <v>6.163305296667592</v>
      </c>
      <c r="FV44">
        <v>0</v>
      </c>
      <c r="FW44">
        <v>0.104461465</v>
      </c>
      <c r="FX44">
        <v>2.166752010506568</v>
      </c>
      <c r="FY44">
        <v>0.213453979892042</v>
      </c>
      <c r="FZ44">
        <v>0</v>
      </c>
      <c r="GA44">
        <v>1</v>
      </c>
      <c r="GB44">
        <v>3</v>
      </c>
      <c r="GC44" t="s">
        <v>431</v>
      </c>
      <c r="GD44">
        <v>3.10951</v>
      </c>
      <c r="GE44">
        <v>2.7268</v>
      </c>
      <c r="GF44">
        <v>0.0885802</v>
      </c>
      <c r="GG44">
        <v>0.08843810000000001</v>
      </c>
      <c r="GH44">
        <v>0.107937</v>
      </c>
      <c r="GI44">
        <v>0.107641</v>
      </c>
      <c r="GJ44">
        <v>23896.3</v>
      </c>
      <c r="GK44">
        <v>21685.7</v>
      </c>
      <c r="GL44">
        <v>26778</v>
      </c>
      <c r="GM44">
        <v>23998.3</v>
      </c>
      <c r="GN44">
        <v>38170.4</v>
      </c>
      <c r="GO44">
        <v>31605.6</v>
      </c>
      <c r="GP44">
        <v>46739.3</v>
      </c>
      <c r="GQ44">
        <v>37955.3</v>
      </c>
      <c r="GR44">
        <v>1.88542</v>
      </c>
      <c r="GS44">
        <v>1.87335</v>
      </c>
      <c r="GT44">
        <v>0.13449</v>
      </c>
      <c r="GU44">
        <v>0</v>
      </c>
      <c r="GV44">
        <v>27.8106</v>
      </c>
      <c r="GW44">
        <v>999.9</v>
      </c>
      <c r="GX44">
        <v>63.2</v>
      </c>
      <c r="GY44">
        <v>29.1</v>
      </c>
      <c r="GZ44">
        <v>28.166</v>
      </c>
      <c r="HA44">
        <v>61.41</v>
      </c>
      <c r="HB44">
        <v>19.992</v>
      </c>
      <c r="HC44">
        <v>1</v>
      </c>
      <c r="HD44">
        <v>0.07523630000000001</v>
      </c>
      <c r="HE44">
        <v>-1.61852</v>
      </c>
      <c r="HF44">
        <v>20.3275</v>
      </c>
      <c r="HG44">
        <v>5.21774</v>
      </c>
      <c r="HH44">
        <v>11.98</v>
      </c>
      <c r="HI44">
        <v>4.96445</v>
      </c>
      <c r="HJ44">
        <v>3.27518</v>
      </c>
      <c r="HK44">
        <v>9999</v>
      </c>
      <c r="HL44">
        <v>9999</v>
      </c>
      <c r="HM44">
        <v>9999</v>
      </c>
      <c r="HN44">
        <v>999.9</v>
      </c>
      <c r="HO44">
        <v>1.86359</v>
      </c>
      <c r="HP44">
        <v>1.85974</v>
      </c>
      <c r="HQ44">
        <v>1.85794</v>
      </c>
      <c r="HR44">
        <v>1.85936</v>
      </c>
      <c r="HS44">
        <v>1.85959</v>
      </c>
      <c r="HT44">
        <v>1.85804</v>
      </c>
      <c r="HU44">
        <v>1.85711</v>
      </c>
      <c r="HV44">
        <v>1.85207</v>
      </c>
      <c r="HW44">
        <v>0</v>
      </c>
      <c r="HX44">
        <v>0</v>
      </c>
      <c r="HY44">
        <v>0</v>
      </c>
      <c r="HZ44">
        <v>0</v>
      </c>
      <c r="IA44" t="s">
        <v>424</v>
      </c>
      <c r="IB44" t="s">
        <v>425</v>
      </c>
      <c r="IC44" t="s">
        <v>426</v>
      </c>
      <c r="ID44" t="s">
        <v>426</v>
      </c>
      <c r="IE44" t="s">
        <v>426</v>
      </c>
      <c r="IF44" t="s">
        <v>426</v>
      </c>
      <c r="IG44">
        <v>0</v>
      </c>
      <c r="IH44">
        <v>100</v>
      </c>
      <c r="II44">
        <v>100</v>
      </c>
      <c r="IJ44">
        <v>-0.617</v>
      </c>
      <c r="IK44">
        <v>0.2044</v>
      </c>
      <c r="IL44">
        <v>-1.405955206116699</v>
      </c>
      <c r="IM44">
        <v>0.001328113201692861</v>
      </c>
      <c r="IN44">
        <v>1.538283238170363E-06</v>
      </c>
      <c r="IO44">
        <v>-5.795655626708063E-10</v>
      </c>
      <c r="IP44">
        <v>-0.04918981781385694</v>
      </c>
      <c r="IQ44">
        <v>-0.004593102289677449</v>
      </c>
      <c r="IR44">
        <v>0.0008253994458280543</v>
      </c>
      <c r="IS44">
        <v>-7.403632370499484E-06</v>
      </c>
      <c r="IT44">
        <v>2</v>
      </c>
      <c r="IU44">
        <v>1985</v>
      </c>
      <c r="IV44">
        <v>1</v>
      </c>
      <c r="IW44">
        <v>27</v>
      </c>
      <c r="IX44">
        <v>1.2</v>
      </c>
      <c r="IY44">
        <v>1.4</v>
      </c>
      <c r="IZ44">
        <v>1.12061</v>
      </c>
      <c r="JA44">
        <v>2.55127</v>
      </c>
      <c r="JB44">
        <v>1.49658</v>
      </c>
      <c r="JC44">
        <v>2.34131</v>
      </c>
      <c r="JD44">
        <v>1.54907</v>
      </c>
      <c r="JE44">
        <v>2.46338</v>
      </c>
      <c r="JF44">
        <v>31.6955</v>
      </c>
      <c r="JG44">
        <v>14.6661</v>
      </c>
      <c r="JH44">
        <v>18</v>
      </c>
      <c r="JI44">
        <v>483.278</v>
      </c>
      <c r="JJ44">
        <v>505.108</v>
      </c>
      <c r="JK44">
        <v>31.0105</v>
      </c>
      <c r="JL44">
        <v>28.2282</v>
      </c>
      <c r="JM44">
        <v>29.9996</v>
      </c>
      <c r="JN44">
        <v>28.527</v>
      </c>
      <c r="JO44">
        <v>28.5278</v>
      </c>
      <c r="JP44">
        <v>22.5337</v>
      </c>
      <c r="JQ44">
        <v>21.5559</v>
      </c>
      <c r="JR44">
        <v>81.53149999999999</v>
      </c>
      <c r="JS44">
        <v>31.0204</v>
      </c>
      <c r="JT44">
        <v>420</v>
      </c>
      <c r="JU44">
        <v>23.4846</v>
      </c>
      <c r="JV44">
        <v>102.208</v>
      </c>
      <c r="JW44">
        <v>91.5457</v>
      </c>
    </row>
    <row r="45" spans="1:283">
      <c r="A45">
        <v>27</v>
      </c>
      <c r="B45">
        <v>1761018121.5</v>
      </c>
      <c r="C45">
        <v>52</v>
      </c>
      <c r="D45" t="s">
        <v>479</v>
      </c>
      <c r="E45" t="s">
        <v>480</v>
      </c>
      <c r="F45">
        <v>5</v>
      </c>
      <c r="G45" t="s">
        <v>419</v>
      </c>
      <c r="H45">
        <v>1761018118.5</v>
      </c>
      <c r="I45">
        <f>(J45)/1000</f>
        <v>0</v>
      </c>
      <c r="J45">
        <f>1000*DJ45*AH45*(DF45-DG45)/(100*CY45*(1000-AH45*DF45))</f>
        <v>0</v>
      </c>
      <c r="K45">
        <f>DJ45*AH45*(DE45-DD45*(1000-AH45*DG45)/(1000-AH45*DF45))/(100*CY45)</f>
        <v>0</v>
      </c>
      <c r="L45">
        <f>DD45 - IF(AH45&gt;1, K45*CY45*100.0/(AJ45), 0)</f>
        <v>0</v>
      </c>
      <c r="M45">
        <f>((S45-I45/2)*L45-K45)/(S45+I45/2)</f>
        <v>0</v>
      </c>
      <c r="N45">
        <f>M45*(DK45+DL45)/1000.0</f>
        <v>0</v>
      </c>
      <c r="O45">
        <f>(DD45 - IF(AH45&gt;1, K45*CY45*100.0/(AJ45), 0))*(DK45+DL45)/1000.0</f>
        <v>0</v>
      </c>
      <c r="P45">
        <f>2.0/((1/R45-1/Q45)+SIGN(R45)*SQRT((1/R45-1/Q45)*(1/R45-1/Q45) + 4*CZ45/((CZ45+1)*(CZ45+1))*(2*1/R45*1/Q45-1/Q45*1/Q45)))</f>
        <v>0</v>
      </c>
      <c r="Q45">
        <f>IF(LEFT(DA45,1)&lt;&gt;"0",IF(LEFT(DA45,1)="1",3.0,DB45),$D$5+$E$5*(DR45*DK45/($K$5*1000))+$F$5*(DR45*DK45/($K$5*1000))*MAX(MIN(CY45,$J$5),$I$5)*MAX(MIN(CY45,$J$5),$I$5)+$G$5*MAX(MIN(CY45,$J$5),$I$5)*(DR45*DK45/($K$5*1000))+$H$5*(DR45*DK45/($K$5*1000))*(DR45*DK45/($K$5*1000)))</f>
        <v>0</v>
      </c>
      <c r="R45">
        <f>I45*(1000-(1000*0.61365*exp(17.502*V45/(240.97+V45))/(DK45+DL45)+DF45)/2)/(1000*0.61365*exp(17.502*V45/(240.97+V45))/(DK45+DL45)-DF45)</f>
        <v>0</v>
      </c>
      <c r="S45">
        <f>1/((CZ45+1)/(P45/1.6)+1/(Q45/1.37)) + CZ45/((CZ45+1)/(P45/1.6) + CZ45/(Q45/1.37))</f>
        <v>0</v>
      </c>
      <c r="T45">
        <f>(CU45*CX45)</f>
        <v>0</v>
      </c>
      <c r="U45">
        <f>(DM45+(T45+2*0.95*5.67E-8*(((DM45+$B$9)+273)^4-(DM45+273)^4)-44100*I45)/(1.84*29.3*Q45+8*0.95*5.67E-8*(DM45+273)^3))</f>
        <v>0</v>
      </c>
      <c r="V45">
        <f>($C$9*DN45+$D$9*DO45+$E$9*U45)</f>
        <v>0</v>
      </c>
      <c r="W45">
        <f>0.61365*exp(17.502*V45/(240.97+V45))</f>
        <v>0</v>
      </c>
      <c r="X45">
        <f>(Y45/Z45*100)</f>
        <v>0</v>
      </c>
      <c r="Y45">
        <f>DF45*(DK45+DL45)/1000</f>
        <v>0</v>
      </c>
      <c r="Z45">
        <f>0.61365*exp(17.502*DM45/(240.97+DM45))</f>
        <v>0</v>
      </c>
      <c r="AA45">
        <f>(W45-DF45*(DK45+DL45)/1000)</f>
        <v>0</v>
      </c>
      <c r="AB45">
        <f>(-I45*44100)</f>
        <v>0</v>
      </c>
      <c r="AC45">
        <f>2*29.3*Q45*0.92*(DM45-V45)</f>
        <v>0</v>
      </c>
      <c r="AD45">
        <f>2*0.95*5.67E-8*(((DM45+$B$9)+273)^4-(V45+273)^4)</f>
        <v>0</v>
      </c>
      <c r="AE45">
        <f>T45+AD45+AB45+AC45</f>
        <v>0</v>
      </c>
      <c r="AF45">
        <v>0</v>
      </c>
      <c r="AG45">
        <v>0</v>
      </c>
      <c r="AH45">
        <f>IF(AF45*$H$15&gt;=AJ45,1.0,(AJ45/(AJ45-AF45*$H$15)))</f>
        <v>0</v>
      </c>
      <c r="AI45">
        <f>(AH45-1)*100</f>
        <v>0</v>
      </c>
      <c r="AJ45">
        <f>MAX(0,($B$15+$C$15*DR45)/(1+$D$15*DR45)*DK45/(DM45+273)*$E$15)</f>
        <v>0</v>
      </c>
      <c r="AK45" t="s">
        <v>420</v>
      </c>
      <c r="AL45" t="s">
        <v>420</v>
      </c>
      <c r="AM45">
        <v>0</v>
      </c>
      <c r="AN45">
        <v>0</v>
      </c>
      <c r="AO45">
        <f>1-AM45/AN45</f>
        <v>0</v>
      </c>
      <c r="AP45">
        <v>0</v>
      </c>
      <c r="AQ45" t="s">
        <v>420</v>
      </c>
      <c r="AR45" t="s">
        <v>420</v>
      </c>
      <c r="AS45">
        <v>0</v>
      </c>
      <c r="AT45">
        <v>0</v>
      </c>
      <c r="AU45">
        <f>1-AS45/AT45</f>
        <v>0</v>
      </c>
      <c r="AV45">
        <v>0.5</v>
      </c>
      <c r="AW45">
        <f>CV45</f>
        <v>0</v>
      </c>
      <c r="AX45">
        <f>K45</f>
        <v>0</v>
      </c>
      <c r="AY45">
        <f>AU45*AV45*AW45</f>
        <v>0</v>
      </c>
      <c r="AZ45">
        <f>(AX45-AP45)/AW45</f>
        <v>0</v>
      </c>
      <c r="BA45">
        <f>(AN45-AT45)/AT45</f>
        <v>0</v>
      </c>
      <c r="BB45">
        <f>AM45/(AO45+AM45/AT45)</f>
        <v>0</v>
      </c>
      <c r="BC45" t="s">
        <v>420</v>
      </c>
      <c r="BD45">
        <v>0</v>
      </c>
      <c r="BE45">
        <f>IF(BD45&lt;&gt;0, BD45, BB45)</f>
        <v>0</v>
      </c>
      <c r="BF45">
        <f>1-BE45/AT45</f>
        <v>0</v>
      </c>
      <c r="BG45">
        <f>(AT45-AS45)/(AT45-BE45)</f>
        <v>0</v>
      </c>
      <c r="BH45">
        <f>(AN45-AT45)/(AN45-BE45)</f>
        <v>0</v>
      </c>
      <c r="BI45">
        <f>(AT45-AS45)/(AT45-AM45)</f>
        <v>0</v>
      </c>
      <c r="BJ45">
        <f>(AN45-AT45)/(AN45-AM45)</f>
        <v>0</v>
      </c>
      <c r="BK45">
        <f>(BG45*BE45/AS45)</f>
        <v>0</v>
      </c>
      <c r="BL45">
        <f>(1-BK45)</f>
        <v>0</v>
      </c>
      <c r="CU45">
        <f>$B$13*DS45+$C$13*DT45+$F$13*EE45*(1-EH45)</f>
        <v>0</v>
      </c>
      <c r="CV45">
        <f>CU45*CW45</f>
        <v>0</v>
      </c>
      <c r="CW45">
        <f>($B$13*$D$11+$C$13*$D$11+$F$13*((ER45+EJ45)/MAX(ER45+EJ45+ES45, 0.1)*$I$11+ES45/MAX(ER45+EJ45+ES45, 0.1)*$J$11))/($B$13+$C$13+$F$13)</f>
        <v>0</v>
      </c>
      <c r="CX45">
        <f>($B$13*$K$11+$C$13*$K$11+$F$13*((ER45+EJ45)/MAX(ER45+EJ45+ES45, 0.1)*$P$11+ES45/MAX(ER45+EJ45+ES45, 0.1)*$Q$11))/($B$13+$C$13+$F$13)</f>
        <v>0</v>
      </c>
      <c r="CY45">
        <v>2.7</v>
      </c>
      <c r="CZ45">
        <v>0.5</v>
      </c>
      <c r="DA45" t="s">
        <v>421</v>
      </c>
      <c r="DB45">
        <v>2</v>
      </c>
      <c r="DC45">
        <v>1761018118.5</v>
      </c>
      <c r="DD45">
        <v>420.626</v>
      </c>
      <c r="DE45">
        <v>420.0662222222222</v>
      </c>
      <c r="DF45">
        <v>23.81846666666667</v>
      </c>
      <c r="DG45">
        <v>23.39594444444445</v>
      </c>
      <c r="DH45">
        <v>421.2425555555556</v>
      </c>
      <c r="DI45">
        <v>23.61337777777778</v>
      </c>
      <c r="DJ45">
        <v>500.0352222222222</v>
      </c>
      <c r="DK45">
        <v>90.76781111111111</v>
      </c>
      <c r="DL45">
        <v>0.03527203333333333</v>
      </c>
      <c r="DM45">
        <v>30.10846666666667</v>
      </c>
      <c r="DN45">
        <v>30.00281111111111</v>
      </c>
      <c r="DO45">
        <v>999.9000000000001</v>
      </c>
      <c r="DP45">
        <v>0</v>
      </c>
      <c r="DQ45">
        <v>0</v>
      </c>
      <c r="DR45">
        <v>10011.88333333333</v>
      </c>
      <c r="DS45">
        <v>0</v>
      </c>
      <c r="DT45">
        <v>0.242856</v>
      </c>
      <c r="DU45">
        <v>0.5595060000000001</v>
      </c>
      <c r="DV45">
        <v>430.8888888888889</v>
      </c>
      <c r="DW45">
        <v>430.1296666666667</v>
      </c>
      <c r="DX45">
        <v>0.4225254444444445</v>
      </c>
      <c r="DY45">
        <v>420.0662222222222</v>
      </c>
      <c r="DZ45">
        <v>23.39594444444445</v>
      </c>
      <c r="EA45">
        <v>2.16195</v>
      </c>
      <c r="EB45">
        <v>2.1236</v>
      </c>
      <c r="EC45">
        <v>18.68307777777778</v>
      </c>
      <c r="ED45">
        <v>18.39724444444444</v>
      </c>
      <c r="EE45">
        <v>0.00500078</v>
      </c>
      <c r="EF45">
        <v>0</v>
      </c>
      <c r="EG45">
        <v>0</v>
      </c>
      <c r="EH45">
        <v>0</v>
      </c>
      <c r="EI45">
        <v>152.2666666666667</v>
      </c>
      <c r="EJ45">
        <v>0.00500078</v>
      </c>
      <c r="EK45">
        <v>-20.38888888888889</v>
      </c>
      <c r="EL45">
        <v>-1.211111111111111</v>
      </c>
      <c r="EM45">
        <v>35.118</v>
      </c>
      <c r="EN45">
        <v>38.472</v>
      </c>
      <c r="EO45">
        <v>36.98577777777777</v>
      </c>
      <c r="EP45">
        <v>38.63855555555555</v>
      </c>
      <c r="EQ45">
        <v>37.89544444444444</v>
      </c>
      <c r="ER45">
        <v>0</v>
      </c>
      <c r="ES45">
        <v>0</v>
      </c>
      <c r="ET45">
        <v>0</v>
      </c>
      <c r="EU45">
        <v>1761018120.7</v>
      </c>
      <c r="EV45">
        <v>0</v>
      </c>
      <c r="EW45">
        <v>150.5576923076923</v>
      </c>
      <c r="EX45">
        <v>-0.5914528088996136</v>
      </c>
      <c r="EY45">
        <v>-20.5948717211918</v>
      </c>
      <c r="EZ45">
        <v>-16.50769230769231</v>
      </c>
      <c r="FA45">
        <v>15</v>
      </c>
      <c r="FB45">
        <v>1761018049.5</v>
      </c>
      <c r="FC45" t="s">
        <v>422</v>
      </c>
      <c r="FD45">
        <v>1761018049.5</v>
      </c>
      <c r="FE45">
        <v>1761018035.5</v>
      </c>
      <c r="FF45">
        <v>23</v>
      </c>
      <c r="FG45">
        <v>1.295</v>
      </c>
      <c r="FH45">
        <v>0.011</v>
      </c>
      <c r="FI45">
        <v>-0.618</v>
      </c>
      <c r="FJ45">
        <v>0.192</v>
      </c>
      <c r="FK45">
        <v>420</v>
      </c>
      <c r="FL45">
        <v>23</v>
      </c>
      <c r="FM45">
        <v>0.42</v>
      </c>
      <c r="FN45">
        <v>0.17</v>
      </c>
      <c r="FO45">
        <v>0.5225122682926829</v>
      </c>
      <c r="FP45">
        <v>-0.1773994076655052</v>
      </c>
      <c r="FQ45">
        <v>0.07510895528627937</v>
      </c>
      <c r="FR45">
        <v>1</v>
      </c>
      <c r="FS45">
        <v>150.4794117647059</v>
      </c>
      <c r="FT45">
        <v>5.040488933870351</v>
      </c>
      <c r="FU45">
        <v>6.186217099885877</v>
      </c>
      <c r="FV45">
        <v>0</v>
      </c>
      <c r="FW45">
        <v>0.1397444048780488</v>
      </c>
      <c r="FX45">
        <v>2.175175908710801</v>
      </c>
      <c r="FY45">
        <v>0.2187254924664547</v>
      </c>
      <c r="FZ45">
        <v>0</v>
      </c>
      <c r="GA45">
        <v>1</v>
      </c>
      <c r="GB45">
        <v>3</v>
      </c>
      <c r="GC45" t="s">
        <v>431</v>
      </c>
      <c r="GD45">
        <v>3.10945</v>
      </c>
      <c r="GE45">
        <v>2.72661</v>
      </c>
      <c r="GF45">
        <v>0.088583</v>
      </c>
      <c r="GG45">
        <v>0.0884257</v>
      </c>
      <c r="GH45">
        <v>0.107735</v>
      </c>
      <c r="GI45">
        <v>0.107539</v>
      </c>
      <c r="GJ45">
        <v>23896.2</v>
      </c>
      <c r="GK45">
        <v>21685.9</v>
      </c>
      <c r="GL45">
        <v>26778</v>
      </c>
      <c r="GM45">
        <v>23998.2</v>
      </c>
      <c r="GN45">
        <v>38179.2</v>
      </c>
      <c r="GO45">
        <v>31609.1</v>
      </c>
      <c r="GP45">
        <v>46739.4</v>
      </c>
      <c r="GQ45">
        <v>37955.1</v>
      </c>
      <c r="GR45">
        <v>1.88535</v>
      </c>
      <c r="GS45">
        <v>1.87335</v>
      </c>
      <c r="GT45">
        <v>0.133596</v>
      </c>
      <c r="GU45">
        <v>0</v>
      </c>
      <c r="GV45">
        <v>27.8131</v>
      </c>
      <c r="GW45">
        <v>999.9</v>
      </c>
      <c r="GX45">
        <v>63.2</v>
      </c>
      <c r="GY45">
        <v>29.1</v>
      </c>
      <c r="GZ45">
        <v>28.1652</v>
      </c>
      <c r="HA45">
        <v>61.21</v>
      </c>
      <c r="HB45">
        <v>19.9038</v>
      </c>
      <c r="HC45">
        <v>1</v>
      </c>
      <c r="HD45">
        <v>0.0749771</v>
      </c>
      <c r="HE45">
        <v>-1.65971</v>
      </c>
      <c r="HF45">
        <v>20.3272</v>
      </c>
      <c r="HG45">
        <v>5.21774</v>
      </c>
      <c r="HH45">
        <v>11.98</v>
      </c>
      <c r="HI45">
        <v>4.9644</v>
      </c>
      <c r="HJ45">
        <v>3.27523</v>
      </c>
      <c r="HK45">
        <v>9999</v>
      </c>
      <c r="HL45">
        <v>9999</v>
      </c>
      <c r="HM45">
        <v>9999</v>
      </c>
      <c r="HN45">
        <v>999.9</v>
      </c>
      <c r="HO45">
        <v>1.8636</v>
      </c>
      <c r="HP45">
        <v>1.85974</v>
      </c>
      <c r="HQ45">
        <v>1.85793</v>
      </c>
      <c r="HR45">
        <v>1.85936</v>
      </c>
      <c r="HS45">
        <v>1.85959</v>
      </c>
      <c r="HT45">
        <v>1.85802</v>
      </c>
      <c r="HU45">
        <v>1.85711</v>
      </c>
      <c r="HV45">
        <v>1.85206</v>
      </c>
      <c r="HW45">
        <v>0</v>
      </c>
      <c r="HX45">
        <v>0</v>
      </c>
      <c r="HY45">
        <v>0</v>
      </c>
      <c r="HZ45">
        <v>0</v>
      </c>
      <c r="IA45" t="s">
        <v>424</v>
      </c>
      <c r="IB45" t="s">
        <v>425</v>
      </c>
      <c r="IC45" t="s">
        <v>426</v>
      </c>
      <c r="ID45" t="s">
        <v>426</v>
      </c>
      <c r="IE45" t="s">
        <v>426</v>
      </c>
      <c r="IF45" t="s">
        <v>426</v>
      </c>
      <c r="IG45">
        <v>0</v>
      </c>
      <c r="IH45">
        <v>100</v>
      </c>
      <c r="II45">
        <v>100</v>
      </c>
      <c r="IJ45">
        <v>-0.616</v>
      </c>
      <c r="IK45">
        <v>0.203</v>
      </c>
      <c r="IL45">
        <v>-1.405955206116699</v>
      </c>
      <c r="IM45">
        <v>0.001328113201692861</v>
      </c>
      <c r="IN45">
        <v>1.538283238170363E-06</v>
      </c>
      <c r="IO45">
        <v>-5.795655626708063E-10</v>
      </c>
      <c r="IP45">
        <v>-0.04918981781385694</v>
      </c>
      <c r="IQ45">
        <v>-0.004593102289677449</v>
      </c>
      <c r="IR45">
        <v>0.0008253994458280543</v>
      </c>
      <c r="IS45">
        <v>-7.403632370499484E-06</v>
      </c>
      <c r="IT45">
        <v>2</v>
      </c>
      <c r="IU45">
        <v>1985</v>
      </c>
      <c r="IV45">
        <v>1</v>
      </c>
      <c r="IW45">
        <v>27</v>
      </c>
      <c r="IX45">
        <v>1.2</v>
      </c>
      <c r="IY45">
        <v>1.4</v>
      </c>
      <c r="IZ45">
        <v>1.12061</v>
      </c>
      <c r="JA45">
        <v>2.56348</v>
      </c>
      <c r="JB45">
        <v>1.49658</v>
      </c>
      <c r="JC45">
        <v>2.34253</v>
      </c>
      <c r="JD45">
        <v>1.54907</v>
      </c>
      <c r="JE45">
        <v>2.36572</v>
      </c>
      <c r="JF45">
        <v>31.6955</v>
      </c>
      <c r="JG45">
        <v>14.6486</v>
      </c>
      <c r="JH45">
        <v>18</v>
      </c>
      <c r="JI45">
        <v>483.211</v>
      </c>
      <c r="JJ45">
        <v>505.087</v>
      </c>
      <c r="JK45">
        <v>31.0044</v>
      </c>
      <c r="JL45">
        <v>28.2256</v>
      </c>
      <c r="JM45">
        <v>29.9996</v>
      </c>
      <c r="JN45">
        <v>28.524</v>
      </c>
      <c r="JO45">
        <v>28.5254</v>
      </c>
      <c r="JP45">
        <v>22.5324</v>
      </c>
      <c r="JQ45">
        <v>21.2432</v>
      </c>
      <c r="JR45">
        <v>81.53149999999999</v>
      </c>
      <c r="JS45">
        <v>31.0152</v>
      </c>
      <c r="JT45">
        <v>420</v>
      </c>
      <c r="JU45">
        <v>23.5198</v>
      </c>
      <c r="JV45">
        <v>102.208</v>
      </c>
      <c r="JW45">
        <v>91.5455</v>
      </c>
    </row>
    <row r="46" spans="1:283">
      <c r="A46">
        <v>28</v>
      </c>
      <c r="B46">
        <v>1761018123.5</v>
      </c>
      <c r="C46">
        <v>54</v>
      </c>
      <c r="D46" t="s">
        <v>481</v>
      </c>
      <c r="E46" t="s">
        <v>482</v>
      </c>
      <c r="F46">
        <v>5</v>
      </c>
      <c r="G46" t="s">
        <v>419</v>
      </c>
      <c r="H46">
        <v>1761018120.5</v>
      </c>
      <c r="I46">
        <f>(J46)/1000</f>
        <v>0</v>
      </c>
      <c r="J46">
        <f>1000*DJ46*AH46*(DF46-DG46)/(100*CY46*(1000-AH46*DF46))</f>
        <v>0</v>
      </c>
      <c r="K46">
        <f>DJ46*AH46*(DE46-DD46*(1000-AH46*DG46)/(1000-AH46*DF46))/(100*CY46)</f>
        <v>0</v>
      </c>
      <c r="L46">
        <f>DD46 - IF(AH46&gt;1, K46*CY46*100.0/(AJ46), 0)</f>
        <v>0</v>
      </c>
      <c r="M46">
        <f>((S46-I46/2)*L46-K46)/(S46+I46/2)</f>
        <v>0</v>
      </c>
      <c r="N46">
        <f>M46*(DK46+DL46)/1000.0</f>
        <v>0</v>
      </c>
      <c r="O46">
        <f>(DD46 - IF(AH46&gt;1, K46*CY46*100.0/(AJ46), 0))*(DK46+DL46)/1000.0</f>
        <v>0</v>
      </c>
      <c r="P46">
        <f>2.0/((1/R46-1/Q46)+SIGN(R46)*SQRT((1/R46-1/Q46)*(1/R46-1/Q46) + 4*CZ46/((CZ46+1)*(CZ46+1))*(2*1/R46*1/Q46-1/Q46*1/Q46)))</f>
        <v>0</v>
      </c>
      <c r="Q46">
        <f>IF(LEFT(DA46,1)&lt;&gt;"0",IF(LEFT(DA46,1)="1",3.0,DB46),$D$5+$E$5*(DR46*DK46/($K$5*1000))+$F$5*(DR46*DK46/($K$5*1000))*MAX(MIN(CY46,$J$5),$I$5)*MAX(MIN(CY46,$J$5),$I$5)+$G$5*MAX(MIN(CY46,$J$5),$I$5)*(DR46*DK46/($K$5*1000))+$H$5*(DR46*DK46/($K$5*1000))*(DR46*DK46/($K$5*1000)))</f>
        <v>0</v>
      </c>
      <c r="R46">
        <f>I46*(1000-(1000*0.61365*exp(17.502*V46/(240.97+V46))/(DK46+DL46)+DF46)/2)/(1000*0.61365*exp(17.502*V46/(240.97+V46))/(DK46+DL46)-DF46)</f>
        <v>0</v>
      </c>
      <c r="S46">
        <f>1/((CZ46+1)/(P46/1.6)+1/(Q46/1.37)) + CZ46/((CZ46+1)/(P46/1.6) + CZ46/(Q46/1.37))</f>
        <v>0</v>
      </c>
      <c r="T46">
        <f>(CU46*CX46)</f>
        <v>0</v>
      </c>
      <c r="U46">
        <f>(DM46+(T46+2*0.95*5.67E-8*(((DM46+$B$9)+273)^4-(DM46+273)^4)-44100*I46)/(1.84*29.3*Q46+8*0.95*5.67E-8*(DM46+273)^3))</f>
        <v>0</v>
      </c>
      <c r="V46">
        <f>($C$9*DN46+$D$9*DO46+$E$9*U46)</f>
        <v>0</v>
      </c>
      <c r="W46">
        <f>0.61365*exp(17.502*V46/(240.97+V46))</f>
        <v>0</v>
      </c>
      <c r="X46">
        <f>(Y46/Z46*100)</f>
        <v>0</v>
      </c>
      <c r="Y46">
        <f>DF46*(DK46+DL46)/1000</f>
        <v>0</v>
      </c>
      <c r="Z46">
        <f>0.61365*exp(17.502*DM46/(240.97+DM46))</f>
        <v>0</v>
      </c>
      <c r="AA46">
        <f>(W46-DF46*(DK46+DL46)/1000)</f>
        <v>0</v>
      </c>
      <c r="AB46">
        <f>(-I46*44100)</f>
        <v>0</v>
      </c>
      <c r="AC46">
        <f>2*29.3*Q46*0.92*(DM46-V46)</f>
        <v>0</v>
      </c>
      <c r="AD46">
        <f>2*0.95*5.67E-8*(((DM46+$B$9)+273)^4-(V46+273)^4)</f>
        <v>0</v>
      </c>
      <c r="AE46">
        <f>T46+AD46+AB46+AC46</f>
        <v>0</v>
      </c>
      <c r="AF46">
        <v>0</v>
      </c>
      <c r="AG46">
        <v>0</v>
      </c>
      <c r="AH46">
        <f>IF(AF46*$H$15&gt;=AJ46,1.0,(AJ46/(AJ46-AF46*$H$15)))</f>
        <v>0</v>
      </c>
      <c r="AI46">
        <f>(AH46-1)*100</f>
        <v>0</v>
      </c>
      <c r="AJ46">
        <f>MAX(0,($B$15+$C$15*DR46)/(1+$D$15*DR46)*DK46/(DM46+273)*$E$15)</f>
        <v>0</v>
      </c>
      <c r="AK46" t="s">
        <v>420</v>
      </c>
      <c r="AL46" t="s">
        <v>420</v>
      </c>
      <c r="AM46">
        <v>0</v>
      </c>
      <c r="AN46">
        <v>0</v>
      </c>
      <c r="AO46">
        <f>1-AM46/AN46</f>
        <v>0</v>
      </c>
      <c r="AP46">
        <v>0</v>
      </c>
      <c r="AQ46" t="s">
        <v>420</v>
      </c>
      <c r="AR46" t="s">
        <v>420</v>
      </c>
      <c r="AS46">
        <v>0</v>
      </c>
      <c r="AT46">
        <v>0</v>
      </c>
      <c r="AU46">
        <f>1-AS46/AT46</f>
        <v>0</v>
      </c>
      <c r="AV46">
        <v>0.5</v>
      </c>
      <c r="AW46">
        <f>CV46</f>
        <v>0</v>
      </c>
      <c r="AX46">
        <f>K46</f>
        <v>0</v>
      </c>
      <c r="AY46">
        <f>AU46*AV46*AW46</f>
        <v>0</v>
      </c>
      <c r="AZ46">
        <f>(AX46-AP46)/AW46</f>
        <v>0</v>
      </c>
      <c r="BA46">
        <f>(AN46-AT46)/AT46</f>
        <v>0</v>
      </c>
      <c r="BB46">
        <f>AM46/(AO46+AM46/AT46)</f>
        <v>0</v>
      </c>
      <c r="BC46" t="s">
        <v>420</v>
      </c>
      <c r="BD46">
        <v>0</v>
      </c>
      <c r="BE46">
        <f>IF(BD46&lt;&gt;0, BD46, BB46)</f>
        <v>0</v>
      </c>
      <c r="BF46">
        <f>1-BE46/AT46</f>
        <v>0</v>
      </c>
      <c r="BG46">
        <f>(AT46-AS46)/(AT46-BE46)</f>
        <v>0</v>
      </c>
      <c r="BH46">
        <f>(AN46-AT46)/(AN46-BE46)</f>
        <v>0</v>
      </c>
      <c r="BI46">
        <f>(AT46-AS46)/(AT46-AM46)</f>
        <v>0</v>
      </c>
      <c r="BJ46">
        <f>(AN46-AT46)/(AN46-AM46)</f>
        <v>0</v>
      </c>
      <c r="BK46">
        <f>(BG46*BE46/AS46)</f>
        <v>0</v>
      </c>
      <c r="BL46">
        <f>(1-BK46)</f>
        <v>0</v>
      </c>
      <c r="CU46">
        <f>$B$13*DS46+$C$13*DT46+$F$13*EE46*(1-EH46)</f>
        <v>0</v>
      </c>
      <c r="CV46">
        <f>CU46*CW46</f>
        <v>0</v>
      </c>
      <c r="CW46">
        <f>($B$13*$D$11+$C$13*$D$11+$F$13*((ER46+EJ46)/MAX(ER46+EJ46+ES46, 0.1)*$I$11+ES46/MAX(ER46+EJ46+ES46, 0.1)*$J$11))/($B$13+$C$13+$F$13)</f>
        <v>0</v>
      </c>
      <c r="CX46">
        <f>($B$13*$K$11+$C$13*$K$11+$F$13*((ER46+EJ46)/MAX(ER46+EJ46+ES46, 0.1)*$P$11+ES46/MAX(ER46+EJ46+ES46, 0.1)*$Q$11))/($B$13+$C$13+$F$13)</f>
        <v>0</v>
      </c>
      <c r="CY46">
        <v>2.7</v>
      </c>
      <c r="CZ46">
        <v>0.5</v>
      </c>
      <c r="DA46" t="s">
        <v>421</v>
      </c>
      <c r="DB46">
        <v>2</v>
      </c>
      <c r="DC46">
        <v>1761018120.5</v>
      </c>
      <c r="DD46">
        <v>420.6353333333334</v>
      </c>
      <c r="DE46">
        <v>420.0515555555555</v>
      </c>
      <c r="DF46">
        <v>23.75468888888889</v>
      </c>
      <c r="DG46">
        <v>23.34443333333333</v>
      </c>
      <c r="DH46">
        <v>421.2518888888889</v>
      </c>
      <c r="DI46">
        <v>23.55096666666667</v>
      </c>
      <c r="DJ46">
        <v>500.0328888888889</v>
      </c>
      <c r="DK46">
        <v>90.76843333333333</v>
      </c>
      <c r="DL46">
        <v>0.03505514444444444</v>
      </c>
      <c r="DM46">
        <v>30.10037777777778</v>
      </c>
      <c r="DN46">
        <v>29.99567777777778</v>
      </c>
      <c r="DO46">
        <v>999.9000000000001</v>
      </c>
      <c r="DP46">
        <v>0</v>
      </c>
      <c r="DQ46">
        <v>0</v>
      </c>
      <c r="DR46">
        <v>10010.00555555556</v>
      </c>
      <c r="DS46">
        <v>0</v>
      </c>
      <c r="DT46">
        <v>0.242856</v>
      </c>
      <c r="DU46">
        <v>0.5835741111111111</v>
      </c>
      <c r="DV46">
        <v>430.8703333333333</v>
      </c>
      <c r="DW46">
        <v>430.092</v>
      </c>
      <c r="DX46">
        <v>0.4102604444444444</v>
      </c>
      <c r="DY46">
        <v>420.0515555555555</v>
      </c>
      <c r="DZ46">
        <v>23.34443333333333</v>
      </c>
      <c r="EA46">
        <v>2.156174444444444</v>
      </c>
      <c r="EB46">
        <v>2.118938888888889</v>
      </c>
      <c r="EC46">
        <v>18.64032222222222</v>
      </c>
      <c r="ED46">
        <v>18.36223333333333</v>
      </c>
      <c r="EE46">
        <v>0.00500078</v>
      </c>
      <c r="EF46">
        <v>0</v>
      </c>
      <c r="EG46">
        <v>0</v>
      </c>
      <c r="EH46">
        <v>0</v>
      </c>
      <c r="EI46">
        <v>150.2777777777777</v>
      </c>
      <c r="EJ46">
        <v>0.00500078</v>
      </c>
      <c r="EK46">
        <v>-18.87777777777778</v>
      </c>
      <c r="EL46">
        <v>-1.022222222222222</v>
      </c>
      <c r="EM46">
        <v>35.097</v>
      </c>
      <c r="EN46">
        <v>38.43033333333333</v>
      </c>
      <c r="EO46">
        <v>36.979</v>
      </c>
      <c r="EP46">
        <v>38.58988888888889</v>
      </c>
      <c r="EQ46">
        <v>37.91633333333333</v>
      </c>
      <c r="ER46">
        <v>0</v>
      </c>
      <c r="ES46">
        <v>0</v>
      </c>
      <c r="ET46">
        <v>0</v>
      </c>
      <c r="EU46">
        <v>1761018122.5</v>
      </c>
      <c r="EV46">
        <v>0</v>
      </c>
      <c r="EW46">
        <v>151.004</v>
      </c>
      <c r="EX46">
        <v>9.153846418692769</v>
      </c>
      <c r="EY46">
        <v>-25.5076920542726</v>
      </c>
      <c r="EZ46">
        <v>-16.6</v>
      </c>
      <c r="FA46">
        <v>15</v>
      </c>
      <c r="FB46">
        <v>1761018049.5</v>
      </c>
      <c r="FC46" t="s">
        <v>422</v>
      </c>
      <c r="FD46">
        <v>1761018049.5</v>
      </c>
      <c r="FE46">
        <v>1761018035.5</v>
      </c>
      <c r="FF46">
        <v>23</v>
      </c>
      <c r="FG46">
        <v>1.295</v>
      </c>
      <c r="FH46">
        <v>0.011</v>
      </c>
      <c r="FI46">
        <v>-0.618</v>
      </c>
      <c r="FJ46">
        <v>0.192</v>
      </c>
      <c r="FK46">
        <v>420</v>
      </c>
      <c r="FL46">
        <v>23</v>
      </c>
      <c r="FM46">
        <v>0.42</v>
      </c>
      <c r="FN46">
        <v>0.17</v>
      </c>
      <c r="FO46">
        <v>0.527249175</v>
      </c>
      <c r="FP46">
        <v>0.2199752082551593</v>
      </c>
      <c r="FQ46">
        <v>0.08148902911186497</v>
      </c>
      <c r="FR46">
        <v>1</v>
      </c>
      <c r="FS46">
        <v>150.1470588235294</v>
      </c>
      <c r="FT46">
        <v>6.927425530840935</v>
      </c>
      <c r="FU46">
        <v>5.547985076431307</v>
      </c>
      <c r="FV46">
        <v>0</v>
      </c>
      <c r="FW46">
        <v>0.21197594</v>
      </c>
      <c r="FX46">
        <v>1.972972221388368</v>
      </c>
      <c r="FY46">
        <v>0.2004892500575527</v>
      </c>
      <c r="FZ46">
        <v>0</v>
      </c>
      <c r="GA46">
        <v>1</v>
      </c>
      <c r="GB46">
        <v>3</v>
      </c>
      <c r="GC46" t="s">
        <v>431</v>
      </c>
      <c r="GD46">
        <v>3.10958</v>
      </c>
      <c r="GE46">
        <v>2.7269</v>
      </c>
      <c r="GF46">
        <v>0.08857710000000001</v>
      </c>
      <c r="GG46">
        <v>0.0884163</v>
      </c>
      <c r="GH46">
        <v>0.10756</v>
      </c>
      <c r="GI46">
        <v>0.107506</v>
      </c>
      <c r="GJ46">
        <v>23896.4</v>
      </c>
      <c r="GK46">
        <v>21686.2</v>
      </c>
      <c r="GL46">
        <v>26778.1</v>
      </c>
      <c r="GM46">
        <v>23998.2</v>
      </c>
      <c r="GN46">
        <v>38186.8</v>
      </c>
      <c r="GO46">
        <v>31610.1</v>
      </c>
      <c r="GP46">
        <v>46739.4</v>
      </c>
      <c r="GQ46">
        <v>37954.9</v>
      </c>
      <c r="GR46">
        <v>1.88547</v>
      </c>
      <c r="GS46">
        <v>1.87337</v>
      </c>
      <c r="GT46">
        <v>0.132523</v>
      </c>
      <c r="GU46">
        <v>0</v>
      </c>
      <c r="GV46">
        <v>27.816</v>
      </c>
      <c r="GW46">
        <v>999.9</v>
      </c>
      <c r="GX46">
        <v>63.2</v>
      </c>
      <c r="GY46">
        <v>29.1</v>
      </c>
      <c r="GZ46">
        <v>28.1646</v>
      </c>
      <c r="HA46">
        <v>61.43</v>
      </c>
      <c r="HB46">
        <v>19.7476</v>
      </c>
      <c r="HC46">
        <v>1</v>
      </c>
      <c r="HD46">
        <v>0.074779</v>
      </c>
      <c r="HE46">
        <v>-1.68502</v>
      </c>
      <c r="HF46">
        <v>20.3277</v>
      </c>
      <c r="HG46">
        <v>5.22148</v>
      </c>
      <c r="HH46">
        <v>11.9798</v>
      </c>
      <c r="HI46">
        <v>4.965</v>
      </c>
      <c r="HJ46">
        <v>3.27583</v>
      </c>
      <c r="HK46">
        <v>9999</v>
      </c>
      <c r="HL46">
        <v>9999</v>
      </c>
      <c r="HM46">
        <v>9999</v>
      </c>
      <c r="HN46">
        <v>999.9</v>
      </c>
      <c r="HO46">
        <v>1.86358</v>
      </c>
      <c r="HP46">
        <v>1.85974</v>
      </c>
      <c r="HQ46">
        <v>1.85795</v>
      </c>
      <c r="HR46">
        <v>1.85933</v>
      </c>
      <c r="HS46">
        <v>1.85959</v>
      </c>
      <c r="HT46">
        <v>1.85803</v>
      </c>
      <c r="HU46">
        <v>1.85711</v>
      </c>
      <c r="HV46">
        <v>1.85207</v>
      </c>
      <c r="HW46">
        <v>0</v>
      </c>
      <c r="HX46">
        <v>0</v>
      </c>
      <c r="HY46">
        <v>0</v>
      </c>
      <c r="HZ46">
        <v>0</v>
      </c>
      <c r="IA46" t="s">
        <v>424</v>
      </c>
      <c r="IB46" t="s">
        <v>425</v>
      </c>
      <c r="IC46" t="s">
        <v>426</v>
      </c>
      <c r="ID46" t="s">
        <v>426</v>
      </c>
      <c r="IE46" t="s">
        <v>426</v>
      </c>
      <c r="IF46" t="s">
        <v>426</v>
      </c>
      <c r="IG46">
        <v>0</v>
      </c>
      <c r="IH46">
        <v>100</v>
      </c>
      <c r="II46">
        <v>100</v>
      </c>
      <c r="IJ46">
        <v>-0.617</v>
      </c>
      <c r="IK46">
        <v>0.2018</v>
      </c>
      <c r="IL46">
        <v>-1.405955206116699</v>
      </c>
      <c r="IM46">
        <v>0.001328113201692861</v>
      </c>
      <c r="IN46">
        <v>1.538283238170363E-06</v>
      </c>
      <c r="IO46">
        <v>-5.795655626708063E-10</v>
      </c>
      <c r="IP46">
        <v>-0.04918981781385694</v>
      </c>
      <c r="IQ46">
        <v>-0.004593102289677449</v>
      </c>
      <c r="IR46">
        <v>0.0008253994458280543</v>
      </c>
      <c r="IS46">
        <v>-7.403632370499484E-06</v>
      </c>
      <c r="IT46">
        <v>2</v>
      </c>
      <c r="IU46">
        <v>1985</v>
      </c>
      <c r="IV46">
        <v>1</v>
      </c>
      <c r="IW46">
        <v>27</v>
      </c>
      <c r="IX46">
        <v>1.2</v>
      </c>
      <c r="IY46">
        <v>1.5</v>
      </c>
      <c r="IZ46">
        <v>1.12061</v>
      </c>
      <c r="JA46">
        <v>2.55005</v>
      </c>
      <c r="JB46">
        <v>1.49658</v>
      </c>
      <c r="JC46">
        <v>2.34131</v>
      </c>
      <c r="JD46">
        <v>1.54907</v>
      </c>
      <c r="JE46">
        <v>2.40601</v>
      </c>
      <c r="JF46">
        <v>31.6955</v>
      </c>
      <c r="JG46">
        <v>14.6574</v>
      </c>
      <c r="JH46">
        <v>18</v>
      </c>
      <c r="JI46">
        <v>483.262</v>
      </c>
      <c r="JJ46">
        <v>505.083</v>
      </c>
      <c r="JK46">
        <v>31.0018</v>
      </c>
      <c r="JL46">
        <v>28.2225</v>
      </c>
      <c r="JM46">
        <v>29.9997</v>
      </c>
      <c r="JN46">
        <v>28.5212</v>
      </c>
      <c r="JO46">
        <v>28.5228</v>
      </c>
      <c r="JP46">
        <v>22.5358</v>
      </c>
      <c r="JQ46">
        <v>20.9684</v>
      </c>
      <c r="JR46">
        <v>81.53149999999999</v>
      </c>
      <c r="JS46">
        <v>31.0152</v>
      </c>
      <c r="JT46">
        <v>420</v>
      </c>
      <c r="JU46">
        <v>23.5408</v>
      </c>
      <c r="JV46">
        <v>102.209</v>
      </c>
      <c r="JW46">
        <v>91.545</v>
      </c>
    </row>
    <row r="47" spans="1:283">
      <c r="A47">
        <v>29</v>
      </c>
      <c r="B47">
        <v>1761018125.5</v>
      </c>
      <c r="C47">
        <v>56</v>
      </c>
      <c r="D47" t="s">
        <v>483</v>
      </c>
      <c r="E47" t="s">
        <v>484</v>
      </c>
      <c r="F47">
        <v>5</v>
      </c>
      <c r="G47" t="s">
        <v>419</v>
      </c>
      <c r="H47">
        <v>1761018122.5</v>
      </c>
      <c r="I47">
        <f>(J47)/1000</f>
        <v>0</v>
      </c>
      <c r="J47">
        <f>1000*DJ47*AH47*(DF47-DG47)/(100*CY47*(1000-AH47*DF47))</f>
        <v>0</v>
      </c>
      <c r="K47">
        <f>DJ47*AH47*(DE47-DD47*(1000-AH47*DG47)/(1000-AH47*DF47))/(100*CY47)</f>
        <v>0</v>
      </c>
      <c r="L47">
        <f>DD47 - IF(AH47&gt;1, K47*CY47*100.0/(AJ47), 0)</f>
        <v>0</v>
      </c>
      <c r="M47">
        <f>((S47-I47/2)*L47-K47)/(S47+I47/2)</f>
        <v>0</v>
      </c>
      <c r="N47">
        <f>M47*(DK47+DL47)/1000.0</f>
        <v>0</v>
      </c>
      <c r="O47">
        <f>(DD47 - IF(AH47&gt;1, K47*CY47*100.0/(AJ47), 0))*(DK47+DL47)/1000.0</f>
        <v>0</v>
      </c>
      <c r="P47">
        <f>2.0/((1/R47-1/Q47)+SIGN(R47)*SQRT((1/R47-1/Q47)*(1/R47-1/Q47) + 4*CZ47/((CZ47+1)*(CZ47+1))*(2*1/R47*1/Q47-1/Q47*1/Q47)))</f>
        <v>0</v>
      </c>
      <c r="Q47">
        <f>IF(LEFT(DA47,1)&lt;&gt;"0",IF(LEFT(DA47,1)="1",3.0,DB47),$D$5+$E$5*(DR47*DK47/($K$5*1000))+$F$5*(DR47*DK47/($K$5*1000))*MAX(MIN(CY47,$J$5),$I$5)*MAX(MIN(CY47,$J$5),$I$5)+$G$5*MAX(MIN(CY47,$J$5),$I$5)*(DR47*DK47/($K$5*1000))+$H$5*(DR47*DK47/($K$5*1000))*(DR47*DK47/($K$5*1000)))</f>
        <v>0</v>
      </c>
      <c r="R47">
        <f>I47*(1000-(1000*0.61365*exp(17.502*V47/(240.97+V47))/(DK47+DL47)+DF47)/2)/(1000*0.61365*exp(17.502*V47/(240.97+V47))/(DK47+DL47)-DF47)</f>
        <v>0</v>
      </c>
      <c r="S47">
        <f>1/((CZ47+1)/(P47/1.6)+1/(Q47/1.37)) + CZ47/((CZ47+1)/(P47/1.6) + CZ47/(Q47/1.37))</f>
        <v>0</v>
      </c>
      <c r="T47">
        <f>(CU47*CX47)</f>
        <v>0</v>
      </c>
      <c r="U47">
        <f>(DM47+(T47+2*0.95*5.67E-8*(((DM47+$B$9)+273)^4-(DM47+273)^4)-44100*I47)/(1.84*29.3*Q47+8*0.95*5.67E-8*(DM47+273)^3))</f>
        <v>0</v>
      </c>
      <c r="V47">
        <f>($C$9*DN47+$D$9*DO47+$E$9*U47)</f>
        <v>0</v>
      </c>
      <c r="W47">
        <f>0.61365*exp(17.502*V47/(240.97+V47))</f>
        <v>0</v>
      </c>
      <c r="X47">
        <f>(Y47/Z47*100)</f>
        <v>0</v>
      </c>
      <c r="Y47">
        <f>DF47*(DK47+DL47)/1000</f>
        <v>0</v>
      </c>
      <c r="Z47">
        <f>0.61365*exp(17.502*DM47/(240.97+DM47))</f>
        <v>0</v>
      </c>
      <c r="AA47">
        <f>(W47-DF47*(DK47+DL47)/1000)</f>
        <v>0</v>
      </c>
      <c r="AB47">
        <f>(-I47*44100)</f>
        <v>0</v>
      </c>
      <c r="AC47">
        <f>2*29.3*Q47*0.92*(DM47-V47)</f>
        <v>0</v>
      </c>
      <c r="AD47">
        <f>2*0.95*5.67E-8*(((DM47+$B$9)+273)^4-(V47+273)^4)</f>
        <v>0</v>
      </c>
      <c r="AE47">
        <f>T47+AD47+AB47+AC47</f>
        <v>0</v>
      </c>
      <c r="AF47">
        <v>0</v>
      </c>
      <c r="AG47">
        <v>0</v>
      </c>
      <c r="AH47">
        <f>IF(AF47*$H$15&gt;=AJ47,1.0,(AJ47/(AJ47-AF47*$H$15)))</f>
        <v>0</v>
      </c>
      <c r="AI47">
        <f>(AH47-1)*100</f>
        <v>0</v>
      </c>
      <c r="AJ47">
        <f>MAX(0,($B$15+$C$15*DR47)/(1+$D$15*DR47)*DK47/(DM47+273)*$E$15)</f>
        <v>0</v>
      </c>
      <c r="AK47" t="s">
        <v>420</v>
      </c>
      <c r="AL47" t="s">
        <v>420</v>
      </c>
      <c r="AM47">
        <v>0</v>
      </c>
      <c r="AN47">
        <v>0</v>
      </c>
      <c r="AO47">
        <f>1-AM47/AN47</f>
        <v>0</v>
      </c>
      <c r="AP47">
        <v>0</v>
      </c>
      <c r="AQ47" t="s">
        <v>420</v>
      </c>
      <c r="AR47" t="s">
        <v>420</v>
      </c>
      <c r="AS47">
        <v>0</v>
      </c>
      <c r="AT47">
        <v>0</v>
      </c>
      <c r="AU47">
        <f>1-AS47/AT47</f>
        <v>0</v>
      </c>
      <c r="AV47">
        <v>0.5</v>
      </c>
      <c r="AW47">
        <f>CV47</f>
        <v>0</v>
      </c>
      <c r="AX47">
        <f>K47</f>
        <v>0</v>
      </c>
      <c r="AY47">
        <f>AU47*AV47*AW47</f>
        <v>0</v>
      </c>
      <c r="AZ47">
        <f>(AX47-AP47)/AW47</f>
        <v>0</v>
      </c>
      <c r="BA47">
        <f>(AN47-AT47)/AT47</f>
        <v>0</v>
      </c>
      <c r="BB47">
        <f>AM47/(AO47+AM47/AT47)</f>
        <v>0</v>
      </c>
      <c r="BC47" t="s">
        <v>420</v>
      </c>
      <c r="BD47">
        <v>0</v>
      </c>
      <c r="BE47">
        <f>IF(BD47&lt;&gt;0, BD47, BB47)</f>
        <v>0</v>
      </c>
      <c r="BF47">
        <f>1-BE47/AT47</f>
        <v>0</v>
      </c>
      <c r="BG47">
        <f>(AT47-AS47)/(AT47-BE47)</f>
        <v>0</v>
      </c>
      <c r="BH47">
        <f>(AN47-AT47)/(AN47-BE47)</f>
        <v>0</v>
      </c>
      <c r="BI47">
        <f>(AT47-AS47)/(AT47-AM47)</f>
        <v>0</v>
      </c>
      <c r="BJ47">
        <f>(AN47-AT47)/(AN47-AM47)</f>
        <v>0</v>
      </c>
      <c r="BK47">
        <f>(BG47*BE47/AS47)</f>
        <v>0</v>
      </c>
      <c r="BL47">
        <f>(1-BK47)</f>
        <v>0</v>
      </c>
      <c r="CU47">
        <f>$B$13*DS47+$C$13*DT47+$F$13*EE47*(1-EH47)</f>
        <v>0</v>
      </c>
      <c r="CV47">
        <f>CU47*CW47</f>
        <v>0</v>
      </c>
      <c r="CW47">
        <f>($B$13*$D$11+$C$13*$D$11+$F$13*((ER47+EJ47)/MAX(ER47+EJ47+ES47, 0.1)*$I$11+ES47/MAX(ER47+EJ47+ES47, 0.1)*$J$11))/($B$13+$C$13+$F$13)</f>
        <v>0</v>
      </c>
      <c r="CX47">
        <f>($B$13*$K$11+$C$13*$K$11+$F$13*((ER47+EJ47)/MAX(ER47+EJ47+ES47, 0.1)*$P$11+ES47/MAX(ER47+EJ47+ES47, 0.1)*$Q$11))/($B$13+$C$13+$F$13)</f>
        <v>0</v>
      </c>
      <c r="CY47">
        <v>2.7</v>
      </c>
      <c r="CZ47">
        <v>0.5</v>
      </c>
      <c r="DA47" t="s">
        <v>421</v>
      </c>
      <c r="DB47">
        <v>2</v>
      </c>
      <c r="DC47">
        <v>1761018122.5</v>
      </c>
      <c r="DD47">
        <v>420.614</v>
      </c>
      <c r="DE47">
        <v>419.9981111111111</v>
      </c>
      <c r="DF47">
        <v>23.69567777777778</v>
      </c>
      <c r="DG47">
        <v>23.32123333333333</v>
      </c>
      <c r="DH47">
        <v>421.2306666666667</v>
      </c>
      <c r="DI47">
        <v>23.49321111111111</v>
      </c>
      <c r="DJ47">
        <v>500.0226666666666</v>
      </c>
      <c r="DK47">
        <v>90.76885555555556</v>
      </c>
      <c r="DL47">
        <v>0.03498996666666667</v>
      </c>
      <c r="DM47">
        <v>30.0914</v>
      </c>
      <c r="DN47">
        <v>29.98505555555555</v>
      </c>
      <c r="DO47">
        <v>999.9000000000001</v>
      </c>
      <c r="DP47">
        <v>0</v>
      </c>
      <c r="DQ47">
        <v>0</v>
      </c>
      <c r="DR47">
        <v>10005.83666666667</v>
      </c>
      <c r="DS47">
        <v>0</v>
      </c>
      <c r="DT47">
        <v>0.242856</v>
      </c>
      <c r="DU47">
        <v>0.6158853333333333</v>
      </c>
      <c r="DV47">
        <v>430.8225555555556</v>
      </c>
      <c r="DW47">
        <v>430.0267777777778</v>
      </c>
      <c r="DX47">
        <v>0.374445</v>
      </c>
      <c r="DY47">
        <v>419.9981111111111</v>
      </c>
      <c r="DZ47">
        <v>23.32123333333333</v>
      </c>
      <c r="EA47">
        <v>2.150828888888889</v>
      </c>
      <c r="EB47">
        <v>2.116842222222223</v>
      </c>
      <c r="EC47">
        <v>18.60066666666667</v>
      </c>
      <c r="ED47">
        <v>18.34647777777778</v>
      </c>
      <c r="EE47">
        <v>0.00500078</v>
      </c>
      <c r="EF47">
        <v>0</v>
      </c>
      <c r="EG47">
        <v>0</v>
      </c>
      <c r="EH47">
        <v>0</v>
      </c>
      <c r="EI47">
        <v>148.1</v>
      </c>
      <c r="EJ47">
        <v>0.00500078</v>
      </c>
      <c r="EK47">
        <v>-15.37777777777778</v>
      </c>
      <c r="EL47">
        <v>-0.3444444444444445</v>
      </c>
      <c r="EM47">
        <v>35.07599999999999</v>
      </c>
      <c r="EN47">
        <v>38.39566666666666</v>
      </c>
      <c r="EO47">
        <v>37.09022222222222</v>
      </c>
      <c r="EP47">
        <v>38.53422222222222</v>
      </c>
      <c r="EQ47">
        <v>37.88866666666667</v>
      </c>
      <c r="ER47">
        <v>0</v>
      </c>
      <c r="ES47">
        <v>0</v>
      </c>
      <c r="ET47">
        <v>0</v>
      </c>
      <c r="EU47">
        <v>1761018124.9</v>
      </c>
      <c r="EV47">
        <v>0</v>
      </c>
      <c r="EW47">
        <v>149.66</v>
      </c>
      <c r="EX47">
        <v>-11.06153831096291</v>
      </c>
      <c r="EY47">
        <v>-12.58461536754519</v>
      </c>
      <c r="EZ47">
        <v>-16.468</v>
      </c>
      <c r="FA47">
        <v>15</v>
      </c>
      <c r="FB47">
        <v>1761018049.5</v>
      </c>
      <c r="FC47" t="s">
        <v>422</v>
      </c>
      <c r="FD47">
        <v>1761018049.5</v>
      </c>
      <c r="FE47">
        <v>1761018035.5</v>
      </c>
      <c r="FF47">
        <v>23</v>
      </c>
      <c r="FG47">
        <v>1.295</v>
      </c>
      <c r="FH47">
        <v>0.011</v>
      </c>
      <c r="FI47">
        <v>-0.618</v>
      </c>
      <c r="FJ47">
        <v>0.192</v>
      </c>
      <c r="FK47">
        <v>420</v>
      </c>
      <c r="FL47">
        <v>23</v>
      </c>
      <c r="FM47">
        <v>0.42</v>
      </c>
      <c r="FN47">
        <v>0.17</v>
      </c>
      <c r="FO47">
        <v>0.5306106341463415</v>
      </c>
      <c r="FP47">
        <v>0.411465052264808</v>
      </c>
      <c r="FQ47">
        <v>0.08312855328616947</v>
      </c>
      <c r="FR47">
        <v>1</v>
      </c>
      <c r="FS47">
        <v>150.3558823529412</v>
      </c>
      <c r="FT47">
        <v>-2.36669211897419</v>
      </c>
      <c r="FU47">
        <v>5.960862115720322</v>
      </c>
      <c r="FV47">
        <v>0</v>
      </c>
      <c r="FW47">
        <v>0.2371609170731707</v>
      </c>
      <c r="FX47">
        <v>1.696367634146341</v>
      </c>
      <c r="FY47">
        <v>0.1864367779249458</v>
      </c>
      <c r="FZ47">
        <v>0</v>
      </c>
      <c r="GA47">
        <v>1</v>
      </c>
      <c r="GB47">
        <v>3</v>
      </c>
      <c r="GC47" t="s">
        <v>431</v>
      </c>
      <c r="GD47">
        <v>3.1095</v>
      </c>
      <c r="GE47">
        <v>2.72659</v>
      </c>
      <c r="GF47">
        <v>0.0885647</v>
      </c>
      <c r="GG47">
        <v>0.0884118</v>
      </c>
      <c r="GH47">
        <v>0.107428</v>
      </c>
      <c r="GI47">
        <v>0.107531</v>
      </c>
      <c r="GJ47">
        <v>23896.8</v>
      </c>
      <c r="GK47">
        <v>21686.1</v>
      </c>
      <c r="GL47">
        <v>26778.1</v>
      </c>
      <c r="GM47">
        <v>23998.1</v>
      </c>
      <c r="GN47">
        <v>38192.8</v>
      </c>
      <c r="GO47">
        <v>31608.8</v>
      </c>
      <c r="GP47">
        <v>46739.7</v>
      </c>
      <c r="GQ47">
        <v>37954.5</v>
      </c>
      <c r="GR47">
        <v>1.88563</v>
      </c>
      <c r="GS47">
        <v>1.87365</v>
      </c>
      <c r="GT47">
        <v>0.132114</v>
      </c>
      <c r="GU47">
        <v>0</v>
      </c>
      <c r="GV47">
        <v>27.8184</v>
      </c>
      <c r="GW47">
        <v>999.9</v>
      </c>
      <c r="GX47">
        <v>63.2</v>
      </c>
      <c r="GY47">
        <v>29.1</v>
      </c>
      <c r="GZ47">
        <v>28.1631</v>
      </c>
      <c r="HA47">
        <v>61.59</v>
      </c>
      <c r="HB47">
        <v>19.9519</v>
      </c>
      <c r="HC47">
        <v>1</v>
      </c>
      <c r="HD47">
        <v>0.0747231</v>
      </c>
      <c r="HE47">
        <v>-2.05455</v>
      </c>
      <c r="HF47">
        <v>20.32</v>
      </c>
      <c r="HG47">
        <v>5.21804</v>
      </c>
      <c r="HH47">
        <v>11.9798</v>
      </c>
      <c r="HI47">
        <v>4.9645</v>
      </c>
      <c r="HJ47">
        <v>3.2751</v>
      </c>
      <c r="HK47">
        <v>9999</v>
      </c>
      <c r="HL47">
        <v>9999</v>
      </c>
      <c r="HM47">
        <v>9999</v>
      </c>
      <c r="HN47">
        <v>999.9</v>
      </c>
      <c r="HO47">
        <v>1.86356</v>
      </c>
      <c r="HP47">
        <v>1.85974</v>
      </c>
      <c r="HQ47">
        <v>1.85795</v>
      </c>
      <c r="HR47">
        <v>1.85932</v>
      </c>
      <c r="HS47">
        <v>1.85959</v>
      </c>
      <c r="HT47">
        <v>1.85803</v>
      </c>
      <c r="HU47">
        <v>1.85711</v>
      </c>
      <c r="HV47">
        <v>1.85208</v>
      </c>
      <c r="HW47">
        <v>0</v>
      </c>
      <c r="HX47">
        <v>0</v>
      </c>
      <c r="HY47">
        <v>0</v>
      </c>
      <c r="HZ47">
        <v>0</v>
      </c>
      <c r="IA47" t="s">
        <v>424</v>
      </c>
      <c r="IB47" t="s">
        <v>425</v>
      </c>
      <c r="IC47" t="s">
        <v>426</v>
      </c>
      <c r="ID47" t="s">
        <v>426</v>
      </c>
      <c r="IE47" t="s">
        <v>426</v>
      </c>
      <c r="IF47" t="s">
        <v>426</v>
      </c>
      <c r="IG47">
        <v>0</v>
      </c>
      <c r="IH47">
        <v>100</v>
      </c>
      <c r="II47">
        <v>100</v>
      </c>
      <c r="IJ47">
        <v>-0.617</v>
      </c>
      <c r="IK47">
        <v>0.2009</v>
      </c>
      <c r="IL47">
        <v>-1.405955206116699</v>
      </c>
      <c r="IM47">
        <v>0.001328113201692861</v>
      </c>
      <c r="IN47">
        <v>1.538283238170363E-06</v>
      </c>
      <c r="IO47">
        <v>-5.795655626708063E-10</v>
      </c>
      <c r="IP47">
        <v>-0.04918981781385694</v>
      </c>
      <c r="IQ47">
        <v>-0.004593102289677449</v>
      </c>
      <c r="IR47">
        <v>0.0008253994458280543</v>
      </c>
      <c r="IS47">
        <v>-7.403632370499484E-06</v>
      </c>
      <c r="IT47">
        <v>2</v>
      </c>
      <c r="IU47">
        <v>1985</v>
      </c>
      <c r="IV47">
        <v>1</v>
      </c>
      <c r="IW47">
        <v>27</v>
      </c>
      <c r="IX47">
        <v>1.3</v>
      </c>
      <c r="IY47">
        <v>1.5</v>
      </c>
      <c r="IZ47">
        <v>1.12061</v>
      </c>
      <c r="JA47">
        <v>2.55737</v>
      </c>
      <c r="JB47">
        <v>1.49658</v>
      </c>
      <c r="JC47">
        <v>2.34131</v>
      </c>
      <c r="JD47">
        <v>1.54907</v>
      </c>
      <c r="JE47">
        <v>2.47437</v>
      </c>
      <c r="JF47">
        <v>31.6955</v>
      </c>
      <c r="JG47">
        <v>14.6049</v>
      </c>
      <c r="JH47">
        <v>18</v>
      </c>
      <c r="JI47">
        <v>483.331</v>
      </c>
      <c r="JJ47">
        <v>505.241</v>
      </c>
      <c r="JK47">
        <v>31.0008</v>
      </c>
      <c r="JL47">
        <v>28.2198</v>
      </c>
      <c r="JM47">
        <v>29.9997</v>
      </c>
      <c r="JN47">
        <v>28.5188</v>
      </c>
      <c r="JO47">
        <v>28.5198</v>
      </c>
      <c r="JP47">
        <v>22.5355</v>
      </c>
      <c r="JQ47">
        <v>20.9684</v>
      </c>
      <c r="JR47">
        <v>81.53149999999999</v>
      </c>
      <c r="JS47">
        <v>31.6234</v>
      </c>
      <c r="JT47">
        <v>420</v>
      </c>
      <c r="JU47">
        <v>23.5408</v>
      </c>
      <c r="JV47">
        <v>102.209</v>
      </c>
      <c r="JW47">
        <v>91.5442</v>
      </c>
    </row>
    <row r="48" spans="1:283">
      <c r="A48">
        <v>30</v>
      </c>
      <c r="B48">
        <v>1761018127.5</v>
      </c>
      <c r="C48">
        <v>58</v>
      </c>
      <c r="D48" t="s">
        <v>485</v>
      </c>
      <c r="E48" t="s">
        <v>486</v>
      </c>
      <c r="F48">
        <v>5</v>
      </c>
      <c r="G48" t="s">
        <v>419</v>
      </c>
      <c r="H48">
        <v>1761018124.5</v>
      </c>
      <c r="I48">
        <f>(J48)/1000</f>
        <v>0</v>
      </c>
      <c r="J48">
        <f>1000*DJ48*AH48*(DF48-DG48)/(100*CY48*(1000-AH48*DF48))</f>
        <v>0</v>
      </c>
      <c r="K48">
        <f>DJ48*AH48*(DE48-DD48*(1000-AH48*DG48)/(1000-AH48*DF48))/(100*CY48)</f>
        <v>0</v>
      </c>
      <c r="L48">
        <f>DD48 - IF(AH48&gt;1, K48*CY48*100.0/(AJ48), 0)</f>
        <v>0</v>
      </c>
      <c r="M48">
        <f>((S48-I48/2)*L48-K48)/(S48+I48/2)</f>
        <v>0</v>
      </c>
      <c r="N48">
        <f>M48*(DK48+DL48)/1000.0</f>
        <v>0</v>
      </c>
      <c r="O48">
        <f>(DD48 - IF(AH48&gt;1, K48*CY48*100.0/(AJ48), 0))*(DK48+DL48)/1000.0</f>
        <v>0</v>
      </c>
      <c r="P48">
        <f>2.0/((1/R48-1/Q48)+SIGN(R48)*SQRT((1/R48-1/Q48)*(1/R48-1/Q48) + 4*CZ48/((CZ48+1)*(CZ48+1))*(2*1/R48*1/Q48-1/Q48*1/Q48)))</f>
        <v>0</v>
      </c>
      <c r="Q48">
        <f>IF(LEFT(DA48,1)&lt;&gt;"0",IF(LEFT(DA48,1)="1",3.0,DB48),$D$5+$E$5*(DR48*DK48/($K$5*1000))+$F$5*(DR48*DK48/($K$5*1000))*MAX(MIN(CY48,$J$5),$I$5)*MAX(MIN(CY48,$J$5),$I$5)+$G$5*MAX(MIN(CY48,$J$5),$I$5)*(DR48*DK48/($K$5*1000))+$H$5*(DR48*DK48/($K$5*1000))*(DR48*DK48/($K$5*1000)))</f>
        <v>0</v>
      </c>
      <c r="R48">
        <f>I48*(1000-(1000*0.61365*exp(17.502*V48/(240.97+V48))/(DK48+DL48)+DF48)/2)/(1000*0.61365*exp(17.502*V48/(240.97+V48))/(DK48+DL48)-DF48)</f>
        <v>0</v>
      </c>
      <c r="S48">
        <f>1/((CZ48+1)/(P48/1.6)+1/(Q48/1.37)) + CZ48/((CZ48+1)/(P48/1.6) + CZ48/(Q48/1.37))</f>
        <v>0</v>
      </c>
      <c r="T48">
        <f>(CU48*CX48)</f>
        <v>0</v>
      </c>
      <c r="U48">
        <f>(DM48+(T48+2*0.95*5.67E-8*(((DM48+$B$9)+273)^4-(DM48+273)^4)-44100*I48)/(1.84*29.3*Q48+8*0.95*5.67E-8*(DM48+273)^3))</f>
        <v>0</v>
      </c>
      <c r="V48">
        <f>($C$9*DN48+$D$9*DO48+$E$9*U48)</f>
        <v>0</v>
      </c>
      <c r="W48">
        <f>0.61365*exp(17.502*V48/(240.97+V48))</f>
        <v>0</v>
      </c>
      <c r="X48">
        <f>(Y48/Z48*100)</f>
        <v>0</v>
      </c>
      <c r="Y48">
        <f>DF48*(DK48+DL48)/1000</f>
        <v>0</v>
      </c>
      <c r="Z48">
        <f>0.61365*exp(17.502*DM48/(240.97+DM48))</f>
        <v>0</v>
      </c>
      <c r="AA48">
        <f>(W48-DF48*(DK48+DL48)/1000)</f>
        <v>0</v>
      </c>
      <c r="AB48">
        <f>(-I48*44100)</f>
        <v>0</v>
      </c>
      <c r="AC48">
        <f>2*29.3*Q48*0.92*(DM48-V48)</f>
        <v>0</v>
      </c>
      <c r="AD48">
        <f>2*0.95*5.67E-8*(((DM48+$B$9)+273)^4-(V48+273)^4)</f>
        <v>0</v>
      </c>
      <c r="AE48">
        <f>T48+AD48+AB48+AC48</f>
        <v>0</v>
      </c>
      <c r="AF48">
        <v>0</v>
      </c>
      <c r="AG48">
        <v>0</v>
      </c>
      <c r="AH48">
        <f>IF(AF48*$H$15&gt;=AJ48,1.0,(AJ48/(AJ48-AF48*$H$15)))</f>
        <v>0</v>
      </c>
      <c r="AI48">
        <f>(AH48-1)*100</f>
        <v>0</v>
      </c>
      <c r="AJ48">
        <f>MAX(0,($B$15+$C$15*DR48)/(1+$D$15*DR48)*DK48/(DM48+273)*$E$15)</f>
        <v>0</v>
      </c>
      <c r="AK48" t="s">
        <v>420</v>
      </c>
      <c r="AL48" t="s">
        <v>420</v>
      </c>
      <c r="AM48">
        <v>0</v>
      </c>
      <c r="AN48">
        <v>0</v>
      </c>
      <c r="AO48">
        <f>1-AM48/AN48</f>
        <v>0</v>
      </c>
      <c r="AP48">
        <v>0</v>
      </c>
      <c r="AQ48" t="s">
        <v>420</v>
      </c>
      <c r="AR48" t="s">
        <v>420</v>
      </c>
      <c r="AS48">
        <v>0</v>
      </c>
      <c r="AT48">
        <v>0</v>
      </c>
      <c r="AU48">
        <f>1-AS48/AT48</f>
        <v>0</v>
      </c>
      <c r="AV48">
        <v>0.5</v>
      </c>
      <c r="AW48">
        <f>CV48</f>
        <v>0</v>
      </c>
      <c r="AX48">
        <f>K48</f>
        <v>0</v>
      </c>
      <c r="AY48">
        <f>AU48*AV48*AW48</f>
        <v>0</v>
      </c>
      <c r="AZ48">
        <f>(AX48-AP48)/AW48</f>
        <v>0</v>
      </c>
      <c r="BA48">
        <f>(AN48-AT48)/AT48</f>
        <v>0</v>
      </c>
      <c r="BB48">
        <f>AM48/(AO48+AM48/AT48)</f>
        <v>0</v>
      </c>
      <c r="BC48" t="s">
        <v>420</v>
      </c>
      <c r="BD48">
        <v>0</v>
      </c>
      <c r="BE48">
        <f>IF(BD48&lt;&gt;0, BD48, BB48)</f>
        <v>0</v>
      </c>
      <c r="BF48">
        <f>1-BE48/AT48</f>
        <v>0</v>
      </c>
      <c r="BG48">
        <f>(AT48-AS48)/(AT48-BE48)</f>
        <v>0</v>
      </c>
      <c r="BH48">
        <f>(AN48-AT48)/(AN48-BE48)</f>
        <v>0</v>
      </c>
      <c r="BI48">
        <f>(AT48-AS48)/(AT48-AM48)</f>
        <v>0</v>
      </c>
      <c r="BJ48">
        <f>(AN48-AT48)/(AN48-AM48)</f>
        <v>0</v>
      </c>
      <c r="BK48">
        <f>(BG48*BE48/AS48)</f>
        <v>0</v>
      </c>
      <c r="BL48">
        <f>(1-BK48)</f>
        <v>0</v>
      </c>
      <c r="CU48">
        <f>$B$13*DS48+$C$13*DT48+$F$13*EE48*(1-EH48)</f>
        <v>0</v>
      </c>
      <c r="CV48">
        <f>CU48*CW48</f>
        <v>0</v>
      </c>
      <c r="CW48">
        <f>($B$13*$D$11+$C$13*$D$11+$F$13*((ER48+EJ48)/MAX(ER48+EJ48+ES48, 0.1)*$I$11+ES48/MAX(ER48+EJ48+ES48, 0.1)*$J$11))/($B$13+$C$13+$F$13)</f>
        <v>0</v>
      </c>
      <c r="CX48">
        <f>($B$13*$K$11+$C$13*$K$11+$F$13*((ER48+EJ48)/MAX(ER48+EJ48+ES48, 0.1)*$P$11+ES48/MAX(ER48+EJ48+ES48, 0.1)*$Q$11))/($B$13+$C$13+$F$13)</f>
        <v>0</v>
      </c>
      <c r="CY48">
        <v>2.7</v>
      </c>
      <c r="CZ48">
        <v>0.5</v>
      </c>
      <c r="DA48" t="s">
        <v>421</v>
      </c>
      <c r="DB48">
        <v>2</v>
      </c>
      <c r="DC48">
        <v>1761018124.5</v>
      </c>
      <c r="DD48">
        <v>420.5635555555555</v>
      </c>
      <c r="DE48">
        <v>419.95</v>
      </c>
      <c r="DF48">
        <v>23.64695555555556</v>
      </c>
      <c r="DG48">
        <v>23.31935555555555</v>
      </c>
      <c r="DH48">
        <v>421.1805555555555</v>
      </c>
      <c r="DI48">
        <v>23.44553333333333</v>
      </c>
      <c r="DJ48">
        <v>499.9917777777778</v>
      </c>
      <c r="DK48">
        <v>90.76883333333333</v>
      </c>
      <c r="DL48">
        <v>0.03513273333333333</v>
      </c>
      <c r="DM48">
        <v>30.08278888888889</v>
      </c>
      <c r="DN48">
        <v>29.97621111111111</v>
      </c>
      <c r="DO48">
        <v>999.9000000000001</v>
      </c>
      <c r="DP48">
        <v>0</v>
      </c>
      <c r="DQ48">
        <v>0</v>
      </c>
      <c r="DR48">
        <v>9996.464444444446</v>
      </c>
      <c r="DS48">
        <v>0</v>
      </c>
      <c r="DT48">
        <v>0.242856</v>
      </c>
      <c r="DU48">
        <v>0.613671</v>
      </c>
      <c r="DV48">
        <v>430.7495555555556</v>
      </c>
      <c r="DW48">
        <v>429.9765555555555</v>
      </c>
      <c r="DX48">
        <v>0.3276031111111111</v>
      </c>
      <c r="DY48">
        <v>419.95</v>
      </c>
      <c r="DZ48">
        <v>23.31935555555555</v>
      </c>
      <c r="EA48">
        <v>2.146405555555555</v>
      </c>
      <c r="EB48">
        <v>2.116668888888889</v>
      </c>
      <c r="EC48">
        <v>18.56778888888889</v>
      </c>
      <c r="ED48">
        <v>18.34518888888889</v>
      </c>
      <c r="EE48">
        <v>0.00500078</v>
      </c>
      <c r="EF48">
        <v>0</v>
      </c>
      <c r="EG48">
        <v>0</v>
      </c>
      <c r="EH48">
        <v>0</v>
      </c>
      <c r="EI48">
        <v>146.3555555555555</v>
      </c>
      <c r="EJ48">
        <v>0.00500078</v>
      </c>
      <c r="EK48">
        <v>-14.47777777777778</v>
      </c>
      <c r="EL48">
        <v>-0.2777777777777778</v>
      </c>
      <c r="EM48">
        <v>35.03433333333333</v>
      </c>
      <c r="EN48">
        <v>38.35400000000001</v>
      </c>
      <c r="EO48">
        <v>37.07622222222222</v>
      </c>
      <c r="EP48">
        <v>38.50655555555555</v>
      </c>
      <c r="EQ48">
        <v>37.84700000000001</v>
      </c>
      <c r="ER48">
        <v>0</v>
      </c>
      <c r="ES48">
        <v>0</v>
      </c>
      <c r="ET48">
        <v>0</v>
      </c>
      <c r="EU48">
        <v>1761018126.7</v>
      </c>
      <c r="EV48">
        <v>0</v>
      </c>
      <c r="EW48">
        <v>149.6846153846154</v>
      </c>
      <c r="EX48">
        <v>-24.78632485469155</v>
      </c>
      <c r="EY48">
        <v>1.015384738047663</v>
      </c>
      <c r="EZ48">
        <v>-16.31923076923077</v>
      </c>
      <c r="FA48">
        <v>15</v>
      </c>
      <c r="FB48">
        <v>1761018049.5</v>
      </c>
      <c r="FC48" t="s">
        <v>422</v>
      </c>
      <c r="FD48">
        <v>1761018049.5</v>
      </c>
      <c r="FE48">
        <v>1761018035.5</v>
      </c>
      <c r="FF48">
        <v>23</v>
      </c>
      <c r="FG48">
        <v>1.295</v>
      </c>
      <c r="FH48">
        <v>0.011</v>
      </c>
      <c r="FI48">
        <v>-0.618</v>
      </c>
      <c r="FJ48">
        <v>0.192</v>
      </c>
      <c r="FK48">
        <v>420</v>
      </c>
      <c r="FL48">
        <v>23</v>
      </c>
      <c r="FM48">
        <v>0.42</v>
      </c>
      <c r="FN48">
        <v>0.17</v>
      </c>
      <c r="FO48">
        <v>0.530938675</v>
      </c>
      <c r="FP48">
        <v>0.7374283339587241</v>
      </c>
      <c r="FQ48">
        <v>0.08455372020389981</v>
      </c>
      <c r="FR48">
        <v>0</v>
      </c>
      <c r="FS48">
        <v>149.8676470588236</v>
      </c>
      <c r="FT48">
        <v>-10.91367461817326</v>
      </c>
      <c r="FU48">
        <v>6.724132158665325</v>
      </c>
      <c r="FV48">
        <v>0</v>
      </c>
      <c r="FW48">
        <v>0.2895991675</v>
      </c>
      <c r="FX48">
        <v>0.9741826772983113</v>
      </c>
      <c r="FY48">
        <v>0.1386082418074217</v>
      </c>
      <c r="FZ48">
        <v>0</v>
      </c>
      <c r="GA48">
        <v>0</v>
      </c>
      <c r="GB48">
        <v>3</v>
      </c>
      <c r="GC48" t="s">
        <v>423</v>
      </c>
      <c r="GD48">
        <v>3.10937</v>
      </c>
      <c r="GE48">
        <v>2.72698</v>
      </c>
      <c r="GF48">
        <v>0.0885599</v>
      </c>
      <c r="GG48">
        <v>0.0884206</v>
      </c>
      <c r="GH48">
        <v>0.10733</v>
      </c>
      <c r="GI48">
        <v>0.107616</v>
      </c>
      <c r="GJ48">
        <v>23896.9</v>
      </c>
      <c r="GK48">
        <v>21685.7</v>
      </c>
      <c r="GL48">
        <v>26778.1</v>
      </c>
      <c r="GM48">
        <v>23997.8</v>
      </c>
      <c r="GN48">
        <v>38197.1</v>
      </c>
      <c r="GO48">
        <v>31605.5</v>
      </c>
      <c r="GP48">
        <v>46739.8</v>
      </c>
      <c r="GQ48">
        <v>37954.1</v>
      </c>
      <c r="GR48">
        <v>1.8855</v>
      </c>
      <c r="GS48">
        <v>1.87395</v>
      </c>
      <c r="GT48">
        <v>0.131756</v>
      </c>
      <c r="GU48">
        <v>0</v>
      </c>
      <c r="GV48">
        <v>27.8206</v>
      </c>
      <c r="GW48">
        <v>999.9</v>
      </c>
      <c r="GX48">
        <v>63.2</v>
      </c>
      <c r="GY48">
        <v>29.1</v>
      </c>
      <c r="GZ48">
        <v>28.1648</v>
      </c>
      <c r="HA48">
        <v>61.6</v>
      </c>
      <c r="HB48">
        <v>19.9439</v>
      </c>
      <c r="HC48">
        <v>1</v>
      </c>
      <c r="HD48">
        <v>0.0753862</v>
      </c>
      <c r="HE48">
        <v>-3.34202</v>
      </c>
      <c r="HF48">
        <v>20.295</v>
      </c>
      <c r="HG48">
        <v>5.21804</v>
      </c>
      <c r="HH48">
        <v>11.98</v>
      </c>
      <c r="HI48">
        <v>4.9648</v>
      </c>
      <c r="HJ48">
        <v>3.2751</v>
      </c>
      <c r="HK48">
        <v>9999</v>
      </c>
      <c r="HL48">
        <v>9999</v>
      </c>
      <c r="HM48">
        <v>9999</v>
      </c>
      <c r="HN48">
        <v>999.9</v>
      </c>
      <c r="HO48">
        <v>1.86356</v>
      </c>
      <c r="HP48">
        <v>1.85974</v>
      </c>
      <c r="HQ48">
        <v>1.85793</v>
      </c>
      <c r="HR48">
        <v>1.85932</v>
      </c>
      <c r="HS48">
        <v>1.85957</v>
      </c>
      <c r="HT48">
        <v>1.85798</v>
      </c>
      <c r="HU48">
        <v>1.85706</v>
      </c>
      <c r="HV48">
        <v>1.85206</v>
      </c>
      <c r="HW48">
        <v>0</v>
      </c>
      <c r="HX48">
        <v>0</v>
      </c>
      <c r="HY48">
        <v>0</v>
      </c>
      <c r="HZ48">
        <v>0</v>
      </c>
      <c r="IA48" t="s">
        <v>424</v>
      </c>
      <c r="IB48" t="s">
        <v>425</v>
      </c>
      <c r="IC48" t="s">
        <v>426</v>
      </c>
      <c r="ID48" t="s">
        <v>426</v>
      </c>
      <c r="IE48" t="s">
        <v>426</v>
      </c>
      <c r="IF48" t="s">
        <v>426</v>
      </c>
      <c r="IG48">
        <v>0</v>
      </c>
      <c r="IH48">
        <v>100</v>
      </c>
      <c r="II48">
        <v>100</v>
      </c>
      <c r="IJ48">
        <v>-0.617</v>
      </c>
      <c r="IK48">
        <v>0.2003</v>
      </c>
      <c r="IL48">
        <v>-1.405955206116699</v>
      </c>
      <c r="IM48">
        <v>0.001328113201692861</v>
      </c>
      <c r="IN48">
        <v>1.538283238170363E-06</v>
      </c>
      <c r="IO48">
        <v>-5.795655626708063E-10</v>
      </c>
      <c r="IP48">
        <v>-0.04918981781385694</v>
      </c>
      <c r="IQ48">
        <v>-0.004593102289677449</v>
      </c>
      <c r="IR48">
        <v>0.0008253994458280543</v>
      </c>
      <c r="IS48">
        <v>-7.403632370499484E-06</v>
      </c>
      <c r="IT48">
        <v>2</v>
      </c>
      <c r="IU48">
        <v>1985</v>
      </c>
      <c r="IV48">
        <v>1</v>
      </c>
      <c r="IW48">
        <v>27</v>
      </c>
      <c r="IX48">
        <v>1.3</v>
      </c>
      <c r="IY48">
        <v>1.5</v>
      </c>
      <c r="IZ48">
        <v>1.12061</v>
      </c>
      <c r="JA48">
        <v>2.56104</v>
      </c>
      <c r="JB48">
        <v>1.49658</v>
      </c>
      <c r="JC48">
        <v>2.34253</v>
      </c>
      <c r="JD48">
        <v>1.54907</v>
      </c>
      <c r="JE48">
        <v>2.37427</v>
      </c>
      <c r="JF48">
        <v>31.6955</v>
      </c>
      <c r="JG48">
        <v>14.6049</v>
      </c>
      <c r="JH48">
        <v>18</v>
      </c>
      <c r="JI48">
        <v>483.235</v>
      </c>
      <c r="JJ48">
        <v>505.417</v>
      </c>
      <c r="JK48">
        <v>31.099</v>
      </c>
      <c r="JL48">
        <v>28.2174</v>
      </c>
      <c r="JM48">
        <v>30.0004</v>
      </c>
      <c r="JN48">
        <v>28.5158</v>
      </c>
      <c r="JO48">
        <v>28.5169</v>
      </c>
      <c r="JP48">
        <v>22.5356</v>
      </c>
      <c r="JQ48">
        <v>20.6879</v>
      </c>
      <c r="JR48">
        <v>81.53149999999999</v>
      </c>
      <c r="JS48">
        <v>31.6234</v>
      </c>
      <c r="JT48">
        <v>420</v>
      </c>
      <c r="JU48">
        <v>23.5448</v>
      </c>
      <c r="JV48">
        <v>102.209</v>
      </c>
      <c r="JW48">
        <v>91.5433</v>
      </c>
    </row>
    <row r="49" spans="1:283">
      <c r="A49">
        <v>31</v>
      </c>
      <c r="B49">
        <v>1761018308</v>
      </c>
      <c r="C49">
        <v>238.5</v>
      </c>
      <c r="D49" t="s">
        <v>487</v>
      </c>
      <c r="E49" t="s">
        <v>488</v>
      </c>
      <c r="F49">
        <v>5</v>
      </c>
      <c r="G49" t="s">
        <v>489</v>
      </c>
      <c r="H49">
        <v>1761018305</v>
      </c>
      <c r="I49">
        <f>(J49)/1000</f>
        <v>0</v>
      </c>
      <c r="J49">
        <f>1000*DJ49*AH49*(DF49-DG49)/(100*CY49*(1000-AH49*DF49))</f>
        <v>0</v>
      </c>
      <c r="K49">
        <f>DJ49*AH49*(DE49-DD49*(1000-AH49*DG49)/(1000-AH49*DF49))/(100*CY49)</f>
        <v>0</v>
      </c>
      <c r="L49">
        <f>DD49 - IF(AH49&gt;1, K49*CY49*100.0/(AJ49), 0)</f>
        <v>0</v>
      </c>
      <c r="M49">
        <f>((S49-I49/2)*L49-K49)/(S49+I49/2)</f>
        <v>0</v>
      </c>
      <c r="N49">
        <f>M49*(DK49+DL49)/1000.0</f>
        <v>0</v>
      </c>
      <c r="O49">
        <f>(DD49 - IF(AH49&gt;1, K49*CY49*100.0/(AJ49), 0))*(DK49+DL49)/1000.0</f>
        <v>0</v>
      </c>
      <c r="P49">
        <f>2.0/((1/R49-1/Q49)+SIGN(R49)*SQRT((1/R49-1/Q49)*(1/R49-1/Q49) + 4*CZ49/((CZ49+1)*(CZ49+1))*(2*1/R49*1/Q49-1/Q49*1/Q49)))</f>
        <v>0</v>
      </c>
      <c r="Q49">
        <f>IF(LEFT(DA49,1)&lt;&gt;"0",IF(LEFT(DA49,1)="1",3.0,DB49),$D$5+$E$5*(DR49*DK49/($K$5*1000))+$F$5*(DR49*DK49/($K$5*1000))*MAX(MIN(CY49,$J$5),$I$5)*MAX(MIN(CY49,$J$5),$I$5)+$G$5*MAX(MIN(CY49,$J$5),$I$5)*(DR49*DK49/($K$5*1000))+$H$5*(DR49*DK49/($K$5*1000))*(DR49*DK49/($K$5*1000)))</f>
        <v>0</v>
      </c>
      <c r="R49">
        <f>I49*(1000-(1000*0.61365*exp(17.502*V49/(240.97+V49))/(DK49+DL49)+DF49)/2)/(1000*0.61365*exp(17.502*V49/(240.97+V49))/(DK49+DL49)-DF49)</f>
        <v>0</v>
      </c>
      <c r="S49">
        <f>1/((CZ49+1)/(P49/1.6)+1/(Q49/1.37)) + CZ49/((CZ49+1)/(P49/1.6) + CZ49/(Q49/1.37))</f>
        <v>0</v>
      </c>
      <c r="T49">
        <f>(CU49*CX49)</f>
        <v>0</v>
      </c>
      <c r="U49">
        <f>(DM49+(T49+2*0.95*5.67E-8*(((DM49+$B$9)+273)^4-(DM49+273)^4)-44100*I49)/(1.84*29.3*Q49+8*0.95*5.67E-8*(DM49+273)^3))</f>
        <v>0</v>
      </c>
      <c r="V49">
        <f>($C$9*DN49+$D$9*DO49+$E$9*U49)</f>
        <v>0</v>
      </c>
      <c r="W49">
        <f>0.61365*exp(17.502*V49/(240.97+V49))</f>
        <v>0</v>
      </c>
      <c r="X49">
        <f>(Y49/Z49*100)</f>
        <v>0</v>
      </c>
      <c r="Y49">
        <f>DF49*(DK49+DL49)/1000</f>
        <v>0</v>
      </c>
      <c r="Z49">
        <f>0.61365*exp(17.502*DM49/(240.97+DM49))</f>
        <v>0</v>
      </c>
      <c r="AA49">
        <f>(W49-DF49*(DK49+DL49)/1000)</f>
        <v>0</v>
      </c>
      <c r="AB49">
        <f>(-I49*44100)</f>
        <v>0</v>
      </c>
      <c r="AC49">
        <f>2*29.3*Q49*0.92*(DM49-V49)</f>
        <v>0</v>
      </c>
      <c r="AD49">
        <f>2*0.95*5.67E-8*(((DM49+$B$9)+273)^4-(V49+273)^4)</f>
        <v>0</v>
      </c>
      <c r="AE49">
        <f>T49+AD49+AB49+AC49</f>
        <v>0</v>
      </c>
      <c r="AF49">
        <v>0</v>
      </c>
      <c r="AG49">
        <v>0</v>
      </c>
      <c r="AH49">
        <f>IF(AF49*$H$15&gt;=AJ49,1.0,(AJ49/(AJ49-AF49*$H$15)))</f>
        <v>0</v>
      </c>
      <c r="AI49">
        <f>(AH49-1)*100</f>
        <v>0</v>
      </c>
      <c r="AJ49">
        <f>MAX(0,($B$15+$C$15*DR49)/(1+$D$15*DR49)*DK49/(DM49+273)*$E$15)</f>
        <v>0</v>
      </c>
      <c r="AK49" t="s">
        <v>420</v>
      </c>
      <c r="AL49" t="s">
        <v>420</v>
      </c>
      <c r="AM49">
        <v>0</v>
      </c>
      <c r="AN49">
        <v>0</v>
      </c>
      <c r="AO49">
        <f>1-AM49/AN49</f>
        <v>0</v>
      </c>
      <c r="AP49">
        <v>0</v>
      </c>
      <c r="AQ49" t="s">
        <v>420</v>
      </c>
      <c r="AR49" t="s">
        <v>420</v>
      </c>
      <c r="AS49">
        <v>0</v>
      </c>
      <c r="AT49">
        <v>0</v>
      </c>
      <c r="AU49">
        <f>1-AS49/AT49</f>
        <v>0</v>
      </c>
      <c r="AV49">
        <v>0.5</v>
      </c>
      <c r="AW49">
        <f>CV49</f>
        <v>0</v>
      </c>
      <c r="AX49">
        <f>K49</f>
        <v>0</v>
      </c>
      <c r="AY49">
        <f>AU49*AV49*AW49</f>
        <v>0</v>
      </c>
      <c r="AZ49">
        <f>(AX49-AP49)/AW49</f>
        <v>0</v>
      </c>
      <c r="BA49">
        <f>(AN49-AT49)/AT49</f>
        <v>0</v>
      </c>
      <c r="BB49">
        <f>AM49/(AO49+AM49/AT49)</f>
        <v>0</v>
      </c>
      <c r="BC49" t="s">
        <v>420</v>
      </c>
      <c r="BD49">
        <v>0</v>
      </c>
      <c r="BE49">
        <f>IF(BD49&lt;&gt;0, BD49, BB49)</f>
        <v>0</v>
      </c>
      <c r="BF49">
        <f>1-BE49/AT49</f>
        <v>0</v>
      </c>
      <c r="BG49">
        <f>(AT49-AS49)/(AT49-BE49)</f>
        <v>0</v>
      </c>
      <c r="BH49">
        <f>(AN49-AT49)/(AN49-BE49)</f>
        <v>0</v>
      </c>
      <c r="BI49">
        <f>(AT49-AS49)/(AT49-AM49)</f>
        <v>0</v>
      </c>
      <c r="BJ49">
        <f>(AN49-AT49)/(AN49-AM49)</f>
        <v>0</v>
      </c>
      <c r="BK49">
        <f>(BG49*BE49/AS49)</f>
        <v>0</v>
      </c>
      <c r="BL49">
        <f>(1-BK49)</f>
        <v>0</v>
      </c>
      <c r="CU49">
        <f>$B$13*DS49+$C$13*DT49+$F$13*EE49*(1-EH49)</f>
        <v>0</v>
      </c>
      <c r="CV49">
        <f>CU49*CW49</f>
        <v>0</v>
      </c>
      <c r="CW49">
        <f>($B$13*$D$11+$C$13*$D$11+$F$13*((ER49+EJ49)/MAX(ER49+EJ49+ES49, 0.1)*$I$11+ES49/MAX(ER49+EJ49+ES49, 0.1)*$J$11))/($B$13+$C$13+$F$13)</f>
        <v>0</v>
      </c>
      <c r="CX49">
        <f>($B$13*$K$11+$C$13*$K$11+$F$13*((ER49+EJ49)/MAX(ER49+EJ49+ES49, 0.1)*$P$11+ES49/MAX(ER49+EJ49+ES49, 0.1)*$Q$11))/($B$13+$C$13+$F$13)</f>
        <v>0</v>
      </c>
      <c r="CY49">
        <v>4.16</v>
      </c>
      <c r="CZ49">
        <v>0.5</v>
      </c>
      <c r="DA49" t="s">
        <v>421</v>
      </c>
      <c r="DB49">
        <v>2</v>
      </c>
      <c r="DC49">
        <v>1761018305</v>
      </c>
      <c r="DD49">
        <v>420.4621818181818</v>
      </c>
      <c r="DE49">
        <v>419.8990909090909</v>
      </c>
      <c r="DF49">
        <v>23.89436363636364</v>
      </c>
      <c r="DG49">
        <v>24.04856363636364</v>
      </c>
      <c r="DH49">
        <v>421.2863636363637</v>
      </c>
      <c r="DI49">
        <v>23.69395454545454</v>
      </c>
      <c r="DJ49">
        <v>500.003090909091</v>
      </c>
      <c r="DK49">
        <v>90.7839</v>
      </c>
      <c r="DL49">
        <v>0.03490973636363636</v>
      </c>
      <c r="DM49">
        <v>30.35046363636363</v>
      </c>
      <c r="DN49">
        <v>30.09073636363637</v>
      </c>
      <c r="DO49">
        <v>999.9</v>
      </c>
      <c r="DP49">
        <v>0</v>
      </c>
      <c r="DQ49">
        <v>0</v>
      </c>
      <c r="DR49">
        <v>9988.452727272726</v>
      </c>
      <c r="DS49">
        <v>0</v>
      </c>
      <c r="DT49">
        <v>0.242856</v>
      </c>
      <c r="DU49">
        <v>0.5629494545454545</v>
      </c>
      <c r="DV49">
        <v>430.7547272727273</v>
      </c>
      <c r="DW49">
        <v>430.246090909091</v>
      </c>
      <c r="DX49">
        <v>-0.1541918181818182</v>
      </c>
      <c r="DY49">
        <v>419.8990909090909</v>
      </c>
      <c r="DZ49">
        <v>24.04856363636364</v>
      </c>
      <c r="EA49">
        <v>2.169223636363637</v>
      </c>
      <c r="EB49">
        <v>2.183222727272728</v>
      </c>
      <c r="EC49">
        <v>18.73680909090909</v>
      </c>
      <c r="ED49">
        <v>18.83972727272727</v>
      </c>
      <c r="EE49">
        <v>0.005000779999999999</v>
      </c>
      <c r="EF49">
        <v>0</v>
      </c>
      <c r="EG49">
        <v>0</v>
      </c>
      <c r="EH49">
        <v>0</v>
      </c>
      <c r="EI49">
        <v>530.5818181818182</v>
      </c>
      <c r="EJ49">
        <v>0.005000779999999999</v>
      </c>
      <c r="EK49">
        <v>-11.19090909090909</v>
      </c>
      <c r="EL49">
        <v>-0.309090909090909</v>
      </c>
      <c r="EM49">
        <v>35.68136363636363</v>
      </c>
      <c r="EN49">
        <v>40.312</v>
      </c>
      <c r="EO49">
        <v>37.75536363636363</v>
      </c>
      <c r="EP49">
        <v>41.05072727272727</v>
      </c>
      <c r="EQ49">
        <v>38.80081818181819</v>
      </c>
      <c r="ER49">
        <v>0</v>
      </c>
      <c r="ES49">
        <v>0</v>
      </c>
      <c r="ET49">
        <v>0</v>
      </c>
      <c r="EU49">
        <v>1761018307.3</v>
      </c>
      <c r="EV49">
        <v>0</v>
      </c>
      <c r="EW49">
        <v>531.692</v>
      </c>
      <c r="EX49">
        <v>-15.69230729155786</v>
      </c>
      <c r="EY49">
        <v>4.81538409029942</v>
      </c>
      <c r="EZ49">
        <v>-13.048</v>
      </c>
      <c r="FA49">
        <v>15</v>
      </c>
      <c r="FB49">
        <v>1761018162.5</v>
      </c>
      <c r="FC49" t="s">
        <v>490</v>
      </c>
      <c r="FD49">
        <v>1761018155.5</v>
      </c>
      <c r="FE49">
        <v>1761018162.5</v>
      </c>
      <c r="FF49">
        <v>24</v>
      </c>
      <c r="FG49">
        <v>-0.207</v>
      </c>
      <c r="FH49">
        <v>-0.006</v>
      </c>
      <c r="FI49">
        <v>-0.825</v>
      </c>
      <c r="FJ49">
        <v>0.194</v>
      </c>
      <c r="FK49">
        <v>420</v>
      </c>
      <c r="FL49">
        <v>24</v>
      </c>
      <c r="FM49">
        <v>0.19</v>
      </c>
      <c r="FN49">
        <v>0.1</v>
      </c>
      <c r="FO49">
        <v>0.5426962926829267</v>
      </c>
      <c r="FP49">
        <v>0.03180990940766441</v>
      </c>
      <c r="FQ49">
        <v>0.04648687236369252</v>
      </c>
      <c r="FR49">
        <v>1</v>
      </c>
      <c r="FS49">
        <v>532.914705882353</v>
      </c>
      <c r="FT49">
        <v>-4.466004460352774</v>
      </c>
      <c r="FU49">
        <v>6.500322722890775</v>
      </c>
      <c r="FV49">
        <v>0</v>
      </c>
      <c r="FW49">
        <v>-0.1302606626829268</v>
      </c>
      <c r="FX49">
        <v>-0.5973220436236933</v>
      </c>
      <c r="FY49">
        <v>0.07459942358410451</v>
      </c>
      <c r="FZ49">
        <v>0</v>
      </c>
      <c r="GA49">
        <v>1</v>
      </c>
      <c r="GB49">
        <v>3</v>
      </c>
      <c r="GC49" t="s">
        <v>431</v>
      </c>
      <c r="GD49">
        <v>3.1095</v>
      </c>
      <c r="GE49">
        <v>2.72676</v>
      </c>
      <c r="GF49">
        <v>0.0886658</v>
      </c>
      <c r="GG49">
        <v>0.0884894</v>
      </c>
      <c r="GH49">
        <v>0.108588</v>
      </c>
      <c r="GI49">
        <v>0.109992</v>
      </c>
      <c r="GJ49">
        <v>23905.1</v>
      </c>
      <c r="GK49">
        <v>21679.9</v>
      </c>
      <c r="GL49">
        <v>26789.3</v>
      </c>
      <c r="GM49">
        <v>23992</v>
      </c>
      <c r="GN49">
        <v>38157.6</v>
      </c>
      <c r="GO49">
        <v>31505.5</v>
      </c>
      <c r="GP49">
        <v>46759.3</v>
      </c>
      <c r="GQ49">
        <v>37936.3</v>
      </c>
      <c r="GR49">
        <v>1.88838</v>
      </c>
      <c r="GS49">
        <v>1.87967</v>
      </c>
      <c r="GT49">
        <v>0.136219</v>
      </c>
      <c r="GU49">
        <v>0</v>
      </c>
      <c r="GV49">
        <v>27.8668</v>
      </c>
      <c r="GW49">
        <v>999.9</v>
      </c>
      <c r="GX49">
        <v>63.5</v>
      </c>
      <c r="GY49">
        <v>29</v>
      </c>
      <c r="GZ49">
        <v>28.1301</v>
      </c>
      <c r="HA49">
        <v>61.29</v>
      </c>
      <c r="HB49">
        <v>20.2163</v>
      </c>
      <c r="HC49">
        <v>1</v>
      </c>
      <c r="HD49">
        <v>0.0524517</v>
      </c>
      <c r="HE49">
        <v>-1.98786</v>
      </c>
      <c r="HF49">
        <v>20.3262</v>
      </c>
      <c r="HG49">
        <v>5.22208</v>
      </c>
      <c r="HH49">
        <v>11.98</v>
      </c>
      <c r="HI49">
        <v>4.9654</v>
      </c>
      <c r="HJ49">
        <v>3.27593</v>
      </c>
      <c r="HK49">
        <v>9999</v>
      </c>
      <c r="HL49">
        <v>9999</v>
      </c>
      <c r="HM49">
        <v>9999</v>
      </c>
      <c r="HN49">
        <v>999.9</v>
      </c>
      <c r="HO49">
        <v>1.8636</v>
      </c>
      <c r="HP49">
        <v>1.85974</v>
      </c>
      <c r="HQ49">
        <v>1.85797</v>
      </c>
      <c r="HR49">
        <v>1.85938</v>
      </c>
      <c r="HS49">
        <v>1.85959</v>
      </c>
      <c r="HT49">
        <v>1.85804</v>
      </c>
      <c r="HU49">
        <v>1.85705</v>
      </c>
      <c r="HV49">
        <v>1.85207</v>
      </c>
      <c r="HW49">
        <v>0</v>
      </c>
      <c r="HX49">
        <v>0</v>
      </c>
      <c r="HY49">
        <v>0</v>
      </c>
      <c r="HZ49">
        <v>0</v>
      </c>
      <c r="IA49" t="s">
        <v>424</v>
      </c>
      <c r="IB49" t="s">
        <v>425</v>
      </c>
      <c r="IC49" t="s">
        <v>426</v>
      </c>
      <c r="ID49" t="s">
        <v>426</v>
      </c>
      <c r="IE49" t="s">
        <v>426</v>
      </c>
      <c r="IF49" t="s">
        <v>426</v>
      </c>
      <c r="IG49">
        <v>0</v>
      </c>
      <c r="IH49">
        <v>100</v>
      </c>
      <c r="II49">
        <v>100</v>
      </c>
      <c r="IJ49">
        <v>-0.824</v>
      </c>
      <c r="IK49">
        <v>0.2019</v>
      </c>
      <c r="IL49">
        <v>-1.613291919289301</v>
      </c>
      <c r="IM49">
        <v>0.001328113201692861</v>
      </c>
      <c r="IN49">
        <v>1.538283238170363E-06</v>
      </c>
      <c r="IO49">
        <v>-5.795655626708063E-10</v>
      </c>
      <c r="IP49">
        <v>-0.05565860728478197</v>
      </c>
      <c r="IQ49">
        <v>-0.004593102289677449</v>
      </c>
      <c r="IR49">
        <v>0.0008253994458280543</v>
      </c>
      <c r="IS49">
        <v>-7.403632370499484E-06</v>
      </c>
      <c r="IT49">
        <v>2</v>
      </c>
      <c r="IU49">
        <v>1985</v>
      </c>
      <c r="IV49">
        <v>1</v>
      </c>
      <c r="IW49">
        <v>27</v>
      </c>
      <c r="IX49">
        <v>2.5</v>
      </c>
      <c r="IY49">
        <v>2.4</v>
      </c>
      <c r="IZ49">
        <v>1.12305</v>
      </c>
      <c r="JA49">
        <v>2.56958</v>
      </c>
      <c r="JB49">
        <v>1.49658</v>
      </c>
      <c r="JC49">
        <v>2.34253</v>
      </c>
      <c r="JD49">
        <v>1.54907</v>
      </c>
      <c r="JE49">
        <v>2.43408</v>
      </c>
      <c r="JF49">
        <v>31.8269</v>
      </c>
      <c r="JG49">
        <v>14.6224</v>
      </c>
      <c r="JH49">
        <v>18</v>
      </c>
      <c r="JI49">
        <v>482.934</v>
      </c>
      <c r="JJ49">
        <v>507.066</v>
      </c>
      <c r="JK49">
        <v>31.854</v>
      </c>
      <c r="JL49">
        <v>27.9329</v>
      </c>
      <c r="JM49">
        <v>29.9995</v>
      </c>
      <c r="JN49">
        <v>28.2572</v>
      </c>
      <c r="JO49">
        <v>28.2645</v>
      </c>
      <c r="JP49">
        <v>22.5842</v>
      </c>
      <c r="JQ49">
        <v>19.0882</v>
      </c>
      <c r="JR49">
        <v>81.91240000000001</v>
      </c>
      <c r="JS49">
        <v>31.8556</v>
      </c>
      <c r="JT49">
        <v>420</v>
      </c>
      <c r="JU49">
        <v>23.8238</v>
      </c>
      <c r="JV49">
        <v>102.252</v>
      </c>
      <c r="JW49">
        <v>91.50839999999999</v>
      </c>
    </row>
    <row r="50" spans="1:283">
      <c r="A50">
        <v>32</v>
      </c>
      <c r="B50">
        <v>1761018310</v>
      </c>
      <c r="C50">
        <v>240.5</v>
      </c>
      <c r="D50" t="s">
        <v>491</v>
      </c>
      <c r="E50" t="s">
        <v>492</v>
      </c>
      <c r="F50">
        <v>5</v>
      </c>
      <c r="G50" t="s">
        <v>489</v>
      </c>
      <c r="H50">
        <v>1761018307.166667</v>
      </c>
      <c r="I50">
        <f>(J50)/1000</f>
        <v>0</v>
      </c>
      <c r="J50">
        <f>1000*DJ50*AH50*(DF50-DG50)/(100*CY50*(1000-AH50*DF50))</f>
        <v>0</v>
      </c>
      <c r="K50">
        <f>DJ50*AH50*(DE50-DD50*(1000-AH50*DG50)/(1000-AH50*DF50))/(100*CY50)</f>
        <v>0</v>
      </c>
      <c r="L50">
        <f>DD50 - IF(AH50&gt;1, K50*CY50*100.0/(AJ50), 0)</f>
        <v>0</v>
      </c>
      <c r="M50">
        <f>((S50-I50/2)*L50-K50)/(S50+I50/2)</f>
        <v>0</v>
      </c>
      <c r="N50">
        <f>M50*(DK50+DL50)/1000.0</f>
        <v>0</v>
      </c>
      <c r="O50">
        <f>(DD50 - IF(AH50&gt;1, K50*CY50*100.0/(AJ50), 0))*(DK50+DL50)/1000.0</f>
        <v>0</v>
      </c>
      <c r="P50">
        <f>2.0/((1/R50-1/Q50)+SIGN(R50)*SQRT((1/R50-1/Q50)*(1/R50-1/Q50) + 4*CZ50/((CZ50+1)*(CZ50+1))*(2*1/R50*1/Q50-1/Q50*1/Q50)))</f>
        <v>0</v>
      </c>
      <c r="Q50">
        <f>IF(LEFT(DA50,1)&lt;&gt;"0",IF(LEFT(DA50,1)="1",3.0,DB50),$D$5+$E$5*(DR50*DK50/($K$5*1000))+$F$5*(DR50*DK50/($K$5*1000))*MAX(MIN(CY50,$J$5),$I$5)*MAX(MIN(CY50,$J$5),$I$5)+$G$5*MAX(MIN(CY50,$J$5),$I$5)*(DR50*DK50/($K$5*1000))+$H$5*(DR50*DK50/($K$5*1000))*(DR50*DK50/($K$5*1000)))</f>
        <v>0</v>
      </c>
      <c r="R50">
        <f>I50*(1000-(1000*0.61365*exp(17.502*V50/(240.97+V50))/(DK50+DL50)+DF50)/2)/(1000*0.61365*exp(17.502*V50/(240.97+V50))/(DK50+DL50)-DF50)</f>
        <v>0</v>
      </c>
      <c r="S50">
        <f>1/((CZ50+1)/(P50/1.6)+1/(Q50/1.37)) + CZ50/((CZ50+1)/(P50/1.6) + CZ50/(Q50/1.37))</f>
        <v>0</v>
      </c>
      <c r="T50">
        <f>(CU50*CX50)</f>
        <v>0</v>
      </c>
      <c r="U50">
        <f>(DM50+(T50+2*0.95*5.67E-8*(((DM50+$B$9)+273)^4-(DM50+273)^4)-44100*I50)/(1.84*29.3*Q50+8*0.95*5.67E-8*(DM50+273)^3))</f>
        <v>0</v>
      </c>
      <c r="V50">
        <f>($C$9*DN50+$D$9*DO50+$E$9*U50)</f>
        <v>0</v>
      </c>
      <c r="W50">
        <f>0.61365*exp(17.502*V50/(240.97+V50))</f>
        <v>0</v>
      </c>
      <c r="X50">
        <f>(Y50/Z50*100)</f>
        <v>0</v>
      </c>
      <c r="Y50">
        <f>DF50*(DK50+DL50)/1000</f>
        <v>0</v>
      </c>
      <c r="Z50">
        <f>0.61365*exp(17.502*DM50/(240.97+DM50))</f>
        <v>0</v>
      </c>
      <c r="AA50">
        <f>(W50-DF50*(DK50+DL50)/1000)</f>
        <v>0</v>
      </c>
      <c r="AB50">
        <f>(-I50*44100)</f>
        <v>0</v>
      </c>
      <c r="AC50">
        <f>2*29.3*Q50*0.92*(DM50-V50)</f>
        <v>0</v>
      </c>
      <c r="AD50">
        <f>2*0.95*5.67E-8*(((DM50+$B$9)+273)^4-(V50+273)^4)</f>
        <v>0</v>
      </c>
      <c r="AE50">
        <f>T50+AD50+AB50+AC50</f>
        <v>0</v>
      </c>
      <c r="AF50">
        <v>0</v>
      </c>
      <c r="AG50">
        <v>0</v>
      </c>
      <c r="AH50">
        <f>IF(AF50*$H$15&gt;=AJ50,1.0,(AJ50/(AJ50-AF50*$H$15)))</f>
        <v>0</v>
      </c>
      <c r="AI50">
        <f>(AH50-1)*100</f>
        <v>0</v>
      </c>
      <c r="AJ50">
        <f>MAX(0,($B$15+$C$15*DR50)/(1+$D$15*DR50)*DK50/(DM50+273)*$E$15)</f>
        <v>0</v>
      </c>
      <c r="AK50" t="s">
        <v>420</v>
      </c>
      <c r="AL50" t="s">
        <v>420</v>
      </c>
      <c r="AM50">
        <v>0</v>
      </c>
      <c r="AN50">
        <v>0</v>
      </c>
      <c r="AO50">
        <f>1-AM50/AN50</f>
        <v>0</v>
      </c>
      <c r="AP50">
        <v>0</v>
      </c>
      <c r="AQ50" t="s">
        <v>420</v>
      </c>
      <c r="AR50" t="s">
        <v>420</v>
      </c>
      <c r="AS50">
        <v>0</v>
      </c>
      <c r="AT50">
        <v>0</v>
      </c>
      <c r="AU50">
        <f>1-AS50/AT50</f>
        <v>0</v>
      </c>
      <c r="AV50">
        <v>0.5</v>
      </c>
      <c r="AW50">
        <f>CV50</f>
        <v>0</v>
      </c>
      <c r="AX50">
        <f>K50</f>
        <v>0</v>
      </c>
      <c r="AY50">
        <f>AU50*AV50*AW50</f>
        <v>0</v>
      </c>
      <c r="AZ50">
        <f>(AX50-AP50)/AW50</f>
        <v>0</v>
      </c>
      <c r="BA50">
        <f>(AN50-AT50)/AT50</f>
        <v>0</v>
      </c>
      <c r="BB50">
        <f>AM50/(AO50+AM50/AT50)</f>
        <v>0</v>
      </c>
      <c r="BC50" t="s">
        <v>420</v>
      </c>
      <c r="BD50">
        <v>0</v>
      </c>
      <c r="BE50">
        <f>IF(BD50&lt;&gt;0, BD50, BB50)</f>
        <v>0</v>
      </c>
      <c r="BF50">
        <f>1-BE50/AT50</f>
        <v>0</v>
      </c>
      <c r="BG50">
        <f>(AT50-AS50)/(AT50-BE50)</f>
        <v>0</v>
      </c>
      <c r="BH50">
        <f>(AN50-AT50)/(AN50-BE50)</f>
        <v>0</v>
      </c>
      <c r="BI50">
        <f>(AT50-AS50)/(AT50-AM50)</f>
        <v>0</v>
      </c>
      <c r="BJ50">
        <f>(AN50-AT50)/(AN50-AM50)</f>
        <v>0</v>
      </c>
      <c r="BK50">
        <f>(BG50*BE50/AS50)</f>
        <v>0</v>
      </c>
      <c r="BL50">
        <f>(1-BK50)</f>
        <v>0</v>
      </c>
      <c r="CU50">
        <f>$B$13*DS50+$C$13*DT50+$F$13*EE50*(1-EH50)</f>
        <v>0</v>
      </c>
      <c r="CV50">
        <f>CU50*CW50</f>
        <v>0</v>
      </c>
      <c r="CW50">
        <f>($B$13*$D$11+$C$13*$D$11+$F$13*((ER50+EJ50)/MAX(ER50+EJ50+ES50, 0.1)*$I$11+ES50/MAX(ER50+EJ50+ES50, 0.1)*$J$11))/($B$13+$C$13+$F$13)</f>
        <v>0</v>
      </c>
      <c r="CX50">
        <f>($B$13*$K$11+$C$13*$K$11+$F$13*((ER50+EJ50)/MAX(ER50+EJ50+ES50, 0.1)*$P$11+ES50/MAX(ER50+EJ50+ES50, 0.1)*$Q$11))/($B$13+$C$13+$F$13)</f>
        <v>0</v>
      </c>
      <c r="CY50">
        <v>4.16</v>
      </c>
      <c r="CZ50">
        <v>0.5</v>
      </c>
      <c r="DA50" t="s">
        <v>421</v>
      </c>
      <c r="DB50">
        <v>2</v>
      </c>
      <c r="DC50">
        <v>1761018307.166667</v>
      </c>
      <c r="DD50">
        <v>420.4731111111112</v>
      </c>
      <c r="DE50">
        <v>419.9055555555556</v>
      </c>
      <c r="DF50">
        <v>23.94066666666667</v>
      </c>
      <c r="DG50">
        <v>24.06074444444444</v>
      </c>
      <c r="DH50">
        <v>421.2972222222222</v>
      </c>
      <c r="DI50">
        <v>23.73924444444444</v>
      </c>
      <c r="DJ50">
        <v>499.9266666666667</v>
      </c>
      <c r="DK50">
        <v>90.78406666666666</v>
      </c>
      <c r="DL50">
        <v>0.03498727777777778</v>
      </c>
      <c r="DM50">
        <v>30.35122222222222</v>
      </c>
      <c r="DN50">
        <v>30.08771111111111</v>
      </c>
      <c r="DO50">
        <v>999.9000000000001</v>
      </c>
      <c r="DP50">
        <v>0</v>
      </c>
      <c r="DQ50">
        <v>0</v>
      </c>
      <c r="DR50">
        <v>9986.325555555555</v>
      </c>
      <c r="DS50">
        <v>0</v>
      </c>
      <c r="DT50">
        <v>0.242856</v>
      </c>
      <c r="DU50">
        <v>0.5675284444444445</v>
      </c>
      <c r="DV50">
        <v>430.7862222222222</v>
      </c>
      <c r="DW50">
        <v>430.258</v>
      </c>
      <c r="DX50">
        <v>-0.1200651888888889</v>
      </c>
      <c r="DY50">
        <v>419.9055555555556</v>
      </c>
      <c r="DZ50">
        <v>24.06074444444444</v>
      </c>
      <c r="EA50">
        <v>2.17343</v>
      </c>
      <c r="EB50">
        <v>2.184331111111111</v>
      </c>
      <c r="EC50">
        <v>18.7678</v>
      </c>
      <c r="ED50">
        <v>18.84784444444445</v>
      </c>
      <c r="EE50">
        <v>0.00500078</v>
      </c>
      <c r="EF50">
        <v>0</v>
      </c>
      <c r="EG50">
        <v>0</v>
      </c>
      <c r="EH50">
        <v>0</v>
      </c>
      <c r="EI50">
        <v>525.5777777777778</v>
      </c>
      <c r="EJ50">
        <v>0.00500078</v>
      </c>
      <c r="EK50">
        <v>-11.42222222222222</v>
      </c>
      <c r="EL50">
        <v>-0.3555555555555556</v>
      </c>
      <c r="EM50">
        <v>35.694</v>
      </c>
      <c r="EN50">
        <v>40.32599999999999</v>
      </c>
      <c r="EO50">
        <v>38.12488888888889</v>
      </c>
      <c r="EP50">
        <v>41.069</v>
      </c>
      <c r="EQ50">
        <v>38.89533333333333</v>
      </c>
      <c r="ER50">
        <v>0</v>
      </c>
      <c r="ES50">
        <v>0</v>
      </c>
      <c r="ET50">
        <v>0</v>
      </c>
      <c r="EU50">
        <v>1761018309.1</v>
      </c>
      <c r="EV50">
        <v>0</v>
      </c>
      <c r="EW50">
        <v>530.7615384615384</v>
      </c>
      <c r="EX50">
        <v>-41.26495704801506</v>
      </c>
      <c r="EY50">
        <v>16.52991412904949</v>
      </c>
      <c r="EZ50">
        <v>-13.03461538461538</v>
      </c>
      <c r="FA50">
        <v>15</v>
      </c>
      <c r="FB50">
        <v>1761018162.5</v>
      </c>
      <c r="FC50" t="s">
        <v>490</v>
      </c>
      <c r="FD50">
        <v>1761018155.5</v>
      </c>
      <c r="FE50">
        <v>1761018162.5</v>
      </c>
      <c r="FF50">
        <v>24</v>
      </c>
      <c r="FG50">
        <v>-0.207</v>
      </c>
      <c r="FH50">
        <v>-0.006</v>
      </c>
      <c r="FI50">
        <v>-0.825</v>
      </c>
      <c r="FJ50">
        <v>0.194</v>
      </c>
      <c r="FK50">
        <v>420</v>
      </c>
      <c r="FL50">
        <v>24</v>
      </c>
      <c r="FM50">
        <v>0.19</v>
      </c>
      <c r="FN50">
        <v>0.1</v>
      </c>
      <c r="FO50">
        <v>0.5428816341463415</v>
      </c>
      <c r="FP50">
        <v>0.0009679024390248746</v>
      </c>
      <c r="FQ50">
        <v>0.04755433869552378</v>
      </c>
      <c r="FR50">
        <v>1</v>
      </c>
      <c r="FS50">
        <v>531.25</v>
      </c>
      <c r="FT50">
        <v>-25.24216954265297</v>
      </c>
      <c r="FU50">
        <v>7.429482208226427</v>
      </c>
      <c r="FV50">
        <v>0</v>
      </c>
      <c r="FW50">
        <v>-0.1462952780487805</v>
      </c>
      <c r="FX50">
        <v>-0.1197238013937284</v>
      </c>
      <c r="FY50">
        <v>0.05114257663690512</v>
      </c>
      <c r="FZ50">
        <v>0</v>
      </c>
      <c r="GA50">
        <v>1</v>
      </c>
      <c r="GB50">
        <v>3</v>
      </c>
      <c r="GC50" t="s">
        <v>431</v>
      </c>
      <c r="GD50">
        <v>3.10971</v>
      </c>
      <c r="GE50">
        <v>2.72649</v>
      </c>
      <c r="GF50">
        <v>0.08866889999999999</v>
      </c>
      <c r="GG50">
        <v>0.0885069</v>
      </c>
      <c r="GH50">
        <v>0.108688</v>
      </c>
      <c r="GI50">
        <v>0.109976</v>
      </c>
      <c r="GJ50">
        <v>23905.1</v>
      </c>
      <c r="GK50">
        <v>21679.4</v>
      </c>
      <c r="GL50">
        <v>26789.4</v>
      </c>
      <c r="GM50">
        <v>23992</v>
      </c>
      <c r="GN50">
        <v>38153.2</v>
      </c>
      <c r="GO50">
        <v>31505.9</v>
      </c>
      <c r="GP50">
        <v>46759.3</v>
      </c>
      <c r="GQ50">
        <v>37936.2</v>
      </c>
      <c r="GR50">
        <v>1.8889</v>
      </c>
      <c r="GS50">
        <v>1.87932</v>
      </c>
      <c r="GT50">
        <v>0.135377</v>
      </c>
      <c r="GU50">
        <v>0</v>
      </c>
      <c r="GV50">
        <v>27.8736</v>
      </c>
      <c r="GW50">
        <v>999.9</v>
      </c>
      <c r="GX50">
        <v>63.5</v>
      </c>
      <c r="GY50">
        <v>29</v>
      </c>
      <c r="GZ50">
        <v>28.13</v>
      </c>
      <c r="HA50">
        <v>61.48</v>
      </c>
      <c r="HB50">
        <v>19.9559</v>
      </c>
      <c r="HC50">
        <v>1</v>
      </c>
      <c r="HD50">
        <v>0.0521824</v>
      </c>
      <c r="HE50">
        <v>-2.04933</v>
      </c>
      <c r="HF50">
        <v>20.3255</v>
      </c>
      <c r="HG50">
        <v>5.22208</v>
      </c>
      <c r="HH50">
        <v>11.98</v>
      </c>
      <c r="HI50">
        <v>4.96545</v>
      </c>
      <c r="HJ50">
        <v>3.27585</v>
      </c>
      <c r="HK50">
        <v>9999</v>
      </c>
      <c r="HL50">
        <v>9999</v>
      </c>
      <c r="HM50">
        <v>9999</v>
      </c>
      <c r="HN50">
        <v>999.9</v>
      </c>
      <c r="HO50">
        <v>1.86363</v>
      </c>
      <c r="HP50">
        <v>1.85974</v>
      </c>
      <c r="HQ50">
        <v>1.85798</v>
      </c>
      <c r="HR50">
        <v>1.8594</v>
      </c>
      <c r="HS50">
        <v>1.85959</v>
      </c>
      <c r="HT50">
        <v>1.85805</v>
      </c>
      <c r="HU50">
        <v>1.85705</v>
      </c>
      <c r="HV50">
        <v>1.85207</v>
      </c>
      <c r="HW50">
        <v>0</v>
      </c>
      <c r="HX50">
        <v>0</v>
      </c>
      <c r="HY50">
        <v>0</v>
      </c>
      <c r="HZ50">
        <v>0</v>
      </c>
      <c r="IA50" t="s">
        <v>424</v>
      </c>
      <c r="IB50" t="s">
        <v>425</v>
      </c>
      <c r="IC50" t="s">
        <v>426</v>
      </c>
      <c r="ID50" t="s">
        <v>426</v>
      </c>
      <c r="IE50" t="s">
        <v>426</v>
      </c>
      <c r="IF50" t="s">
        <v>426</v>
      </c>
      <c r="IG50">
        <v>0</v>
      </c>
      <c r="IH50">
        <v>100</v>
      </c>
      <c r="II50">
        <v>100</v>
      </c>
      <c r="IJ50">
        <v>-0.825</v>
      </c>
      <c r="IK50">
        <v>0.2025</v>
      </c>
      <c r="IL50">
        <v>-1.613291919289301</v>
      </c>
      <c r="IM50">
        <v>0.001328113201692861</v>
      </c>
      <c r="IN50">
        <v>1.538283238170363E-06</v>
      </c>
      <c r="IO50">
        <v>-5.795655626708063E-10</v>
      </c>
      <c r="IP50">
        <v>-0.05565860728478197</v>
      </c>
      <c r="IQ50">
        <v>-0.004593102289677449</v>
      </c>
      <c r="IR50">
        <v>0.0008253994458280543</v>
      </c>
      <c r="IS50">
        <v>-7.403632370499484E-06</v>
      </c>
      <c r="IT50">
        <v>2</v>
      </c>
      <c r="IU50">
        <v>1985</v>
      </c>
      <c r="IV50">
        <v>1</v>
      </c>
      <c r="IW50">
        <v>27</v>
      </c>
      <c r="IX50">
        <v>2.6</v>
      </c>
      <c r="IY50">
        <v>2.5</v>
      </c>
      <c r="IZ50">
        <v>1.12305</v>
      </c>
      <c r="JA50">
        <v>2.56714</v>
      </c>
      <c r="JB50">
        <v>1.49658</v>
      </c>
      <c r="JC50">
        <v>2.34253</v>
      </c>
      <c r="JD50">
        <v>1.54907</v>
      </c>
      <c r="JE50">
        <v>2.38037</v>
      </c>
      <c r="JF50">
        <v>31.8269</v>
      </c>
      <c r="JG50">
        <v>14.6311</v>
      </c>
      <c r="JH50">
        <v>18</v>
      </c>
      <c r="JI50">
        <v>483.212</v>
      </c>
      <c r="JJ50">
        <v>506.803</v>
      </c>
      <c r="JK50">
        <v>31.8231</v>
      </c>
      <c r="JL50">
        <v>27.9294</v>
      </c>
      <c r="JM50">
        <v>29.9995</v>
      </c>
      <c r="JN50">
        <v>28.2537</v>
      </c>
      <c r="JO50">
        <v>28.2613</v>
      </c>
      <c r="JP50">
        <v>22.5843</v>
      </c>
      <c r="JQ50">
        <v>19.383</v>
      </c>
      <c r="JR50">
        <v>81.91240000000001</v>
      </c>
      <c r="JS50">
        <v>31.7669</v>
      </c>
      <c r="JT50">
        <v>420</v>
      </c>
      <c r="JU50">
        <v>23.8033</v>
      </c>
      <c r="JV50">
        <v>102.252</v>
      </c>
      <c r="JW50">
        <v>91.5082</v>
      </c>
    </row>
    <row r="51" spans="1:283">
      <c r="A51">
        <v>33</v>
      </c>
      <c r="B51">
        <v>1761018312</v>
      </c>
      <c r="C51">
        <v>242.5</v>
      </c>
      <c r="D51" t="s">
        <v>493</v>
      </c>
      <c r="E51" t="s">
        <v>494</v>
      </c>
      <c r="F51">
        <v>5</v>
      </c>
      <c r="G51" t="s">
        <v>489</v>
      </c>
      <c r="H51">
        <v>1761018309.3125</v>
      </c>
      <c r="I51">
        <f>(J51)/1000</f>
        <v>0</v>
      </c>
      <c r="J51">
        <f>1000*DJ51*AH51*(DF51-DG51)/(100*CY51*(1000-AH51*DF51))</f>
        <v>0</v>
      </c>
      <c r="K51">
        <f>DJ51*AH51*(DE51-DD51*(1000-AH51*DG51)/(1000-AH51*DF51))/(100*CY51)</f>
        <v>0</v>
      </c>
      <c r="L51">
        <f>DD51 - IF(AH51&gt;1, K51*CY51*100.0/(AJ51), 0)</f>
        <v>0</v>
      </c>
      <c r="M51">
        <f>((S51-I51/2)*L51-K51)/(S51+I51/2)</f>
        <v>0</v>
      </c>
      <c r="N51">
        <f>M51*(DK51+DL51)/1000.0</f>
        <v>0</v>
      </c>
      <c r="O51">
        <f>(DD51 - IF(AH51&gt;1, K51*CY51*100.0/(AJ51), 0))*(DK51+DL51)/1000.0</f>
        <v>0</v>
      </c>
      <c r="P51">
        <f>2.0/((1/R51-1/Q51)+SIGN(R51)*SQRT((1/R51-1/Q51)*(1/R51-1/Q51) + 4*CZ51/((CZ51+1)*(CZ51+1))*(2*1/R51*1/Q51-1/Q51*1/Q51)))</f>
        <v>0</v>
      </c>
      <c r="Q51">
        <f>IF(LEFT(DA51,1)&lt;&gt;"0",IF(LEFT(DA51,1)="1",3.0,DB51),$D$5+$E$5*(DR51*DK51/($K$5*1000))+$F$5*(DR51*DK51/($K$5*1000))*MAX(MIN(CY51,$J$5),$I$5)*MAX(MIN(CY51,$J$5),$I$5)+$G$5*MAX(MIN(CY51,$J$5),$I$5)*(DR51*DK51/($K$5*1000))+$H$5*(DR51*DK51/($K$5*1000))*(DR51*DK51/($K$5*1000)))</f>
        <v>0</v>
      </c>
      <c r="R51">
        <f>I51*(1000-(1000*0.61365*exp(17.502*V51/(240.97+V51))/(DK51+DL51)+DF51)/2)/(1000*0.61365*exp(17.502*V51/(240.97+V51))/(DK51+DL51)-DF51)</f>
        <v>0</v>
      </c>
      <c r="S51">
        <f>1/((CZ51+1)/(P51/1.6)+1/(Q51/1.37)) + CZ51/((CZ51+1)/(P51/1.6) + CZ51/(Q51/1.37))</f>
        <v>0</v>
      </c>
      <c r="T51">
        <f>(CU51*CX51)</f>
        <v>0</v>
      </c>
      <c r="U51">
        <f>(DM51+(T51+2*0.95*5.67E-8*(((DM51+$B$9)+273)^4-(DM51+273)^4)-44100*I51)/(1.84*29.3*Q51+8*0.95*5.67E-8*(DM51+273)^3))</f>
        <v>0</v>
      </c>
      <c r="V51">
        <f>($C$9*DN51+$D$9*DO51+$E$9*U51)</f>
        <v>0</v>
      </c>
      <c r="W51">
        <f>0.61365*exp(17.502*V51/(240.97+V51))</f>
        <v>0</v>
      </c>
      <c r="X51">
        <f>(Y51/Z51*100)</f>
        <v>0</v>
      </c>
      <c r="Y51">
        <f>DF51*(DK51+DL51)/1000</f>
        <v>0</v>
      </c>
      <c r="Z51">
        <f>0.61365*exp(17.502*DM51/(240.97+DM51))</f>
        <v>0</v>
      </c>
      <c r="AA51">
        <f>(W51-DF51*(DK51+DL51)/1000)</f>
        <v>0</v>
      </c>
      <c r="AB51">
        <f>(-I51*44100)</f>
        <v>0</v>
      </c>
      <c r="AC51">
        <f>2*29.3*Q51*0.92*(DM51-V51)</f>
        <v>0</v>
      </c>
      <c r="AD51">
        <f>2*0.95*5.67E-8*(((DM51+$B$9)+273)^4-(V51+273)^4)</f>
        <v>0</v>
      </c>
      <c r="AE51">
        <f>T51+AD51+AB51+AC51</f>
        <v>0</v>
      </c>
      <c r="AF51">
        <v>0</v>
      </c>
      <c r="AG51">
        <v>0</v>
      </c>
      <c r="AH51">
        <f>IF(AF51*$H$15&gt;=AJ51,1.0,(AJ51/(AJ51-AF51*$H$15)))</f>
        <v>0</v>
      </c>
      <c r="AI51">
        <f>(AH51-1)*100</f>
        <v>0</v>
      </c>
      <c r="AJ51">
        <f>MAX(0,($B$15+$C$15*DR51)/(1+$D$15*DR51)*DK51/(DM51+273)*$E$15)</f>
        <v>0</v>
      </c>
      <c r="AK51" t="s">
        <v>420</v>
      </c>
      <c r="AL51" t="s">
        <v>420</v>
      </c>
      <c r="AM51">
        <v>0</v>
      </c>
      <c r="AN51">
        <v>0</v>
      </c>
      <c r="AO51">
        <f>1-AM51/AN51</f>
        <v>0</v>
      </c>
      <c r="AP51">
        <v>0</v>
      </c>
      <c r="AQ51" t="s">
        <v>420</v>
      </c>
      <c r="AR51" t="s">
        <v>420</v>
      </c>
      <c r="AS51">
        <v>0</v>
      </c>
      <c r="AT51">
        <v>0</v>
      </c>
      <c r="AU51">
        <f>1-AS51/AT51</f>
        <v>0</v>
      </c>
      <c r="AV51">
        <v>0.5</v>
      </c>
      <c r="AW51">
        <f>CV51</f>
        <v>0</v>
      </c>
      <c r="AX51">
        <f>K51</f>
        <v>0</v>
      </c>
      <c r="AY51">
        <f>AU51*AV51*AW51</f>
        <v>0</v>
      </c>
      <c r="AZ51">
        <f>(AX51-AP51)/AW51</f>
        <v>0</v>
      </c>
      <c r="BA51">
        <f>(AN51-AT51)/AT51</f>
        <v>0</v>
      </c>
      <c r="BB51">
        <f>AM51/(AO51+AM51/AT51)</f>
        <v>0</v>
      </c>
      <c r="BC51" t="s">
        <v>420</v>
      </c>
      <c r="BD51">
        <v>0</v>
      </c>
      <c r="BE51">
        <f>IF(BD51&lt;&gt;0, BD51, BB51)</f>
        <v>0</v>
      </c>
      <c r="BF51">
        <f>1-BE51/AT51</f>
        <v>0</v>
      </c>
      <c r="BG51">
        <f>(AT51-AS51)/(AT51-BE51)</f>
        <v>0</v>
      </c>
      <c r="BH51">
        <f>(AN51-AT51)/(AN51-BE51)</f>
        <v>0</v>
      </c>
      <c r="BI51">
        <f>(AT51-AS51)/(AT51-AM51)</f>
        <v>0</v>
      </c>
      <c r="BJ51">
        <f>(AN51-AT51)/(AN51-AM51)</f>
        <v>0</v>
      </c>
      <c r="BK51">
        <f>(BG51*BE51/AS51)</f>
        <v>0</v>
      </c>
      <c r="BL51">
        <f>(1-BK51)</f>
        <v>0</v>
      </c>
      <c r="CU51">
        <f>$B$13*DS51+$C$13*DT51+$F$13*EE51*(1-EH51)</f>
        <v>0</v>
      </c>
      <c r="CV51">
        <f>CU51*CW51</f>
        <v>0</v>
      </c>
      <c r="CW51">
        <f>($B$13*$D$11+$C$13*$D$11+$F$13*((ER51+EJ51)/MAX(ER51+EJ51+ES51, 0.1)*$I$11+ES51/MAX(ER51+EJ51+ES51, 0.1)*$J$11))/($B$13+$C$13+$F$13)</f>
        <v>0</v>
      </c>
      <c r="CX51">
        <f>($B$13*$K$11+$C$13*$K$11+$F$13*((ER51+EJ51)/MAX(ER51+EJ51+ES51, 0.1)*$P$11+ES51/MAX(ER51+EJ51+ES51, 0.1)*$Q$11))/($B$13+$C$13+$F$13)</f>
        <v>0</v>
      </c>
      <c r="CY51">
        <v>4.16</v>
      </c>
      <c r="CZ51">
        <v>0.5</v>
      </c>
      <c r="DA51" t="s">
        <v>421</v>
      </c>
      <c r="DB51">
        <v>2</v>
      </c>
      <c r="DC51">
        <v>1761018309.3125</v>
      </c>
      <c r="DD51">
        <v>420.481125</v>
      </c>
      <c r="DE51">
        <v>419.9665</v>
      </c>
      <c r="DF51">
        <v>23.9781</v>
      </c>
      <c r="DG51">
        <v>24.0585875</v>
      </c>
      <c r="DH51">
        <v>421.30525</v>
      </c>
      <c r="DI51">
        <v>23.77585</v>
      </c>
      <c r="DJ51">
        <v>499.958875</v>
      </c>
      <c r="DK51">
        <v>90.78478749999999</v>
      </c>
      <c r="DL51">
        <v>0.0349755375</v>
      </c>
      <c r="DM51">
        <v>30.352375</v>
      </c>
      <c r="DN51">
        <v>30.082925</v>
      </c>
      <c r="DO51">
        <v>999.9</v>
      </c>
      <c r="DP51">
        <v>0</v>
      </c>
      <c r="DQ51">
        <v>0</v>
      </c>
      <c r="DR51">
        <v>9991.805</v>
      </c>
      <c r="DS51">
        <v>0</v>
      </c>
      <c r="DT51">
        <v>0.242856</v>
      </c>
      <c r="DU51">
        <v>0.514640875</v>
      </c>
      <c r="DV51">
        <v>430.81125</v>
      </c>
      <c r="DW51">
        <v>430.3195</v>
      </c>
      <c r="DX51">
        <v>-0.08050228749999999</v>
      </c>
      <c r="DY51">
        <v>419.9665</v>
      </c>
      <c r="DZ51">
        <v>24.0585875</v>
      </c>
      <c r="EA51">
        <v>2.176845</v>
      </c>
      <c r="EB51">
        <v>2.184155</v>
      </c>
      <c r="EC51">
        <v>18.7929125</v>
      </c>
      <c r="ED51">
        <v>18.8465375</v>
      </c>
      <c r="EE51">
        <v>0.00500078</v>
      </c>
      <c r="EF51">
        <v>0</v>
      </c>
      <c r="EG51">
        <v>0</v>
      </c>
      <c r="EH51">
        <v>0</v>
      </c>
      <c r="EI51">
        <v>521.8249999999999</v>
      </c>
      <c r="EJ51">
        <v>0.00500078</v>
      </c>
      <c r="EK51">
        <v>-6.625</v>
      </c>
      <c r="EL51">
        <v>0.5625</v>
      </c>
      <c r="EM51">
        <v>35.694875</v>
      </c>
      <c r="EN51">
        <v>40.33562499999999</v>
      </c>
      <c r="EO51">
        <v>37.92175</v>
      </c>
      <c r="EP51">
        <v>41.10124999999999</v>
      </c>
      <c r="EQ51">
        <v>38.92149999999999</v>
      </c>
      <c r="ER51">
        <v>0</v>
      </c>
      <c r="ES51">
        <v>0</v>
      </c>
      <c r="ET51">
        <v>0</v>
      </c>
      <c r="EU51">
        <v>1761018310.9</v>
      </c>
      <c r="EV51">
        <v>0</v>
      </c>
      <c r="EW51">
        <v>529.0079999999999</v>
      </c>
      <c r="EX51">
        <v>-59.7999999853256</v>
      </c>
      <c r="EY51">
        <v>37.59230742028946</v>
      </c>
      <c r="EZ51">
        <v>-11.812</v>
      </c>
      <c r="FA51">
        <v>15</v>
      </c>
      <c r="FB51">
        <v>1761018162.5</v>
      </c>
      <c r="FC51" t="s">
        <v>490</v>
      </c>
      <c r="FD51">
        <v>1761018155.5</v>
      </c>
      <c r="FE51">
        <v>1761018162.5</v>
      </c>
      <c r="FF51">
        <v>24</v>
      </c>
      <c r="FG51">
        <v>-0.207</v>
      </c>
      <c r="FH51">
        <v>-0.006</v>
      </c>
      <c r="FI51">
        <v>-0.825</v>
      </c>
      <c r="FJ51">
        <v>0.194</v>
      </c>
      <c r="FK51">
        <v>420</v>
      </c>
      <c r="FL51">
        <v>24</v>
      </c>
      <c r="FM51">
        <v>0.19</v>
      </c>
      <c r="FN51">
        <v>0.1</v>
      </c>
      <c r="FO51">
        <v>0.5385970999999999</v>
      </c>
      <c r="FP51">
        <v>-0.1025740637898691</v>
      </c>
      <c r="FQ51">
        <v>0.05120520622544157</v>
      </c>
      <c r="FR51">
        <v>1</v>
      </c>
      <c r="FS51">
        <v>530.1823529411764</v>
      </c>
      <c r="FT51">
        <v>-29.83346058324929</v>
      </c>
      <c r="FU51">
        <v>7.522768208744137</v>
      </c>
      <c r="FV51">
        <v>0</v>
      </c>
      <c r="FW51">
        <v>-0.1494058725</v>
      </c>
      <c r="FX51">
        <v>0.1768514510318954</v>
      </c>
      <c r="FY51">
        <v>0.04793402468892002</v>
      </c>
      <c r="FZ51">
        <v>0</v>
      </c>
      <c r="GA51">
        <v>1</v>
      </c>
      <c r="GB51">
        <v>3</v>
      </c>
      <c r="GC51" t="s">
        <v>431</v>
      </c>
      <c r="GD51">
        <v>3.10968</v>
      </c>
      <c r="GE51">
        <v>2.72656</v>
      </c>
      <c r="GF51">
        <v>0.08867410000000001</v>
      </c>
      <c r="GG51">
        <v>0.0885037</v>
      </c>
      <c r="GH51">
        <v>0.10876</v>
      </c>
      <c r="GI51">
        <v>0.10991</v>
      </c>
      <c r="GJ51">
        <v>23905.1</v>
      </c>
      <c r="GK51">
        <v>21679.3</v>
      </c>
      <c r="GL51">
        <v>26789.5</v>
      </c>
      <c r="GM51">
        <v>23991.7</v>
      </c>
      <c r="GN51">
        <v>38150.2</v>
      </c>
      <c r="GO51">
        <v>31508</v>
      </c>
      <c r="GP51">
        <v>46759.5</v>
      </c>
      <c r="GQ51">
        <v>37935.9</v>
      </c>
      <c r="GR51">
        <v>1.8892</v>
      </c>
      <c r="GS51">
        <v>1.87925</v>
      </c>
      <c r="GT51">
        <v>0.134453</v>
      </c>
      <c r="GU51">
        <v>0</v>
      </c>
      <c r="GV51">
        <v>27.8795</v>
      </c>
      <c r="GW51">
        <v>999.9</v>
      </c>
      <c r="GX51">
        <v>63.5</v>
      </c>
      <c r="GY51">
        <v>29</v>
      </c>
      <c r="GZ51">
        <v>28.1294</v>
      </c>
      <c r="HA51">
        <v>61.28</v>
      </c>
      <c r="HB51">
        <v>20.1683</v>
      </c>
      <c r="HC51">
        <v>1</v>
      </c>
      <c r="HD51">
        <v>0.0520097</v>
      </c>
      <c r="HE51">
        <v>-1.97123</v>
      </c>
      <c r="HF51">
        <v>20.3264</v>
      </c>
      <c r="HG51">
        <v>5.22193</v>
      </c>
      <c r="HH51">
        <v>11.98</v>
      </c>
      <c r="HI51">
        <v>4.9654</v>
      </c>
      <c r="HJ51">
        <v>3.2759</v>
      </c>
      <c r="HK51">
        <v>9999</v>
      </c>
      <c r="HL51">
        <v>9999</v>
      </c>
      <c r="HM51">
        <v>9999</v>
      </c>
      <c r="HN51">
        <v>999.9</v>
      </c>
      <c r="HO51">
        <v>1.86364</v>
      </c>
      <c r="HP51">
        <v>1.85974</v>
      </c>
      <c r="HQ51">
        <v>1.858</v>
      </c>
      <c r="HR51">
        <v>1.8594</v>
      </c>
      <c r="HS51">
        <v>1.85959</v>
      </c>
      <c r="HT51">
        <v>1.85804</v>
      </c>
      <c r="HU51">
        <v>1.85708</v>
      </c>
      <c r="HV51">
        <v>1.85208</v>
      </c>
      <c r="HW51">
        <v>0</v>
      </c>
      <c r="HX51">
        <v>0</v>
      </c>
      <c r="HY51">
        <v>0</v>
      </c>
      <c r="HZ51">
        <v>0</v>
      </c>
      <c r="IA51" t="s">
        <v>424</v>
      </c>
      <c r="IB51" t="s">
        <v>425</v>
      </c>
      <c r="IC51" t="s">
        <v>426</v>
      </c>
      <c r="ID51" t="s">
        <v>426</v>
      </c>
      <c r="IE51" t="s">
        <v>426</v>
      </c>
      <c r="IF51" t="s">
        <v>426</v>
      </c>
      <c r="IG51">
        <v>0</v>
      </c>
      <c r="IH51">
        <v>100</v>
      </c>
      <c r="II51">
        <v>100</v>
      </c>
      <c r="IJ51">
        <v>-0.824</v>
      </c>
      <c r="IK51">
        <v>0.203</v>
      </c>
      <c r="IL51">
        <v>-1.613291919289301</v>
      </c>
      <c r="IM51">
        <v>0.001328113201692861</v>
      </c>
      <c r="IN51">
        <v>1.538283238170363E-06</v>
      </c>
      <c r="IO51">
        <v>-5.795655626708063E-10</v>
      </c>
      <c r="IP51">
        <v>-0.05565860728478197</v>
      </c>
      <c r="IQ51">
        <v>-0.004593102289677449</v>
      </c>
      <c r="IR51">
        <v>0.0008253994458280543</v>
      </c>
      <c r="IS51">
        <v>-7.403632370499484E-06</v>
      </c>
      <c r="IT51">
        <v>2</v>
      </c>
      <c r="IU51">
        <v>1985</v>
      </c>
      <c r="IV51">
        <v>1</v>
      </c>
      <c r="IW51">
        <v>27</v>
      </c>
      <c r="IX51">
        <v>2.6</v>
      </c>
      <c r="IY51">
        <v>2.5</v>
      </c>
      <c r="IZ51">
        <v>1.12305</v>
      </c>
      <c r="JA51">
        <v>2.56348</v>
      </c>
      <c r="JB51">
        <v>1.49658</v>
      </c>
      <c r="JC51">
        <v>2.34253</v>
      </c>
      <c r="JD51">
        <v>1.54907</v>
      </c>
      <c r="JE51">
        <v>2.47803</v>
      </c>
      <c r="JF51">
        <v>31.8269</v>
      </c>
      <c r="JG51">
        <v>14.6311</v>
      </c>
      <c r="JH51">
        <v>18</v>
      </c>
      <c r="JI51">
        <v>483.363</v>
      </c>
      <c r="JJ51">
        <v>506.723</v>
      </c>
      <c r="JK51">
        <v>31.7967</v>
      </c>
      <c r="JL51">
        <v>27.9258</v>
      </c>
      <c r="JM51">
        <v>29.9996</v>
      </c>
      <c r="JN51">
        <v>28.2507</v>
      </c>
      <c r="JO51">
        <v>28.2579</v>
      </c>
      <c r="JP51">
        <v>22.586</v>
      </c>
      <c r="JQ51">
        <v>19.7087</v>
      </c>
      <c r="JR51">
        <v>81.91240000000001</v>
      </c>
      <c r="JS51">
        <v>31.7669</v>
      </c>
      <c r="JT51">
        <v>420</v>
      </c>
      <c r="JU51">
        <v>23.7846</v>
      </c>
      <c r="JV51">
        <v>102.253</v>
      </c>
      <c r="JW51">
        <v>91.5073</v>
      </c>
    </row>
    <row r="52" spans="1:283">
      <c r="A52">
        <v>34</v>
      </c>
      <c r="B52">
        <v>1761018314</v>
      </c>
      <c r="C52">
        <v>244.5</v>
      </c>
      <c r="D52" t="s">
        <v>495</v>
      </c>
      <c r="E52" t="s">
        <v>496</v>
      </c>
      <c r="F52">
        <v>5</v>
      </c>
      <c r="G52" t="s">
        <v>489</v>
      </c>
      <c r="H52">
        <v>1761018311</v>
      </c>
      <c r="I52">
        <f>(J52)/1000</f>
        <v>0</v>
      </c>
      <c r="J52">
        <f>1000*DJ52*AH52*(DF52-DG52)/(100*CY52*(1000-AH52*DF52))</f>
        <v>0</v>
      </c>
      <c r="K52">
        <f>DJ52*AH52*(DE52-DD52*(1000-AH52*DG52)/(1000-AH52*DF52))/(100*CY52)</f>
        <v>0</v>
      </c>
      <c r="L52">
        <f>DD52 - IF(AH52&gt;1, K52*CY52*100.0/(AJ52), 0)</f>
        <v>0</v>
      </c>
      <c r="M52">
        <f>((S52-I52/2)*L52-K52)/(S52+I52/2)</f>
        <v>0</v>
      </c>
      <c r="N52">
        <f>M52*(DK52+DL52)/1000.0</f>
        <v>0</v>
      </c>
      <c r="O52">
        <f>(DD52 - IF(AH52&gt;1, K52*CY52*100.0/(AJ52), 0))*(DK52+DL52)/1000.0</f>
        <v>0</v>
      </c>
      <c r="P52">
        <f>2.0/((1/R52-1/Q52)+SIGN(R52)*SQRT((1/R52-1/Q52)*(1/R52-1/Q52) + 4*CZ52/((CZ52+1)*(CZ52+1))*(2*1/R52*1/Q52-1/Q52*1/Q52)))</f>
        <v>0</v>
      </c>
      <c r="Q52">
        <f>IF(LEFT(DA52,1)&lt;&gt;"0",IF(LEFT(DA52,1)="1",3.0,DB52),$D$5+$E$5*(DR52*DK52/($K$5*1000))+$F$5*(DR52*DK52/($K$5*1000))*MAX(MIN(CY52,$J$5),$I$5)*MAX(MIN(CY52,$J$5),$I$5)+$G$5*MAX(MIN(CY52,$J$5),$I$5)*(DR52*DK52/($K$5*1000))+$H$5*(DR52*DK52/($K$5*1000))*(DR52*DK52/($K$5*1000)))</f>
        <v>0</v>
      </c>
      <c r="R52">
        <f>I52*(1000-(1000*0.61365*exp(17.502*V52/(240.97+V52))/(DK52+DL52)+DF52)/2)/(1000*0.61365*exp(17.502*V52/(240.97+V52))/(DK52+DL52)-DF52)</f>
        <v>0</v>
      </c>
      <c r="S52">
        <f>1/((CZ52+1)/(P52/1.6)+1/(Q52/1.37)) + CZ52/((CZ52+1)/(P52/1.6) + CZ52/(Q52/1.37))</f>
        <v>0</v>
      </c>
      <c r="T52">
        <f>(CU52*CX52)</f>
        <v>0</v>
      </c>
      <c r="U52">
        <f>(DM52+(T52+2*0.95*5.67E-8*(((DM52+$B$9)+273)^4-(DM52+273)^4)-44100*I52)/(1.84*29.3*Q52+8*0.95*5.67E-8*(DM52+273)^3))</f>
        <v>0</v>
      </c>
      <c r="V52">
        <f>($C$9*DN52+$D$9*DO52+$E$9*U52)</f>
        <v>0</v>
      </c>
      <c r="W52">
        <f>0.61365*exp(17.502*V52/(240.97+V52))</f>
        <v>0</v>
      </c>
      <c r="X52">
        <f>(Y52/Z52*100)</f>
        <v>0</v>
      </c>
      <c r="Y52">
        <f>DF52*(DK52+DL52)/1000</f>
        <v>0</v>
      </c>
      <c r="Z52">
        <f>0.61365*exp(17.502*DM52/(240.97+DM52))</f>
        <v>0</v>
      </c>
      <c r="AA52">
        <f>(W52-DF52*(DK52+DL52)/1000)</f>
        <v>0</v>
      </c>
      <c r="AB52">
        <f>(-I52*44100)</f>
        <v>0</v>
      </c>
      <c r="AC52">
        <f>2*29.3*Q52*0.92*(DM52-V52)</f>
        <v>0</v>
      </c>
      <c r="AD52">
        <f>2*0.95*5.67E-8*(((DM52+$B$9)+273)^4-(V52+273)^4)</f>
        <v>0</v>
      </c>
      <c r="AE52">
        <f>T52+AD52+AB52+AC52</f>
        <v>0</v>
      </c>
      <c r="AF52">
        <v>0</v>
      </c>
      <c r="AG52">
        <v>0</v>
      </c>
      <c r="AH52">
        <f>IF(AF52*$H$15&gt;=AJ52,1.0,(AJ52/(AJ52-AF52*$H$15)))</f>
        <v>0</v>
      </c>
      <c r="AI52">
        <f>(AH52-1)*100</f>
        <v>0</v>
      </c>
      <c r="AJ52">
        <f>MAX(0,($B$15+$C$15*DR52)/(1+$D$15*DR52)*DK52/(DM52+273)*$E$15)</f>
        <v>0</v>
      </c>
      <c r="AK52" t="s">
        <v>420</v>
      </c>
      <c r="AL52" t="s">
        <v>420</v>
      </c>
      <c r="AM52">
        <v>0</v>
      </c>
      <c r="AN52">
        <v>0</v>
      </c>
      <c r="AO52">
        <f>1-AM52/AN52</f>
        <v>0</v>
      </c>
      <c r="AP52">
        <v>0</v>
      </c>
      <c r="AQ52" t="s">
        <v>420</v>
      </c>
      <c r="AR52" t="s">
        <v>420</v>
      </c>
      <c r="AS52">
        <v>0</v>
      </c>
      <c r="AT52">
        <v>0</v>
      </c>
      <c r="AU52">
        <f>1-AS52/AT52</f>
        <v>0</v>
      </c>
      <c r="AV52">
        <v>0.5</v>
      </c>
      <c r="AW52">
        <f>CV52</f>
        <v>0</v>
      </c>
      <c r="AX52">
        <f>K52</f>
        <v>0</v>
      </c>
      <c r="AY52">
        <f>AU52*AV52*AW52</f>
        <v>0</v>
      </c>
      <c r="AZ52">
        <f>(AX52-AP52)/AW52</f>
        <v>0</v>
      </c>
      <c r="BA52">
        <f>(AN52-AT52)/AT52</f>
        <v>0</v>
      </c>
      <c r="BB52">
        <f>AM52/(AO52+AM52/AT52)</f>
        <v>0</v>
      </c>
      <c r="BC52" t="s">
        <v>420</v>
      </c>
      <c r="BD52">
        <v>0</v>
      </c>
      <c r="BE52">
        <f>IF(BD52&lt;&gt;0, BD52, BB52)</f>
        <v>0</v>
      </c>
      <c r="BF52">
        <f>1-BE52/AT52</f>
        <v>0</v>
      </c>
      <c r="BG52">
        <f>(AT52-AS52)/(AT52-BE52)</f>
        <v>0</v>
      </c>
      <c r="BH52">
        <f>(AN52-AT52)/(AN52-BE52)</f>
        <v>0</v>
      </c>
      <c r="BI52">
        <f>(AT52-AS52)/(AT52-AM52)</f>
        <v>0</v>
      </c>
      <c r="BJ52">
        <f>(AN52-AT52)/(AN52-AM52)</f>
        <v>0</v>
      </c>
      <c r="BK52">
        <f>(BG52*BE52/AS52)</f>
        <v>0</v>
      </c>
      <c r="BL52">
        <f>(1-BK52)</f>
        <v>0</v>
      </c>
      <c r="CU52">
        <f>$B$13*DS52+$C$13*DT52+$F$13*EE52*(1-EH52)</f>
        <v>0</v>
      </c>
      <c r="CV52">
        <f>CU52*CW52</f>
        <v>0</v>
      </c>
      <c r="CW52">
        <f>($B$13*$D$11+$C$13*$D$11+$F$13*((ER52+EJ52)/MAX(ER52+EJ52+ES52, 0.1)*$I$11+ES52/MAX(ER52+EJ52+ES52, 0.1)*$J$11))/($B$13+$C$13+$F$13)</f>
        <v>0</v>
      </c>
      <c r="CX52">
        <f>($B$13*$K$11+$C$13*$K$11+$F$13*((ER52+EJ52)/MAX(ER52+EJ52+ES52, 0.1)*$P$11+ES52/MAX(ER52+EJ52+ES52, 0.1)*$Q$11))/($B$13+$C$13+$F$13)</f>
        <v>0</v>
      </c>
      <c r="CY52">
        <v>4.16</v>
      </c>
      <c r="CZ52">
        <v>0.5</v>
      </c>
      <c r="DA52" t="s">
        <v>421</v>
      </c>
      <c r="DB52">
        <v>2</v>
      </c>
      <c r="DC52">
        <v>1761018311</v>
      </c>
      <c r="DD52">
        <v>420.5035555555555</v>
      </c>
      <c r="DE52">
        <v>419.997</v>
      </c>
      <c r="DF52">
        <v>23.99982222222222</v>
      </c>
      <c r="DG52">
        <v>24.045</v>
      </c>
      <c r="DH52">
        <v>421.3274444444444</v>
      </c>
      <c r="DI52">
        <v>23.79711111111111</v>
      </c>
      <c r="DJ52">
        <v>500.0052222222223</v>
      </c>
      <c r="DK52">
        <v>90.78523333333334</v>
      </c>
      <c r="DL52">
        <v>0.03499275555555555</v>
      </c>
      <c r="DM52">
        <v>30.35603333333333</v>
      </c>
      <c r="DN52">
        <v>30.075</v>
      </c>
      <c r="DO52">
        <v>999.9000000000001</v>
      </c>
      <c r="DP52">
        <v>0</v>
      </c>
      <c r="DQ52">
        <v>0</v>
      </c>
      <c r="DR52">
        <v>9994.17</v>
      </c>
      <c r="DS52">
        <v>0</v>
      </c>
      <c r="DT52">
        <v>0.242856</v>
      </c>
      <c r="DU52">
        <v>0.5064527777777779</v>
      </c>
      <c r="DV52">
        <v>430.8437777777778</v>
      </c>
      <c r="DW52">
        <v>430.3447777777778</v>
      </c>
      <c r="DX52">
        <v>-0.04518847988888888</v>
      </c>
      <c r="DY52">
        <v>419.997</v>
      </c>
      <c r="DZ52">
        <v>24.045</v>
      </c>
      <c r="EA52">
        <v>2.178827777777778</v>
      </c>
      <c r="EB52">
        <v>2.182931111111111</v>
      </c>
      <c r="EC52">
        <v>18.80748888888889</v>
      </c>
      <c r="ED52">
        <v>18.83757777777778</v>
      </c>
      <c r="EE52">
        <v>0.00500078</v>
      </c>
      <c r="EF52">
        <v>0</v>
      </c>
      <c r="EG52">
        <v>0</v>
      </c>
      <c r="EH52">
        <v>0</v>
      </c>
      <c r="EI52">
        <v>523.4555555555556</v>
      </c>
      <c r="EJ52">
        <v>0.00500078</v>
      </c>
      <c r="EK52">
        <v>-8.622222222222224</v>
      </c>
      <c r="EL52">
        <v>0.3777777777777777</v>
      </c>
      <c r="EM52">
        <v>35.715</v>
      </c>
      <c r="EN52">
        <v>40.35400000000001</v>
      </c>
      <c r="EO52">
        <v>38.07622222222222</v>
      </c>
      <c r="EP52">
        <v>41.13855555555555</v>
      </c>
      <c r="EQ52">
        <v>38.86777777777777</v>
      </c>
      <c r="ER52">
        <v>0</v>
      </c>
      <c r="ES52">
        <v>0</v>
      </c>
      <c r="ET52">
        <v>0</v>
      </c>
      <c r="EU52">
        <v>1761018313.3</v>
      </c>
      <c r="EV52">
        <v>0</v>
      </c>
      <c r="EW52">
        <v>528.1079999999999</v>
      </c>
      <c r="EX52">
        <v>-18.36923112370802</v>
      </c>
      <c r="EY52">
        <v>40.00000003729106</v>
      </c>
      <c r="EZ52">
        <v>-11.612</v>
      </c>
      <c r="FA52">
        <v>15</v>
      </c>
      <c r="FB52">
        <v>1761018162.5</v>
      </c>
      <c r="FC52" t="s">
        <v>490</v>
      </c>
      <c r="FD52">
        <v>1761018155.5</v>
      </c>
      <c r="FE52">
        <v>1761018162.5</v>
      </c>
      <c r="FF52">
        <v>24</v>
      </c>
      <c r="FG52">
        <v>-0.207</v>
      </c>
      <c r="FH52">
        <v>-0.006</v>
      </c>
      <c r="FI52">
        <v>-0.825</v>
      </c>
      <c r="FJ52">
        <v>0.194</v>
      </c>
      <c r="FK52">
        <v>420</v>
      </c>
      <c r="FL52">
        <v>24</v>
      </c>
      <c r="FM52">
        <v>0.19</v>
      </c>
      <c r="FN52">
        <v>0.1</v>
      </c>
      <c r="FO52">
        <v>0.5338700243902439</v>
      </c>
      <c r="FP52">
        <v>-0.04516766550522527</v>
      </c>
      <c r="FQ52">
        <v>0.04915393001457212</v>
      </c>
      <c r="FR52">
        <v>1</v>
      </c>
      <c r="FS52">
        <v>529.7411764705881</v>
      </c>
      <c r="FT52">
        <v>-28.67226890847873</v>
      </c>
      <c r="FU52">
        <v>7.603718813343093</v>
      </c>
      <c r="FV52">
        <v>0</v>
      </c>
      <c r="FW52">
        <v>-0.1378854102195122</v>
      </c>
      <c r="FX52">
        <v>0.5252766091777001</v>
      </c>
      <c r="FY52">
        <v>0.06429590595199493</v>
      </c>
      <c r="FZ52">
        <v>0</v>
      </c>
      <c r="GA52">
        <v>1</v>
      </c>
      <c r="GB52">
        <v>3</v>
      </c>
      <c r="GC52" t="s">
        <v>431</v>
      </c>
      <c r="GD52">
        <v>3.1097</v>
      </c>
      <c r="GE52">
        <v>2.72673</v>
      </c>
      <c r="GF52">
        <v>0.088683</v>
      </c>
      <c r="GG52">
        <v>0.0885097</v>
      </c>
      <c r="GH52">
        <v>0.108802</v>
      </c>
      <c r="GI52">
        <v>0.109797</v>
      </c>
      <c r="GJ52">
        <v>23904.9</v>
      </c>
      <c r="GK52">
        <v>21679</v>
      </c>
      <c r="GL52">
        <v>26789.6</v>
      </c>
      <c r="GM52">
        <v>23991.5</v>
      </c>
      <c r="GN52">
        <v>38148.5</v>
      </c>
      <c r="GO52">
        <v>31511.6</v>
      </c>
      <c r="GP52">
        <v>46759.6</v>
      </c>
      <c r="GQ52">
        <v>37935.3</v>
      </c>
      <c r="GR52">
        <v>1.88918</v>
      </c>
      <c r="GS52">
        <v>1.87925</v>
      </c>
      <c r="GT52">
        <v>0.132926</v>
      </c>
      <c r="GU52">
        <v>0</v>
      </c>
      <c r="GV52">
        <v>27.8854</v>
      </c>
      <c r="GW52">
        <v>999.9</v>
      </c>
      <c r="GX52">
        <v>63.5</v>
      </c>
      <c r="GY52">
        <v>29</v>
      </c>
      <c r="GZ52">
        <v>28.1296</v>
      </c>
      <c r="HA52">
        <v>61.44</v>
      </c>
      <c r="HB52">
        <v>20.0761</v>
      </c>
      <c r="HC52">
        <v>1</v>
      </c>
      <c r="HD52">
        <v>0.0516641</v>
      </c>
      <c r="HE52">
        <v>-2.018</v>
      </c>
      <c r="HF52">
        <v>20.3259</v>
      </c>
      <c r="HG52">
        <v>5.22163</v>
      </c>
      <c r="HH52">
        <v>11.98</v>
      </c>
      <c r="HI52">
        <v>4.9654</v>
      </c>
      <c r="HJ52">
        <v>3.27598</v>
      </c>
      <c r="HK52">
        <v>9999</v>
      </c>
      <c r="HL52">
        <v>9999</v>
      </c>
      <c r="HM52">
        <v>9999</v>
      </c>
      <c r="HN52">
        <v>999.9</v>
      </c>
      <c r="HO52">
        <v>1.86361</v>
      </c>
      <c r="HP52">
        <v>1.85974</v>
      </c>
      <c r="HQ52">
        <v>1.85801</v>
      </c>
      <c r="HR52">
        <v>1.85939</v>
      </c>
      <c r="HS52">
        <v>1.85959</v>
      </c>
      <c r="HT52">
        <v>1.85804</v>
      </c>
      <c r="HU52">
        <v>1.85708</v>
      </c>
      <c r="HV52">
        <v>1.85209</v>
      </c>
      <c r="HW52">
        <v>0</v>
      </c>
      <c r="HX52">
        <v>0</v>
      </c>
      <c r="HY52">
        <v>0</v>
      </c>
      <c r="HZ52">
        <v>0</v>
      </c>
      <c r="IA52" t="s">
        <v>424</v>
      </c>
      <c r="IB52" t="s">
        <v>425</v>
      </c>
      <c r="IC52" t="s">
        <v>426</v>
      </c>
      <c r="ID52" t="s">
        <v>426</v>
      </c>
      <c r="IE52" t="s">
        <v>426</v>
      </c>
      <c r="IF52" t="s">
        <v>426</v>
      </c>
      <c r="IG52">
        <v>0</v>
      </c>
      <c r="IH52">
        <v>100</v>
      </c>
      <c r="II52">
        <v>100</v>
      </c>
      <c r="IJ52">
        <v>-0.823</v>
      </c>
      <c r="IK52">
        <v>0.2032</v>
      </c>
      <c r="IL52">
        <v>-1.613291919289301</v>
      </c>
      <c r="IM52">
        <v>0.001328113201692861</v>
      </c>
      <c r="IN52">
        <v>1.538283238170363E-06</v>
      </c>
      <c r="IO52">
        <v>-5.795655626708063E-10</v>
      </c>
      <c r="IP52">
        <v>-0.05565860728478197</v>
      </c>
      <c r="IQ52">
        <v>-0.004593102289677449</v>
      </c>
      <c r="IR52">
        <v>0.0008253994458280543</v>
      </c>
      <c r="IS52">
        <v>-7.403632370499484E-06</v>
      </c>
      <c r="IT52">
        <v>2</v>
      </c>
      <c r="IU52">
        <v>1985</v>
      </c>
      <c r="IV52">
        <v>1</v>
      </c>
      <c r="IW52">
        <v>27</v>
      </c>
      <c r="IX52">
        <v>2.6</v>
      </c>
      <c r="IY52">
        <v>2.5</v>
      </c>
      <c r="IZ52">
        <v>1.12305</v>
      </c>
      <c r="JA52">
        <v>2.57568</v>
      </c>
      <c r="JB52">
        <v>1.49658</v>
      </c>
      <c r="JC52">
        <v>2.34253</v>
      </c>
      <c r="JD52">
        <v>1.54907</v>
      </c>
      <c r="JE52">
        <v>2.38525</v>
      </c>
      <c r="JF52">
        <v>31.8269</v>
      </c>
      <c r="JG52">
        <v>14.6224</v>
      </c>
      <c r="JH52">
        <v>18</v>
      </c>
      <c r="JI52">
        <v>483.325</v>
      </c>
      <c r="JJ52">
        <v>506.697</v>
      </c>
      <c r="JK52">
        <v>31.761</v>
      </c>
      <c r="JL52">
        <v>27.9229</v>
      </c>
      <c r="JM52">
        <v>29.9995</v>
      </c>
      <c r="JN52">
        <v>28.2476</v>
      </c>
      <c r="JO52">
        <v>28.2549</v>
      </c>
      <c r="JP52">
        <v>22.5831</v>
      </c>
      <c r="JQ52">
        <v>20.004</v>
      </c>
      <c r="JR52">
        <v>81.91240000000001</v>
      </c>
      <c r="JS52">
        <v>31.6959</v>
      </c>
      <c r="JT52">
        <v>420</v>
      </c>
      <c r="JU52">
        <v>23.7702</v>
      </c>
      <c r="JV52">
        <v>102.253</v>
      </c>
      <c r="JW52">
        <v>91.50620000000001</v>
      </c>
    </row>
    <row r="53" spans="1:283">
      <c r="A53">
        <v>35</v>
      </c>
      <c r="B53">
        <v>1761018316</v>
      </c>
      <c r="C53">
        <v>246.5</v>
      </c>
      <c r="D53" t="s">
        <v>497</v>
      </c>
      <c r="E53" t="s">
        <v>498</v>
      </c>
      <c r="F53">
        <v>5</v>
      </c>
      <c r="G53" t="s">
        <v>489</v>
      </c>
      <c r="H53">
        <v>1761018313</v>
      </c>
      <c r="I53">
        <f>(J53)/1000</f>
        <v>0</v>
      </c>
      <c r="J53">
        <f>1000*DJ53*AH53*(DF53-DG53)/(100*CY53*(1000-AH53*DF53))</f>
        <v>0</v>
      </c>
      <c r="K53">
        <f>DJ53*AH53*(DE53-DD53*(1000-AH53*DG53)/(1000-AH53*DF53))/(100*CY53)</f>
        <v>0</v>
      </c>
      <c r="L53">
        <f>DD53 - IF(AH53&gt;1, K53*CY53*100.0/(AJ53), 0)</f>
        <v>0</v>
      </c>
      <c r="M53">
        <f>((S53-I53/2)*L53-K53)/(S53+I53/2)</f>
        <v>0</v>
      </c>
      <c r="N53">
        <f>M53*(DK53+DL53)/1000.0</f>
        <v>0</v>
      </c>
      <c r="O53">
        <f>(DD53 - IF(AH53&gt;1, K53*CY53*100.0/(AJ53), 0))*(DK53+DL53)/1000.0</f>
        <v>0</v>
      </c>
      <c r="P53">
        <f>2.0/((1/R53-1/Q53)+SIGN(R53)*SQRT((1/R53-1/Q53)*(1/R53-1/Q53) + 4*CZ53/((CZ53+1)*(CZ53+1))*(2*1/R53*1/Q53-1/Q53*1/Q53)))</f>
        <v>0</v>
      </c>
      <c r="Q53">
        <f>IF(LEFT(DA53,1)&lt;&gt;"0",IF(LEFT(DA53,1)="1",3.0,DB53),$D$5+$E$5*(DR53*DK53/($K$5*1000))+$F$5*(DR53*DK53/($K$5*1000))*MAX(MIN(CY53,$J$5),$I$5)*MAX(MIN(CY53,$J$5),$I$5)+$G$5*MAX(MIN(CY53,$J$5),$I$5)*(DR53*DK53/($K$5*1000))+$H$5*(DR53*DK53/($K$5*1000))*(DR53*DK53/($K$5*1000)))</f>
        <v>0</v>
      </c>
      <c r="R53">
        <f>I53*(1000-(1000*0.61365*exp(17.502*V53/(240.97+V53))/(DK53+DL53)+DF53)/2)/(1000*0.61365*exp(17.502*V53/(240.97+V53))/(DK53+DL53)-DF53)</f>
        <v>0</v>
      </c>
      <c r="S53">
        <f>1/((CZ53+1)/(P53/1.6)+1/(Q53/1.37)) + CZ53/((CZ53+1)/(P53/1.6) + CZ53/(Q53/1.37))</f>
        <v>0</v>
      </c>
      <c r="T53">
        <f>(CU53*CX53)</f>
        <v>0</v>
      </c>
      <c r="U53">
        <f>(DM53+(T53+2*0.95*5.67E-8*(((DM53+$B$9)+273)^4-(DM53+273)^4)-44100*I53)/(1.84*29.3*Q53+8*0.95*5.67E-8*(DM53+273)^3))</f>
        <v>0</v>
      </c>
      <c r="V53">
        <f>($C$9*DN53+$D$9*DO53+$E$9*U53)</f>
        <v>0</v>
      </c>
      <c r="W53">
        <f>0.61365*exp(17.502*V53/(240.97+V53))</f>
        <v>0</v>
      </c>
      <c r="X53">
        <f>(Y53/Z53*100)</f>
        <v>0</v>
      </c>
      <c r="Y53">
        <f>DF53*(DK53+DL53)/1000</f>
        <v>0</v>
      </c>
      <c r="Z53">
        <f>0.61365*exp(17.502*DM53/(240.97+DM53))</f>
        <v>0</v>
      </c>
      <c r="AA53">
        <f>(W53-DF53*(DK53+DL53)/1000)</f>
        <v>0</v>
      </c>
      <c r="AB53">
        <f>(-I53*44100)</f>
        <v>0</v>
      </c>
      <c r="AC53">
        <f>2*29.3*Q53*0.92*(DM53-V53)</f>
        <v>0</v>
      </c>
      <c r="AD53">
        <f>2*0.95*5.67E-8*(((DM53+$B$9)+273)^4-(V53+273)^4)</f>
        <v>0</v>
      </c>
      <c r="AE53">
        <f>T53+AD53+AB53+AC53</f>
        <v>0</v>
      </c>
      <c r="AF53">
        <v>0</v>
      </c>
      <c r="AG53">
        <v>0</v>
      </c>
      <c r="AH53">
        <f>IF(AF53*$H$15&gt;=AJ53,1.0,(AJ53/(AJ53-AF53*$H$15)))</f>
        <v>0</v>
      </c>
      <c r="AI53">
        <f>(AH53-1)*100</f>
        <v>0</v>
      </c>
      <c r="AJ53">
        <f>MAX(0,($B$15+$C$15*DR53)/(1+$D$15*DR53)*DK53/(DM53+273)*$E$15)</f>
        <v>0</v>
      </c>
      <c r="AK53" t="s">
        <v>420</v>
      </c>
      <c r="AL53" t="s">
        <v>420</v>
      </c>
      <c r="AM53">
        <v>0</v>
      </c>
      <c r="AN53">
        <v>0</v>
      </c>
      <c r="AO53">
        <f>1-AM53/AN53</f>
        <v>0</v>
      </c>
      <c r="AP53">
        <v>0</v>
      </c>
      <c r="AQ53" t="s">
        <v>420</v>
      </c>
      <c r="AR53" t="s">
        <v>420</v>
      </c>
      <c r="AS53">
        <v>0</v>
      </c>
      <c r="AT53">
        <v>0</v>
      </c>
      <c r="AU53">
        <f>1-AS53/AT53</f>
        <v>0</v>
      </c>
      <c r="AV53">
        <v>0.5</v>
      </c>
      <c r="AW53">
        <f>CV53</f>
        <v>0</v>
      </c>
      <c r="AX53">
        <f>K53</f>
        <v>0</v>
      </c>
      <c r="AY53">
        <f>AU53*AV53*AW53</f>
        <v>0</v>
      </c>
      <c r="AZ53">
        <f>(AX53-AP53)/AW53</f>
        <v>0</v>
      </c>
      <c r="BA53">
        <f>(AN53-AT53)/AT53</f>
        <v>0</v>
      </c>
      <c r="BB53">
        <f>AM53/(AO53+AM53/AT53)</f>
        <v>0</v>
      </c>
      <c r="BC53" t="s">
        <v>420</v>
      </c>
      <c r="BD53">
        <v>0</v>
      </c>
      <c r="BE53">
        <f>IF(BD53&lt;&gt;0, BD53, BB53)</f>
        <v>0</v>
      </c>
      <c r="BF53">
        <f>1-BE53/AT53</f>
        <v>0</v>
      </c>
      <c r="BG53">
        <f>(AT53-AS53)/(AT53-BE53)</f>
        <v>0</v>
      </c>
      <c r="BH53">
        <f>(AN53-AT53)/(AN53-BE53)</f>
        <v>0</v>
      </c>
      <c r="BI53">
        <f>(AT53-AS53)/(AT53-AM53)</f>
        <v>0</v>
      </c>
      <c r="BJ53">
        <f>(AN53-AT53)/(AN53-AM53)</f>
        <v>0</v>
      </c>
      <c r="BK53">
        <f>(BG53*BE53/AS53)</f>
        <v>0</v>
      </c>
      <c r="BL53">
        <f>(1-BK53)</f>
        <v>0</v>
      </c>
      <c r="CU53">
        <f>$B$13*DS53+$C$13*DT53+$F$13*EE53*(1-EH53)</f>
        <v>0</v>
      </c>
      <c r="CV53">
        <f>CU53*CW53</f>
        <v>0</v>
      </c>
      <c r="CW53">
        <f>($B$13*$D$11+$C$13*$D$11+$F$13*((ER53+EJ53)/MAX(ER53+EJ53+ES53, 0.1)*$I$11+ES53/MAX(ER53+EJ53+ES53, 0.1)*$J$11))/($B$13+$C$13+$F$13)</f>
        <v>0</v>
      </c>
      <c r="CX53">
        <f>($B$13*$K$11+$C$13*$K$11+$F$13*((ER53+EJ53)/MAX(ER53+EJ53+ES53, 0.1)*$P$11+ES53/MAX(ER53+EJ53+ES53, 0.1)*$Q$11))/($B$13+$C$13+$F$13)</f>
        <v>0</v>
      </c>
      <c r="CY53">
        <v>4.16</v>
      </c>
      <c r="CZ53">
        <v>0.5</v>
      </c>
      <c r="DA53" t="s">
        <v>421</v>
      </c>
      <c r="DB53">
        <v>2</v>
      </c>
      <c r="DC53">
        <v>1761018313</v>
      </c>
      <c r="DD53">
        <v>420.5422222222222</v>
      </c>
      <c r="DE53">
        <v>420.0174444444444</v>
      </c>
      <c r="DF53">
        <v>24.01723333333333</v>
      </c>
      <c r="DG53">
        <v>24.0168</v>
      </c>
      <c r="DH53">
        <v>421.3661111111111</v>
      </c>
      <c r="DI53">
        <v>23.81415555555555</v>
      </c>
      <c r="DJ53">
        <v>500.0346666666667</v>
      </c>
      <c r="DK53">
        <v>90.78534444444443</v>
      </c>
      <c r="DL53">
        <v>0.03502714444444445</v>
      </c>
      <c r="DM53">
        <v>30.36241111111111</v>
      </c>
      <c r="DN53">
        <v>30.06108888888889</v>
      </c>
      <c r="DO53">
        <v>999.9000000000001</v>
      </c>
      <c r="DP53">
        <v>0</v>
      </c>
      <c r="DQ53">
        <v>0</v>
      </c>
      <c r="DR53">
        <v>9989.086666666666</v>
      </c>
      <c r="DS53">
        <v>0</v>
      </c>
      <c r="DT53">
        <v>0.242856</v>
      </c>
      <c r="DU53">
        <v>0.5247633333333334</v>
      </c>
      <c r="DV53">
        <v>430.8911111111111</v>
      </c>
      <c r="DW53">
        <v>430.3532222222223</v>
      </c>
      <c r="DX53">
        <v>0.0004181312222222204</v>
      </c>
      <c r="DY53">
        <v>420.0174444444444</v>
      </c>
      <c r="DZ53">
        <v>24.0168</v>
      </c>
      <c r="EA53">
        <v>2.180413333333334</v>
      </c>
      <c r="EB53">
        <v>2.180376666666667</v>
      </c>
      <c r="EC53">
        <v>18.81913333333333</v>
      </c>
      <c r="ED53">
        <v>18.81882222222222</v>
      </c>
      <c r="EE53">
        <v>0.00500078</v>
      </c>
      <c r="EF53">
        <v>0</v>
      </c>
      <c r="EG53">
        <v>0</v>
      </c>
      <c r="EH53">
        <v>0</v>
      </c>
      <c r="EI53">
        <v>527.088888888889</v>
      </c>
      <c r="EJ53">
        <v>0.00500078</v>
      </c>
      <c r="EK53">
        <v>-10.52222222222222</v>
      </c>
      <c r="EL53">
        <v>0.03333333333333331</v>
      </c>
      <c r="EM53">
        <v>35.708</v>
      </c>
      <c r="EN53">
        <v>40.361</v>
      </c>
      <c r="EO53">
        <v>38.05533333333333</v>
      </c>
      <c r="EP53">
        <v>41.18022222222222</v>
      </c>
      <c r="EQ53">
        <v>38.85400000000001</v>
      </c>
      <c r="ER53">
        <v>0</v>
      </c>
      <c r="ES53">
        <v>0</v>
      </c>
      <c r="ET53">
        <v>0</v>
      </c>
      <c r="EU53">
        <v>1761018315.1</v>
      </c>
      <c r="EV53">
        <v>0</v>
      </c>
      <c r="EW53">
        <v>528.3</v>
      </c>
      <c r="EX53">
        <v>-15.69230787163366</v>
      </c>
      <c r="EY53">
        <v>7.05982901343075</v>
      </c>
      <c r="EZ53">
        <v>-11.61923076923077</v>
      </c>
      <c r="FA53">
        <v>15</v>
      </c>
      <c r="FB53">
        <v>1761018162.5</v>
      </c>
      <c r="FC53" t="s">
        <v>490</v>
      </c>
      <c r="FD53">
        <v>1761018155.5</v>
      </c>
      <c r="FE53">
        <v>1761018162.5</v>
      </c>
      <c r="FF53">
        <v>24</v>
      </c>
      <c r="FG53">
        <v>-0.207</v>
      </c>
      <c r="FH53">
        <v>-0.006</v>
      </c>
      <c r="FI53">
        <v>-0.825</v>
      </c>
      <c r="FJ53">
        <v>0.194</v>
      </c>
      <c r="FK53">
        <v>420</v>
      </c>
      <c r="FL53">
        <v>24</v>
      </c>
      <c r="FM53">
        <v>0.19</v>
      </c>
      <c r="FN53">
        <v>0.1</v>
      </c>
      <c r="FO53">
        <v>0.5362350250000001</v>
      </c>
      <c r="FP53">
        <v>-0.06270919699812483</v>
      </c>
      <c r="FQ53">
        <v>0.04943545427953884</v>
      </c>
      <c r="FR53">
        <v>1</v>
      </c>
      <c r="FS53">
        <v>529.9441176470589</v>
      </c>
      <c r="FT53">
        <v>-26.8403360737685</v>
      </c>
      <c r="FU53">
        <v>7.577295465691873</v>
      </c>
      <c r="FV53">
        <v>0</v>
      </c>
      <c r="FW53">
        <v>-0.124043337975</v>
      </c>
      <c r="FX53">
        <v>0.7697042421500938</v>
      </c>
      <c r="FY53">
        <v>0.07941078804040343</v>
      </c>
      <c r="FZ53">
        <v>0</v>
      </c>
      <c r="GA53">
        <v>1</v>
      </c>
      <c r="GB53">
        <v>3</v>
      </c>
      <c r="GC53" t="s">
        <v>431</v>
      </c>
      <c r="GD53">
        <v>3.1097</v>
      </c>
      <c r="GE53">
        <v>2.72636</v>
      </c>
      <c r="GF53">
        <v>0.0886868</v>
      </c>
      <c r="GG53">
        <v>0.08851580000000001</v>
      </c>
      <c r="GH53">
        <v>0.108807</v>
      </c>
      <c r="GI53">
        <v>0.10964</v>
      </c>
      <c r="GJ53">
        <v>23904.8</v>
      </c>
      <c r="GK53">
        <v>21678.8</v>
      </c>
      <c r="GL53">
        <v>26789.6</v>
      </c>
      <c r="GM53">
        <v>23991.4</v>
      </c>
      <c r="GN53">
        <v>38148.2</v>
      </c>
      <c r="GO53">
        <v>31516.8</v>
      </c>
      <c r="GP53">
        <v>46759.5</v>
      </c>
      <c r="GQ53">
        <v>37934.9</v>
      </c>
      <c r="GR53">
        <v>1.88913</v>
      </c>
      <c r="GS53">
        <v>1.87962</v>
      </c>
      <c r="GT53">
        <v>0.131451</v>
      </c>
      <c r="GU53">
        <v>0</v>
      </c>
      <c r="GV53">
        <v>27.891</v>
      </c>
      <c r="GW53">
        <v>999.9</v>
      </c>
      <c r="GX53">
        <v>63.5</v>
      </c>
      <c r="GY53">
        <v>29</v>
      </c>
      <c r="GZ53">
        <v>28.127</v>
      </c>
      <c r="HA53">
        <v>61.54</v>
      </c>
      <c r="HB53">
        <v>19.992</v>
      </c>
      <c r="HC53">
        <v>1</v>
      </c>
      <c r="HD53">
        <v>0.0514736</v>
      </c>
      <c r="HE53">
        <v>-1.98291</v>
      </c>
      <c r="HF53">
        <v>20.3257</v>
      </c>
      <c r="HG53">
        <v>5.21864</v>
      </c>
      <c r="HH53">
        <v>11.98</v>
      </c>
      <c r="HI53">
        <v>4.9649</v>
      </c>
      <c r="HJ53">
        <v>3.2753</v>
      </c>
      <c r="HK53">
        <v>9999</v>
      </c>
      <c r="HL53">
        <v>9999</v>
      </c>
      <c r="HM53">
        <v>9999</v>
      </c>
      <c r="HN53">
        <v>999.9</v>
      </c>
      <c r="HO53">
        <v>1.86359</v>
      </c>
      <c r="HP53">
        <v>1.85974</v>
      </c>
      <c r="HQ53">
        <v>1.85802</v>
      </c>
      <c r="HR53">
        <v>1.85939</v>
      </c>
      <c r="HS53">
        <v>1.85959</v>
      </c>
      <c r="HT53">
        <v>1.85803</v>
      </c>
      <c r="HU53">
        <v>1.85707</v>
      </c>
      <c r="HV53">
        <v>1.85208</v>
      </c>
      <c r="HW53">
        <v>0</v>
      </c>
      <c r="HX53">
        <v>0</v>
      </c>
      <c r="HY53">
        <v>0</v>
      </c>
      <c r="HZ53">
        <v>0</v>
      </c>
      <c r="IA53" t="s">
        <v>424</v>
      </c>
      <c r="IB53" t="s">
        <v>425</v>
      </c>
      <c r="IC53" t="s">
        <v>426</v>
      </c>
      <c r="ID53" t="s">
        <v>426</v>
      </c>
      <c r="IE53" t="s">
        <v>426</v>
      </c>
      <c r="IF53" t="s">
        <v>426</v>
      </c>
      <c r="IG53">
        <v>0</v>
      </c>
      <c r="IH53">
        <v>100</v>
      </c>
      <c r="II53">
        <v>100</v>
      </c>
      <c r="IJ53">
        <v>-0.824</v>
      </c>
      <c r="IK53">
        <v>0.2033</v>
      </c>
      <c r="IL53">
        <v>-1.613291919289301</v>
      </c>
      <c r="IM53">
        <v>0.001328113201692861</v>
      </c>
      <c r="IN53">
        <v>1.538283238170363E-06</v>
      </c>
      <c r="IO53">
        <v>-5.795655626708063E-10</v>
      </c>
      <c r="IP53">
        <v>-0.05565860728478197</v>
      </c>
      <c r="IQ53">
        <v>-0.004593102289677449</v>
      </c>
      <c r="IR53">
        <v>0.0008253994458280543</v>
      </c>
      <c r="IS53">
        <v>-7.403632370499484E-06</v>
      </c>
      <c r="IT53">
        <v>2</v>
      </c>
      <c r="IU53">
        <v>1985</v>
      </c>
      <c r="IV53">
        <v>1</v>
      </c>
      <c r="IW53">
        <v>27</v>
      </c>
      <c r="IX53">
        <v>2.7</v>
      </c>
      <c r="IY53">
        <v>2.6</v>
      </c>
      <c r="IZ53">
        <v>1.12305</v>
      </c>
      <c r="JA53">
        <v>2.56104</v>
      </c>
      <c r="JB53">
        <v>1.49658</v>
      </c>
      <c r="JC53">
        <v>2.34253</v>
      </c>
      <c r="JD53">
        <v>1.54907</v>
      </c>
      <c r="JE53">
        <v>2.43286</v>
      </c>
      <c r="JF53">
        <v>31.8269</v>
      </c>
      <c r="JG53">
        <v>14.6399</v>
      </c>
      <c r="JH53">
        <v>18</v>
      </c>
      <c r="JI53">
        <v>483.269</v>
      </c>
      <c r="JJ53">
        <v>506.921</v>
      </c>
      <c r="JK53">
        <v>31.7346</v>
      </c>
      <c r="JL53">
        <v>27.9198</v>
      </c>
      <c r="JM53">
        <v>29.9995</v>
      </c>
      <c r="JN53">
        <v>28.2441</v>
      </c>
      <c r="JO53">
        <v>28.2518</v>
      </c>
      <c r="JP53">
        <v>22.5818</v>
      </c>
      <c r="JQ53">
        <v>20.004</v>
      </c>
      <c r="JR53">
        <v>81.91240000000001</v>
      </c>
      <c r="JS53">
        <v>31.6959</v>
      </c>
      <c r="JT53">
        <v>420</v>
      </c>
      <c r="JU53">
        <v>23.7675</v>
      </c>
      <c r="JV53">
        <v>102.253</v>
      </c>
      <c r="JW53">
        <v>91.50539999999999</v>
      </c>
    </row>
    <row r="54" spans="1:283">
      <c r="A54">
        <v>36</v>
      </c>
      <c r="B54">
        <v>1761018318</v>
      </c>
      <c r="C54">
        <v>248.5</v>
      </c>
      <c r="D54" t="s">
        <v>499</v>
      </c>
      <c r="E54" t="s">
        <v>500</v>
      </c>
      <c r="F54">
        <v>5</v>
      </c>
      <c r="G54" t="s">
        <v>489</v>
      </c>
      <c r="H54">
        <v>1761018315</v>
      </c>
      <c r="I54">
        <f>(J54)/1000</f>
        <v>0</v>
      </c>
      <c r="J54">
        <f>1000*DJ54*AH54*(DF54-DG54)/(100*CY54*(1000-AH54*DF54))</f>
        <v>0</v>
      </c>
      <c r="K54">
        <f>DJ54*AH54*(DE54-DD54*(1000-AH54*DG54)/(1000-AH54*DF54))/(100*CY54)</f>
        <v>0</v>
      </c>
      <c r="L54">
        <f>DD54 - IF(AH54&gt;1, K54*CY54*100.0/(AJ54), 0)</f>
        <v>0</v>
      </c>
      <c r="M54">
        <f>((S54-I54/2)*L54-K54)/(S54+I54/2)</f>
        <v>0</v>
      </c>
      <c r="N54">
        <f>M54*(DK54+DL54)/1000.0</f>
        <v>0</v>
      </c>
      <c r="O54">
        <f>(DD54 - IF(AH54&gt;1, K54*CY54*100.0/(AJ54), 0))*(DK54+DL54)/1000.0</f>
        <v>0</v>
      </c>
      <c r="P54">
        <f>2.0/((1/R54-1/Q54)+SIGN(R54)*SQRT((1/R54-1/Q54)*(1/R54-1/Q54) + 4*CZ54/((CZ54+1)*(CZ54+1))*(2*1/R54*1/Q54-1/Q54*1/Q54)))</f>
        <v>0</v>
      </c>
      <c r="Q54">
        <f>IF(LEFT(DA54,1)&lt;&gt;"0",IF(LEFT(DA54,1)="1",3.0,DB54),$D$5+$E$5*(DR54*DK54/($K$5*1000))+$F$5*(DR54*DK54/($K$5*1000))*MAX(MIN(CY54,$J$5),$I$5)*MAX(MIN(CY54,$J$5),$I$5)+$G$5*MAX(MIN(CY54,$J$5),$I$5)*(DR54*DK54/($K$5*1000))+$H$5*(DR54*DK54/($K$5*1000))*(DR54*DK54/($K$5*1000)))</f>
        <v>0</v>
      </c>
      <c r="R54">
        <f>I54*(1000-(1000*0.61365*exp(17.502*V54/(240.97+V54))/(DK54+DL54)+DF54)/2)/(1000*0.61365*exp(17.502*V54/(240.97+V54))/(DK54+DL54)-DF54)</f>
        <v>0</v>
      </c>
      <c r="S54">
        <f>1/((CZ54+1)/(P54/1.6)+1/(Q54/1.37)) + CZ54/((CZ54+1)/(P54/1.6) + CZ54/(Q54/1.37))</f>
        <v>0</v>
      </c>
      <c r="T54">
        <f>(CU54*CX54)</f>
        <v>0</v>
      </c>
      <c r="U54">
        <f>(DM54+(T54+2*0.95*5.67E-8*(((DM54+$B$9)+273)^4-(DM54+273)^4)-44100*I54)/(1.84*29.3*Q54+8*0.95*5.67E-8*(DM54+273)^3))</f>
        <v>0</v>
      </c>
      <c r="V54">
        <f>($C$9*DN54+$D$9*DO54+$E$9*U54)</f>
        <v>0</v>
      </c>
      <c r="W54">
        <f>0.61365*exp(17.502*V54/(240.97+V54))</f>
        <v>0</v>
      </c>
      <c r="X54">
        <f>(Y54/Z54*100)</f>
        <v>0</v>
      </c>
      <c r="Y54">
        <f>DF54*(DK54+DL54)/1000</f>
        <v>0</v>
      </c>
      <c r="Z54">
        <f>0.61365*exp(17.502*DM54/(240.97+DM54))</f>
        <v>0</v>
      </c>
      <c r="AA54">
        <f>(W54-DF54*(DK54+DL54)/1000)</f>
        <v>0</v>
      </c>
      <c r="AB54">
        <f>(-I54*44100)</f>
        <v>0</v>
      </c>
      <c r="AC54">
        <f>2*29.3*Q54*0.92*(DM54-V54)</f>
        <v>0</v>
      </c>
      <c r="AD54">
        <f>2*0.95*5.67E-8*(((DM54+$B$9)+273)^4-(V54+273)^4)</f>
        <v>0</v>
      </c>
      <c r="AE54">
        <f>T54+AD54+AB54+AC54</f>
        <v>0</v>
      </c>
      <c r="AF54">
        <v>0</v>
      </c>
      <c r="AG54">
        <v>0</v>
      </c>
      <c r="AH54">
        <f>IF(AF54*$H$15&gt;=AJ54,1.0,(AJ54/(AJ54-AF54*$H$15)))</f>
        <v>0</v>
      </c>
      <c r="AI54">
        <f>(AH54-1)*100</f>
        <v>0</v>
      </c>
      <c r="AJ54">
        <f>MAX(0,($B$15+$C$15*DR54)/(1+$D$15*DR54)*DK54/(DM54+273)*$E$15)</f>
        <v>0</v>
      </c>
      <c r="AK54" t="s">
        <v>420</v>
      </c>
      <c r="AL54" t="s">
        <v>420</v>
      </c>
      <c r="AM54">
        <v>0</v>
      </c>
      <c r="AN54">
        <v>0</v>
      </c>
      <c r="AO54">
        <f>1-AM54/AN54</f>
        <v>0</v>
      </c>
      <c r="AP54">
        <v>0</v>
      </c>
      <c r="AQ54" t="s">
        <v>420</v>
      </c>
      <c r="AR54" t="s">
        <v>420</v>
      </c>
      <c r="AS54">
        <v>0</v>
      </c>
      <c r="AT54">
        <v>0</v>
      </c>
      <c r="AU54">
        <f>1-AS54/AT54</f>
        <v>0</v>
      </c>
      <c r="AV54">
        <v>0.5</v>
      </c>
      <c r="AW54">
        <f>CV54</f>
        <v>0</v>
      </c>
      <c r="AX54">
        <f>K54</f>
        <v>0</v>
      </c>
      <c r="AY54">
        <f>AU54*AV54*AW54</f>
        <v>0</v>
      </c>
      <c r="AZ54">
        <f>(AX54-AP54)/AW54</f>
        <v>0</v>
      </c>
      <c r="BA54">
        <f>(AN54-AT54)/AT54</f>
        <v>0</v>
      </c>
      <c r="BB54">
        <f>AM54/(AO54+AM54/AT54)</f>
        <v>0</v>
      </c>
      <c r="BC54" t="s">
        <v>420</v>
      </c>
      <c r="BD54">
        <v>0</v>
      </c>
      <c r="BE54">
        <f>IF(BD54&lt;&gt;0, BD54, BB54)</f>
        <v>0</v>
      </c>
      <c r="BF54">
        <f>1-BE54/AT54</f>
        <v>0</v>
      </c>
      <c r="BG54">
        <f>(AT54-AS54)/(AT54-BE54)</f>
        <v>0</v>
      </c>
      <c r="BH54">
        <f>(AN54-AT54)/(AN54-BE54)</f>
        <v>0</v>
      </c>
      <c r="BI54">
        <f>(AT54-AS54)/(AT54-AM54)</f>
        <v>0</v>
      </c>
      <c r="BJ54">
        <f>(AN54-AT54)/(AN54-AM54)</f>
        <v>0</v>
      </c>
      <c r="BK54">
        <f>(BG54*BE54/AS54)</f>
        <v>0</v>
      </c>
      <c r="BL54">
        <f>(1-BK54)</f>
        <v>0</v>
      </c>
      <c r="CU54">
        <f>$B$13*DS54+$C$13*DT54+$F$13*EE54*(1-EH54)</f>
        <v>0</v>
      </c>
      <c r="CV54">
        <f>CU54*CW54</f>
        <v>0</v>
      </c>
      <c r="CW54">
        <f>($B$13*$D$11+$C$13*$D$11+$F$13*((ER54+EJ54)/MAX(ER54+EJ54+ES54, 0.1)*$I$11+ES54/MAX(ER54+EJ54+ES54, 0.1)*$J$11))/($B$13+$C$13+$F$13)</f>
        <v>0</v>
      </c>
      <c r="CX54">
        <f>($B$13*$K$11+$C$13*$K$11+$F$13*((ER54+EJ54)/MAX(ER54+EJ54+ES54, 0.1)*$P$11+ES54/MAX(ER54+EJ54+ES54, 0.1)*$Q$11))/($B$13+$C$13+$F$13)</f>
        <v>0</v>
      </c>
      <c r="CY54">
        <v>4.16</v>
      </c>
      <c r="CZ54">
        <v>0.5</v>
      </c>
      <c r="DA54" t="s">
        <v>421</v>
      </c>
      <c r="DB54">
        <v>2</v>
      </c>
      <c r="DC54">
        <v>1761018315</v>
      </c>
      <c r="DD54">
        <v>420.5743333333333</v>
      </c>
      <c r="DE54">
        <v>420.0154444444445</v>
      </c>
      <c r="DF54">
        <v>24.02473333333333</v>
      </c>
      <c r="DG54">
        <v>23.97444444444444</v>
      </c>
      <c r="DH54">
        <v>421.3982222222222</v>
      </c>
      <c r="DI54">
        <v>23.8215</v>
      </c>
      <c r="DJ54">
        <v>500.0102222222223</v>
      </c>
      <c r="DK54">
        <v>90.78511111111112</v>
      </c>
      <c r="DL54">
        <v>0.03494788888888889</v>
      </c>
      <c r="DM54">
        <v>30.36852222222222</v>
      </c>
      <c r="DN54">
        <v>30.04472222222222</v>
      </c>
      <c r="DO54">
        <v>999.9000000000001</v>
      </c>
      <c r="DP54">
        <v>0</v>
      </c>
      <c r="DQ54">
        <v>0</v>
      </c>
      <c r="DR54">
        <v>9991.176666666668</v>
      </c>
      <c r="DS54">
        <v>0</v>
      </c>
      <c r="DT54">
        <v>0.242856</v>
      </c>
      <c r="DU54">
        <v>0.5589532222222222</v>
      </c>
      <c r="DV54">
        <v>430.9272222222223</v>
      </c>
      <c r="DW54">
        <v>430.3325555555555</v>
      </c>
      <c r="DX54">
        <v>0.05028616455555555</v>
      </c>
      <c r="DY54">
        <v>420.0154444444445</v>
      </c>
      <c r="DZ54">
        <v>23.97444444444444</v>
      </c>
      <c r="EA54">
        <v>2.181088888888889</v>
      </c>
      <c r="EB54">
        <v>2.176523333333333</v>
      </c>
      <c r="EC54">
        <v>18.82408888888889</v>
      </c>
      <c r="ED54">
        <v>18.79052222222222</v>
      </c>
      <c r="EE54">
        <v>0.00500078</v>
      </c>
      <c r="EF54">
        <v>0</v>
      </c>
      <c r="EG54">
        <v>0</v>
      </c>
      <c r="EH54">
        <v>0</v>
      </c>
      <c r="EI54">
        <v>530.5444444444445</v>
      </c>
      <c r="EJ54">
        <v>0.00500078</v>
      </c>
      <c r="EK54">
        <v>-15.81111111111111</v>
      </c>
      <c r="EL54">
        <v>-0.7555555555555555</v>
      </c>
      <c r="EM54">
        <v>35.72900000000001</v>
      </c>
      <c r="EN54">
        <v>40.38188888888889</v>
      </c>
      <c r="EO54">
        <v>38.01366666666667</v>
      </c>
      <c r="EP54">
        <v>41.20099999999999</v>
      </c>
      <c r="EQ54">
        <v>38.87477777777778</v>
      </c>
      <c r="ER54">
        <v>0</v>
      </c>
      <c r="ES54">
        <v>0</v>
      </c>
      <c r="ET54">
        <v>0</v>
      </c>
      <c r="EU54">
        <v>1761018316.9</v>
      </c>
      <c r="EV54">
        <v>0</v>
      </c>
      <c r="EW54">
        <v>528.7280000000001</v>
      </c>
      <c r="EX54">
        <v>4.507692055496404</v>
      </c>
      <c r="EY54">
        <v>-24.26153850414346</v>
      </c>
      <c r="EZ54">
        <v>-12.016</v>
      </c>
      <c r="FA54">
        <v>15</v>
      </c>
      <c r="FB54">
        <v>1761018162.5</v>
      </c>
      <c r="FC54" t="s">
        <v>490</v>
      </c>
      <c r="FD54">
        <v>1761018155.5</v>
      </c>
      <c r="FE54">
        <v>1761018162.5</v>
      </c>
      <c r="FF54">
        <v>24</v>
      </c>
      <c r="FG54">
        <v>-0.207</v>
      </c>
      <c r="FH54">
        <v>-0.006</v>
      </c>
      <c r="FI54">
        <v>-0.825</v>
      </c>
      <c r="FJ54">
        <v>0.194</v>
      </c>
      <c r="FK54">
        <v>420</v>
      </c>
      <c r="FL54">
        <v>24</v>
      </c>
      <c r="FM54">
        <v>0.19</v>
      </c>
      <c r="FN54">
        <v>0.1</v>
      </c>
      <c r="FO54">
        <v>0.5401179756097561</v>
      </c>
      <c r="FP54">
        <v>0.004461721254356147</v>
      </c>
      <c r="FQ54">
        <v>0.0498466702224702</v>
      </c>
      <c r="FR54">
        <v>1</v>
      </c>
      <c r="FS54">
        <v>529.4823529411764</v>
      </c>
      <c r="FT54">
        <v>-17.65011466544778</v>
      </c>
      <c r="FU54">
        <v>7.004975987204741</v>
      </c>
      <c r="FV54">
        <v>0</v>
      </c>
      <c r="FW54">
        <v>-0.09219782973170731</v>
      </c>
      <c r="FX54">
        <v>1.006140261135888</v>
      </c>
      <c r="FY54">
        <v>0.1017902640287126</v>
      </c>
      <c r="FZ54">
        <v>0</v>
      </c>
      <c r="GA54">
        <v>1</v>
      </c>
      <c r="GB54">
        <v>3</v>
      </c>
      <c r="GC54" t="s">
        <v>431</v>
      </c>
      <c r="GD54">
        <v>3.10946</v>
      </c>
      <c r="GE54">
        <v>2.72645</v>
      </c>
      <c r="GF54">
        <v>0.0886892</v>
      </c>
      <c r="GG54">
        <v>0.0884949</v>
      </c>
      <c r="GH54">
        <v>0.108787</v>
      </c>
      <c r="GI54">
        <v>0.109443</v>
      </c>
      <c r="GJ54">
        <v>23904.9</v>
      </c>
      <c r="GK54">
        <v>21679.2</v>
      </c>
      <c r="GL54">
        <v>26789.7</v>
      </c>
      <c r="GM54">
        <v>23991.3</v>
      </c>
      <c r="GN54">
        <v>38149.4</v>
      </c>
      <c r="GO54">
        <v>31523.7</v>
      </c>
      <c r="GP54">
        <v>46759.9</v>
      </c>
      <c r="GQ54">
        <v>37934.7</v>
      </c>
      <c r="GR54">
        <v>1.8891</v>
      </c>
      <c r="GS54">
        <v>1.88005</v>
      </c>
      <c r="GT54">
        <v>0.130784</v>
      </c>
      <c r="GU54">
        <v>0</v>
      </c>
      <c r="GV54">
        <v>27.8957</v>
      </c>
      <c r="GW54">
        <v>999.9</v>
      </c>
      <c r="GX54">
        <v>63.5</v>
      </c>
      <c r="GY54">
        <v>29</v>
      </c>
      <c r="GZ54">
        <v>28.1332</v>
      </c>
      <c r="HA54">
        <v>61.49</v>
      </c>
      <c r="HB54">
        <v>20.2684</v>
      </c>
      <c r="HC54">
        <v>1</v>
      </c>
      <c r="HD54">
        <v>0.0511077</v>
      </c>
      <c r="HE54">
        <v>-1.9422</v>
      </c>
      <c r="HF54">
        <v>20.3262</v>
      </c>
      <c r="HG54">
        <v>5.21864</v>
      </c>
      <c r="HH54">
        <v>11.98</v>
      </c>
      <c r="HI54">
        <v>4.9648</v>
      </c>
      <c r="HJ54">
        <v>3.27525</v>
      </c>
      <c r="HK54">
        <v>9999</v>
      </c>
      <c r="HL54">
        <v>9999</v>
      </c>
      <c r="HM54">
        <v>9999</v>
      </c>
      <c r="HN54">
        <v>999.9</v>
      </c>
      <c r="HO54">
        <v>1.86358</v>
      </c>
      <c r="HP54">
        <v>1.85974</v>
      </c>
      <c r="HQ54">
        <v>1.858</v>
      </c>
      <c r="HR54">
        <v>1.85939</v>
      </c>
      <c r="HS54">
        <v>1.85958</v>
      </c>
      <c r="HT54">
        <v>1.858</v>
      </c>
      <c r="HU54">
        <v>1.85705</v>
      </c>
      <c r="HV54">
        <v>1.85207</v>
      </c>
      <c r="HW54">
        <v>0</v>
      </c>
      <c r="HX54">
        <v>0</v>
      </c>
      <c r="HY54">
        <v>0</v>
      </c>
      <c r="HZ54">
        <v>0</v>
      </c>
      <c r="IA54" t="s">
        <v>424</v>
      </c>
      <c r="IB54" t="s">
        <v>425</v>
      </c>
      <c r="IC54" t="s">
        <v>426</v>
      </c>
      <c r="ID54" t="s">
        <v>426</v>
      </c>
      <c r="IE54" t="s">
        <v>426</v>
      </c>
      <c r="IF54" t="s">
        <v>426</v>
      </c>
      <c r="IG54">
        <v>0</v>
      </c>
      <c r="IH54">
        <v>100</v>
      </c>
      <c r="II54">
        <v>100</v>
      </c>
      <c r="IJ54">
        <v>-0.823</v>
      </c>
      <c r="IK54">
        <v>0.2032</v>
      </c>
      <c r="IL54">
        <v>-1.613291919289301</v>
      </c>
      <c r="IM54">
        <v>0.001328113201692861</v>
      </c>
      <c r="IN54">
        <v>1.538283238170363E-06</v>
      </c>
      <c r="IO54">
        <v>-5.795655626708063E-10</v>
      </c>
      <c r="IP54">
        <v>-0.05565860728478197</v>
      </c>
      <c r="IQ54">
        <v>-0.004593102289677449</v>
      </c>
      <c r="IR54">
        <v>0.0008253994458280543</v>
      </c>
      <c r="IS54">
        <v>-7.403632370499484E-06</v>
      </c>
      <c r="IT54">
        <v>2</v>
      </c>
      <c r="IU54">
        <v>1985</v>
      </c>
      <c r="IV54">
        <v>1</v>
      </c>
      <c r="IW54">
        <v>27</v>
      </c>
      <c r="IX54">
        <v>2.7</v>
      </c>
      <c r="IY54">
        <v>2.6</v>
      </c>
      <c r="IZ54">
        <v>1.12305</v>
      </c>
      <c r="JA54">
        <v>2.5708</v>
      </c>
      <c r="JB54">
        <v>1.49658</v>
      </c>
      <c r="JC54">
        <v>2.34253</v>
      </c>
      <c r="JD54">
        <v>1.54907</v>
      </c>
      <c r="JE54">
        <v>2.44263</v>
      </c>
      <c r="JF54">
        <v>31.8269</v>
      </c>
      <c r="JG54">
        <v>14.6224</v>
      </c>
      <c r="JH54">
        <v>18</v>
      </c>
      <c r="JI54">
        <v>483.232</v>
      </c>
      <c r="JJ54">
        <v>507.177</v>
      </c>
      <c r="JK54">
        <v>31.7057</v>
      </c>
      <c r="JL54">
        <v>27.9163</v>
      </c>
      <c r="JM54">
        <v>29.9994</v>
      </c>
      <c r="JN54">
        <v>28.2411</v>
      </c>
      <c r="JO54">
        <v>28.2484</v>
      </c>
      <c r="JP54">
        <v>22.5864</v>
      </c>
      <c r="JQ54">
        <v>20.004</v>
      </c>
      <c r="JR54">
        <v>81.91240000000001</v>
      </c>
      <c r="JS54">
        <v>31.6959</v>
      </c>
      <c r="JT54">
        <v>420</v>
      </c>
      <c r="JU54">
        <v>23.7722</v>
      </c>
      <c r="JV54">
        <v>102.253</v>
      </c>
      <c r="JW54">
        <v>91.5051</v>
      </c>
    </row>
    <row r="55" spans="1:283">
      <c r="A55">
        <v>37</v>
      </c>
      <c r="B55">
        <v>1761018320</v>
      </c>
      <c r="C55">
        <v>250.5</v>
      </c>
      <c r="D55" t="s">
        <v>501</v>
      </c>
      <c r="E55" t="s">
        <v>502</v>
      </c>
      <c r="F55">
        <v>5</v>
      </c>
      <c r="G55" t="s">
        <v>489</v>
      </c>
      <c r="H55">
        <v>1761018317</v>
      </c>
      <c r="I55">
        <f>(J55)/1000</f>
        <v>0</v>
      </c>
      <c r="J55">
        <f>1000*DJ55*AH55*(DF55-DG55)/(100*CY55*(1000-AH55*DF55))</f>
        <v>0</v>
      </c>
      <c r="K55">
        <f>DJ55*AH55*(DE55-DD55*(1000-AH55*DG55)/(1000-AH55*DF55))/(100*CY55)</f>
        <v>0</v>
      </c>
      <c r="L55">
        <f>DD55 - IF(AH55&gt;1, K55*CY55*100.0/(AJ55), 0)</f>
        <v>0</v>
      </c>
      <c r="M55">
        <f>((S55-I55/2)*L55-K55)/(S55+I55/2)</f>
        <v>0</v>
      </c>
      <c r="N55">
        <f>M55*(DK55+DL55)/1000.0</f>
        <v>0</v>
      </c>
      <c r="O55">
        <f>(DD55 - IF(AH55&gt;1, K55*CY55*100.0/(AJ55), 0))*(DK55+DL55)/1000.0</f>
        <v>0</v>
      </c>
      <c r="P55">
        <f>2.0/((1/R55-1/Q55)+SIGN(R55)*SQRT((1/R55-1/Q55)*(1/R55-1/Q55) + 4*CZ55/((CZ55+1)*(CZ55+1))*(2*1/R55*1/Q55-1/Q55*1/Q55)))</f>
        <v>0</v>
      </c>
      <c r="Q55">
        <f>IF(LEFT(DA55,1)&lt;&gt;"0",IF(LEFT(DA55,1)="1",3.0,DB55),$D$5+$E$5*(DR55*DK55/($K$5*1000))+$F$5*(DR55*DK55/($K$5*1000))*MAX(MIN(CY55,$J$5),$I$5)*MAX(MIN(CY55,$J$5),$I$5)+$G$5*MAX(MIN(CY55,$J$5),$I$5)*(DR55*DK55/($K$5*1000))+$H$5*(DR55*DK55/($K$5*1000))*(DR55*DK55/($K$5*1000)))</f>
        <v>0</v>
      </c>
      <c r="R55">
        <f>I55*(1000-(1000*0.61365*exp(17.502*V55/(240.97+V55))/(DK55+DL55)+DF55)/2)/(1000*0.61365*exp(17.502*V55/(240.97+V55))/(DK55+DL55)-DF55)</f>
        <v>0</v>
      </c>
      <c r="S55">
        <f>1/((CZ55+1)/(P55/1.6)+1/(Q55/1.37)) + CZ55/((CZ55+1)/(P55/1.6) + CZ55/(Q55/1.37))</f>
        <v>0</v>
      </c>
      <c r="T55">
        <f>(CU55*CX55)</f>
        <v>0</v>
      </c>
      <c r="U55">
        <f>(DM55+(T55+2*0.95*5.67E-8*(((DM55+$B$9)+273)^4-(DM55+273)^4)-44100*I55)/(1.84*29.3*Q55+8*0.95*5.67E-8*(DM55+273)^3))</f>
        <v>0</v>
      </c>
      <c r="V55">
        <f>($C$9*DN55+$D$9*DO55+$E$9*U55)</f>
        <v>0</v>
      </c>
      <c r="W55">
        <f>0.61365*exp(17.502*V55/(240.97+V55))</f>
        <v>0</v>
      </c>
      <c r="X55">
        <f>(Y55/Z55*100)</f>
        <v>0</v>
      </c>
      <c r="Y55">
        <f>DF55*(DK55+DL55)/1000</f>
        <v>0</v>
      </c>
      <c r="Z55">
        <f>0.61365*exp(17.502*DM55/(240.97+DM55))</f>
        <v>0</v>
      </c>
      <c r="AA55">
        <f>(W55-DF55*(DK55+DL55)/1000)</f>
        <v>0</v>
      </c>
      <c r="AB55">
        <f>(-I55*44100)</f>
        <v>0</v>
      </c>
      <c r="AC55">
        <f>2*29.3*Q55*0.92*(DM55-V55)</f>
        <v>0</v>
      </c>
      <c r="AD55">
        <f>2*0.95*5.67E-8*(((DM55+$B$9)+273)^4-(V55+273)^4)</f>
        <v>0</v>
      </c>
      <c r="AE55">
        <f>T55+AD55+AB55+AC55</f>
        <v>0</v>
      </c>
      <c r="AF55">
        <v>0</v>
      </c>
      <c r="AG55">
        <v>0</v>
      </c>
      <c r="AH55">
        <f>IF(AF55*$H$15&gt;=AJ55,1.0,(AJ55/(AJ55-AF55*$H$15)))</f>
        <v>0</v>
      </c>
      <c r="AI55">
        <f>(AH55-1)*100</f>
        <v>0</v>
      </c>
      <c r="AJ55">
        <f>MAX(0,($B$15+$C$15*DR55)/(1+$D$15*DR55)*DK55/(DM55+273)*$E$15)</f>
        <v>0</v>
      </c>
      <c r="AK55" t="s">
        <v>420</v>
      </c>
      <c r="AL55" t="s">
        <v>420</v>
      </c>
      <c r="AM55">
        <v>0</v>
      </c>
      <c r="AN55">
        <v>0</v>
      </c>
      <c r="AO55">
        <f>1-AM55/AN55</f>
        <v>0</v>
      </c>
      <c r="AP55">
        <v>0</v>
      </c>
      <c r="AQ55" t="s">
        <v>420</v>
      </c>
      <c r="AR55" t="s">
        <v>420</v>
      </c>
      <c r="AS55">
        <v>0</v>
      </c>
      <c r="AT55">
        <v>0</v>
      </c>
      <c r="AU55">
        <f>1-AS55/AT55</f>
        <v>0</v>
      </c>
      <c r="AV55">
        <v>0.5</v>
      </c>
      <c r="AW55">
        <f>CV55</f>
        <v>0</v>
      </c>
      <c r="AX55">
        <f>K55</f>
        <v>0</v>
      </c>
      <c r="AY55">
        <f>AU55*AV55*AW55</f>
        <v>0</v>
      </c>
      <c r="AZ55">
        <f>(AX55-AP55)/AW55</f>
        <v>0</v>
      </c>
      <c r="BA55">
        <f>(AN55-AT55)/AT55</f>
        <v>0</v>
      </c>
      <c r="BB55">
        <f>AM55/(AO55+AM55/AT55)</f>
        <v>0</v>
      </c>
      <c r="BC55" t="s">
        <v>420</v>
      </c>
      <c r="BD55">
        <v>0</v>
      </c>
      <c r="BE55">
        <f>IF(BD55&lt;&gt;0, BD55, BB55)</f>
        <v>0</v>
      </c>
      <c r="BF55">
        <f>1-BE55/AT55</f>
        <v>0</v>
      </c>
      <c r="BG55">
        <f>(AT55-AS55)/(AT55-BE55)</f>
        <v>0</v>
      </c>
      <c r="BH55">
        <f>(AN55-AT55)/(AN55-BE55)</f>
        <v>0</v>
      </c>
      <c r="BI55">
        <f>(AT55-AS55)/(AT55-AM55)</f>
        <v>0</v>
      </c>
      <c r="BJ55">
        <f>(AN55-AT55)/(AN55-AM55)</f>
        <v>0</v>
      </c>
      <c r="BK55">
        <f>(BG55*BE55/AS55)</f>
        <v>0</v>
      </c>
      <c r="BL55">
        <f>(1-BK55)</f>
        <v>0</v>
      </c>
      <c r="CU55">
        <f>$B$13*DS55+$C$13*DT55+$F$13*EE55*(1-EH55)</f>
        <v>0</v>
      </c>
      <c r="CV55">
        <f>CU55*CW55</f>
        <v>0</v>
      </c>
      <c r="CW55">
        <f>($B$13*$D$11+$C$13*$D$11+$F$13*((ER55+EJ55)/MAX(ER55+EJ55+ES55, 0.1)*$I$11+ES55/MAX(ER55+EJ55+ES55, 0.1)*$J$11))/($B$13+$C$13+$F$13)</f>
        <v>0</v>
      </c>
      <c r="CX55">
        <f>($B$13*$K$11+$C$13*$K$11+$F$13*((ER55+EJ55)/MAX(ER55+EJ55+ES55, 0.1)*$P$11+ES55/MAX(ER55+EJ55+ES55, 0.1)*$Q$11))/($B$13+$C$13+$F$13)</f>
        <v>0</v>
      </c>
      <c r="CY55">
        <v>4.16</v>
      </c>
      <c r="CZ55">
        <v>0.5</v>
      </c>
      <c r="DA55" t="s">
        <v>421</v>
      </c>
      <c r="DB55">
        <v>2</v>
      </c>
      <c r="DC55">
        <v>1761018317</v>
      </c>
      <c r="DD55">
        <v>420.599</v>
      </c>
      <c r="DE55">
        <v>419.998</v>
      </c>
      <c r="DF55">
        <v>24.02241111111111</v>
      </c>
      <c r="DG55">
        <v>23.92005555555556</v>
      </c>
      <c r="DH55">
        <v>421.4227777777778</v>
      </c>
      <c r="DI55">
        <v>23.81922222222222</v>
      </c>
      <c r="DJ55">
        <v>499.9748888888889</v>
      </c>
      <c r="DK55">
        <v>90.78464444444444</v>
      </c>
      <c r="DL55">
        <v>0.03479392222222222</v>
      </c>
      <c r="DM55">
        <v>30.37177777777778</v>
      </c>
      <c r="DN55">
        <v>30.0313</v>
      </c>
      <c r="DO55">
        <v>999.9000000000001</v>
      </c>
      <c r="DP55">
        <v>0</v>
      </c>
      <c r="DQ55">
        <v>0</v>
      </c>
      <c r="DR55">
        <v>10002.42777777778</v>
      </c>
      <c r="DS55">
        <v>0</v>
      </c>
      <c r="DT55">
        <v>0.242856</v>
      </c>
      <c r="DU55">
        <v>0.6010506666666667</v>
      </c>
      <c r="DV55">
        <v>430.9514444444445</v>
      </c>
      <c r="DW55">
        <v>430.2906666666667</v>
      </c>
      <c r="DX55">
        <v>0.1023543888888889</v>
      </c>
      <c r="DY55">
        <v>419.998</v>
      </c>
      <c r="DZ55">
        <v>23.92005555555556</v>
      </c>
      <c r="EA55">
        <v>2.180868888888889</v>
      </c>
      <c r="EB55">
        <v>2.171575555555556</v>
      </c>
      <c r="EC55">
        <v>18.82245555555556</v>
      </c>
      <c r="ED55">
        <v>18.7541</v>
      </c>
      <c r="EE55">
        <v>0.00500078</v>
      </c>
      <c r="EF55">
        <v>0</v>
      </c>
      <c r="EG55">
        <v>0</v>
      </c>
      <c r="EH55">
        <v>0</v>
      </c>
      <c r="EI55">
        <v>531.3222222222223</v>
      </c>
      <c r="EJ55">
        <v>0.00500078</v>
      </c>
      <c r="EK55">
        <v>-16.91111111111111</v>
      </c>
      <c r="EL55">
        <v>-0.3444444444444444</v>
      </c>
      <c r="EM55">
        <v>35.74277777777777</v>
      </c>
      <c r="EN55">
        <v>40.38877777777778</v>
      </c>
      <c r="EO55">
        <v>38.23588888888889</v>
      </c>
      <c r="EP55">
        <v>41.222</v>
      </c>
      <c r="EQ55">
        <v>38.88166666666667</v>
      </c>
      <c r="ER55">
        <v>0</v>
      </c>
      <c r="ES55">
        <v>0</v>
      </c>
      <c r="ET55">
        <v>0</v>
      </c>
      <c r="EU55">
        <v>1761018319.3</v>
      </c>
      <c r="EV55">
        <v>0</v>
      </c>
      <c r="EW55">
        <v>528.76</v>
      </c>
      <c r="EX55">
        <v>29.20769214693679</v>
      </c>
      <c r="EY55">
        <v>-33.34615370905141</v>
      </c>
      <c r="EZ55">
        <v>-13.032</v>
      </c>
      <c r="FA55">
        <v>15</v>
      </c>
      <c r="FB55">
        <v>1761018162.5</v>
      </c>
      <c r="FC55" t="s">
        <v>490</v>
      </c>
      <c r="FD55">
        <v>1761018155.5</v>
      </c>
      <c r="FE55">
        <v>1761018162.5</v>
      </c>
      <c r="FF55">
        <v>24</v>
      </c>
      <c r="FG55">
        <v>-0.207</v>
      </c>
      <c r="FH55">
        <v>-0.006</v>
      </c>
      <c r="FI55">
        <v>-0.825</v>
      </c>
      <c r="FJ55">
        <v>0.194</v>
      </c>
      <c r="FK55">
        <v>420</v>
      </c>
      <c r="FL55">
        <v>24</v>
      </c>
      <c r="FM55">
        <v>0.19</v>
      </c>
      <c r="FN55">
        <v>0.1</v>
      </c>
      <c r="FO55">
        <v>0.5438484499999999</v>
      </c>
      <c r="FP55">
        <v>0.2843505365853642</v>
      </c>
      <c r="FQ55">
        <v>0.05834824571610957</v>
      </c>
      <c r="FR55">
        <v>1</v>
      </c>
      <c r="FS55">
        <v>529.3147058823531</v>
      </c>
      <c r="FT55">
        <v>2.797555288391779</v>
      </c>
      <c r="FU55">
        <v>6.723100315678137</v>
      </c>
      <c r="FV55">
        <v>0</v>
      </c>
      <c r="FW55">
        <v>-0.06332657547500001</v>
      </c>
      <c r="FX55">
        <v>1.156510537879926</v>
      </c>
      <c r="FY55">
        <v>0.1126715034251689</v>
      </c>
      <c r="FZ55">
        <v>0</v>
      </c>
      <c r="GA55">
        <v>1</v>
      </c>
      <c r="GB55">
        <v>3</v>
      </c>
      <c r="GC55" t="s">
        <v>431</v>
      </c>
      <c r="GD55">
        <v>3.10972</v>
      </c>
      <c r="GE55">
        <v>2.72669</v>
      </c>
      <c r="GF55">
        <v>0.0886946</v>
      </c>
      <c r="GG55">
        <v>0.0885002</v>
      </c>
      <c r="GH55">
        <v>0.108733</v>
      </c>
      <c r="GI55">
        <v>0.109241</v>
      </c>
      <c r="GJ55">
        <v>23905</v>
      </c>
      <c r="GK55">
        <v>21679</v>
      </c>
      <c r="GL55">
        <v>26790</v>
      </c>
      <c r="GM55">
        <v>23991.3</v>
      </c>
      <c r="GN55">
        <v>38151.9</v>
      </c>
      <c r="GO55">
        <v>31530.7</v>
      </c>
      <c r="GP55">
        <v>46760.2</v>
      </c>
      <c r="GQ55">
        <v>37934.5</v>
      </c>
      <c r="GR55">
        <v>1.88945</v>
      </c>
      <c r="GS55">
        <v>1.87955</v>
      </c>
      <c r="GT55">
        <v>0.129931</v>
      </c>
      <c r="GU55">
        <v>0</v>
      </c>
      <c r="GV55">
        <v>27.9005</v>
      </c>
      <c r="GW55">
        <v>999.9</v>
      </c>
      <c r="GX55">
        <v>63.5</v>
      </c>
      <c r="GY55">
        <v>29</v>
      </c>
      <c r="GZ55">
        <v>28.1297</v>
      </c>
      <c r="HA55">
        <v>61.38</v>
      </c>
      <c r="HB55">
        <v>19.9479</v>
      </c>
      <c r="HC55">
        <v>1</v>
      </c>
      <c r="HD55">
        <v>0.0508181</v>
      </c>
      <c r="HE55">
        <v>-2.03393</v>
      </c>
      <c r="HF55">
        <v>20.3256</v>
      </c>
      <c r="HG55">
        <v>5.22118</v>
      </c>
      <c r="HH55">
        <v>11.98</v>
      </c>
      <c r="HI55">
        <v>4.96525</v>
      </c>
      <c r="HJ55">
        <v>3.27593</v>
      </c>
      <c r="HK55">
        <v>9999</v>
      </c>
      <c r="HL55">
        <v>9999</v>
      </c>
      <c r="HM55">
        <v>9999</v>
      </c>
      <c r="HN55">
        <v>999.9</v>
      </c>
      <c r="HO55">
        <v>1.86357</v>
      </c>
      <c r="HP55">
        <v>1.85974</v>
      </c>
      <c r="HQ55">
        <v>1.85799</v>
      </c>
      <c r="HR55">
        <v>1.8594</v>
      </c>
      <c r="HS55">
        <v>1.85957</v>
      </c>
      <c r="HT55">
        <v>1.85801</v>
      </c>
      <c r="HU55">
        <v>1.85706</v>
      </c>
      <c r="HV55">
        <v>1.85207</v>
      </c>
      <c r="HW55">
        <v>0</v>
      </c>
      <c r="HX55">
        <v>0</v>
      </c>
      <c r="HY55">
        <v>0</v>
      </c>
      <c r="HZ55">
        <v>0</v>
      </c>
      <c r="IA55" t="s">
        <v>424</v>
      </c>
      <c r="IB55" t="s">
        <v>425</v>
      </c>
      <c r="IC55" t="s">
        <v>426</v>
      </c>
      <c r="ID55" t="s">
        <v>426</v>
      </c>
      <c r="IE55" t="s">
        <v>426</v>
      </c>
      <c r="IF55" t="s">
        <v>426</v>
      </c>
      <c r="IG55">
        <v>0</v>
      </c>
      <c r="IH55">
        <v>100</v>
      </c>
      <c r="II55">
        <v>100</v>
      </c>
      <c r="IJ55">
        <v>-0.823</v>
      </c>
      <c r="IK55">
        <v>0.2028</v>
      </c>
      <c r="IL55">
        <v>-1.613291919289301</v>
      </c>
      <c r="IM55">
        <v>0.001328113201692861</v>
      </c>
      <c r="IN55">
        <v>1.538283238170363E-06</v>
      </c>
      <c r="IO55">
        <v>-5.795655626708063E-10</v>
      </c>
      <c r="IP55">
        <v>-0.05565860728478197</v>
      </c>
      <c r="IQ55">
        <v>-0.004593102289677449</v>
      </c>
      <c r="IR55">
        <v>0.0008253994458280543</v>
      </c>
      <c r="IS55">
        <v>-7.403632370499484E-06</v>
      </c>
      <c r="IT55">
        <v>2</v>
      </c>
      <c r="IU55">
        <v>1985</v>
      </c>
      <c r="IV55">
        <v>1</v>
      </c>
      <c r="IW55">
        <v>27</v>
      </c>
      <c r="IX55">
        <v>2.7</v>
      </c>
      <c r="IY55">
        <v>2.6</v>
      </c>
      <c r="IZ55">
        <v>1.12305</v>
      </c>
      <c r="JA55">
        <v>2.5708</v>
      </c>
      <c r="JB55">
        <v>1.49658</v>
      </c>
      <c r="JC55">
        <v>2.34253</v>
      </c>
      <c r="JD55">
        <v>1.54907</v>
      </c>
      <c r="JE55">
        <v>2.35107</v>
      </c>
      <c r="JF55">
        <v>31.8269</v>
      </c>
      <c r="JG55">
        <v>14.6224</v>
      </c>
      <c r="JH55">
        <v>18</v>
      </c>
      <c r="JI55">
        <v>483.411</v>
      </c>
      <c r="JJ55">
        <v>506.815</v>
      </c>
      <c r="JK55">
        <v>31.6781</v>
      </c>
      <c r="JL55">
        <v>27.9133</v>
      </c>
      <c r="JM55">
        <v>29.9994</v>
      </c>
      <c r="JN55">
        <v>28.2381</v>
      </c>
      <c r="JO55">
        <v>28.2454</v>
      </c>
      <c r="JP55">
        <v>22.5827</v>
      </c>
      <c r="JQ55">
        <v>20.004</v>
      </c>
      <c r="JR55">
        <v>81.91240000000001</v>
      </c>
      <c r="JS55">
        <v>31.6636</v>
      </c>
      <c r="JT55">
        <v>420</v>
      </c>
      <c r="JU55">
        <v>23.7865</v>
      </c>
      <c r="JV55">
        <v>102.254</v>
      </c>
      <c r="JW55">
        <v>91.5047</v>
      </c>
    </row>
    <row r="56" spans="1:283">
      <c r="A56">
        <v>38</v>
      </c>
      <c r="B56">
        <v>1761018322</v>
      </c>
      <c r="C56">
        <v>252.5</v>
      </c>
      <c r="D56" t="s">
        <v>503</v>
      </c>
      <c r="E56" t="s">
        <v>504</v>
      </c>
      <c r="F56">
        <v>5</v>
      </c>
      <c r="G56" t="s">
        <v>489</v>
      </c>
      <c r="H56">
        <v>1761018319</v>
      </c>
      <c r="I56">
        <f>(J56)/1000</f>
        <v>0</v>
      </c>
      <c r="J56">
        <f>1000*DJ56*AH56*(DF56-DG56)/(100*CY56*(1000-AH56*DF56))</f>
        <v>0</v>
      </c>
      <c r="K56">
        <f>DJ56*AH56*(DE56-DD56*(1000-AH56*DG56)/(1000-AH56*DF56))/(100*CY56)</f>
        <v>0</v>
      </c>
      <c r="L56">
        <f>DD56 - IF(AH56&gt;1, K56*CY56*100.0/(AJ56), 0)</f>
        <v>0</v>
      </c>
      <c r="M56">
        <f>((S56-I56/2)*L56-K56)/(S56+I56/2)</f>
        <v>0</v>
      </c>
      <c r="N56">
        <f>M56*(DK56+DL56)/1000.0</f>
        <v>0</v>
      </c>
      <c r="O56">
        <f>(DD56 - IF(AH56&gt;1, K56*CY56*100.0/(AJ56), 0))*(DK56+DL56)/1000.0</f>
        <v>0</v>
      </c>
      <c r="P56">
        <f>2.0/((1/R56-1/Q56)+SIGN(R56)*SQRT((1/R56-1/Q56)*(1/R56-1/Q56) + 4*CZ56/((CZ56+1)*(CZ56+1))*(2*1/R56*1/Q56-1/Q56*1/Q56)))</f>
        <v>0</v>
      </c>
      <c r="Q56">
        <f>IF(LEFT(DA56,1)&lt;&gt;"0",IF(LEFT(DA56,1)="1",3.0,DB56),$D$5+$E$5*(DR56*DK56/($K$5*1000))+$F$5*(DR56*DK56/($K$5*1000))*MAX(MIN(CY56,$J$5),$I$5)*MAX(MIN(CY56,$J$5),$I$5)+$G$5*MAX(MIN(CY56,$J$5),$I$5)*(DR56*DK56/($K$5*1000))+$H$5*(DR56*DK56/($K$5*1000))*(DR56*DK56/($K$5*1000)))</f>
        <v>0</v>
      </c>
      <c r="R56">
        <f>I56*(1000-(1000*0.61365*exp(17.502*V56/(240.97+V56))/(DK56+DL56)+DF56)/2)/(1000*0.61365*exp(17.502*V56/(240.97+V56))/(DK56+DL56)-DF56)</f>
        <v>0</v>
      </c>
      <c r="S56">
        <f>1/((CZ56+1)/(P56/1.6)+1/(Q56/1.37)) + CZ56/((CZ56+1)/(P56/1.6) + CZ56/(Q56/1.37))</f>
        <v>0</v>
      </c>
      <c r="T56">
        <f>(CU56*CX56)</f>
        <v>0</v>
      </c>
      <c r="U56">
        <f>(DM56+(T56+2*0.95*5.67E-8*(((DM56+$B$9)+273)^4-(DM56+273)^4)-44100*I56)/(1.84*29.3*Q56+8*0.95*5.67E-8*(DM56+273)^3))</f>
        <v>0</v>
      </c>
      <c r="V56">
        <f>($C$9*DN56+$D$9*DO56+$E$9*U56)</f>
        <v>0</v>
      </c>
      <c r="W56">
        <f>0.61365*exp(17.502*V56/(240.97+V56))</f>
        <v>0</v>
      </c>
      <c r="X56">
        <f>(Y56/Z56*100)</f>
        <v>0</v>
      </c>
      <c r="Y56">
        <f>DF56*(DK56+DL56)/1000</f>
        <v>0</v>
      </c>
      <c r="Z56">
        <f>0.61365*exp(17.502*DM56/(240.97+DM56))</f>
        <v>0</v>
      </c>
      <c r="AA56">
        <f>(W56-DF56*(DK56+DL56)/1000)</f>
        <v>0</v>
      </c>
      <c r="AB56">
        <f>(-I56*44100)</f>
        <v>0</v>
      </c>
      <c r="AC56">
        <f>2*29.3*Q56*0.92*(DM56-V56)</f>
        <v>0</v>
      </c>
      <c r="AD56">
        <f>2*0.95*5.67E-8*(((DM56+$B$9)+273)^4-(V56+273)^4)</f>
        <v>0</v>
      </c>
      <c r="AE56">
        <f>T56+AD56+AB56+AC56</f>
        <v>0</v>
      </c>
      <c r="AF56">
        <v>0</v>
      </c>
      <c r="AG56">
        <v>0</v>
      </c>
      <c r="AH56">
        <f>IF(AF56*$H$15&gt;=AJ56,1.0,(AJ56/(AJ56-AF56*$H$15)))</f>
        <v>0</v>
      </c>
      <c r="AI56">
        <f>(AH56-1)*100</f>
        <v>0</v>
      </c>
      <c r="AJ56">
        <f>MAX(0,($B$15+$C$15*DR56)/(1+$D$15*DR56)*DK56/(DM56+273)*$E$15)</f>
        <v>0</v>
      </c>
      <c r="AK56" t="s">
        <v>420</v>
      </c>
      <c r="AL56" t="s">
        <v>420</v>
      </c>
      <c r="AM56">
        <v>0</v>
      </c>
      <c r="AN56">
        <v>0</v>
      </c>
      <c r="AO56">
        <f>1-AM56/AN56</f>
        <v>0</v>
      </c>
      <c r="AP56">
        <v>0</v>
      </c>
      <c r="AQ56" t="s">
        <v>420</v>
      </c>
      <c r="AR56" t="s">
        <v>420</v>
      </c>
      <c r="AS56">
        <v>0</v>
      </c>
      <c r="AT56">
        <v>0</v>
      </c>
      <c r="AU56">
        <f>1-AS56/AT56</f>
        <v>0</v>
      </c>
      <c r="AV56">
        <v>0.5</v>
      </c>
      <c r="AW56">
        <f>CV56</f>
        <v>0</v>
      </c>
      <c r="AX56">
        <f>K56</f>
        <v>0</v>
      </c>
      <c r="AY56">
        <f>AU56*AV56*AW56</f>
        <v>0</v>
      </c>
      <c r="AZ56">
        <f>(AX56-AP56)/AW56</f>
        <v>0</v>
      </c>
      <c r="BA56">
        <f>(AN56-AT56)/AT56</f>
        <v>0</v>
      </c>
      <c r="BB56">
        <f>AM56/(AO56+AM56/AT56)</f>
        <v>0</v>
      </c>
      <c r="BC56" t="s">
        <v>420</v>
      </c>
      <c r="BD56">
        <v>0</v>
      </c>
      <c r="BE56">
        <f>IF(BD56&lt;&gt;0, BD56, BB56)</f>
        <v>0</v>
      </c>
      <c r="BF56">
        <f>1-BE56/AT56</f>
        <v>0</v>
      </c>
      <c r="BG56">
        <f>(AT56-AS56)/(AT56-BE56)</f>
        <v>0</v>
      </c>
      <c r="BH56">
        <f>(AN56-AT56)/(AN56-BE56)</f>
        <v>0</v>
      </c>
      <c r="BI56">
        <f>(AT56-AS56)/(AT56-AM56)</f>
        <v>0</v>
      </c>
      <c r="BJ56">
        <f>(AN56-AT56)/(AN56-AM56)</f>
        <v>0</v>
      </c>
      <c r="BK56">
        <f>(BG56*BE56/AS56)</f>
        <v>0</v>
      </c>
      <c r="BL56">
        <f>(1-BK56)</f>
        <v>0</v>
      </c>
      <c r="CU56">
        <f>$B$13*DS56+$C$13*DT56+$F$13*EE56*(1-EH56)</f>
        <v>0</v>
      </c>
      <c r="CV56">
        <f>CU56*CW56</f>
        <v>0</v>
      </c>
      <c r="CW56">
        <f>($B$13*$D$11+$C$13*$D$11+$F$13*((ER56+EJ56)/MAX(ER56+EJ56+ES56, 0.1)*$I$11+ES56/MAX(ER56+EJ56+ES56, 0.1)*$J$11))/($B$13+$C$13+$F$13)</f>
        <v>0</v>
      </c>
      <c r="CX56">
        <f>($B$13*$K$11+$C$13*$K$11+$F$13*((ER56+EJ56)/MAX(ER56+EJ56+ES56, 0.1)*$P$11+ES56/MAX(ER56+EJ56+ES56, 0.1)*$Q$11))/($B$13+$C$13+$F$13)</f>
        <v>0</v>
      </c>
      <c r="CY56">
        <v>4.16</v>
      </c>
      <c r="CZ56">
        <v>0.5</v>
      </c>
      <c r="DA56" t="s">
        <v>421</v>
      </c>
      <c r="DB56">
        <v>2</v>
      </c>
      <c r="DC56">
        <v>1761018319</v>
      </c>
      <c r="DD56">
        <v>420.6078888888889</v>
      </c>
      <c r="DE56">
        <v>419.988111111111</v>
      </c>
      <c r="DF56">
        <v>24.01005555555556</v>
      </c>
      <c r="DG56">
        <v>23.85906666666666</v>
      </c>
      <c r="DH56">
        <v>421.4316666666666</v>
      </c>
      <c r="DI56">
        <v>23.80714444444444</v>
      </c>
      <c r="DJ56">
        <v>499.9915555555556</v>
      </c>
      <c r="DK56">
        <v>90.78482222222222</v>
      </c>
      <c r="DL56">
        <v>0.03479411111111111</v>
      </c>
      <c r="DM56">
        <v>30.3724</v>
      </c>
      <c r="DN56">
        <v>30.02192222222223</v>
      </c>
      <c r="DO56">
        <v>999.9000000000001</v>
      </c>
      <c r="DP56">
        <v>0</v>
      </c>
      <c r="DQ56">
        <v>0</v>
      </c>
      <c r="DR56">
        <v>10004.38</v>
      </c>
      <c r="DS56">
        <v>0</v>
      </c>
      <c r="DT56">
        <v>0.242856</v>
      </c>
      <c r="DU56">
        <v>0.6197511111111111</v>
      </c>
      <c r="DV56">
        <v>430.9552222222222</v>
      </c>
      <c r="DW56">
        <v>430.2537777777777</v>
      </c>
      <c r="DX56">
        <v>0.1509808555555556</v>
      </c>
      <c r="DY56">
        <v>419.988111111111</v>
      </c>
      <c r="DZ56">
        <v>23.85906666666666</v>
      </c>
      <c r="EA56">
        <v>2.17975</v>
      </c>
      <c r="EB56">
        <v>2.166042222222222</v>
      </c>
      <c r="EC56">
        <v>18.81424444444444</v>
      </c>
      <c r="ED56">
        <v>18.7133</v>
      </c>
      <c r="EE56">
        <v>0.00500078</v>
      </c>
      <c r="EF56">
        <v>0</v>
      </c>
      <c r="EG56">
        <v>0</v>
      </c>
      <c r="EH56">
        <v>0</v>
      </c>
      <c r="EI56">
        <v>530.911111111111</v>
      </c>
      <c r="EJ56">
        <v>0.00500078</v>
      </c>
      <c r="EK56">
        <v>-16.26666666666667</v>
      </c>
      <c r="EL56">
        <v>0.02222222222222227</v>
      </c>
      <c r="EM56">
        <v>35.77066666666666</v>
      </c>
      <c r="EN56">
        <v>40.40944444444445</v>
      </c>
      <c r="EO56">
        <v>37.97188888888888</v>
      </c>
      <c r="EP56">
        <v>41.24288888888889</v>
      </c>
      <c r="EQ56">
        <v>38.91644444444444</v>
      </c>
      <c r="ER56">
        <v>0</v>
      </c>
      <c r="ES56">
        <v>0</v>
      </c>
      <c r="ET56">
        <v>0</v>
      </c>
      <c r="EU56">
        <v>1761018321.1</v>
      </c>
      <c r="EV56">
        <v>0</v>
      </c>
      <c r="EW56">
        <v>528.2115384615386</v>
      </c>
      <c r="EX56">
        <v>39.92136733510316</v>
      </c>
      <c r="EY56">
        <v>-37.62735014465487</v>
      </c>
      <c r="EZ56">
        <v>-12.23846153846154</v>
      </c>
      <c r="FA56">
        <v>15</v>
      </c>
      <c r="FB56">
        <v>1761018162.5</v>
      </c>
      <c r="FC56" t="s">
        <v>490</v>
      </c>
      <c r="FD56">
        <v>1761018155.5</v>
      </c>
      <c r="FE56">
        <v>1761018162.5</v>
      </c>
      <c r="FF56">
        <v>24</v>
      </c>
      <c r="FG56">
        <v>-0.207</v>
      </c>
      <c r="FH56">
        <v>-0.006</v>
      </c>
      <c r="FI56">
        <v>-0.825</v>
      </c>
      <c r="FJ56">
        <v>0.194</v>
      </c>
      <c r="FK56">
        <v>420</v>
      </c>
      <c r="FL56">
        <v>24</v>
      </c>
      <c r="FM56">
        <v>0.19</v>
      </c>
      <c r="FN56">
        <v>0.1</v>
      </c>
      <c r="FO56">
        <v>0.5578338292682927</v>
      </c>
      <c r="FP56">
        <v>0.3469150871080142</v>
      </c>
      <c r="FQ56">
        <v>0.06215599375171742</v>
      </c>
      <c r="FR56">
        <v>1</v>
      </c>
      <c r="FS56">
        <v>529.5323529411766</v>
      </c>
      <c r="FT56">
        <v>-0.3162720278424728</v>
      </c>
      <c r="FU56">
        <v>6.489345139998403</v>
      </c>
      <c r="FV56">
        <v>1</v>
      </c>
      <c r="FW56">
        <v>-0.01909758582926829</v>
      </c>
      <c r="FX56">
        <v>1.276203818320558</v>
      </c>
      <c r="FY56">
        <v>0.1266003111453803</v>
      </c>
      <c r="FZ56">
        <v>0</v>
      </c>
      <c r="GA56">
        <v>2</v>
      </c>
      <c r="GB56">
        <v>3</v>
      </c>
      <c r="GC56" t="s">
        <v>434</v>
      </c>
      <c r="GD56">
        <v>3.10971</v>
      </c>
      <c r="GE56">
        <v>2.72661</v>
      </c>
      <c r="GF56">
        <v>0.08869059999999999</v>
      </c>
      <c r="GG56">
        <v>0.0885205</v>
      </c>
      <c r="GH56">
        <v>0.108649</v>
      </c>
      <c r="GI56">
        <v>0.10906</v>
      </c>
      <c r="GJ56">
        <v>23905.1</v>
      </c>
      <c r="GK56">
        <v>21678.6</v>
      </c>
      <c r="GL56">
        <v>26790</v>
      </c>
      <c r="GM56">
        <v>23991.3</v>
      </c>
      <c r="GN56">
        <v>38155.5</v>
      </c>
      <c r="GO56">
        <v>31536.9</v>
      </c>
      <c r="GP56">
        <v>46760.1</v>
      </c>
      <c r="GQ56">
        <v>37934.2</v>
      </c>
      <c r="GR56">
        <v>1.88943</v>
      </c>
      <c r="GS56">
        <v>1.87943</v>
      </c>
      <c r="GT56">
        <v>0.129182</v>
      </c>
      <c r="GU56">
        <v>0</v>
      </c>
      <c r="GV56">
        <v>27.9052</v>
      </c>
      <c r="GW56">
        <v>999.9</v>
      </c>
      <c r="GX56">
        <v>63.5</v>
      </c>
      <c r="GY56">
        <v>29</v>
      </c>
      <c r="GZ56">
        <v>28.1307</v>
      </c>
      <c r="HA56">
        <v>61.3</v>
      </c>
      <c r="HB56">
        <v>20.1442</v>
      </c>
      <c r="HC56">
        <v>1</v>
      </c>
      <c r="HD56">
        <v>0.0507698</v>
      </c>
      <c r="HE56">
        <v>-2.0482</v>
      </c>
      <c r="HF56">
        <v>20.3255</v>
      </c>
      <c r="HG56">
        <v>5.22103</v>
      </c>
      <c r="HH56">
        <v>11.98</v>
      </c>
      <c r="HI56">
        <v>4.9652</v>
      </c>
      <c r="HJ56">
        <v>3.27593</v>
      </c>
      <c r="HK56">
        <v>9999</v>
      </c>
      <c r="HL56">
        <v>9999</v>
      </c>
      <c r="HM56">
        <v>9999</v>
      </c>
      <c r="HN56">
        <v>999.9</v>
      </c>
      <c r="HO56">
        <v>1.86357</v>
      </c>
      <c r="HP56">
        <v>1.85974</v>
      </c>
      <c r="HQ56">
        <v>1.85797</v>
      </c>
      <c r="HR56">
        <v>1.8594</v>
      </c>
      <c r="HS56">
        <v>1.85958</v>
      </c>
      <c r="HT56">
        <v>1.85803</v>
      </c>
      <c r="HU56">
        <v>1.85707</v>
      </c>
      <c r="HV56">
        <v>1.85207</v>
      </c>
      <c r="HW56">
        <v>0</v>
      </c>
      <c r="HX56">
        <v>0</v>
      </c>
      <c r="HY56">
        <v>0</v>
      </c>
      <c r="HZ56">
        <v>0</v>
      </c>
      <c r="IA56" t="s">
        <v>424</v>
      </c>
      <c r="IB56" t="s">
        <v>425</v>
      </c>
      <c r="IC56" t="s">
        <v>426</v>
      </c>
      <c r="ID56" t="s">
        <v>426</v>
      </c>
      <c r="IE56" t="s">
        <v>426</v>
      </c>
      <c r="IF56" t="s">
        <v>426</v>
      </c>
      <c r="IG56">
        <v>0</v>
      </c>
      <c r="IH56">
        <v>100</v>
      </c>
      <c r="II56">
        <v>100</v>
      </c>
      <c r="IJ56">
        <v>-0.824</v>
      </c>
      <c r="IK56">
        <v>0.2021</v>
      </c>
      <c r="IL56">
        <v>-1.613291919289301</v>
      </c>
      <c r="IM56">
        <v>0.001328113201692861</v>
      </c>
      <c r="IN56">
        <v>1.538283238170363E-06</v>
      </c>
      <c r="IO56">
        <v>-5.795655626708063E-10</v>
      </c>
      <c r="IP56">
        <v>-0.05565860728478197</v>
      </c>
      <c r="IQ56">
        <v>-0.004593102289677449</v>
      </c>
      <c r="IR56">
        <v>0.0008253994458280543</v>
      </c>
      <c r="IS56">
        <v>-7.403632370499484E-06</v>
      </c>
      <c r="IT56">
        <v>2</v>
      </c>
      <c r="IU56">
        <v>1985</v>
      </c>
      <c r="IV56">
        <v>1</v>
      </c>
      <c r="IW56">
        <v>27</v>
      </c>
      <c r="IX56">
        <v>2.8</v>
      </c>
      <c r="IY56">
        <v>2.7</v>
      </c>
      <c r="IZ56">
        <v>1.12305</v>
      </c>
      <c r="JA56">
        <v>2.56592</v>
      </c>
      <c r="JB56">
        <v>1.49658</v>
      </c>
      <c r="JC56">
        <v>2.34253</v>
      </c>
      <c r="JD56">
        <v>1.54907</v>
      </c>
      <c r="JE56">
        <v>2.45605</v>
      </c>
      <c r="JF56">
        <v>31.8269</v>
      </c>
      <c r="JG56">
        <v>14.6399</v>
      </c>
      <c r="JH56">
        <v>18</v>
      </c>
      <c r="JI56">
        <v>483.37</v>
      </c>
      <c r="JJ56">
        <v>506.703</v>
      </c>
      <c r="JK56">
        <v>31.6626</v>
      </c>
      <c r="JL56">
        <v>27.9103</v>
      </c>
      <c r="JM56">
        <v>29.9996</v>
      </c>
      <c r="JN56">
        <v>28.2346</v>
      </c>
      <c r="JO56">
        <v>28.2422</v>
      </c>
      <c r="JP56">
        <v>22.582</v>
      </c>
      <c r="JQ56">
        <v>20.004</v>
      </c>
      <c r="JR56">
        <v>81.91240000000001</v>
      </c>
      <c r="JS56">
        <v>31.6636</v>
      </c>
      <c r="JT56">
        <v>420</v>
      </c>
      <c r="JU56">
        <v>23.7995</v>
      </c>
      <c r="JV56">
        <v>102.254</v>
      </c>
      <c r="JW56">
        <v>91.5043</v>
      </c>
    </row>
    <row r="57" spans="1:283">
      <c r="A57">
        <v>39</v>
      </c>
      <c r="B57">
        <v>1761018324</v>
      </c>
      <c r="C57">
        <v>254.5</v>
      </c>
      <c r="D57" t="s">
        <v>505</v>
      </c>
      <c r="E57" t="s">
        <v>506</v>
      </c>
      <c r="F57">
        <v>5</v>
      </c>
      <c r="G57" t="s">
        <v>489</v>
      </c>
      <c r="H57">
        <v>1761018321</v>
      </c>
      <c r="I57">
        <f>(J57)/1000</f>
        <v>0</v>
      </c>
      <c r="J57">
        <f>1000*DJ57*AH57*(DF57-DG57)/(100*CY57*(1000-AH57*DF57))</f>
        <v>0</v>
      </c>
      <c r="K57">
        <f>DJ57*AH57*(DE57-DD57*(1000-AH57*DG57)/(1000-AH57*DF57))/(100*CY57)</f>
        <v>0</v>
      </c>
      <c r="L57">
        <f>DD57 - IF(AH57&gt;1, K57*CY57*100.0/(AJ57), 0)</f>
        <v>0</v>
      </c>
      <c r="M57">
        <f>((S57-I57/2)*L57-K57)/(S57+I57/2)</f>
        <v>0</v>
      </c>
      <c r="N57">
        <f>M57*(DK57+DL57)/1000.0</f>
        <v>0</v>
      </c>
      <c r="O57">
        <f>(DD57 - IF(AH57&gt;1, K57*CY57*100.0/(AJ57), 0))*(DK57+DL57)/1000.0</f>
        <v>0</v>
      </c>
      <c r="P57">
        <f>2.0/((1/R57-1/Q57)+SIGN(R57)*SQRT((1/R57-1/Q57)*(1/R57-1/Q57) + 4*CZ57/((CZ57+1)*(CZ57+1))*(2*1/R57*1/Q57-1/Q57*1/Q57)))</f>
        <v>0</v>
      </c>
      <c r="Q57">
        <f>IF(LEFT(DA57,1)&lt;&gt;"0",IF(LEFT(DA57,1)="1",3.0,DB57),$D$5+$E$5*(DR57*DK57/($K$5*1000))+$F$5*(DR57*DK57/($K$5*1000))*MAX(MIN(CY57,$J$5),$I$5)*MAX(MIN(CY57,$J$5),$I$5)+$G$5*MAX(MIN(CY57,$J$5),$I$5)*(DR57*DK57/($K$5*1000))+$H$5*(DR57*DK57/($K$5*1000))*(DR57*DK57/($K$5*1000)))</f>
        <v>0</v>
      </c>
      <c r="R57">
        <f>I57*(1000-(1000*0.61365*exp(17.502*V57/(240.97+V57))/(DK57+DL57)+DF57)/2)/(1000*0.61365*exp(17.502*V57/(240.97+V57))/(DK57+DL57)-DF57)</f>
        <v>0</v>
      </c>
      <c r="S57">
        <f>1/((CZ57+1)/(P57/1.6)+1/(Q57/1.37)) + CZ57/((CZ57+1)/(P57/1.6) + CZ57/(Q57/1.37))</f>
        <v>0</v>
      </c>
      <c r="T57">
        <f>(CU57*CX57)</f>
        <v>0</v>
      </c>
      <c r="U57">
        <f>(DM57+(T57+2*0.95*5.67E-8*(((DM57+$B$9)+273)^4-(DM57+273)^4)-44100*I57)/(1.84*29.3*Q57+8*0.95*5.67E-8*(DM57+273)^3))</f>
        <v>0</v>
      </c>
      <c r="V57">
        <f>($C$9*DN57+$D$9*DO57+$E$9*U57)</f>
        <v>0</v>
      </c>
      <c r="W57">
        <f>0.61365*exp(17.502*V57/(240.97+V57))</f>
        <v>0</v>
      </c>
      <c r="X57">
        <f>(Y57/Z57*100)</f>
        <v>0</v>
      </c>
      <c r="Y57">
        <f>DF57*(DK57+DL57)/1000</f>
        <v>0</v>
      </c>
      <c r="Z57">
        <f>0.61365*exp(17.502*DM57/(240.97+DM57))</f>
        <v>0</v>
      </c>
      <c r="AA57">
        <f>(W57-DF57*(DK57+DL57)/1000)</f>
        <v>0</v>
      </c>
      <c r="AB57">
        <f>(-I57*44100)</f>
        <v>0</v>
      </c>
      <c r="AC57">
        <f>2*29.3*Q57*0.92*(DM57-V57)</f>
        <v>0</v>
      </c>
      <c r="AD57">
        <f>2*0.95*5.67E-8*(((DM57+$B$9)+273)^4-(V57+273)^4)</f>
        <v>0</v>
      </c>
      <c r="AE57">
        <f>T57+AD57+AB57+AC57</f>
        <v>0</v>
      </c>
      <c r="AF57">
        <v>0</v>
      </c>
      <c r="AG57">
        <v>0</v>
      </c>
      <c r="AH57">
        <f>IF(AF57*$H$15&gt;=AJ57,1.0,(AJ57/(AJ57-AF57*$H$15)))</f>
        <v>0</v>
      </c>
      <c r="AI57">
        <f>(AH57-1)*100</f>
        <v>0</v>
      </c>
      <c r="AJ57">
        <f>MAX(0,($B$15+$C$15*DR57)/(1+$D$15*DR57)*DK57/(DM57+273)*$E$15)</f>
        <v>0</v>
      </c>
      <c r="AK57" t="s">
        <v>420</v>
      </c>
      <c r="AL57" t="s">
        <v>420</v>
      </c>
      <c r="AM57">
        <v>0</v>
      </c>
      <c r="AN57">
        <v>0</v>
      </c>
      <c r="AO57">
        <f>1-AM57/AN57</f>
        <v>0</v>
      </c>
      <c r="AP57">
        <v>0</v>
      </c>
      <c r="AQ57" t="s">
        <v>420</v>
      </c>
      <c r="AR57" t="s">
        <v>420</v>
      </c>
      <c r="AS57">
        <v>0</v>
      </c>
      <c r="AT57">
        <v>0</v>
      </c>
      <c r="AU57">
        <f>1-AS57/AT57</f>
        <v>0</v>
      </c>
      <c r="AV57">
        <v>0.5</v>
      </c>
      <c r="AW57">
        <f>CV57</f>
        <v>0</v>
      </c>
      <c r="AX57">
        <f>K57</f>
        <v>0</v>
      </c>
      <c r="AY57">
        <f>AU57*AV57*AW57</f>
        <v>0</v>
      </c>
      <c r="AZ57">
        <f>(AX57-AP57)/AW57</f>
        <v>0</v>
      </c>
      <c r="BA57">
        <f>(AN57-AT57)/AT57</f>
        <v>0</v>
      </c>
      <c r="BB57">
        <f>AM57/(AO57+AM57/AT57)</f>
        <v>0</v>
      </c>
      <c r="BC57" t="s">
        <v>420</v>
      </c>
      <c r="BD57">
        <v>0</v>
      </c>
      <c r="BE57">
        <f>IF(BD57&lt;&gt;0, BD57, BB57)</f>
        <v>0</v>
      </c>
      <c r="BF57">
        <f>1-BE57/AT57</f>
        <v>0</v>
      </c>
      <c r="BG57">
        <f>(AT57-AS57)/(AT57-BE57)</f>
        <v>0</v>
      </c>
      <c r="BH57">
        <f>(AN57-AT57)/(AN57-BE57)</f>
        <v>0</v>
      </c>
      <c r="BI57">
        <f>(AT57-AS57)/(AT57-AM57)</f>
        <v>0</v>
      </c>
      <c r="BJ57">
        <f>(AN57-AT57)/(AN57-AM57)</f>
        <v>0</v>
      </c>
      <c r="BK57">
        <f>(BG57*BE57/AS57)</f>
        <v>0</v>
      </c>
      <c r="BL57">
        <f>(1-BK57)</f>
        <v>0</v>
      </c>
      <c r="CU57">
        <f>$B$13*DS57+$C$13*DT57+$F$13*EE57*(1-EH57)</f>
        <v>0</v>
      </c>
      <c r="CV57">
        <f>CU57*CW57</f>
        <v>0</v>
      </c>
      <c r="CW57">
        <f>($B$13*$D$11+$C$13*$D$11+$F$13*((ER57+EJ57)/MAX(ER57+EJ57+ES57, 0.1)*$I$11+ES57/MAX(ER57+EJ57+ES57, 0.1)*$J$11))/($B$13+$C$13+$F$13)</f>
        <v>0</v>
      </c>
      <c r="CX57">
        <f>($B$13*$K$11+$C$13*$K$11+$F$13*((ER57+EJ57)/MAX(ER57+EJ57+ES57, 0.1)*$P$11+ES57/MAX(ER57+EJ57+ES57, 0.1)*$Q$11))/($B$13+$C$13+$F$13)</f>
        <v>0</v>
      </c>
      <c r="CY57">
        <v>4.16</v>
      </c>
      <c r="CZ57">
        <v>0.5</v>
      </c>
      <c r="DA57" t="s">
        <v>421</v>
      </c>
      <c r="DB57">
        <v>2</v>
      </c>
      <c r="DC57">
        <v>1761018321</v>
      </c>
      <c r="DD57">
        <v>420.5991111111111</v>
      </c>
      <c r="DE57">
        <v>420.0137777777778</v>
      </c>
      <c r="DF57">
        <v>23.98844444444445</v>
      </c>
      <c r="DG57">
        <v>23.80052222222222</v>
      </c>
      <c r="DH57">
        <v>421.422888888889</v>
      </c>
      <c r="DI57">
        <v>23.78602222222223</v>
      </c>
      <c r="DJ57">
        <v>500.0148888888889</v>
      </c>
      <c r="DK57">
        <v>90.78554444444444</v>
      </c>
      <c r="DL57">
        <v>0.03489510000000001</v>
      </c>
      <c r="DM57">
        <v>30.3724</v>
      </c>
      <c r="DN57">
        <v>30.01607777777778</v>
      </c>
      <c r="DO57">
        <v>999.9000000000001</v>
      </c>
      <c r="DP57">
        <v>0</v>
      </c>
      <c r="DQ57">
        <v>0</v>
      </c>
      <c r="DR57">
        <v>10006.24666666667</v>
      </c>
      <c r="DS57">
        <v>0</v>
      </c>
      <c r="DT57">
        <v>0.242856</v>
      </c>
      <c r="DU57">
        <v>0.5852594444444446</v>
      </c>
      <c r="DV57">
        <v>430.9366666666667</v>
      </c>
      <c r="DW57">
        <v>430.2541111111111</v>
      </c>
      <c r="DX57">
        <v>0.187918</v>
      </c>
      <c r="DY57">
        <v>420.0137777777778</v>
      </c>
      <c r="DZ57">
        <v>23.80052222222222</v>
      </c>
      <c r="EA57">
        <v>2.177805555555556</v>
      </c>
      <c r="EB57">
        <v>2.160745555555556</v>
      </c>
      <c r="EC57">
        <v>18.79996666666666</v>
      </c>
      <c r="ED57">
        <v>18.67415555555556</v>
      </c>
      <c r="EE57">
        <v>0.00500078</v>
      </c>
      <c r="EF57">
        <v>0</v>
      </c>
      <c r="EG57">
        <v>0</v>
      </c>
      <c r="EH57">
        <v>0</v>
      </c>
      <c r="EI57">
        <v>530.311111111111</v>
      </c>
      <c r="EJ57">
        <v>0.00500078</v>
      </c>
      <c r="EK57">
        <v>-17.31111111111111</v>
      </c>
      <c r="EL57">
        <v>0.2777777777777778</v>
      </c>
      <c r="EM57">
        <v>35.77066666666666</v>
      </c>
      <c r="EN57">
        <v>40.42322222222222</v>
      </c>
      <c r="EO57">
        <v>38.30522222222222</v>
      </c>
      <c r="EP57">
        <v>41.27755555555556</v>
      </c>
      <c r="EQ57">
        <v>38.93722222222222</v>
      </c>
      <c r="ER57">
        <v>0</v>
      </c>
      <c r="ES57">
        <v>0</v>
      </c>
      <c r="ET57">
        <v>0</v>
      </c>
      <c r="EU57">
        <v>1761018322.9</v>
      </c>
      <c r="EV57">
        <v>0</v>
      </c>
      <c r="EW57">
        <v>529.428</v>
      </c>
      <c r="EX57">
        <v>29.93076919124642</v>
      </c>
      <c r="EY57">
        <v>-52.18461522021475</v>
      </c>
      <c r="EZ57">
        <v>-14.78</v>
      </c>
      <c r="FA57">
        <v>15</v>
      </c>
      <c r="FB57">
        <v>1761018162.5</v>
      </c>
      <c r="FC57" t="s">
        <v>490</v>
      </c>
      <c r="FD57">
        <v>1761018155.5</v>
      </c>
      <c r="FE57">
        <v>1761018162.5</v>
      </c>
      <c r="FF57">
        <v>24</v>
      </c>
      <c r="FG57">
        <v>-0.207</v>
      </c>
      <c r="FH57">
        <v>-0.006</v>
      </c>
      <c r="FI57">
        <v>-0.825</v>
      </c>
      <c r="FJ57">
        <v>0.194</v>
      </c>
      <c r="FK57">
        <v>420</v>
      </c>
      <c r="FL57">
        <v>24</v>
      </c>
      <c r="FM57">
        <v>0.19</v>
      </c>
      <c r="FN57">
        <v>0.1</v>
      </c>
      <c r="FO57">
        <v>0.56090015</v>
      </c>
      <c r="FP57">
        <v>0.1190747166979336</v>
      </c>
      <c r="FQ57">
        <v>0.06012846118376472</v>
      </c>
      <c r="FR57">
        <v>1</v>
      </c>
      <c r="FS57">
        <v>529.2705882352941</v>
      </c>
      <c r="FT57">
        <v>7.905271129062059</v>
      </c>
      <c r="FU57">
        <v>6.375851934390691</v>
      </c>
      <c r="FV57">
        <v>0</v>
      </c>
      <c r="FW57">
        <v>0.015297174525</v>
      </c>
      <c r="FX57">
        <v>1.32094194843152</v>
      </c>
      <c r="FY57">
        <v>0.1274947469401402</v>
      </c>
      <c r="FZ57">
        <v>0</v>
      </c>
      <c r="GA57">
        <v>1</v>
      </c>
      <c r="GB57">
        <v>3</v>
      </c>
      <c r="GC57" t="s">
        <v>431</v>
      </c>
      <c r="GD57">
        <v>3.10951</v>
      </c>
      <c r="GE57">
        <v>2.7267</v>
      </c>
      <c r="GF57">
        <v>0.08868769999999999</v>
      </c>
      <c r="GG57">
        <v>0.0885186</v>
      </c>
      <c r="GH57">
        <v>0.10855</v>
      </c>
      <c r="GI57">
        <v>0.108929</v>
      </c>
      <c r="GJ57">
        <v>23905.1</v>
      </c>
      <c r="GK57">
        <v>21678.5</v>
      </c>
      <c r="GL57">
        <v>26789.9</v>
      </c>
      <c r="GM57">
        <v>23991.2</v>
      </c>
      <c r="GN57">
        <v>38159.9</v>
      </c>
      <c r="GO57">
        <v>31541.4</v>
      </c>
      <c r="GP57">
        <v>46760.2</v>
      </c>
      <c r="GQ57">
        <v>37934</v>
      </c>
      <c r="GR57">
        <v>1.88923</v>
      </c>
      <c r="GS57">
        <v>1.87967</v>
      </c>
      <c r="GT57">
        <v>0.129249</v>
      </c>
      <c r="GU57">
        <v>0</v>
      </c>
      <c r="GV57">
        <v>27.9095</v>
      </c>
      <c r="GW57">
        <v>999.9</v>
      </c>
      <c r="GX57">
        <v>63.5</v>
      </c>
      <c r="GY57">
        <v>29</v>
      </c>
      <c r="GZ57">
        <v>28.1289</v>
      </c>
      <c r="HA57">
        <v>61.46</v>
      </c>
      <c r="HB57">
        <v>20.1322</v>
      </c>
      <c r="HC57">
        <v>1</v>
      </c>
      <c r="HD57">
        <v>0.0504954</v>
      </c>
      <c r="HE57">
        <v>-2.0933</v>
      </c>
      <c r="HF57">
        <v>20.325</v>
      </c>
      <c r="HG57">
        <v>5.22133</v>
      </c>
      <c r="HH57">
        <v>11.98</v>
      </c>
      <c r="HI57">
        <v>4.9652</v>
      </c>
      <c r="HJ57">
        <v>3.27593</v>
      </c>
      <c r="HK57">
        <v>9999</v>
      </c>
      <c r="HL57">
        <v>9999</v>
      </c>
      <c r="HM57">
        <v>9999</v>
      </c>
      <c r="HN57">
        <v>999.9</v>
      </c>
      <c r="HO57">
        <v>1.86357</v>
      </c>
      <c r="HP57">
        <v>1.85974</v>
      </c>
      <c r="HQ57">
        <v>1.85797</v>
      </c>
      <c r="HR57">
        <v>1.8594</v>
      </c>
      <c r="HS57">
        <v>1.85958</v>
      </c>
      <c r="HT57">
        <v>1.85803</v>
      </c>
      <c r="HU57">
        <v>1.85705</v>
      </c>
      <c r="HV57">
        <v>1.85207</v>
      </c>
      <c r="HW57">
        <v>0</v>
      </c>
      <c r="HX57">
        <v>0</v>
      </c>
      <c r="HY57">
        <v>0</v>
      </c>
      <c r="HZ57">
        <v>0</v>
      </c>
      <c r="IA57" t="s">
        <v>424</v>
      </c>
      <c r="IB57" t="s">
        <v>425</v>
      </c>
      <c r="IC57" t="s">
        <v>426</v>
      </c>
      <c r="ID57" t="s">
        <v>426</v>
      </c>
      <c r="IE57" t="s">
        <v>426</v>
      </c>
      <c r="IF57" t="s">
        <v>426</v>
      </c>
      <c r="IG57">
        <v>0</v>
      </c>
      <c r="IH57">
        <v>100</v>
      </c>
      <c r="II57">
        <v>100</v>
      </c>
      <c r="IJ57">
        <v>-0.824</v>
      </c>
      <c r="IK57">
        <v>0.2014</v>
      </c>
      <c r="IL57">
        <v>-1.613291919289301</v>
      </c>
      <c r="IM57">
        <v>0.001328113201692861</v>
      </c>
      <c r="IN57">
        <v>1.538283238170363E-06</v>
      </c>
      <c r="IO57">
        <v>-5.795655626708063E-10</v>
      </c>
      <c r="IP57">
        <v>-0.05565860728478197</v>
      </c>
      <c r="IQ57">
        <v>-0.004593102289677449</v>
      </c>
      <c r="IR57">
        <v>0.0008253994458280543</v>
      </c>
      <c r="IS57">
        <v>-7.403632370499484E-06</v>
      </c>
      <c r="IT57">
        <v>2</v>
      </c>
      <c r="IU57">
        <v>1985</v>
      </c>
      <c r="IV57">
        <v>1</v>
      </c>
      <c r="IW57">
        <v>27</v>
      </c>
      <c r="IX57">
        <v>2.8</v>
      </c>
      <c r="IY57">
        <v>2.7</v>
      </c>
      <c r="IZ57">
        <v>1.12305</v>
      </c>
      <c r="JA57">
        <v>2.57446</v>
      </c>
      <c r="JB57">
        <v>1.49658</v>
      </c>
      <c r="JC57">
        <v>2.34253</v>
      </c>
      <c r="JD57">
        <v>1.54907</v>
      </c>
      <c r="JE57">
        <v>2.39746</v>
      </c>
      <c r="JF57">
        <v>31.8269</v>
      </c>
      <c r="JG57">
        <v>14.6136</v>
      </c>
      <c r="JH57">
        <v>18</v>
      </c>
      <c r="JI57">
        <v>483.231</v>
      </c>
      <c r="JJ57">
        <v>506.842</v>
      </c>
      <c r="JK57">
        <v>31.6484</v>
      </c>
      <c r="JL57">
        <v>27.9068</v>
      </c>
      <c r="JM57">
        <v>29.9995</v>
      </c>
      <c r="JN57">
        <v>28.2316</v>
      </c>
      <c r="JO57">
        <v>28.2388</v>
      </c>
      <c r="JP57">
        <v>22.5826</v>
      </c>
      <c r="JQ57">
        <v>20.004</v>
      </c>
      <c r="JR57">
        <v>81.91240000000001</v>
      </c>
      <c r="JS57">
        <v>31.6492</v>
      </c>
      <c r="JT57">
        <v>420</v>
      </c>
      <c r="JU57">
        <v>23.7995</v>
      </c>
      <c r="JV57">
        <v>102.254</v>
      </c>
      <c r="JW57">
        <v>91.50369999999999</v>
      </c>
    </row>
    <row r="58" spans="1:283">
      <c r="A58">
        <v>40</v>
      </c>
      <c r="B58">
        <v>1761018326</v>
      </c>
      <c r="C58">
        <v>256.5</v>
      </c>
      <c r="D58" t="s">
        <v>507</v>
      </c>
      <c r="E58" t="s">
        <v>508</v>
      </c>
      <c r="F58">
        <v>5</v>
      </c>
      <c r="G58" t="s">
        <v>489</v>
      </c>
      <c r="H58">
        <v>1761018323</v>
      </c>
      <c r="I58">
        <f>(J58)/1000</f>
        <v>0</v>
      </c>
      <c r="J58">
        <f>1000*DJ58*AH58*(DF58-DG58)/(100*CY58*(1000-AH58*DF58))</f>
        <v>0</v>
      </c>
      <c r="K58">
        <f>DJ58*AH58*(DE58-DD58*(1000-AH58*DG58)/(1000-AH58*DF58))/(100*CY58)</f>
        <v>0</v>
      </c>
      <c r="L58">
        <f>DD58 - IF(AH58&gt;1, K58*CY58*100.0/(AJ58), 0)</f>
        <v>0</v>
      </c>
      <c r="M58">
        <f>((S58-I58/2)*L58-K58)/(S58+I58/2)</f>
        <v>0</v>
      </c>
      <c r="N58">
        <f>M58*(DK58+DL58)/1000.0</f>
        <v>0</v>
      </c>
      <c r="O58">
        <f>(DD58 - IF(AH58&gt;1, K58*CY58*100.0/(AJ58), 0))*(DK58+DL58)/1000.0</f>
        <v>0</v>
      </c>
      <c r="P58">
        <f>2.0/((1/R58-1/Q58)+SIGN(R58)*SQRT((1/R58-1/Q58)*(1/R58-1/Q58) + 4*CZ58/((CZ58+1)*(CZ58+1))*(2*1/R58*1/Q58-1/Q58*1/Q58)))</f>
        <v>0</v>
      </c>
      <c r="Q58">
        <f>IF(LEFT(DA58,1)&lt;&gt;"0",IF(LEFT(DA58,1)="1",3.0,DB58),$D$5+$E$5*(DR58*DK58/($K$5*1000))+$F$5*(DR58*DK58/($K$5*1000))*MAX(MIN(CY58,$J$5),$I$5)*MAX(MIN(CY58,$J$5),$I$5)+$G$5*MAX(MIN(CY58,$J$5),$I$5)*(DR58*DK58/($K$5*1000))+$H$5*(DR58*DK58/($K$5*1000))*(DR58*DK58/($K$5*1000)))</f>
        <v>0</v>
      </c>
      <c r="R58">
        <f>I58*(1000-(1000*0.61365*exp(17.502*V58/(240.97+V58))/(DK58+DL58)+DF58)/2)/(1000*0.61365*exp(17.502*V58/(240.97+V58))/(DK58+DL58)-DF58)</f>
        <v>0</v>
      </c>
      <c r="S58">
        <f>1/((CZ58+1)/(P58/1.6)+1/(Q58/1.37)) + CZ58/((CZ58+1)/(P58/1.6) + CZ58/(Q58/1.37))</f>
        <v>0</v>
      </c>
      <c r="T58">
        <f>(CU58*CX58)</f>
        <v>0</v>
      </c>
      <c r="U58">
        <f>(DM58+(T58+2*0.95*5.67E-8*(((DM58+$B$9)+273)^4-(DM58+273)^4)-44100*I58)/(1.84*29.3*Q58+8*0.95*5.67E-8*(DM58+273)^3))</f>
        <v>0</v>
      </c>
      <c r="V58">
        <f>($C$9*DN58+$D$9*DO58+$E$9*U58)</f>
        <v>0</v>
      </c>
      <c r="W58">
        <f>0.61365*exp(17.502*V58/(240.97+V58))</f>
        <v>0</v>
      </c>
      <c r="X58">
        <f>(Y58/Z58*100)</f>
        <v>0</v>
      </c>
      <c r="Y58">
        <f>DF58*(DK58+DL58)/1000</f>
        <v>0</v>
      </c>
      <c r="Z58">
        <f>0.61365*exp(17.502*DM58/(240.97+DM58))</f>
        <v>0</v>
      </c>
      <c r="AA58">
        <f>(W58-DF58*(DK58+DL58)/1000)</f>
        <v>0</v>
      </c>
      <c r="AB58">
        <f>(-I58*44100)</f>
        <v>0</v>
      </c>
      <c r="AC58">
        <f>2*29.3*Q58*0.92*(DM58-V58)</f>
        <v>0</v>
      </c>
      <c r="AD58">
        <f>2*0.95*5.67E-8*(((DM58+$B$9)+273)^4-(V58+273)^4)</f>
        <v>0</v>
      </c>
      <c r="AE58">
        <f>T58+AD58+AB58+AC58</f>
        <v>0</v>
      </c>
      <c r="AF58">
        <v>0</v>
      </c>
      <c r="AG58">
        <v>0</v>
      </c>
      <c r="AH58">
        <f>IF(AF58*$H$15&gt;=AJ58,1.0,(AJ58/(AJ58-AF58*$H$15)))</f>
        <v>0</v>
      </c>
      <c r="AI58">
        <f>(AH58-1)*100</f>
        <v>0</v>
      </c>
      <c r="AJ58">
        <f>MAX(0,($B$15+$C$15*DR58)/(1+$D$15*DR58)*DK58/(DM58+273)*$E$15)</f>
        <v>0</v>
      </c>
      <c r="AK58" t="s">
        <v>420</v>
      </c>
      <c r="AL58" t="s">
        <v>420</v>
      </c>
      <c r="AM58">
        <v>0</v>
      </c>
      <c r="AN58">
        <v>0</v>
      </c>
      <c r="AO58">
        <f>1-AM58/AN58</f>
        <v>0</v>
      </c>
      <c r="AP58">
        <v>0</v>
      </c>
      <c r="AQ58" t="s">
        <v>420</v>
      </c>
      <c r="AR58" t="s">
        <v>420</v>
      </c>
      <c r="AS58">
        <v>0</v>
      </c>
      <c r="AT58">
        <v>0</v>
      </c>
      <c r="AU58">
        <f>1-AS58/AT58</f>
        <v>0</v>
      </c>
      <c r="AV58">
        <v>0.5</v>
      </c>
      <c r="AW58">
        <f>CV58</f>
        <v>0</v>
      </c>
      <c r="AX58">
        <f>K58</f>
        <v>0</v>
      </c>
      <c r="AY58">
        <f>AU58*AV58*AW58</f>
        <v>0</v>
      </c>
      <c r="AZ58">
        <f>(AX58-AP58)/AW58</f>
        <v>0</v>
      </c>
      <c r="BA58">
        <f>(AN58-AT58)/AT58</f>
        <v>0</v>
      </c>
      <c r="BB58">
        <f>AM58/(AO58+AM58/AT58)</f>
        <v>0</v>
      </c>
      <c r="BC58" t="s">
        <v>420</v>
      </c>
      <c r="BD58">
        <v>0</v>
      </c>
      <c r="BE58">
        <f>IF(BD58&lt;&gt;0, BD58, BB58)</f>
        <v>0</v>
      </c>
      <c r="BF58">
        <f>1-BE58/AT58</f>
        <v>0</v>
      </c>
      <c r="BG58">
        <f>(AT58-AS58)/(AT58-BE58)</f>
        <v>0</v>
      </c>
      <c r="BH58">
        <f>(AN58-AT58)/(AN58-BE58)</f>
        <v>0</v>
      </c>
      <c r="BI58">
        <f>(AT58-AS58)/(AT58-AM58)</f>
        <v>0</v>
      </c>
      <c r="BJ58">
        <f>(AN58-AT58)/(AN58-AM58)</f>
        <v>0</v>
      </c>
      <c r="BK58">
        <f>(BG58*BE58/AS58)</f>
        <v>0</v>
      </c>
      <c r="BL58">
        <f>(1-BK58)</f>
        <v>0</v>
      </c>
      <c r="CU58">
        <f>$B$13*DS58+$C$13*DT58+$F$13*EE58*(1-EH58)</f>
        <v>0</v>
      </c>
      <c r="CV58">
        <f>CU58*CW58</f>
        <v>0</v>
      </c>
      <c r="CW58">
        <f>($B$13*$D$11+$C$13*$D$11+$F$13*((ER58+EJ58)/MAX(ER58+EJ58+ES58, 0.1)*$I$11+ES58/MAX(ER58+EJ58+ES58, 0.1)*$J$11))/($B$13+$C$13+$F$13)</f>
        <v>0</v>
      </c>
      <c r="CX58">
        <f>($B$13*$K$11+$C$13*$K$11+$F$13*((ER58+EJ58)/MAX(ER58+EJ58+ES58, 0.1)*$P$11+ES58/MAX(ER58+EJ58+ES58, 0.1)*$Q$11))/($B$13+$C$13+$F$13)</f>
        <v>0</v>
      </c>
      <c r="CY58">
        <v>4.16</v>
      </c>
      <c r="CZ58">
        <v>0.5</v>
      </c>
      <c r="DA58" t="s">
        <v>421</v>
      </c>
      <c r="DB58">
        <v>2</v>
      </c>
      <c r="DC58">
        <v>1761018323</v>
      </c>
      <c r="DD58">
        <v>420.5902222222222</v>
      </c>
      <c r="DE58">
        <v>420.0513333333333</v>
      </c>
      <c r="DF58">
        <v>23.95935555555555</v>
      </c>
      <c r="DG58">
        <v>23.75217777777778</v>
      </c>
      <c r="DH58">
        <v>421.4141111111111</v>
      </c>
      <c r="DI58">
        <v>23.75756666666667</v>
      </c>
      <c r="DJ58">
        <v>500.0309999999999</v>
      </c>
      <c r="DK58">
        <v>90.78665555555557</v>
      </c>
      <c r="DL58">
        <v>0.03492798888888889</v>
      </c>
      <c r="DM58">
        <v>30.37237777777778</v>
      </c>
      <c r="DN58">
        <v>30.0153</v>
      </c>
      <c r="DO58">
        <v>999.9000000000001</v>
      </c>
      <c r="DP58">
        <v>0</v>
      </c>
      <c r="DQ58">
        <v>0</v>
      </c>
      <c r="DR58">
        <v>10006.04666666667</v>
      </c>
      <c r="DS58">
        <v>0</v>
      </c>
      <c r="DT58">
        <v>0.242856</v>
      </c>
      <c r="DU58">
        <v>0.5388930000000001</v>
      </c>
      <c r="DV58">
        <v>430.9146666666667</v>
      </c>
      <c r="DW58">
        <v>430.2712222222222</v>
      </c>
      <c r="DX58">
        <v>0.2071718888888889</v>
      </c>
      <c r="DY58">
        <v>420.0513333333333</v>
      </c>
      <c r="DZ58">
        <v>23.75217777777778</v>
      </c>
      <c r="EA58">
        <v>2.175191111111111</v>
      </c>
      <c r="EB58">
        <v>2.156383333333334</v>
      </c>
      <c r="EC58">
        <v>18.78075555555555</v>
      </c>
      <c r="ED58">
        <v>18.64187777777778</v>
      </c>
      <c r="EE58">
        <v>0.00500078</v>
      </c>
      <c r="EF58">
        <v>0</v>
      </c>
      <c r="EG58">
        <v>0</v>
      </c>
      <c r="EH58">
        <v>0</v>
      </c>
      <c r="EI58">
        <v>528.4777777777778</v>
      </c>
      <c r="EJ58">
        <v>0.00500078</v>
      </c>
      <c r="EK58">
        <v>-17.04444444444445</v>
      </c>
      <c r="EL58">
        <v>-0.4444444444444444</v>
      </c>
      <c r="EM58">
        <v>35.77755555555556</v>
      </c>
      <c r="EN58">
        <v>40.437</v>
      </c>
      <c r="EO58">
        <v>38.333</v>
      </c>
      <c r="EP58">
        <v>41.29822222222222</v>
      </c>
      <c r="EQ58">
        <v>38.96511111111111</v>
      </c>
      <c r="ER58">
        <v>0</v>
      </c>
      <c r="ES58">
        <v>0</v>
      </c>
      <c r="ET58">
        <v>0</v>
      </c>
      <c r="EU58">
        <v>1761018325.3</v>
      </c>
      <c r="EV58">
        <v>0</v>
      </c>
      <c r="EW58">
        <v>530.456</v>
      </c>
      <c r="EX58">
        <v>-0.3999998294391851</v>
      </c>
      <c r="EY58">
        <v>-28.60000005929898</v>
      </c>
      <c r="EZ58">
        <v>-15.48</v>
      </c>
      <c r="FA58">
        <v>15</v>
      </c>
      <c r="FB58">
        <v>1761018162.5</v>
      </c>
      <c r="FC58" t="s">
        <v>490</v>
      </c>
      <c r="FD58">
        <v>1761018155.5</v>
      </c>
      <c r="FE58">
        <v>1761018162.5</v>
      </c>
      <c r="FF58">
        <v>24</v>
      </c>
      <c r="FG58">
        <v>-0.207</v>
      </c>
      <c r="FH58">
        <v>-0.006</v>
      </c>
      <c r="FI58">
        <v>-0.825</v>
      </c>
      <c r="FJ58">
        <v>0.194</v>
      </c>
      <c r="FK58">
        <v>420</v>
      </c>
      <c r="FL58">
        <v>24</v>
      </c>
      <c r="FM58">
        <v>0.19</v>
      </c>
      <c r="FN58">
        <v>0.1</v>
      </c>
      <c r="FO58">
        <v>0.5554713170731708</v>
      </c>
      <c r="FP58">
        <v>0.0182054216027886</v>
      </c>
      <c r="FQ58">
        <v>0.0601536213939103</v>
      </c>
      <c r="FR58">
        <v>1</v>
      </c>
      <c r="FS58">
        <v>528.8735294117646</v>
      </c>
      <c r="FT58">
        <v>11.88846450945424</v>
      </c>
      <c r="FU58">
        <v>6.498022722948771</v>
      </c>
      <c r="FV58">
        <v>0</v>
      </c>
      <c r="FW58">
        <v>0.05729299953658536</v>
      </c>
      <c r="FX58">
        <v>1.258788142055749</v>
      </c>
      <c r="FY58">
        <v>0.1253489073482379</v>
      </c>
      <c r="FZ58">
        <v>0</v>
      </c>
      <c r="GA58">
        <v>1</v>
      </c>
      <c r="GB58">
        <v>3</v>
      </c>
      <c r="GC58" t="s">
        <v>431</v>
      </c>
      <c r="GD58">
        <v>3.10975</v>
      </c>
      <c r="GE58">
        <v>2.72656</v>
      </c>
      <c r="GF58">
        <v>0.0886966</v>
      </c>
      <c r="GG58">
        <v>0.08851349999999999</v>
      </c>
      <c r="GH58">
        <v>0.108444</v>
      </c>
      <c r="GI58">
        <v>0.108848</v>
      </c>
      <c r="GJ58">
        <v>23905</v>
      </c>
      <c r="GK58">
        <v>21678.5</v>
      </c>
      <c r="GL58">
        <v>26790</v>
      </c>
      <c r="GM58">
        <v>23991.1</v>
      </c>
      <c r="GN58">
        <v>38164.6</v>
      </c>
      <c r="GO58">
        <v>31544.1</v>
      </c>
      <c r="GP58">
        <v>46760.4</v>
      </c>
      <c r="GQ58">
        <v>37933.7</v>
      </c>
      <c r="GR58">
        <v>1.88967</v>
      </c>
      <c r="GS58">
        <v>1.87965</v>
      </c>
      <c r="GT58">
        <v>0.129279</v>
      </c>
      <c r="GU58">
        <v>0</v>
      </c>
      <c r="GV58">
        <v>27.9127</v>
      </c>
      <c r="GW58">
        <v>999.9</v>
      </c>
      <c r="GX58">
        <v>63.5</v>
      </c>
      <c r="GY58">
        <v>29</v>
      </c>
      <c r="GZ58">
        <v>28.1295</v>
      </c>
      <c r="HA58">
        <v>60.87</v>
      </c>
      <c r="HB58">
        <v>19.9479</v>
      </c>
      <c r="HC58">
        <v>1</v>
      </c>
      <c r="HD58">
        <v>0.0503354</v>
      </c>
      <c r="HE58">
        <v>-2.12837</v>
      </c>
      <c r="HF58">
        <v>20.3246</v>
      </c>
      <c r="HG58">
        <v>5.22163</v>
      </c>
      <c r="HH58">
        <v>11.98</v>
      </c>
      <c r="HI58">
        <v>4.96515</v>
      </c>
      <c r="HJ58">
        <v>3.27598</v>
      </c>
      <c r="HK58">
        <v>9999</v>
      </c>
      <c r="HL58">
        <v>9999</v>
      </c>
      <c r="HM58">
        <v>9999</v>
      </c>
      <c r="HN58">
        <v>999.9</v>
      </c>
      <c r="HO58">
        <v>1.86357</v>
      </c>
      <c r="HP58">
        <v>1.85974</v>
      </c>
      <c r="HQ58">
        <v>1.858</v>
      </c>
      <c r="HR58">
        <v>1.85941</v>
      </c>
      <c r="HS58">
        <v>1.85959</v>
      </c>
      <c r="HT58">
        <v>1.85804</v>
      </c>
      <c r="HU58">
        <v>1.85707</v>
      </c>
      <c r="HV58">
        <v>1.85209</v>
      </c>
      <c r="HW58">
        <v>0</v>
      </c>
      <c r="HX58">
        <v>0</v>
      </c>
      <c r="HY58">
        <v>0</v>
      </c>
      <c r="HZ58">
        <v>0</v>
      </c>
      <c r="IA58" t="s">
        <v>424</v>
      </c>
      <c r="IB58" t="s">
        <v>425</v>
      </c>
      <c r="IC58" t="s">
        <v>426</v>
      </c>
      <c r="ID58" t="s">
        <v>426</v>
      </c>
      <c r="IE58" t="s">
        <v>426</v>
      </c>
      <c r="IF58" t="s">
        <v>426</v>
      </c>
      <c r="IG58">
        <v>0</v>
      </c>
      <c r="IH58">
        <v>100</v>
      </c>
      <c r="II58">
        <v>100</v>
      </c>
      <c r="IJ58">
        <v>-0.824</v>
      </c>
      <c r="IK58">
        <v>0.2007</v>
      </c>
      <c r="IL58">
        <v>-1.613291919289301</v>
      </c>
      <c r="IM58">
        <v>0.001328113201692861</v>
      </c>
      <c r="IN58">
        <v>1.538283238170363E-06</v>
      </c>
      <c r="IO58">
        <v>-5.795655626708063E-10</v>
      </c>
      <c r="IP58">
        <v>-0.05565860728478197</v>
      </c>
      <c r="IQ58">
        <v>-0.004593102289677449</v>
      </c>
      <c r="IR58">
        <v>0.0008253994458280543</v>
      </c>
      <c r="IS58">
        <v>-7.403632370499484E-06</v>
      </c>
      <c r="IT58">
        <v>2</v>
      </c>
      <c r="IU58">
        <v>1985</v>
      </c>
      <c r="IV58">
        <v>1</v>
      </c>
      <c r="IW58">
        <v>27</v>
      </c>
      <c r="IX58">
        <v>2.8</v>
      </c>
      <c r="IY58">
        <v>2.7</v>
      </c>
      <c r="IZ58">
        <v>1.12305</v>
      </c>
      <c r="JA58">
        <v>2.56226</v>
      </c>
      <c r="JB58">
        <v>1.49658</v>
      </c>
      <c r="JC58">
        <v>2.34253</v>
      </c>
      <c r="JD58">
        <v>1.54907</v>
      </c>
      <c r="JE58">
        <v>2.41821</v>
      </c>
      <c r="JF58">
        <v>31.8269</v>
      </c>
      <c r="JG58">
        <v>14.6224</v>
      </c>
      <c r="JH58">
        <v>18</v>
      </c>
      <c r="JI58">
        <v>483.468</v>
      </c>
      <c r="JJ58">
        <v>506.799</v>
      </c>
      <c r="JK58">
        <v>31.6399</v>
      </c>
      <c r="JL58">
        <v>27.9039</v>
      </c>
      <c r="JM58">
        <v>29.9996</v>
      </c>
      <c r="JN58">
        <v>28.2285</v>
      </c>
      <c r="JO58">
        <v>28.2358</v>
      </c>
      <c r="JP58">
        <v>22.5823</v>
      </c>
      <c r="JQ58">
        <v>20.004</v>
      </c>
      <c r="JR58">
        <v>81.91240000000001</v>
      </c>
      <c r="JS58">
        <v>31.6492</v>
      </c>
      <c r="JT58">
        <v>420</v>
      </c>
      <c r="JU58">
        <v>23.8152</v>
      </c>
      <c r="JV58">
        <v>102.254</v>
      </c>
      <c r="JW58">
        <v>91.50320000000001</v>
      </c>
    </row>
    <row r="59" spans="1:283">
      <c r="A59">
        <v>41</v>
      </c>
      <c r="B59">
        <v>1761018328</v>
      </c>
      <c r="C59">
        <v>258.5</v>
      </c>
      <c r="D59" t="s">
        <v>509</v>
      </c>
      <c r="E59" t="s">
        <v>510</v>
      </c>
      <c r="F59">
        <v>5</v>
      </c>
      <c r="G59" t="s">
        <v>489</v>
      </c>
      <c r="H59">
        <v>1761018325</v>
      </c>
      <c r="I59">
        <f>(J59)/1000</f>
        <v>0</v>
      </c>
      <c r="J59">
        <f>1000*DJ59*AH59*(DF59-DG59)/(100*CY59*(1000-AH59*DF59))</f>
        <v>0</v>
      </c>
      <c r="K59">
        <f>DJ59*AH59*(DE59-DD59*(1000-AH59*DG59)/(1000-AH59*DF59))/(100*CY59)</f>
        <v>0</v>
      </c>
      <c r="L59">
        <f>DD59 - IF(AH59&gt;1, K59*CY59*100.0/(AJ59), 0)</f>
        <v>0</v>
      </c>
      <c r="M59">
        <f>((S59-I59/2)*L59-K59)/(S59+I59/2)</f>
        <v>0</v>
      </c>
      <c r="N59">
        <f>M59*(DK59+DL59)/1000.0</f>
        <v>0</v>
      </c>
      <c r="O59">
        <f>(DD59 - IF(AH59&gt;1, K59*CY59*100.0/(AJ59), 0))*(DK59+DL59)/1000.0</f>
        <v>0</v>
      </c>
      <c r="P59">
        <f>2.0/((1/R59-1/Q59)+SIGN(R59)*SQRT((1/R59-1/Q59)*(1/R59-1/Q59) + 4*CZ59/((CZ59+1)*(CZ59+1))*(2*1/R59*1/Q59-1/Q59*1/Q59)))</f>
        <v>0</v>
      </c>
      <c r="Q59">
        <f>IF(LEFT(DA59,1)&lt;&gt;"0",IF(LEFT(DA59,1)="1",3.0,DB59),$D$5+$E$5*(DR59*DK59/($K$5*1000))+$F$5*(DR59*DK59/($K$5*1000))*MAX(MIN(CY59,$J$5),$I$5)*MAX(MIN(CY59,$J$5),$I$5)+$G$5*MAX(MIN(CY59,$J$5),$I$5)*(DR59*DK59/($K$5*1000))+$H$5*(DR59*DK59/($K$5*1000))*(DR59*DK59/($K$5*1000)))</f>
        <v>0</v>
      </c>
      <c r="R59">
        <f>I59*(1000-(1000*0.61365*exp(17.502*V59/(240.97+V59))/(DK59+DL59)+DF59)/2)/(1000*0.61365*exp(17.502*V59/(240.97+V59))/(DK59+DL59)-DF59)</f>
        <v>0</v>
      </c>
      <c r="S59">
        <f>1/((CZ59+1)/(P59/1.6)+1/(Q59/1.37)) + CZ59/((CZ59+1)/(P59/1.6) + CZ59/(Q59/1.37))</f>
        <v>0</v>
      </c>
      <c r="T59">
        <f>(CU59*CX59)</f>
        <v>0</v>
      </c>
      <c r="U59">
        <f>(DM59+(T59+2*0.95*5.67E-8*(((DM59+$B$9)+273)^4-(DM59+273)^4)-44100*I59)/(1.84*29.3*Q59+8*0.95*5.67E-8*(DM59+273)^3))</f>
        <v>0</v>
      </c>
      <c r="V59">
        <f>($C$9*DN59+$D$9*DO59+$E$9*U59)</f>
        <v>0</v>
      </c>
      <c r="W59">
        <f>0.61365*exp(17.502*V59/(240.97+V59))</f>
        <v>0</v>
      </c>
      <c r="X59">
        <f>(Y59/Z59*100)</f>
        <v>0</v>
      </c>
      <c r="Y59">
        <f>DF59*(DK59+DL59)/1000</f>
        <v>0</v>
      </c>
      <c r="Z59">
        <f>0.61365*exp(17.502*DM59/(240.97+DM59))</f>
        <v>0</v>
      </c>
      <c r="AA59">
        <f>(W59-DF59*(DK59+DL59)/1000)</f>
        <v>0</v>
      </c>
      <c r="AB59">
        <f>(-I59*44100)</f>
        <v>0</v>
      </c>
      <c r="AC59">
        <f>2*29.3*Q59*0.92*(DM59-V59)</f>
        <v>0</v>
      </c>
      <c r="AD59">
        <f>2*0.95*5.67E-8*(((DM59+$B$9)+273)^4-(V59+273)^4)</f>
        <v>0</v>
      </c>
      <c r="AE59">
        <f>T59+AD59+AB59+AC59</f>
        <v>0</v>
      </c>
      <c r="AF59">
        <v>0</v>
      </c>
      <c r="AG59">
        <v>0</v>
      </c>
      <c r="AH59">
        <f>IF(AF59*$H$15&gt;=AJ59,1.0,(AJ59/(AJ59-AF59*$H$15)))</f>
        <v>0</v>
      </c>
      <c r="AI59">
        <f>(AH59-1)*100</f>
        <v>0</v>
      </c>
      <c r="AJ59">
        <f>MAX(0,($B$15+$C$15*DR59)/(1+$D$15*DR59)*DK59/(DM59+273)*$E$15)</f>
        <v>0</v>
      </c>
      <c r="AK59" t="s">
        <v>420</v>
      </c>
      <c r="AL59" t="s">
        <v>420</v>
      </c>
      <c r="AM59">
        <v>0</v>
      </c>
      <c r="AN59">
        <v>0</v>
      </c>
      <c r="AO59">
        <f>1-AM59/AN59</f>
        <v>0</v>
      </c>
      <c r="AP59">
        <v>0</v>
      </c>
      <c r="AQ59" t="s">
        <v>420</v>
      </c>
      <c r="AR59" t="s">
        <v>420</v>
      </c>
      <c r="AS59">
        <v>0</v>
      </c>
      <c r="AT59">
        <v>0</v>
      </c>
      <c r="AU59">
        <f>1-AS59/AT59</f>
        <v>0</v>
      </c>
      <c r="AV59">
        <v>0.5</v>
      </c>
      <c r="AW59">
        <f>CV59</f>
        <v>0</v>
      </c>
      <c r="AX59">
        <f>K59</f>
        <v>0</v>
      </c>
      <c r="AY59">
        <f>AU59*AV59*AW59</f>
        <v>0</v>
      </c>
      <c r="AZ59">
        <f>(AX59-AP59)/AW59</f>
        <v>0</v>
      </c>
      <c r="BA59">
        <f>(AN59-AT59)/AT59</f>
        <v>0</v>
      </c>
      <c r="BB59">
        <f>AM59/(AO59+AM59/AT59)</f>
        <v>0</v>
      </c>
      <c r="BC59" t="s">
        <v>420</v>
      </c>
      <c r="BD59">
        <v>0</v>
      </c>
      <c r="BE59">
        <f>IF(BD59&lt;&gt;0, BD59, BB59)</f>
        <v>0</v>
      </c>
      <c r="BF59">
        <f>1-BE59/AT59</f>
        <v>0</v>
      </c>
      <c r="BG59">
        <f>(AT59-AS59)/(AT59-BE59)</f>
        <v>0</v>
      </c>
      <c r="BH59">
        <f>(AN59-AT59)/(AN59-BE59)</f>
        <v>0</v>
      </c>
      <c r="BI59">
        <f>(AT59-AS59)/(AT59-AM59)</f>
        <v>0</v>
      </c>
      <c r="BJ59">
        <f>(AN59-AT59)/(AN59-AM59)</f>
        <v>0</v>
      </c>
      <c r="BK59">
        <f>(BG59*BE59/AS59)</f>
        <v>0</v>
      </c>
      <c r="BL59">
        <f>(1-BK59)</f>
        <v>0</v>
      </c>
      <c r="CU59">
        <f>$B$13*DS59+$C$13*DT59+$F$13*EE59*(1-EH59)</f>
        <v>0</v>
      </c>
      <c r="CV59">
        <f>CU59*CW59</f>
        <v>0</v>
      </c>
      <c r="CW59">
        <f>($B$13*$D$11+$C$13*$D$11+$F$13*((ER59+EJ59)/MAX(ER59+EJ59+ES59, 0.1)*$I$11+ES59/MAX(ER59+EJ59+ES59, 0.1)*$J$11))/($B$13+$C$13+$F$13)</f>
        <v>0</v>
      </c>
      <c r="CX59">
        <f>($B$13*$K$11+$C$13*$K$11+$F$13*((ER59+EJ59)/MAX(ER59+EJ59+ES59, 0.1)*$P$11+ES59/MAX(ER59+EJ59+ES59, 0.1)*$Q$11))/($B$13+$C$13+$F$13)</f>
        <v>0</v>
      </c>
      <c r="CY59">
        <v>4.16</v>
      </c>
      <c r="CZ59">
        <v>0.5</v>
      </c>
      <c r="DA59" t="s">
        <v>421</v>
      </c>
      <c r="DB59">
        <v>2</v>
      </c>
      <c r="DC59">
        <v>1761018325</v>
      </c>
      <c r="DD59">
        <v>420.5965555555556</v>
      </c>
      <c r="DE59">
        <v>420.0585555555556</v>
      </c>
      <c r="DF59">
        <v>23.92658888888889</v>
      </c>
      <c r="DG59">
        <v>23.71762222222222</v>
      </c>
      <c r="DH59">
        <v>421.4203333333333</v>
      </c>
      <c r="DI59">
        <v>23.72551111111111</v>
      </c>
      <c r="DJ59">
        <v>500.0651111111112</v>
      </c>
      <c r="DK59">
        <v>90.78748888888889</v>
      </c>
      <c r="DL59">
        <v>0.03468208888888889</v>
      </c>
      <c r="DM59">
        <v>30.37197777777778</v>
      </c>
      <c r="DN59">
        <v>30.01657777777778</v>
      </c>
      <c r="DO59">
        <v>999.9000000000001</v>
      </c>
      <c r="DP59">
        <v>0</v>
      </c>
      <c r="DQ59">
        <v>0</v>
      </c>
      <c r="DR59">
        <v>10019.78888888889</v>
      </c>
      <c r="DS59">
        <v>0</v>
      </c>
      <c r="DT59">
        <v>0.242856</v>
      </c>
      <c r="DU59">
        <v>0.537991111111111</v>
      </c>
      <c r="DV59">
        <v>430.9065555555555</v>
      </c>
      <c r="DW59">
        <v>430.2633333333333</v>
      </c>
      <c r="DX59">
        <v>0.2089817777777778</v>
      </c>
      <c r="DY59">
        <v>420.0585555555556</v>
      </c>
      <c r="DZ59">
        <v>23.71762222222222</v>
      </c>
      <c r="EA59">
        <v>2.172237777777778</v>
      </c>
      <c r="EB59">
        <v>2.153264444444445</v>
      </c>
      <c r="EC59">
        <v>18.75902222222222</v>
      </c>
      <c r="ED59">
        <v>18.61877777777778</v>
      </c>
      <c r="EE59">
        <v>0.00500078</v>
      </c>
      <c r="EF59">
        <v>0</v>
      </c>
      <c r="EG59">
        <v>0</v>
      </c>
      <c r="EH59">
        <v>0</v>
      </c>
      <c r="EI59">
        <v>529.0333333333333</v>
      </c>
      <c r="EJ59">
        <v>0.00500078</v>
      </c>
      <c r="EK59">
        <v>-18.72222222222222</v>
      </c>
      <c r="EL59">
        <v>-0.9333333333333331</v>
      </c>
      <c r="EM59">
        <v>35.77755555555555</v>
      </c>
      <c r="EN59">
        <v>40.458</v>
      </c>
      <c r="EO59">
        <v>38.708</v>
      </c>
      <c r="EP59">
        <v>41.333</v>
      </c>
      <c r="EQ59">
        <v>38.965</v>
      </c>
      <c r="ER59">
        <v>0</v>
      </c>
      <c r="ES59">
        <v>0</v>
      </c>
      <c r="ET59">
        <v>0</v>
      </c>
      <c r="EU59">
        <v>1761018327.1</v>
      </c>
      <c r="EV59">
        <v>0</v>
      </c>
      <c r="EW59">
        <v>531.046153846154</v>
      </c>
      <c r="EX59">
        <v>-5.31282031397823</v>
      </c>
      <c r="EY59">
        <v>-29.79487197231416</v>
      </c>
      <c r="EZ59">
        <v>-16.42692307692307</v>
      </c>
      <c r="FA59">
        <v>15</v>
      </c>
      <c r="FB59">
        <v>1761018162.5</v>
      </c>
      <c r="FC59" t="s">
        <v>490</v>
      </c>
      <c r="FD59">
        <v>1761018155.5</v>
      </c>
      <c r="FE59">
        <v>1761018162.5</v>
      </c>
      <c r="FF59">
        <v>24</v>
      </c>
      <c r="FG59">
        <v>-0.207</v>
      </c>
      <c r="FH59">
        <v>-0.006</v>
      </c>
      <c r="FI59">
        <v>-0.825</v>
      </c>
      <c r="FJ59">
        <v>0.194</v>
      </c>
      <c r="FK59">
        <v>420</v>
      </c>
      <c r="FL59">
        <v>24</v>
      </c>
      <c r="FM59">
        <v>0.19</v>
      </c>
      <c r="FN59">
        <v>0.1</v>
      </c>
      <c r="FO59">
        <v>0.55458455</v>
      </c>
      <c r="FP59">
        <v>0.1793138161350845</v>
      </c>
      <c r="FQ59">
        <v>0.06068152654224759</v>
      </c>
      <c r="FR59">
        <v>1</v>
      </c>
      <c r="FS59">
        <v>528.7764705882353</v>
      </c>
      <c r="FT59">
        <v>25.33842626348518</v>
      </c>
      <c r="FU59">
        <v>6.269020883468991</v>
      </c>
      <c r="FV59">
        <v>0</v>
      </c>
      <c r="FW59">
        <v>0.08766922452500001</v>
      </c>
      <c r="FX59">
        <v>1.154225951853659</v>
      </c>
      <c r="FY59">
        <v>0.114191592417366</v>
      </c>
      <c r="FZ59">
        <v>0</v>
      </c>
      <c r="GA59">
        <v>1</v>
      </c>
      <c r="GB59">
        <v>3</v>
      </c>
      <c r="GC59" t="s">
        <v>431</v>
      </c>
      <c r="GD59">
        <v>3.10985</v>
      </c>
      <c r="GE59">
        <v>2.72605</v>
      </c>
      <c r="GF59">
        <v>0.088702</v>
      </c>
      <c r="GG59">
        <v>0.08851589999999999</v>
      </c>
      <c r="GH59">
        <v>0.108343</v>
      </c>
      <c r="GI59">
        <v>0.108798</v>
      </c>
      <c r="GJ59">
        <v>23904.9</v>
      </c>
      <c r="GK59">
        <v>21678.6</v>
      </c>
      <c r="GL59">
        <v>26790.1</v>
      </c>
      <c r="GM59">
        <v>23991.2</v>
      </c>
      <c r="GN59">
        <v>38169</v>
      </c>
      <c r="GO59">
        <v>31545.9</v>
      </c>
      <c r="GP59">
        <v>46760.4</v>
      </c>
      <c r="GQ59">
        <v>37933.7</v>
      </c>
      <c r="GR59">
        <v>1.89015</v>
      </c>
      <c r="GS59">
        <v>1.87935</v>
      </c>
      <c r="GT59">
        <v>0.128742</v>
      </c>
      <c r="GU59">
        <v>0</v>
      </c>
      <c r="GV59">
        <v>27.9151</v>
      </c>
      <c r="GW59">
        <v>999.9</v>
      </c>
      <c r="GX59">
        <v>63.5</v>
      </c>
      <c r="GY59">
        <v>29</v>
      </c>
      <c r="GZ59">
        <v>28.1275</v>
      </c>
      <c r="HA59">
        <v>61.3</v>
      </c>
      <c r="HB59">
        <v>20.1242</v>
      </c>
      <c r="HC59">
        <v>1</v>
      </c>
      <c r="HD59">
        <v>0.0502185</v>
      </c>
      <c r="HE59">
        <v>-2.14609</v>
      </c>
      <c r="HF59">
        <v>20.3244</v>
      </c>
      <c r="HG59">
        <v>5.22178</v>
      </c>
      <c r="HH59">
        <v>11.98</v>
      </c>
      <c r="HI59">
        <v>4.96535</v>
      </c>
      <c r="HJ59">
        <v>3.27598</v>
      </c>
      <c r="HK59">
        <v>9999</v>
      </c>
      <c r="HL59">
        <v>9999</v>
      </c>
      <c r="HM59">
        <v>9999</v>
      </c>
      <c r="HN59">
        <v>999.9</v>
      </c>
      <c r="HO59">
        <v>1.86356</v>
      </c>
      <c r="HP59">
        <v>1.85974</v>
      </c>
      <c r="HQ59">
        <v>1.858</v>
      </c>
      <c r="HR59">
        <v>1.85942</v>
      </c>
      <c r="HS59">
        <v>1.85959</v>
      </c>
      <c r="HT59">
        <v>1.85805</v>
      </c>
      <c r="HU59">
        <v>1.85711</v>
      </c>
      <c r="HV59">
        <v>1.85209</v>
      </c>
      <c r="HW59">
        <v>0</v>
      </c>
      <c r="HX59">
        <v>0</v>
      </c>
      <c r="HY59">
        <v>0</v>
      </c>
      <c r="HZ59">
        <v>0</v>
      </c>
      <c r="IA59" t="s">
        <v>424</v>
      </c>
      <c r="IB59" t="s">
        <v>425</v>
      </c>
      <c r="IC59" t="s">
        <v>426</v>
      </c>
      <c r="ID59" t="s">
        <v>426</v>
      </c>
      <c r="IE59" t="s">
        <v>426</v>
      </c>
      <c r="IF59" t="s">
        <v>426</v>
      </c>
      <c r="IG59">
        <v>0</v>
      </c>
      <c r="IH59">
        <v>100</v>
      </c>
      <c r="II59">
        <v>100</v>
      </c>
      <c r="IJ59">
        <v>-0.824</v>
      </c>
      <c r="IK59">
        <v>0.2</v>
      </c>
      <c r="IL59">
        <v>-1.613291919289301</v>
      </c>
      <c r="IM59">
        <v>0.001328113201692861</v>
      </c>
      <c r="IN59">
        <v>1.538283238170363E-06</v>
      </c>
      <c r="IO59">
        <v>-5.795655626708063E-10</v>
      </c>
      <c r="IP59">
        <v>-0.05565860728478197</v>
      </c>
      <c r="IQ59">
        <v>-0.004593102289677449</v>
      </c>
      <c r="IR59">
        <v>0.0008253994458280543</v>
      </c>
      <c r="IS59">
        <v>-7.403632370499484E-06</v>
      </c>
      <c r="IT59">
        <v>2</v>
      </c>
      <c r="IU59">
        <v>1985</v>
      </c>
      <c r="IV59">
        <v>1</v>
      </c>
      <c r="IW59">
        <v>27</v>
      </c>
      <c r="IX59">
        <v>2.9</v>
      </c>
      <c r="IY59">
        <v>2.8</v>
      </c>
      <c r="IZ59">
        <v>1.12305</v>
      </c>
      <c r="JA59">
        <v>2.56836</v>
      </c>
      <c r="JB59">
        <v>1.49658</v>
      </c>
      <c r="JC59">
        <v>2.34253</v>
      </c>
      <c r="JD59">
        <v>1.54907</v>
      </c>
      <c r="JE59">
        <v>2.44995</v>
      </c>
      <c r="JF59">
        <v>31.8269</v>
      </c>
      <c r="JG59">
        <v>14.6399</v>
      </c>
      <c r="JH59">
        <v>18</v>
      </c>
      <c r="JI59">
        <v>483.721</v>
      </c>
      <c r="JJ59">
        <v>506.57</v>
      </c>
      <c r="JK59">
        <v>31.6349</v>
      </c>
      <c r="JL59">
        <v>27.9008</v>
      </c>
      <c r="JM59">
        <v>29.9996</v>
      </c>
      <c r="JN59">
        <v>28.2255</v>
      </c>
      <c r="JO59">
        <v>28.2327</v>
      </c>
      <c r="JP59">
        <v>22.5801</v>
      </c>
      <c r="JQ59">
        <v>19.6977</v>
      </c>
      <c r="JR59">
        <v>82.288</v>
      </c>
      <c r="JS59">
        <v>31.6492</v>
      </c>
      <c r="JT59">
        <v>420</v>
      </c>
      <c r="JU59">
        <v>23.8428</v>
      </c>
      <c r="JV59">
        <v>102.255</v>
      </c>
      <c r="JW59">
        <v>91.5034</v>
      </c>
    </row>
    <row r="60" spans="1:283">
      <c r="A60">
        <v>42</v>
      </c>
      <c r="B60">
        <v>1761018330</v>
      </c>
      <c r="C60">
        <v>260.5</v>
      </c>
      <c r="D60" t="s">
        <v>511</v>
      </c>
      <c r="E60" t="s">
        <v>512</v>
      </c>
      <c r="F60">
        <v>5</v>
      </c>
      <c r="G60" t="s">
        <v>489</v>
      </c>
      <c r="H60">
        <v>1761018327</v>
      </c>
      <c r="I60">
        <f>(J60)/1000</f>
        <v>0</v>
      </c>
      <c r="J60">
        <f>1000*DJ60*AH60*(DF60-DG60)/(100*CY60*(1000-AH60*DF60))</f>
        <v>0</v>
      </c>
      <c r="K60">
        <f>DJ60*AH60*(DE60-DD60*(1000-AH60*DG60)/(1000-AH60*DF60))/(100*CY60)</f>
        <v>0</v>
      </c>
      <c r="L60">
        <f>DD60 - IF(AH60&gt;1, K60*CY60*100.0/(AJ60), 0)</f>
        <v>0</v>
      </c>
      <c r="M60">
        <f>((S60-I60/2)*L60-K60)/(S60+I60/2)</f>
        <v>0</v>
      </c>
      <c r="N60">
        <f>M60*(DK60+DL60)/1000.0</f>
        <v>0</v>
      </c>
      <c r="O60">
        <f>(DD60 - IF(AH60&gt;1, K60*CY60*100.0/(AJ60), 0))*(DK60+DL60)/1000.0</f>
        <v>0</v>
      </c>
      <c r="P60">
        <f>2.0/((1/R60-1/Q60)+SIGN(R60)*SQRT((1/R60-1/Q60)*(1/R60-1/Q60) + 4*CZ60/((CZ60+1)*(CZ60+1))*(2*1/R60*1/Q60-1/Q60*1/Q60)))</f>
        <v>0</v>
      </c>
      <c r="Q60">
        <f>IF(LEFT(DA60,1)&lt;&gt;"0",IF(LEFT(DA60,1)="1",3.0,DB60),$D$5+$E$5*(DR60*DK60/($K$5*1000))+$F$5*(DR60*DK60/($K$5*1000))*MAX(MIN(CY60,$J$5),$I$5)*MAX(MIN(CY60,$J$5),$I$5)+$G$5*MAX(MIN(CY60,$J$5),$I$5)*(DR60*DK60/($K$5*1000))+$H$5*(DR60*DK60/($K$5*1000))*(DR60*DK60/($K$5*1000)))</f>
        <v>0</v>
      </c>
      <c r="R60">
        <f>I60*(1000-(1000*0.61365*exp(17.502*V60/(240.97+V60))/(DK60+DL60)+DF60)/2)/(1000*0.61365*exp(17.502*V60/(240.97+V60))/(DK60+DL60)-DF60)</f>
        <v>0</v>
      </c>
      <c r="S60">
        <f>1/((CZ60+1)/(P60/1.6)+1/(Q60/1.37)) + CZ60/((CZ60+1)/(P60/1.6) + CZ60/(Q60/1.37))</f>
        <v>0</v>
      </c>
      <c r="T60">
        <f>(CU60*CX60)</f>
        <v>0</v>
      </c>
      <c r="U60">
        <f>(DM60+(T60+2*0.95*5.67E-8*(((DM60+$B$9)+273)^4-(DM60+273)^4)-44100*I60)/(1.84*29.3*Q60+8*0.95*5.67E-8*(DM60+273)^3))</f>
        <v>0</v>
      </c>
      <c r="V60">
        <f>($C$9*DN60+$D$9*DO60+$E$9*U60)</f>
        <v>0</v>
      </c>
      <c r="W60">
        <f>0.61365*exp(17.502*V60/(240.97+V60))</f>
        <v>0</v>
      </c>
      <c r="X60">
        <f>(Y60/Z60*100)</f>
        <v>0</v>
      </c>
      <c r="Y60">
        <f>DF60*(DK60+DL60)/1000</f>
        <v>0</v>
      </c>
      <c r="Z60">
        <f>0.61365*exp(17.502*DM60/(240.97+DM60))</f>
        <v>0</v>
      </c>
      <c r="AA60">
        <f>(W60-DF60*(DK60+DL60)/1000)</f>
        <v>0</v>
      </c>
      <c r="AB60">
        <f>(-I60*44100)</f>
        <v>0</v>
      </c>
      <c r="AC60">
        <f>2*29.3*Q60*0.92*(DM60-V60)</f>
        <v>0</v>
      </c>
      <c r="AD60">
        <f>2*0.95*5.67E-8*(((DM60+$B$9)+273)^4-(V60+273)^4)</f>
        <v>0</v>
      </c>
      <c r="AE60">
        <f>T60+AD60+AB60+AC60</f>
        <v>0</v>
      </c>
      <c r="AF60">
        <v>0</v>
      </c>
      <c r="AG60">
        <v>0</v>
      </c>
      <c r="AH60">
        <f>IF(AF60*$H$15&gt;=AJ60,1.0,(AJ60/(AJ60-AF60*$H$15)))</f>
        <v>0</v>
      </c>
      <c r="AI60">
        <f>(AH60-1)*100</f>
        <v>0</v>
      </c>
      <c r="AJ60">
        <f>MAX(0,($B$15+$C$15*DR60)/(1+$D$15*DR60)*DK60/(DM60+273)*$E$15)</f>
        <v>0</v>
      </c>
      <c r="AK60" t="s">
        <v>420</v>
      </c>
      <c r="AL60" t="s">
        <v>420</v>
      </c>
      <c r="AM60">
        <v>0</v>
      </c>
      <c r="AN60">
        <v>0</v>
      </c>
      <c r="AO60">
        <f>1-AM60/AN60</f>
        <v>0</v>
      </c>
      <c r="AP60">
        <v>0</v>
      </c>
      <c r="AQ60" t="s">
        <v>420</v>
      </c>
      <c r="AR60" t="s">
        <v>420</v>
      </c>
      <c r="AS60">
        <v>0</v>
      </c>
      <c r="AT60">
        <v>0</v>
      </c>
      <c r="AU60">
        <f>1-AS60/AT60</f>
        <v>0</v>
      </c>
      <c r="AV60">
        <v>0.5</v>
      </c>
      <c r="AW60">
        <f>CV60</f>
        <v>0</v>
      </c>
      <c r="AX60">
        <f>K60</f>
        <v>0</v>
      </c>
      <c r="AY60">
        <f>AU60*AV60*AW60</f>
        <v>0</v>
      </c>
      <c r="AZ60">
        <f>(AX60-AP60)/AW60</f>
        <v>0</v>
      </c>
      <c r="BA60">
        <f>(AN60-AT60)/AT60</f>
        <v>0</v>
      </c>
      <c r="BB60">
        <f>AM60/(AO60+AM60/AT60)</f>
        <v>0</v>
      </c>
      <c r="BC60" t="s">
        <v>420</v>
      </c>
      <c r="BD60">
        <v>0</v>
      </c>
      <c r="BE60">
        <f>IF(BD60&lt;&gt;0, BD60, BB60)</f>
        <v>0</v>
      </c>
      <c r="BF60">
        <f>1-BE60/AT60</f>
        <v>0</v>
      </c>
      <c r="BG60">
        <f>(AT60-AS60)/(AT60-BE60)</f>
        <v>0</v>
      </c>
      <c r="BH60">
        <f>(AN60-AT60)/(AN60-BE60)</f>
        <v>0</v>
      </c>
      <c r="BI60">
        <f>(AT60-AS60)/(AT60-AM60)</f>
        <v>0</v>
      </c>
      <c r="BJ60">
        <f>(AN60-AT60)/(AN60-AM60)</f>
        <v>0</v>
      </c>
      <c r="BK60">
        <f>(BG60*BE60/AS60)</f>
        <v>0</v>
      </c>
      <c r="BL60">
        <f>(1-BK60)</f>
        <v>0</v>
      </c>
      <c r="CU60">
        <f>$B$13*DS60+$C$13*DT60+$F$13*EE60*(1-EH60)</f>
        <v>0</v>
      </c>
      <c r="CV60">
        <f>CU60*CW60</f>
        <v>0</v>
      </c>
      <c r="CW60">
        <f>($B$13*$D$11+$C$13*$D$11+$F$13*((ER60+EJ60)/MAX(ER60+EJ60+ES60, 0.1)*$I$11+ES60/MAX(ER60+EJ60+ES60, 0.1)*$J$11))/($B$13+$C$13+$F$13)</f>
        <v>0</v>
      </c>
      <c r="CX60">
        <f>($B$13*$K$11+$C$13*$K$11+$F$13*((ER60+EJ60)/MAX(ER60+EJ60+ES60, 0.1)*$P$11+ES60/MAX(ER60+EJ60+ES60, 0.1)*$Q$11))/($B$13+$C$13+$F$13)</f>
        <v>0</v>
      </c>
      <c r="CY60">
        <v>4.16</v>
      </c>
      <c r="CZ60">
        <v>0.5</v>
      </c>
      <c r="DA60" t="s">
        <v>421</v>
      </c>
      <c r="DB60">
        <v>2</v>
      </c>
      <c r="DC60">
        <v>1761018327</v>
      </c>
      <c r="DD60">
        <v>420.6163333333334</v>
      </c>
      <c r="DE60">
        <v>420.0474444444445</v>
      </c>
      <c r="DF60">
        <v>23.89401111111111</v>
      </c>
      <c r="DG60">
        <v>23.69527777777778</v>
      </c>
      <c r="DH60">
        <v>421.4397777777778</v>
      </c>
      <c r="DI60">
        <v>23.69362222222222</v>
      </c>
      <c r="DJ60">
        <v>500.0917777777778</v>
      </c>
      <c r="DK60">
        <v>90.78752222222222</v>
      </c>
      <c r="DL60">
        <v>0.03448532222222222</v>
      </c>
      <c r="DM60">
        <v>30.371</v>
      </c>
      <c r="DN60">
        <v>30.0153</v>
      </c>
      <c r="DO60">
        <v>999.9000000000001</v>
      </c>
      <c r="DP60">
        <v>0</v>
      </c>
      <c r="DQ60">
        <v>0</v>
      </c>
      <c r="DR60">
        <v>10019.38111111111</v>
      </c>
      <c r="DS60">
        <v>0</v>
      </c>
      <c r="DT60">
        <v>0.242856</v>
      </c>
      <c r="DU60">
        <v>0.5687324444444444</v>
      </c>
      <c r="DV60">
        <v>430.9124444444444</v>
      </c>
      <c r="DW60">
        <v>430.2421111111111</v>
      </c>
      <c r="DX60">
        <v>0.1987472222222222</v>
      </c>
      <c r="DY60">
        <v>420.0474444444445</v>
      </c>
      <c r="DZ60">
        <v>23.69527777777778</v>
      </c>
      <c r="EA60">
        <v>2.169281111111111</v>
      </c>
      <c r="EB60">
        <v>2.151236666666667</v>
      </c>
      <c r="EC60">
        <v>18.73723333333333</v>
      </c>
      <c r="ED60">
        <v>18.60373333333333</v>
      </c>
      <c r="EE60">
        <v>0.00500078</v>
      </c>
      <c r="EF60">
        <v>0</v>
      </c>
      <c r="EG60">
        <v>0</v>
      </c>
      <c r="EH60">
        <v>0</v>
      </c>
      <c r="EI60">
        <v>525.1222222222221</v>
      </c>
      <c r="EJ60">
        <v>0.00500078</v>
      </c>
      <c r="EK60">
        <v>-12.75555555555556</v>
      </c>
      <c r="EL60">
        <v>-0.3333333333333333</v>
      </c>
      <c r="EM60">
        <v>35.79822222222222</v>
      </c>
      <c r="EN60">
        <v>40.479</v>
      </c>
      <c r="EO60">
        <v>38.41644444444444</v>
      </c>
      <c r="EP60">
        <v>41.36777777777777</v>
      </c>
      <c r="EQ60">
        <v>38.965</v>
      </c>
      <c r="ER60">
        <v>0</v>
      </c>
      <c r="ES60">
        <v>0</v>
      </c>
      <c r="ET60">
        <v>0</v>
      </c>
      <c r="EU60">
        <v>1761018328.9</v>
      </c>
      <c r="EV60">
        <v>0</v>
      </c>
      <c r="EW60">
        <v>529.588</v>
      </c>
      <c r="EX60">
        <v>-30.76923043248163</v>
      </c>
      <c r="EY60">
        <v>6.423076702316341</v>
      </c>
      <c r="EZ60">
        <v>-16.816</v>
      </c>
      <c r="FA60">
        <v>15</v>
      </c>
      <c r="FB60">
        <v>1761018162.5</v>
      </c>
      <c r="FC60" t="s">
        <v>490</v>
      </c>
      <c r="FD60">
        <v>1761018155.5</v>
      </c>
      <c r="FE60">
        <v>1761018162.5</v>
      </c>
      <c r="FF60">
        <v>24</v>
      </c>
      <c r="FG60">
        <v>-0.207</v>
      </c>
      <c r="FH60">
        <v>-0.006</v>
      </c>
      <c r="FI60">
        <v>-0.825</v>
      </c>
      <c r="FJ60">
        <v>0.194</v>
      </c>
      <c r="FK60">
        <v>420</v>
      </c>
      <c r="FL60">
        <v>24</v>
      </c>
      <c r="FM60">
        <v>0.19</v>
      </c>
      <c r="FN60">
        <v>0.1</v>
      </c>
      <c r="FO60">
        <v>0.5598584146341463</v>
      </c>
      <c r="FP60">
        <v>0.1957326898954696</v>
      </c>
      <c r="FQ60">
        <v>0.0595807477904323</v>
      </c>
      <c r="FR60">
        <v>1</v>
      </c>
      <c r="FS60">
        <v>529.0205882352941</v>
      </c>
      <c r="FT60">
        <v>4.618793025505737</v>
      </c>
      <c r="FU60">
        <v>6.558191080032246</v>
      </c>
      <c r="FV60">
        <v>0</v>
      </c>
      <c r="FW60">
        <v>0.1182985653902439</v>
      </c>
      <c r="FX60">
        <v>0.9008208197979093</v>
      </c>
      <c r="FY60">
        <v>0.09738957003034646</v>
      </c>
      <c r="FZ60">
        <v>0</v>
      </c>
      <c r="GA60">
        <v>1</v>
      </c>
      <c r="GB60">
        <v>3</v>
      </c>
      <c r="GC60" t="s">
        <v>431</v>
      </c>
      <c r="GD60">
        <v>3.10951</v>
      </c>
      <c r="GE60">
        <v>2.72609</v>
      </c>
      <c r="GF60">
        <v>0.08869440000000001</v>
      </c>
      <c r="GG60">
        <v>0.0885161</v>
      </c>
      <c r="GH60">
        <v>0.108258</v>
      </c>
      <c r="GI60">
        <v>0.108764</v>
      </c>
      <c r="GJ60">
        <v>23905.2</v>
      </c>
      <c r="GK60">
        <v>21678.7</v>
      </c>
      <c r="GL60">
        <v>26790.2</v>
      </c>
      <c r="GM60">
        <v>23991.3</v>
      </c>
      <c r="GN60">
        <v>38172.7</v>
      </c>
      <c r="GO60">
        <v>31547.2</v>
      </c>
      <c r="GP60">
        <v>46760.4</v>
      </c>
      <c r="GQ60">
        <v>37933.9</v>
      </c>
      <c r="GR60">
        <v>1.88953</v>
      </c>
      <c r="GS60">
        <v>1.8799</v>
      </c>
      <c r="GT60">
        <v>0.128161</v>
      </c>
      <c r="GU60">
        <v>0</v>
      </c>
      <c r="GV60">
        <v>27.9175</v>
      </c>
      <c r="GW60">
        <v>999.9</v>
      </c>
      <c r="GX60">
        <v>63.5</v>
      </c>
      <c r="GY60">
        <v>29</v>
      </c>
      <c r="GZ60">
        <v>28.1283</v>
      </c>
      <c r="HA60">
        <v>61.13</v>
      </c>
      <c r="HB60">
        <v>19.992</v>
      </c>
      <c r="HC60">
        <v>1</v>
      </c>
      <c r="HD60">
        <v>0.049939</v>
      </c>
      <c r="HE60">
        <v>-2.16993</v>
      </c>
      <c r="HF60">
        <v>20.3241</v>
      </c>
      <c r="HG60">
        <v>5.22193</v>
      </c>
      <c r="HH60">
        <v>11.98</v>
      </c>
      <c r="HI60">
        <v>4.96555</v>
      </c>
      <c r="HJ60">
        <v>3.27598</v>
      </c>
      <c r="HK60">
        <v>9999</v>
      </c>
      <c r="HL60">
        <v>9999</v>
      </c>
      <c r="HM60">
        <v>9999</v>
      </c>
      <c r="HN60">
        <v>999.9</v>
      </c>
      <c r="HO60">
        <v>1.86356</v>
      </c>
      <c r="HP60">
        <v>1.85974</v>
      </c>
      <c r="HQ60">
        <v>1.85799</v>
      </c>
      <c r="HR60">
        <v>1.8594</v>
      </c>
      <c r="HS60">
        <v>1.85959</v>
      </c>
      <c r="HT60">
        <v>1.85803</v>
      </c>
      <c r="HU60">
        <v>1.8571</v>
      </c>
      <c r="HV60">
        <v>1.8521</v>
      </c>
      <c r="HW60">
        <v>0</v>
      </c>
      <c r="HX60">
        <v>0</v>
      </c>
      <c r="HY60">
        <v>0</v>
      </c>
      <c r="HZ60">
        <v>0</v>
      </c>
      <c r="IA60" t="s">
        <v>424</v>
      </c>
      <c r="IB60" t="s">
        <v>425</v>
      </c>
      <c r="IC60" t="s">
        <v>426</v>
      </c>
      <c r="ID60" t="s">
        <v>426</v>
      </c>
      <c r="IE60" t="s">
        <v>426</v>
      </c>
      <c r="IF60" t="s">
        <v>426</v>
      </c>
      <c r="IG60">
        <v>0</v>
      </c>
      <c r="IH60">
        <v>100</v>
      </c>
      <c r="II60">
        <v>100</v>
      </c>
      <c r="IJ60">
        <v>-0.823</v>
      </c>
      <c r="IK60">
        <v>0.1994</v>
      </c>
      <c r="IL60">
        <v>-1.613291919289301</v>
      </c>
      <c r="IM60">
        <v>0.001328113201692861</v>
      </c>
      <c r="IN60">
        <v>1.538283238170363E-06</v>
      </c>
      <c r="IO60">
        <v>-5.795655626708063E-10</v>
      </c>
      <c r="IP60">
        <v>-0.05565860728478197</v>
      </c>
      <c r="IQ60">
        <v>-0.004593102289677449</v>
      </c>
      <c r="IR60">
        <v>0.0008253994458280543</v>
      </c>
      <c r="IS60">
        <v>-7.403632370499484E-06</v>
      </c>
      <c r="IT60">
        <v>2</v>
      </c>
      <c r="IU60">
        <v>1985</v>
      </c>
      <c r="IV60">
        <v>1</v>
      </c>
      <c r="IW60">
        <v>27</v>
      </c>
      <c r="IX60">
        <v>2.9</v>
      </c>
      <c r="IY60">
        <v>2.8</v>
      </c>
      <c r="IZ60">
        <v>1.12305</v>
      </c>
      <c r="JA60">
        <v>2.5708</v>
      </c>
      <c r="JB60">
        <v>1.49658</v>
      </c>
      <c r="JC60">
        <v>2.34253</v>
      </c>
      <c r="JD60">
        <v>1.54907</v>
      </c>
      <c r="JE60">
        <v>2.33765</v>
      </c>
      <c r="JF60">
        <v>31.8269</v>
      </c>
      <c r="JG60">
        <v>14.6136</v>
      </c>
      <c r="JH60">
        <v>18</v>
      </c>
      <c r="JI60">
        <v>483.336</v>
      </c>
      <c r="JJ60">
        <v>506.913</v>
      </c>
      <c r="JK60">
        <v>31.6315</v>
      </c>
      <c r="JL60">
        <v>27.8973</v>
      </c>
      <c r="JM60">
        <v>29.9996</v>
      </c>
      <c r="JN60">
        <v>28.2226</v>
      </c>
      <c r="JO60">
        <v>28.2297</v>
      </c>
      <c r="JP60">
        <v>22.5818</v>
      </c>
      <c r="JQ60">
        <v>19.4254</v>
      </c>
      <c r="JR60">
        <v>82.288</v>
      </c>
      <c r="JS60">
        <v>31.6327</v>
      </c>
      <c r="JT60">
        <v>420</v>
      </c>
      <c r="JU60">
        <v>23.8643</v>
      </c>
      <c r="JV60">
        <v>102.255</v>
      </c>
      <c r="JW60">
        <v>91.5038</v>
      </c>
    </row>
    <row r="61" spans="1:283">
      <c r="A61">
        <v>43</v>
      </c>
      <c r="B61">
        <v>1761018332</v>
      </c>
      <c r="C61">
        <v>262.5</v>
      </c>
      <c r="D61" t="s">
        <v>513</v>
      </c>
      <c r="E61" t="s">
        <v>514</v>
      </c>
      <c r="F61">
        <v>5</v>
      </c>
      <c r="G61" t="s">
        <v>489</v>
      </c>
      <c r="H61">
        <v>1761018329</v>
      </c>
      <c r="I61">
        <f>(J61)/1000</f>
        <v>0</v>
      </c>
      <c r="J61">
        <f>1000*DJ61*AH61*(DF61-DG61)/(100*CY61*(1000-AH61*DF61))</f>
        <v>0</v>
      </c>
      <c r="K61">
        <f>DJ61*AH61*(DE61-DD61*(1000-AH61*DG61)/(1000-AH61*DF61))/(100*CY61)</f>
        <v>0</v>
      </c>
      <c r="L61">
        <f>DD61 - IF(AH61&gt;1, K61*CY61*100.0/(AJ61), 0)</f>
        <v>0</v>
      </c>
      <c r="M61">
        <f>((S61-I61/2)*L61-K61)/(S61+I61/2)</f>
        <v>0</v>
      </c>
      <c r="N61">
        <f>M61*(DK61+DL61)/1000.0</f>
        <v>0</v>
      </c>
      <c r="O61">
        <f>(DD61 - IF(AH61&gt;1, K61*CY61*100.0/(AJ61), 0))*(DK61+DL61)/1000.0</f>
        <v>0</v>
      </c>
      <c r="P61">
        <f>2.0/((1/R61-1/Q61)+SIGN(R61)*SQRT((1/R61-1/Q61)*(1/R61-1/Q61) + 4*CZ61/((CZ61+1)*(CZ61+1))*(2*1/R61*1/Q61-1/Q61*1/Q61)))</f>
        <v>0</v>
      </c>
      <c r="Q61">
        <f>IF(LEFT(DA61,1)&lt;&gt;"0",IF(LEFT(DA61,1)="1",3.0,DB61),$D$5+$E$5*(DR61*DK61/($K$5*1000))+$F$5*(DR61*DK61/($K$5*1000))*MAX(MIN(CY61,$J$5),$I$5)*MAX(MIN(CY61,$J$5),$I$5)+$G$5*MAX(MIN(CY61,$J$5),$I$5)*(DR61*DK61/($K$5*1000))+$H$5*(DR61*DK61/($K$5*1000))*(DR61*DK61/($K$5*1000)))</f>
        <v>0</v>
      </c>
      <c r="R61">
        <f>I61*(1000-(1000*0.61365*exp(17.502*V61/(240.97+V61))/(DK61+DL61)+DF61)/2)/(1000*0.61365*exp(17.502*V61/(240.97+V61))/(DK61+DL61)-DF61)</f>
        <v>0</v>
      </c>
      <c r="S61">
        <f>1/((CZ61+1)/(P61/1.6)+1/(Q61/1.37)) + CZ61/((CZ61+1)/(P61/1.6) + CZ61/(Q61/1.37))</f>
        <v>0</v>
      </c>
      <c r="T61">
        <f>(CU61*CX61)</f>
        <v>0</v>
      </c>
      <c r="U61">
        <f>(DM61+(T61+2*0.95*5.67E-8*(((DM61+$B$9)+273)^4-(DM61+273)^4)-44100*I61)/(1.84*29.3*Q61+8*0.95*5.67E-8*(DM61+273)^3))</f>
        <v>0</v>
      </c>
      <c r="V61">
        <f>($C$9*DN61+$D$9*DO61+$E$9*U61)</f>
        <v>0</v>
      </c>
      <c r="W61">
        <f>0.61365*exp(17.502*V61/(240.97+V61))</f>
        <v>0</v>
      </c>
      <c r="X61">
        <f>(Y61/Z61*100)</f>
        <v>0</v>
      </c>
      <c r="Y61">
        <f>DF61*(DK61+DL61)/1000</f>
        <v>0</v>
      </c>
      <c r="Z61">
        <f>0.61365*exp(17.502*DM61/(240.97+DM61))</f>
        <v>0</v>
      </c>
      <c r="AA61">
        <f>(W61-DF61*(DK61+DL61)/1000)</f>
        <v>0</v>
      </c>
      <c r="AB61">
        <f>(-I61*44100)</f>
        <v>0</v>
      </c>
      <c r="AC61">
        <f>2*29.3*Q61*0.92*(DM61-V61)</f>
        <v>0</v>
      </c>
      <c r="AD61">
        <f>2*0.95*5.67E-8*(((DM61+$B$9)+273)^4-(V61+273)^4)</f>
        <v>0</v>
      </c>
      <c r="AE61">
        <f>T61+AD61+AB61+AC61</f>
        <v>0</v>
      </c>
      <c r="AF61">
        <v>0</v>
      </c>
      <c r="AG61">
        <v>0</v>
      </c>
      <c r="AH61">
        <f>IF(AF61*$H$15&gt;=AJ61,1.0,(AJ61/(AJ61-AF61*$H$15)))</f>
        <v>0</v>
      </c>
      <c r="AI61">
        <f>(AH61-1)*100</f>
        <v>0</v>
      </c>
      <c r="AJ61">
        <f>MAX(0,($B$15+$C$15*DR61)/(1+$D$15*DR61)*DK61/(DM61+273)*$E$15)</f>
        <v>0</v>
      </c>
      <c r="AK61" t="s">
        <v>420</v>
      </c>
      <c r="AL61" t="s">
        <v>420</v>
      </c>
      <c r="AM61">
        <v>0</v>
      </c>
      <c r="AN61">
        <v>0</v>
      </c>
      <c r="AO61">
        <f>1-AM61/AN61</f>
        <v>0</v>
      </c>
      <c r="AP61">
        <v>0</v>
      </c>
      <c r="AQ61" t="s">
        <v>420</v>
      </c>
      <c r="AR61" t="s">
        <v>420</v>
      </c>
      <c r="AS61">
        <v>0</v>
      </c>
      <c r="AT61">
        <v>0</v>
      </c>
      <c r="AU61">
        <f>1-AS61/AT61</f>
        <v>0</v>
      </c>
      <c r="AV61">
        <v>0.5</v>
      </c>
      <c r="AW61">
        <f>CV61</f>
        <v>0</v>
      </c>
      <c r="AX61">
        <f>K61</f>
        <v>0</v>
      </c>
      <c r="AY61">
        <f>AU61*AV61*AW61</f>
        <v>0</v>
      </c>
      <c r="AZ61">
        <f>(AX61-AP61)/AW61</f>
        <v>0</v>
      </c>
      <c r="BA61">
        <f>(AN61-AT61)/AT61</f>
        <v>0</v>
      </c>
      <c r="BB61">
        <f>AM61/(AO61+AM61/AT61)</f>
        <v>0</v>
      </c>
      <c r="BC61" t="s">
        <v>420</v>
      </c>
      <c r="BD61">
        <v>0</v>
      </c>
      <c r="BE61">
        <f>IF(BD61&lt;&gt;0, BD61, BB61)</f>
        <v>0</v>
      </c>
      <c r="BF61">
        <f>1-BE61/AT61</f>
        <v>0</v>
      </c>
      <c r="BG61">
        <f>(AT61-AS61)/(AT61-BE61)</f>
        <v>0</v>
      </c>
      <c r="BH61">
        <f>(AN61-AT61)/(AN61-BE61)</f>
        <v>0</v>
      </c>
      <c r="BI61">
        <f>(AT61-AS61)/(AT61-AM61)</f>
        <v>0</v>
      </c>
      <c r="BJ61">
        <f>(AN61-AT61)/(AN61-AM61)</f>
        <v>0</v>
      </c>
      <c r="BK61">
        <f>(BG61*BE61/AS61)</f>
        <v>0</v>
      </c>
      <c r="BL61">
        <f>(1-BK61)</f>
        <v>0</v>
      </c>
      <c r="CU61">
        <f>$B$13*DS61+$C$13*DT61+$F$13*EE61*(1-EH61)</f>
        <v>0</v>
      </c>
      <c r="CV61">
        <f>CU61*CW61</f>
        <v>0</v>
      </c>
      <c r="CW61">
        <f>($B$13*$D$11+$C$13*$D$11+$F$13*((ER61+EJ61)/MAX(ER61+EJ61+ES61, 0.1)*$I$11+ES61/MAX(ER61+EJ61+ES61, 0.1)*$J$11))/($B$13+$C$13+$F$13)</f>
        <v>0</v>
      </c>
      <c r="CX61">
        <f>($B$13*$K$11+$C$13*$K$11+$F$13*((ER61+EJ61)/MAX(ER61+EJ61+ES61, 0.1)*$P$11+ES61/MAX(ER61+EJ61+ES61, 0.1)*$Q$11))/($B$13+$C$13+$F$13)</f>
        <v>0</v>
      </c>
      <c r="CY61">
        <v>4.16</v>
      </c>
      <c r="CZ61">
        <v>0.5</v>
      </c>
      <c r="DA61" t="s">
        <v>421</v>
      </c>
      <c r="DB61">
        <v>2</v>
      </c>
      <c r="DC61">
        <v>1761018329</v>
      </c>
      <c r="DD61">
        <v>420.6208888888889</v>
      </c>
      <c r="DE61">
        <v>420.0292222222222</v>
      </c>
      <c r="DF61">
        <v>23.86503333333333</v>
      </c>
      <c r="DG61">
        <v>23.68141111111111</v>
      </c>
      <c r="DH61">
        <v>421.4444444444445</v>
      </c>
      <c r="DI61">
        <v>23.66527777777778</v>
      </c>
      <c r="DJ61">
        <v>500.058888888889</v>
      </c>
      <c r="DK61">
        <v>90.78714444444445</v>
      </c>
      <c r="DL61">
        <v>0.03442136666666666</v>
      </c>
      <c r="DM61">
        <v>30.36995555555555</v>
      </c>
      <c r="DN61">
        <v>30.01012222222223</v>
      </c>
      <c r="DO61">
        <v>999.9000000000001</v>
      </c>
      <c r="DP61">
        <v>0</v>
      </c>
      <c r="DQ61">
        <v>0</v>
      </c>
      <c r="DR61">
        <v>10006.31666666667</v>
      </c>
      <c r="DS61">
        <v>0</v>
      </c>
      <c r="DT61">
        <v>0.242856</v>
      </c>
      <c r="DU61">
        <v>0.5915595555555555</v>
      </c>
      <c r="DV61">
        <v>430.9043333333333</v>
      </c>
      <c r="DW61">
        <v>430.2173333333333</v>
      </c>
      <c r="DX61">
        <v>0.1836506666666667</v>
      </c>
      <c r="DY61">
        <v>420.0292222222222</v>
      </c>
      <c r="DZ61">
        <v>23.68141111111111</v>
      </c>
      <c r="EA61">
        <v>2.16664</v>
      </c>
      <c r="EB61">
        <v>2.149967777777777</v>
      </c>
      <c r="EC61">
        <v>18.71775555555555</v>
      </c>
      <c r="ED61">
        <v>18.5943</v>
      </c>
      <c r="EE61">
        <v>0.00500078</v>
      </c>
      <c r="EF61">
        <v>0</v>
      </c>
      <c r="EG61">
        <v>0</v>
      </c>
      <c r="EH61">
        <v>0</v>
      </c>
      <c r="EI61">
        <v>524.3777777777779</v>
      </c>
      <c r="EJ61">
        <v>0.00500078</v>
      </c>
      <c r="EK61">
        <v>-12.45555555555556</v>
      </c>
      <c r="EL61">
        <v>-0.03333333333333334</v>
      </c>
      <c r="EM61">
        <v>35.79822222222222</v>
      </c>
      <c r="EN61">
        <v>40.5</v>
      </c>
      <c r="EO61">
        <v>38.24966666666666</v>
      </c>
      <c r="EP61">
        <v>41.39566666666666</v>
      </c>
      <c r="EQ61">
        <v>39.01344444444445</v>
      </c>
      <c r="ER61">
        <v>0</v>
      </c>
      <c r="ES61">
        <v>0</v>
      </c>
      <c r="ET61">
        <v>0</v>
      </c>
      <c r="EU61">
        <v>1761018331.3</v>
      </c>
      <c r="EV61">
        <v>0</v>
      </c>
      <c r="EW61">
        <v>528.98</v>
      </c>
      <c r="EX61">
        <v>-39.05384612405557</v>
      </c>
      <c r="EY61">
        <v>19.76923051176692</v>
      </c>
      <c r="EZ61">
        <v>-16.04</v>
      </c>
      <c r="FA61">
        <v>15</v>
      </c>
      <c r="FB61">
        <v>1761018162.5</v>
      </c>
      <c r="FC61" t="s">
        <v>490</v>
      </c>
      <c r="FD61">
        <v>1761018155.5</v>
      </c>
      <c r="FE61">
        <v>1761018162.5</v>
      </c>
      <c r="FF61">
        <v>24</v>
      </c>
      <c r="FG61">
        <v>-0.207</v>
      </c>
      <c r="FH61">
        <v>-0.006</v>
      </c>
      <c r="FI61">
        <v>-0.825</v>
      </c>
      <c r="FJ61">
        <v>0.194</v>
      </c>
      <c r="FK61">
        <v>420</v>
      </c>
      <c r="FL61">
        <v>24</v>
      </c>
      <c r="FM61">
        <v>0.19</v>
      </c>
      <c r="FN61">
        <v>0.1</v>
      </c>
      <c r="FO61">
        <v>0.569280275</v>
      </c>
      <c r="FP61">
        <v>0.06506052157598399</v>
      </c>
      <c r="FQ61">
        <v>0.05360240669689539</v>
      </c>
      <c r="FR61">
        <v>1</v>
      </c>
      <c r="FS61">
        <v>529.2588235294118</v>
      </c>
      <c r="FT61">
        <v>-9.63789147170789</v>
      </c>
      <c r="FU61">
        <v>6.281678196856165</v>
      </c>
      <c r="FV61">
        <v>0</v>
      </c>
      <c r="FW61">
        <v>0.140403787025</v>
      </c>
      <c r="FX61">
        <v>0.676542829947467</v>
      </c>
      <c r="FY61">
        <v>0.07844247314068381</v>
      </c>
      <c r="FZ61">
        <v>0</v>
      </c>
      <c r="GA61">
        <v>1</v>
      </c>
      <c r="GB61">
        <v>3</v>
      </c>
      <c r="GC61" t="s">
        <v>431</v>
      </c>
      <c r="GD61">
        <v>3.10951</v>
      </c>
      <c r="GE61">
        <v>2.72614</v>
      </c>
      <c r="GF61">
        <v>0.08869109999999999</v>
      </c>
      <c r="GG61">
        <v>0.08850909999999999</v>
      </c>
      <c r="GH61">
        <v>0.108194</v>
      </c>
      <c r="GI61">
        <v>0.108748</v>
      </c>
      <c r="GJ61">
        <v>23905.4</v>
      </c>
      <c r="GK61">
        <v>21678.8</v>
      </c>
      <c r="GL61">
        <v>26790.2</v>
      </c>
      <c r="GM61">
        <v>23991.3</v>
      </c>
      <c r="GN61">
        <v>38175.6</v>
      </c>
      <c r="GO61">
        <v>31547.5</v>
      </c>
      <c r="GP61">
        <v>46760.6</v>
      </c>
      <c r="GQ61">
        <v>37933.6</v>
      </c>
      <c r="GR61">
        <v>1.88932</v>
      </c>
      <c r="GS61">
        <v>1.8803</v>
      </c>
      <c r="GT61">
        <v>0.127755</v>
      </c>
      <c r="GU61">
        <v>0</v>
      </c>
      <c r="GV61">
        <v>27.9199</v>
      </c>
      <c r="GW61">
        <v>999.9</v>
      </c>
      <c r="GX61">
        <v>63.5</v>
      </c>
      <c r="GY61">
        <v>29</v>
      </c>
      <c r="GZ61">
        <v>28.1309</v>
      </c>
      <c r="HA61">
        <v>61.29</v>
      </c>
      <c r="HB61">
        <v>20.0921</v>
      </c>
      <c r="HC61">
        <v>1</v>
      </c>
      <c r="HD61">
        <v>0.0497866</v>
      </c>
      <c r="HE61">
        <v>-2.16542</v>
      </c>
      <c r="HF61">
        <v>20.3243</v>
      </c>
      <c r="HG61">
        <v>5.22208</v>
      </c>
      <c r="HH61">
        <v>11.98</v>
      </c>
      <c r="HI61">
        <v>4.96535</v>
      </c>
      <c r="HJ61">
        <v>3.276</v>
      </c>
      <c r="HK61">
        <v>9999</v>
      </c>
      <c r="HL61">
        <v>9999</v>
      </c>
      <c r="HM61">
        <v>9999</v>
      </c>
      <c r="HN61">
        <v>999.9</v>
      </c>
      <c r="HO61">
        <v>1.86358</v>
      </c>
      <c r="HP61">
        <v>1.85974</v>
      </c>
      <c r="HQ61">
        <v>1.858</v>
      </c>
      <c r="HR61">
        <v>1.85937</v>
      </c>
      <c r="HS61">
        <v>1.85959</v>
      </c>
      <c r="HT61">
        <v>1.85802</v>
      </c>
      <c r="HU61">
        <v>1.85712</v>
      </c>
      <c r="HV61">
        <v>1.8521</v>
      </c>
      <c r="HW61">
        <v>0</v>
      </c>
      <c r="HX61">
        <v>0</v>
      </c>
      <c r="HY61">
        <v>0</v>
      </c>
      <c r="HZ61">
        <v>0</v>
      </c>
      <c r="IA61" t="s">
        <v>424</v>
      </c>
      <c r="IB61" t="s">
        <v>425</v>
      </c>
      <c r="IC61" t="s">
        <v>426</v>
      </c>
      <c r="ID61" t="s">
        <v>426</v>
      </c>
      <c r="IE61" t="s">
        <v>426</v>
      </c>
      <c r="IF61" t="s">
        <v>426</v>
      </c>
      <c r="IG61">
        <v>0</v>
      </c>
      <c r="IH61">
        <v>100</v>
      </c>
      <c r="II61">
        <v>100</v>
      </c>
      <c r="IJ61">
        <v>-0.823</v>
      </c>
      <c r="IK61">
        <v>0.199</v>
      </c>
      <c r="IL61">
        <v>-1.613291919289301</v>
      </c>
      <c r="IM61">
        <v>0.001328113201692861</v>
      </c>
      <c r="IN61">
        <v>1.538283238170363E-06</v>
      </c>
      <c r="IO61">
        <v>-5.795655626708063E-10</v>
      </c>
      <c r="IP61">
        <v>-0.05565860728478197</v>
      </c>
      <c r="IQ61">
        <v>-0.004593102289677449</v>
      </c>
      <c r="IR61">
        <v>0.0008253994458280543</v>
      </c>
      <c r="IS61">
        <v>-7.403632370499484E-06</v>
      </c>
      <c r="IT61">
        <v>2</v>
      </c>
      <c r="IU61">
        <v>1985</v>
      </c>
      <c r="IV61">
        <v>1</v>
      </c>
      <c r="IW61">
        <v>27</v>
      </c>
      <c r="IX61">
        <v>2.9</v>
      </c>
      <c r="IY61">
        <v>2.8</v>
      </c>
      <c r="IZ61">
        <v>1.12305</v>
      </c>
      <c r="JA61">
        <v>2.56592</v>
      </c>
      <c r="JB61">
        <v>1.49658</v>
      </c>
      <c r="JC61">
        <v>2.34253</v>
      </c>
      <c r="JD61">
        <v>1.54907</v>
      </c>
      <c r="JE61">
        <v>2.4585</v>
      </c>
      <c r="JF61">
        <v>31.8269</v>
      </c>
      <c r="JG61">
        <v>14.6311</v>
      </c>
      <c r="JH61">
        <v>18</v>
      </c>
      <c r="JI61">
        <v>483.197</v>
      </c>
      <c r="JJ61">
        <v>507.158</v>
      </c>
      <c r="JK61">
        <v>31.6286</v>
      </c>
      <c r="JL61">
        <v>27.8944</v>
      </c>
      <c r="JM61">
        <v>29.9997</v>
      </c>
      <c r="JN61">
        <v>28.2196</v>
      </c>
      <c r="JO61">
        <v>28.2269</v>
      </c>
      <c r="JP61">
        <v>22.5804</v>
      </c>
      <c r="JQ61">
        <v>19.1217</v>
      </c>
      <c r="JR61">
        <v>82.288</v>
      </c>
      <c r="JS61">
        <v>31.6327</v>
      </c>
      <c r="JT61">
        <v>420</v>
      </c>
      <c r="JU61">
        <v>23.8885</v>
      </c>
      <c r="JV61">
        <v>102.255</v>
      </c>
      <c r="JW61">
        <v>91.5033</v>
      </c>
    </row>
    <row r="62" spans="1:283">
      <c r="A62">
        <v>44</v>
      </c>
      <c r="B62">
        <v>1761018334</v>
      </c>
      <c r="C62">
        <v>264.5</v>
      </c>
      <c r="D62" t="s">
        <v>515</v>
      </c>
      <c r="E62" t="s">
        <v>516</v>
      </c>
      <c r="F62">
        <v>5</v>
      </c>
      <c r="G62" t="s">
        <v>489</v>
      </c>
      <c r="H62">
        <v>1761018331</v>
      </c>
      <c r="I62">
        <f>(J62)/1000</f>
        <v>0</v>
      </c>
      <c r="J62">
        <f>1000*DJ62*AH62*(DF62-DG62)/(100*CY62*(1000-AH62*DF62))</f>
        <v>0</v>
      </c>
      <c r="K62">
        <f>DJ62*AH62*(DE62-DD62*(1000-AH62*DG62)/(1000-AH62*DF62))/(100*CY62)</f>
        <v>0</v>
      </c>
      <c r="L62">
        <f>DD62 - IF(AH62&gt;1, K62*CY62*100.0/(AJ62), 0)</f>
        <v>0</v>
      </c>
      <c r="M62">
        <f>((S62-I62/2)*L62-K62)/(S62+I62/2)</f>
        <v>0</v>
      </c>
      <c r="N62">
        <f>M62*(DK62+DL62)/1000.0</f>
        <v>0</v>
      </c>
      <c r="O62">
        <f>(DD62 - IF(AH62&gt;1, K62*CY62*100.0/(AJ62), 0))*(DK62+DL62)/1000.0</f>
        <v>0</v>
      </c>
      <c r="P62">
        <f>2.0/((1/R62-1/Q62)+SIGN(R62)*SQRT((1/R62-1/Q62)*(1/R62-1/Q62) + 4*CZ62/((CZ62+1)*(CZ62+1))*(2*1/R62*1/Q62-1/Q62*1/Q62)))</f>
        <v>0</v>
      </c>
      <c r="Q62">
        <f>IF(LEFT(DA62,1)&lt;&gt;"0",IF(LEFT(DA62,1)="1",3.0,DB62),$D$5+$E$5*(DR62*DK62/($K$5*1000))+$F$5*(DR62*DK62/($K$5*1000))*MAX(MIN(CY62,$J$5),$I$5)*MAX(MIN(CY62,$J$5),$I$5)+$G$5*MAX(MIN(CY62,$J$5),$I$5)*(DR62*DK62/($K$5*1000))+$H$5*(DR62*DK62/($K$5*1000))*(DR62*DK62/($K$5*1000)))</f>
        <v>0</v>
      </c>
      <c r="R62">
        <f>I62*(1000-(1000*0.61365*exp(17.502*V62/(240.97+V62))/(DK62+DL62)+DF62)/2)/(1000*0.61365*exp(17.502*V62/(240.97+V62))/(DK62+DL62)-DF62)</f>
        <v>0</v>
      </c>
      <c r="S62">
        <f>1/((CZ62+1)/(P62/1.6)+1/(Q62/1.37)) + CZ62/((CZ62+1)/(P62/1.6) + CZ62/(Q62/1.37))</f>
        <v>0</v>
      </c>
      <c r="T62">
        <f>(CU62*CX62)</f>
        <v>0</v>
      </c>
      <c r="U62">
        <f>(DM62+(T62+2*0.95*5.67E-8*(((DM62+$B$9)+273)^4-(DM62+273)^4)-44100*I62)/(1.84*29.3*Q62+8*0.95*5.67E-8*(DM62+273)^3))</f>
        <v>0</v>
      </c>
      <c r="V62">
        <f>($C$9*DN62+$D$9*DO62+$E$9*U62)</f>
        <v>0</v>
      </c>
      <c r="W62">
        <f>0.61365*exp(17.502*V62/(240.97+V62))</f>
        <v>0</v>
      </c>
      <c r="X62">
        <f>(Y62/Z62*100)</f>
        <v>0</v>
      </c>
      <c r="Y62">
        <f>DF62*(DK62+DL62)/1000</f>
        <v>0</v>
      </c>
      <c r="Z62">
        <f>0.61365*exp(17.502*DM62/(240.97+DM62))</f>
        <v>0</v>
      </c>
      <c r="AA62">
        <f>(W62-DF62*(DK62+DL62)/1000)</f>
        <v>0</v>
      </c>
      <c r="AB62">
        <f>(-I62*44100)</f>
        <v>0</v>
      </c>
      <c r="AC62">
        <f>2*29.3*Q62*0.92*(DM62-V62)</f>
        <v>0</v>
      </c>
      <c r="AD62">
        <f>2*0.95*5.67E-8*(((DM62+$B$9)+273)^4-(V62+273)^4)</f>
        <v>0</v>
      </c>
      <c r="AE62">
        <f>T62+AD62+AB62+AC62</f>
        <v>0</v>
      </c>
      <c r="AF62">
        <v>0</v>
      </c>
      <c r="AG62">
        <v>0</v>
      </c>
      <c r="AH62">
        <f>IF(AF62*$H$15&gt;=AJ62,1.0,(AJ62/(AJ62-AF62*$H$15)))</f>
        <v>0</v>
      </c>
      <c r="AI62">
        <f>(AH62-1)*100</f>
        <v>0</v>
      </c>
      <c r="AJ62">
        <f>MAX(0,($B$15+$C$15*DR62)/(1+$D$15*DR62)*DK62/(DM62+273)*$E$15)</f>
        <v>0</v>
      </c>
      <c r="AK62" t="s">
        <v>420</v>
      </c>
      <c r="AL62" t="s">
        <v>420</v>
      </c>
      <c r="AM62">
        <v>0</v>
      </c>
      <c r="AN62">
        <v>0</v>
      </c>
      <c r="AO62">
        <f>1-AM62/AN62</f>
        <v>0</v>
      </c>
      <c r="AP62">
        <v>0</v>
      </c>
      <c r="AQ62" t="s">
        <v>420</v>
      </c>
      <c r="AR62" t="s">
        <v>420</v>
      </c>
      <c r="AS62">
        <v>0</v>
      </c>
      <c r="AT62">
        <v>0</v>
      </c>
      <c r="AU62">
        <f>1-AS62/AT62</f>
        <v>0</v>
      </c>
      <c r="AV62">
        <v>0.5</v>
      </c>
      <c r="AW62">
        <f>CV62</f>
        <v>0</v>
      </c>
      <c r="AX62">
        <f>K62</f>
        <v>0</v>
      </c>
      <c r="AY62">
        <f>AU62*AV62*AW62</f>
        <v>0</v>
      </c>
      <c r="AZ62">
        <f>(AX62-AP62)/AW62</f>
        <v>0</v>
      </c>
      <c r="BA62">
        <f>(AN62-AT62)/AT62</f>
        <v>0</v>
      </c>
      <c r="BB62">
        <f>AM62/(AO62+AM62/AT62)</f>
        <v>0</v>
      </c>
      <c r="BC62" t="s">
        <v>420</v>
      </c>
      <c r="BD62">
        <v>0</v>
      </c>
      <c r="BE62">
        <f>IF(BD62&lt;&gt;0, BD62, BB62)</f>
        <v>0</v>
      </c>
      <c r="BF62">
        <f>1-BE62/AT62</f>
        <v>0</v>
      </c>
      <c r="BG62">
        <f>(AT62-AS62)/(AT62-BE62)</f>
        <v>0</v>
      </c>
      <c r="BH62">
        <f>(AN62-AT62)/(AN62-BE62)</f>
        <v>0</v>
      </c>
      <c r="BI62">
        <f>(AT62-AS62)/(AT62-AM62)</f>
        <v>0</v>
      </c>
      <c r="BJ62">
        <f>(AN62-AT62)/(AN62-AM62)</f>
        <v>0</v>
      </c>
      <c r="BK62">
        <f>(BG62*BE62/AS62)</f>
        <v>0</v>
      </c>
      <c r="BL62">
        <f>(1-BK62)</f>
        <v>0</v>
      </c>
      <c r="CU62">
        <f>$B$13*DS62+$C$13*DT62+$F$13*EE62*(1-EH62)</f>
        <v>0</v>
      </c>
      <c r="CV62">
        <f>CU62*CW62</f>
        <v>0</v>
      </c>
      <c r="CW62">
        <f>($B$13*$D$11+$C$13*$D$11+$F$13*((ER62+EJ62)/MAX(ER62+EJ62+ES62, 0.1)*$I$11+ES62/MAX(ER62+EJ62+ES62, 0.1)*$J$11))/($B$13+$C$13+$F$13)</f>
        <v>0</v>
      </c>
      <c r="CX62">
        <f>($B$13*$K$11+$C$13*$K$11+$F$13*((ER62+EJ62)/MAX(ER62+EJ62+ES62, 0.1)*$P$11+ES62/MAX(ER62+EJ62+ES62, 0.1)*$Q$11))/($B$13+$C$13+$F$13)</f>
        <v>0</v>
      </c>
      <c r="CY62">
        <v>4.16</v>
      </c>
      <c r="CZ62">
        <v>0.5</v>
      </c>
      <c r="DA62" t="s">
        <v>421</v>
      </c>
      <c r="DB62">
        <v>2</v>
      </c>
      <c r="DC62">
        <v>1761018331</v>
      </c>
      <c r="DD62">
        <v>420.6121111111112</v>
      </c>
      <c r="DE62">
        <v>419.9982222222222</v>
      </c>
      <c r="DF62">
        <v>23.8414</v>
      </c>
      <c r="DG62">
        <v>23.67453333333333</v>
      </c>
      <c r="DH62">
        <v>421.4356666666667</v>
      </c>
      <c r="DI62">
        <v>23.64212222222223</v>
      </c>
      <c r="DJ62">
        <v>499.9936666666667</v>
      </c>
      <c r="DK62">
        <v>90.78651111111111</v>
      </c>
      <c r="DL62">
        <v>0.03444604444444445</v>
      </c>
      <c r="DM62">
        <v>30.36943333333333</v>
      </c>
      <c r="DN62">
        <v>30.0047</v>
      </c>
      <c r="DO62">
        <v>999.9000000000001</v>
      </c>
      <c r="DP62">
        <v>0</v>
      </c>
      <c r="DQ62">
        <v>0</v>
      </c>
      <c r="DR62">
        <v>9993.82</v>
      </c>
      <c r="DS62">
        <v>0</v>
      </c>
      <c r="DT62">
        <v>0.242856</v>
      </c>
      <c r="DU62">
        <v>0.6136508888888889</v>
      </c>
      <c r="DV62">
        <v>430.8848888888889</v>
      </c>
      <c r="DW62">
        <v>430.1825555555556</v>
      </c>
      <c r="DX62">
        <v>0.1668658888888889</v>
      </c>
      <c r="DY62">
        <v>419.9982222222222</v>
      </c>
      <c r="DZ62">
        <v>23.67453333333333</v>
      </c>
      <c r="EA62">
        <v>2.164476666666667</v>
      </c>
      <c r="EB62">
        <v>2.14933</v>
      </c>
      <c r="EC62">
        <v>18.70178888888889</v>
      </c>
      <c r="ED62">
        <v>18.58954444444445</v>
      </c>
      <c r="EE62">
        <v>0.00500078</v>
      </c>
      <c r="EF62">
        <v>0</v>
      </c>
      <c r="EG62">
        <v>0</v>
      </c>
      <c r="EH62">
        <v>0</v>
      </c>
      <c r="EI62">
        <v>523.2222222222222</v>
      </c>
      <c r="EJ62">
        <v>0.00500078</v>
      </c>
      <c r="EK62">
        <v>-10.9</v>
      </c>
      <c r="EL62">
        <v>0.1888888888888888</v>
      </c>
      <c r="EM62">
        <v>35.812</v>
      </c>
      <c r="EN62">
        <v>40.50688888888889</v>
      </c>
      <c r="EO62">
        <v>38.09011111111111</v>
      </c>
      <c r="EP62">
        <v>41.42333333333333</v>
      </c>
      <c r="EQ62">
        <v>39.04811111111111</v>
      </c>
      <c r="ER62">
        <v>0</v>
      </c>
      <c r="ES62">
        <v>0</v>
      </c>
      <c r="ET62">
        <v>0</v>
      </c>
      <c r="EU62">
        <v>1761018333.1</v>
      </c>
      <c r="EV62">
        <v>0</v>
      </c>
      <c r="EW62">
        <v>528.2961538461539</v>
      </c>
      <c r="EX62">
        <v>-32.50256404065892</v>
      </c>
      <c r="EY62">
        <v>4.396581041167641</v>
      </c>
      <c r="EZ62">
        <v>-16.2</v>
      </c>
      <c r="FA62">
        <v>15</v>
      </c>
      <c r="FB62">
        <v>1761018162.5</v>
      </c>
      <c r="FC62" t="s">
        <v>490</v>
      </c>
      <c r="FD62">
        <v>1761018155.5</v>
      </c>
      <c r="FE62">
        <v>1761018162.5</v>
      </c>
      <c r="FF62">
        <v>24</v>
      </c>
      <c r="FG62">
        <v>-0.207</v>
      </c>
      <c r="FH62">
        <v>-0.006</v>
      </c>
      <c r="FI62">
        <v>-0.825</v>
      </c>
      <c r="FJ62">
        <v>0.194</v>
      </c>
      <c r="FK62">
        <v>420</v>
      </c>
      <c r="FL62">
        <v>24</v>
      </c>
      <c r="FM62">
        <v>0.19</v>
      </c>
      <c r="FN62">
        <v>0.1</v>
      </c>
      <c r="FO62">
        <v>0.5827391463414634</v>
      </c>
      <c r="FP62">
        <v>0.1205773797909413</v>
      </c>
      <c r="FQ62">
        <v>0.0575754468813603</v>
      </c>
      <c r="FR62">
        <v>1</v>
      </c>
      <c r="FS62">
        <v>529.0647058823531</v>
      </c>
      <c r="FT62">
        <v>-22.43544682135169</v>
      </c>
      <c r="FU62">
        <v>6.240233892342646</v>
      </c>
      <c r="FV62">
        <v>0</v>
      </c>
      <c r="FW62">
        <v>0.1576271121951219</v>
      </c>
      <c r="FX62">
        <v>0.353728687108014</v>
      </c>
      <c r="FY62">
        <v>0.05708902810878767</v>
      </c>
      <c r="FZ62">
        <v>0</v>
      </c>
      <c r="GA62">
        <v>1</v>
      </c>
      <c r="GB62">
        <v>3</v>
      </c>
      <c r="GC62" t="s">
        <v>431</v>
      </c>
      <c r="GD62">
        <v>3.10967</v>
      </c>
      <c r="GE62">
        <v>2.726</v>
      </c>
      <c r="GF62">
        <v>0.08869779999999999</v>
      </c>
      <c r="GG62">
        <v>0.0884952</v>
      </c>
      <c r="GH62">
        <v>0.108145</v>
      </c>
      <c r="GI62">
        <v>0.108766</v>
      </c>
      <c r="GJ62">
        <v>23905.3</v>
      </c>
      <c r="GK62">
        <v>21679</v>
      </c>
      <c r="GL62">
        <v>26790.3</v>
      </c>
      <c r="GM62">
        <v>23991</v>
      </c>
      <c r="GN62">
        <v>38178</v>
      </c>
      <c r="GO62">
        <v>31546.6</v>
      </c>
      <c r="GP62">
        <v>46761</v>
      </c>
      <c r="GQ62">
        <v>37933.2</v>
      </c>
      <c r="GR62">
        <v>1.88975</v>
      </c>
      <c r="GS62">
        <v>1.87995</v>
      </c>
      <c r="GT62">
        <v>0.12736</v>
      </c>
      <c r="GU62">
        <v>0</v>
      </c>
      <c r="GV62">
        <v>27.9222</v>
      </c>
      <c r="GW62">
        <v>999.9</v>
      </c>
      <c r="GX62">
        <v>63.6</v>
      </c>
      <c r="GY62">
        <v>29</v>
      </c>
      <c r="GZ62">
        <v>28.1732</v>
      </c>
      <c r="HA62">
        <v>61.48</v>
      </c>
      <c r="HB62">
        <v>20.0321</v>
      </c>
      <c r="HC62">
        <v>1</v>
      </c>
      <c r="HD62">
        <v>0.0495528</v>
      </c>
      <c r="HE62">
        <v>-2.18261</v>
      </c>
      <c r="HF62">
        <v>20.324</v>
      </c>
      <c r="HG62">
        <v>5.22193</v>
      </c>
      <c r="HH62">
        <v>11.98</v>
      </c>
      <c r="HI62">
        <v>4.96525</v>
      </c>
      <c r="HJ62">
        <v>3.276</v>
      </c>
      <c r="HK62">
        <v>9999</v>
      </c>
      <c r="HL62">
        <v>9999</v>
      </c>
      <c r="HM62">
        <v>9999</v>
      </c>
      <c r="HN62">
        <v>999.9</v>
      </c>
      <c r="HO62">
        <v>1.86359</v>
      </c>
      <c r="HP62">
        <v>1.85974</v>
      </c>
      <c r="HQ62">
        <v>1.85801</v>
      </c>
      <c r="HR62">
        <v>1.85939</v>
      </c>
      <c r="HS62">
        <v>1.85959</v>
      </c>
      <c r="HT62">
        <v>1.85802</v>
      </c>
      <c r="HU62">
        <v>1.85714</v>
      </c>
      <c r="HV62">
        <v>1.8521</v>
      </c>
      <c r="HW62">
        <v>0</v>
      </c>
      <c r="HX62">
        <v>0</v>
      </c>
      <c r="HY62">
        <v>0</v>
      </c>
      <c r="HZ62">
        <v>0</v>
      </c>
      <c r="IA62" t="s">
        <v>424</v>
      </c>
      <c r="IB62" t="s">
        <v>425</v>
      </c>
      <c r="IC62" t="s">
        <v>426</v>
      </c>
      <c r="ID62" t="s">
        <v>426</v>
      </c>
      <c r="IE62" t="s">
        <v>426</v>
      </c>
      <c r="IF62" t="s">
        <v>426</v>
      </c>
      <c r="IG62">
        <v>0</v>
      </c>
      <c r="IH62">
        <v>100</v>
      </c>
      <c r="II62">
        <v>100</v>
      </c>
      <c r="IJ62">
        <v>-0.823</v>
      </c>
      <c r="IK62">
        <v>0.1987</v>
      </c>
      <c r="IL62">
        <v>-1.613291919289301</v>
      </c>
      <c r="IM62">
        <v>0.001328113201692861</v>
      </c>
      <c r="IN62">
        <v>1.538283238170363E-06</v>
      </c>
      <c r="IO62">
        <v>-5.795655626708063E-10</v>
      </c>
      <c r="IP62">
        <v>-0.05565860728478197</v>
      </c>
      <c r="IQ62">
        <v>-0.004593102289677449</v>
      </c>
      <c r="IR62">
        <v>0.0008253994458280543</v>
      </c>
      <c r="IS62">
        <v>-7.403632370499484E-06</v>
      </c>
      <c r="IT62">
        <v>2</v>
      </c>
      <c r="IU62">
        <v>1985</v>
      </c>
      <c r="IV62">
        <v>1</v>
      </c>
      <c r="IW62">
        <v>27</v>
      </c>
      <c r="IX62">
        <v>3</v>
      </c>
      <c r="IY62">
        <v>2.9</v>
      </c>
      <c r="IZ62">
        <v>1.12305</v>
      </c>
      <c r="JA62">
        <v>2.57324</v>
      </c>
      <c r="JB62">
        <v>1.49658</v>
      </c>
      <c r="JC62">
        <v>2.34253</v>
      </c>
      <c r="JD62">
        <v>1.54907</v>
      </c>
      <c r="JE62">
        <v>2.37183</v>
      </c>
      <c r="JF62">
        <v>31.8269</v>
      </c>
      <c r="JG62">
        <v>14.6224</v>
      </c>
      <c r="JH62">
        <v>18</v>
      </c>
      <c r="JI62">
        <v>483.42</v>
      </c>
      <c r="JJ62">
        <v>506.897</v>
      </c>
      <c r="JK62">
        <v>31.6236</v>
      </c>
      <c r="JL62">
        <v>27.8913</v>
      </c>
      <c r="JM62">
        <v>29.9996</v>
      </c>
      <c r="JN62">
        <v>28.2165</v>
      </c>
      <c r="JO62">
        <v>28.224</v>
      </c>
      <c r="JP62">
        <v>22.5849</v>
      </c>
      <c r="JQ62">
        <v>18.7959</v>
      </c>
      <c r="JR62">
        <v>82.288</v>
      </c>
      <c r="JS62">
        <v>31.6296</v>
      </c>
      <c r="JT62">
        <v>420</v>
      </c>
      <c r="JU62">
        <v>23.9089</v>
      </c>
      <c r="JV62">
        <v>102.256</v>
      </c>
      <c r="JW62">
        <v>91.50230000000001</v>
      </c>
    </row>
    <row r="63" spans="1:283">
      <c r="A63">
        <v>45</v>
      </c>
      <c r="B63">
        <v>1761018336</v>
      </c>
      <c r="C63">
        <v>266.5</v>
      </c>
      <c r="D63" t="s">
        <v>517</v>
      </c>
      <c r="E63" t="s">
        <v>518</v>
      </c>
      <c r="F63">
        <v>5</v>
      </c>
      <c r="G63" t="s">
        <v>489</v>
      </c>
      <c r="H63">
        <v>1761018333</v>
      </c>
      <c r="I63">
        <f>(J63)/1000</f>
        <v>0</v>
      </c>
      <c r="J63">
        <f>1000*DJ63*AH63*(DF63-DG63)/(100*CY63*(1000-AH63*DF63))</f>
        <v>0</v>
      </c>
      <c r="K63">
        <f>DJ63*AH63*(DE63-DD63*(1000-AH63*DG63)/(1000-AH63*DF63))/(100*CY63)</f>
        <v>0</v>
      </c>
      <c r="L63">
        <f>DD63 - IF(AH63&gt;1, K63*CY63*100.0/(AJ63), 0)</f>
        <v>0</v>
      </c>
      <c r="M63">
        <f>((S63-I63/2)*L63-K63)/(S63+I63/2)</f>
        <v>0</v>
      </c>
      <c r="N63">
        <f>M63*(DK63+DL63)/1000.0</f>
        <v>0</v>
      </c>
      <c r="O63">
        <f>(DD63 - IF(AH63&gt;1, K63*CY63*100.0/(AJ63), 0))*(DK63+DL63)/1000.0</f>
        <v>0</v>
      </c>
      <c r="P63">
        <f>2.0/((1/R63-1/Q63)+SIGN(R63)*SQRT((1/R63-1/Q63)*(1/R63-1/Q63) + 4*CZ63/((CZ63+1)*(CZ63+1))*(2*1/R63*1/Q63-1/Q63*1/Q63)))</f>
        <v>0</v>
      </c>
      <c r="Q63">
        <f>IF(LEFT(DA63,1)&lt;&gt;"0",IF(LEFT(DA63,1)="1",3.0,DB63),$D$5+$E$5*(DR63*DK63/($K$5*1000))+$F$5*(DR63*DK63/($K$5*1000))*MAX(MIN(CY63,$J$5),$I$5)*MAX(MIN(CY63,$J$5),$I$5)+$G$5*MAX(MIN(CY63,$J$5),$I$5)*(DR63*DK63/($K$5*1000))+$H$5*(DR63*DK63/($K$5*1000))*(DR63*DK63/($K$5*1000)))</f>
        <v>0</v>
      </c>
      <c r="R63">
        <f>I63*(1000-(1000*0.61365*exp(17.502*V63/(240.97+V63))/(DK63+DL63)+DF63)/2)/(1000*0.61365*exp(17.502*V63/(240.97+V63))/(DK63+DL63)-DF63)</f>
        <v>0</v>
      </c>
      <c r="S63">
        <f>1/((CZ63+1)/(P63/1.6)+1/(Q63/1.37)) + CZ63/((CZ63+1)/(P63/1.6) + CZ63/(Q63/1.37))</f>
        <v>0</v>
      </c>
      <c r="T63">
        <f>(CU63*CX63)</f>
        <v>0</v>
      </c>
      <c r="U63">
        <f>(DM63+(T63+2*0.95*5.67E-8*(((DM63+$B$9)+273)^4-(DM63+273)^4)-44100*I63)/(1.84*29.3*Q63+8*0.95*5.67E-8*(DM63+273)^3))</f>
        <v>0</v>
      </c>
      <c r="V63">
        <f>($C$9*DN63+$D$9*DO63+$E$9*U63)</f>
        <v>0</v>
      </c>
      <c r="W63">
        <f>0.61365*exp(17.502*V63/(240.97+V63))</f>
        <v>0</v>
      </c>
      <c r="X63">
        <f>(Y63/Z63*100)</f>
        <v>0</v>
      </c>
      <c r="Y63">
        <f>DF63*(DK63+DL63)/1000</f>
        <v>0</v>
      </c>
      <c r="Z63">
        <f>0.61365*exp(17.502*DM63/(240.97+DM63))</f>
        <v>0</v>
      </c>
      <c r="AA63">
        <f>(W63-DF63*(DK63+DL63)/1000)</f>
        <v>0</v>
      </c>
      <c r="AB63">
        <f>(-I63*44100)</f>
        <v>0</v>
      </c>
      <c r="AC63">
        <f>2*29.3*Q63*0.92*(DM63-V63)</f>
        <v>0</v>
      </c>
      <c r="AD63">
        <f>2*0.95*5.67E-8*(((DM63+$B$9)+273)^4-(V63+273)^4)</f>
        <v>0</v>
      </c>
      <c r="AE63">
        <f>T63+AD63+AB63+AC63</f>
        <v>0</v>
      </c>
      <c r="AF63">
        <v>0</v>
      </c>
      <c r="AG63">
        <v>0</v>
      </c>
      <c r="AH63">
        <f>IF(AF63*$H$15&gt;=AJ63,1.0,(AJ63/(AJ63-AF63*$H$15)))</f>
        <v>0</v>
      </c>
      <c r="AI63">
        <f>(AH63-1)*100</f>
        <v>0</v>
      </c>
      <c r="AJ63">
        <f>MAX(0,($B$15+$C$15*DR63)/(1+$D$15*DR63)*DK63/(DM63+273)*$E$15)</f>
        <v>0</v>
      </c>
      <c r="AK63" t="s">
        <v>420</v>
      </c>
      <c r="AL63" t="s">
        <v>420</v>
      </c>
      <c r="AM63">
        <v>0</v>
      </c>
      <c r="AN63">
        <v>0</v>
      </c>
      <c r="AO63">
        <f>1-AM63/AN63</f>
        <v>0</v>
      </c>
      <c r="AP63">
        <v>0</v>
      </c>
      <c r="AQ63" t="s">
        <v>420</v>
      </c>
      <c r="AR63" t="s">
        <v>420</v>
      </c>
      <c r="AS63">
        <v>0</v>
      </c>
      <c r="AT63">
        <v>0</v>
      </c>
      <c r="AU63">
        <f>1-AS63/AT63</f>
        <v>0</v>
      </c>
      <c r="AV63">
        <v>0.5</v>
      </c>
      <c r="AW63">
        <f>CV63</f>
        <v>0</v>
      </c>
      <c r="AX63">
        <f>K63</f>
        <v>0</v>
      </c>
      <c r="AY63">
        <f>AU63*AV63*AW63</f>
        <v>0</v>
      </c>
      <c r="AZ63">
        <f>(AX63-AP63)/AW63</f>
        <v>0</v>
      </c>
      <c r="BA63">
        <f>(AN63-AT63)/AT63</f>
        <v>0</v>
      </c>
      <c r="BB63">
        <f>AM63/(AO63+AM63/AT63)</f>
        <v>0</v>
      </c>
      <c r="BC63" t="s">
        <v>420</v>
      </c>
      <c r="BD63">
        <v>0</v>
      </c>
      <c r="BE63">
        <f>IF(BD63&lt;&gt;0, BD63, BB63)</f>
        <v>0</v>
      </c>
      <c r="BF63">
        <f>1-BE63/AT63</f>
        <v>0</v>
      </c>
      <c r="BG63">
        <f>(AT63-AS63)/(AT63-BE63)</f>
        <v>0</v>
      </c>
      <c r="BH63">
        <f>(AN63-AT63)/(AN63-BE63)</f>
        <v>0</v>
      </c>
      <c r="BI63">
        <f>(AT63-AS63)/(AT63-AM63)</f>
        <v>0</v>
      </c>
      <c r="BJ63">
        <f>(AN63-AT63)/(AN63-AM63)</f>
        <v>0</v>
      </c>
      <c r="BK63">
        <f>(BG63*BE63/AS63)</f>
        <v>0</v>
      </c>
      <c r="BL63">
        <f>(1-BK63)</f>
        <v>0</v>
      </c>
      <c r="CU63">
        <f>$B$13*DS63+$C$13*DT63+$F$13*EE63*(1-EH63)</f>
        <v>0</v>
      </c>
      <c r="CV63">
        <f>CU63*CW63</f>
        <v>0</v>
      </c>
      <c r="CW63">
        <f>($B$13*$D$11+$C$13*$D$11+$F$13*((ER63+EJ63)/MAX(ER63+EJ63+ES63, 0.1)*$I$11+ES63/MAX(ER63+EJ63+ES63, 0.1)*$J$11))/($B$13+$C$13+$F$13)</f>
        <v>0</v>
      </c>
      <c r="CX63">
        <f>($B$13*$K$11+$C$13*$K$11+$F$13*((ER63+EJ63)/MAX(ER63+EJ63+ES63, 0.1)*$P$11+ES63/MAX(ER63+EJ63+ES63, 0.1)*$Q$11))/($B$13+$C$13+$F$13)</f>
        <v>0</v>
      </c>
      <c r="CY63">
        <v>4.16</v>
      </c>
      <c r="CZ63">
        <v>0.5</v>
      </c>
      <c r="DA63" t="s">
        <v>421</v>
      </c>
      <c r="DB63">
        <v>2</v>
      </c>
      <c r="DC63">
        <v>1761018333</v>
      </c>
      <c r="DD63">
        <v>420.607</v>
      </c>
      <c r="DE63">
        <v>419.9542222222222</v>
      </c>
      <c r="DF63">
        <v>23.82301111111111</v>
      </c>
      <c r="DG63">
        <v>23.6758</v>
      </c>
      <c r="DH63">
        <v>421.4308888888889</v>
      </c>
      <c r="DI63">
        <v>23.62414444444444</v>
      </c>
      <c r="DJ63">
        <v>499.9624444444445</v>
      </c>
      <c r="DK63">
        <v>90.78635555555556</v>
      </c>
      <c r="DL63">
        <v>0.03448867777777778</v>
      </c>
      <c r="DM63">
        <v>30.36934444444444</v>
      </c>
      <c r="DN63">
        <v>30.00106666666666</v>
      </c>
      <c r="DO63">
        <v>999.9000000000001</v>
      </c>
      <c r="DP63">
        <v>0</v>
      </c>
      <c r="DQ63">
        <v>0</v>
      </c>
      <c r="DR63">
        <v>9986.452222222222</v>
      </c>
      <c r="DS63">
        <v>0</v>
      </c>
      <c r="DT63">
        <v>0.242856</v>
      </c>
      <c r="DU63">
        <v>0.6527981111111111</v>
      </c>
      <c r="DV63">
        <v>430.8715555555556</v>
      </c>
      <c r="DW63">
        <v>430.138</v>
      </c>
      <c r="DX63">
        <v>0.1472196666666667</v>
      </c>
      <c r="DY63">
        <v>419.9542222222222</v>
      </c>
      <c r="DZ63">
        <v>23.6758</v>
      </c>
      <c r="EA63">
        <v>2.162804444444444</v>
      </c>
      <c r="EB63">
        <v>2.149441111111111</v>
      </c>
      <c r="EC63">
        <v>18.68943333333333</v>
      </c>
      <c r="ED63">
        <v>18.59036666666667</v>
      </c>
      <c r="EE63">
        <v>0.00500078</v>
      </c>
      <c r="EF63">
        <v>0</v>
      </c>
      <c r="EG63">
        <v>0</v>
      </c>
      <c r="EH63">
        <v>0</v>
      </c>
      <c r="EI63">
        <v>526.8444444444444</v>
      </c>
      <c r="EJ63">
        <v>0.00500078</v>
      </c>
      <c r="EK63">
        <v>-13.78888888888889</v>
      </c>
      <c r="EL63">
        <v>-0.02222222222222225</v>
      </c>
      <c r="EM63">
        <v>35.819</v>
      </c>
      <c r="EN63">
        <v>40.52755555555556</v>
      </c>
      <c r="EO63">
        <v>38.15944444444445</v>
      </c>
      <c r="EP63">
        <v>41.43722222222222</v>
      </c>
      <c r="EQ63">
        <v>39.10366666666667</v>
      </c>
      <c r="ER63">
        <v>0</v>
      </c>
      <c r="ES63">
        <v>0</v>
      </c>
      <c r="ET63">
        <v>0</v>
      </c>
      <c r="EU63">
        <v>1761018334.9</v>
      </c>
      <c r="EV63">
        <v>0</v>
      </c>
      <c r="EW63">
        <v>527.648</v>
      </c>
      <c r="EX63">
        <v>-10.96923058959226</v>
      </c>
      <c r="EY63">
        <v>16.75384569487866</v>
      </c>
      <c r="EZ63">
        <v>-16.164</v>
      </c>
      <c r="FA63">
        <v>15</v>
      </c>
      <c r="FB63">
        <v>1761018162.5</v>
      </c>
      <c r="FC63" t="s">
        <v>490</v>
      </c>
      <c r="FD63">
        <v>1761018155.5</v>
      </c>
      <c r="FE63">
        <v>1761018162.5</v>
      </c>
      <c r="FF63">
        <v>24</v>
      </c>
      <c r="FG63">
        <v>-0.207</v>
      </c>
      <c r="FH63">
        <v>-0.006</v>
      </c>
      <c r="FI63">
        <v>-0.825</v>
      </c>
      <c r="FJ63">
        <v>0.194</v>
      </c>
      <c r="FK63">
        <v>420</v>
      </c>
      <c r="FL63">
        <v>24</v>
      </c>
      <c r="FM63">
        <v>0.19</v>
      </c>
      <c r="FN63">
        <v>0.1</v>
      </c>
      <c r="FO63">
        <v>0.595625375</v>
      </c>
      <c r="FP63">
        <v>0.2065359061913699</v>
      </c>
      <c r="FQ63">
        <v>0.0648270623056789</v>
      </c>
      <c r="FR63">
        <v>1</v>
      </c>
      <c r="FS63">
        <v>528.8823529411764</v>
      </c>
      <c r="FT63">
        <v>-20.98090134472133</v>
      </c>
      <c r="FU63">
        <v>6.222609183606432</v>
      </c>
      <c r="FV63">
        <v>0</v>
      </c>
      <c r="FW63">
        <v>0.1684327375</v>
      </c>
      <c r="FX63">
        <v>0.09371058123827375</v>
      </c>
      <c r="FY63">
        <v>0.0403611706059406</v>
      </c>
      <c r="FZ63">
        <v>1</v>
      </c>
      <c r="GA63">
        <v>2</v>
      </c>
      <c r="GB63">
        <v>3</v>
      </c>
      <c r="GC63" t="s">
        <v>434</v>
      </c>
      <c r="GD63">
        <v>3.10952</v>
      </c>
      <c r="GE63">
        <v>2.72613</v>
      </c>
      <c r="GF63">
        <v>0.0886938</v>
      </c>
      <c r="GG63">
        <v>0.08849079999999999</v>
      </c>
      <c r="GH63">
        <v>0.108111</v>
      </c>
      <c r="GI63">
        <v>0.108825</v>
      </c>
      <c r="GJ63">
        <v>23905.5</v>
      </c>
      <c r="GK63">
        <v>21678.9</v>
      </c>
      <c r="GL63">
        <v>26790.4</v>
      </c>
      <c r="GM63">
        <v>23990.8</v>
      </c>
      <c r="GN63">
        <v>38179.8</v>
      </c>
      <c r="GO63">
        <v>31544.4</v>
      </c>
      <c r="GP63">
        <v>46761.4</v>
      </c>
      <c r="GQ63">
        <v>37933.1</v>
      </c>
      <c r="GR63">
        <v>1.8894</v>
      </c>
      <c r="GS63">
        <v>1.88043</v>
      </c>
      <c r="GT63">
        <v>0.127222</v>
      </c>
      <c r="GU63">
        <v>0</v>
      </c>
      <c r="GV63">
        <v>27.924</v>
      </c>
      <c r="GW63">
        <v>999.9</v>
      </c>
      <c r="GX63">
        <v>63.6</v>
      </c>
      <c r="GY63">
        <v>29</v>
      </c>
      <c r="GZ63">
        <v>28.1753</v>
      </c>
      <c r="HA63">
        <v>61.52</v>
      </c>
      <c r="HB63">
        <v>19.9679</v>
      </c>
      <c r="HC63">
        <v>1</v>
      </c>
      <c r="HD63">
        <v>0.0492124</v>
      </c>
      <c r="HE63">
        <v>-2.20268</v>
      </c>
      <c r="HF63">
        <v>20.3238</v>
      </c>
      <c r="HG63">
        <v>5.22193</v>
      </c>
      <c r="HH63">
        <v>11.98</v>
      </c>
      <c r="HI63">
        <v>4.9652</v>
      </c>
      <c r="HJ63">
        <v>3.27595</v>
      </c>
      <c r="HK63">
        <v>9999</v>
      </c>
      <c r="HL63">
        <v>9999</v>
      </c>
      <c r="HM63">
        <v>9999</v>
      </c>
      <c r="HN63">
        <v>999.9</v>
      </c>
      <c r="HO63">
        <v>1.86358</v>
      </c>
      <c r="HP63">
        <v>1.85974</v>
      </c>
      <c r="HQ63">
        <v>1.858</v>
      </c>
      <c r="HR63">
        <v>1.85942</v>
      </c>
      <c r="HS63">
        <v>1.85959</v>
      </c>
      <c r="HT63">
        <v>1.85803</v>
      </c>
      <c r="HU63">
        <v>1.8571</v>
      </c>
      <c r="HV63">
        <v>1.8521</v>
      </c>
      <c r="HW63">
        <v>0</v>
      </c>
      <c r="HX63">
        <v>0</v>
      </c>
      <c r="HY63">
        <v>0</v>
      </c>
      <c r="HZ63">
        <v>0</v>
      </c>
      <c r="IA63" t="s">
        <v>424</v>
      </c>
      <c r="IB63" t="s">
        <v>425</v>
      </c>
      <c r="IC63" t="s">
        <v>426</v>
      </c>
      <c r="ID63" t="s">
        <v>426</v>
      </c>
      <c r="IE63" t="s">
        <v>426</v>
      </c>
      <c r="IF63" t="s">
        <v>426</v>
      </c>
      <c r="IG63">
        <v>0</v>
      </c>
      <c r="IH63">
        <v>100</v>
      </c>
      <c r="II63">
        <v>100</v>
      </c>
      <c r="IJ63">
        <v>-0.824</v>
      </c>
      <c r="IK63">
        <v>0.1984</v>
      </c>
      <c r="IL63">
        <v>-1.613291919289301</v>
      </c>
      <c r="IM63">
        <v>0.001328113201692861</v>
      </c>
      <c r="IN63">
        <v>1.538283238170363E-06</v>
      </c>
      <c r="IO63">
        <v>-5.795655626708063E-10</v>
      </c>
      <c r="IP63">
        <v>-0.05565860728478197</v>
      </c>
      <c r="IQ63">
        <v>-0.004593102289677449</v>
      </c>
      <c r="IR63">
        <v>0.0008253994458280543</v>
      </c>
      <c r="IS63">
        <v>-7.403632370499484E-06</v>
      </c>
      <c r="IT63">
        <v>2</v>
      </c>
      <c r="IU63">
        <v>1985</v>
      </c>
      <c r="IV63">
        <v>1</v>
      </c>
      <c r="IW63">
        <v>27</v>
      </c>
      <c r="IX63">
        <v>3</v>
      </c>
      <c r="IY63">
        <v>2.9</v>
      </c>
      <c r="IZ63">
        <v>1.12305</v>
      </c>
      <c r="JA63">
        <v>2.56348</v>
      </c>
      <c r="JB63">
        <v>1.49658</v>
      </c>
      <c r="JC63">
        <v>2.34253</v>
      </c>
      <c r="JD63">
        <v>1.54907</v>
      </c>
      <c r="JE63">
        <v>2.43896</v>
      </c>
      <c r="JF63">
        <v>31.8269</v>
      </c>
      <c r="JG63">
        <v>14.6224</v>
      </c>
      <c r="JH63">
        <v>18</v>
      </c>
      <c r="JI63">
        <v>483.19</v>
      </c>
      <c r="JJ63">
        <v>507.193</v>
      </c>
      <c r="JK63">
        <v>31.6214</v>
      </c>
      <c r="JL63">
        <v>27.8878</v>
      </c>
      <c r="JM63">
        <v>29.9995</v>
      </c>
      <c r="JN63">
        <v>28.213</v>
      </c>
      <c r="JO63">
        <v>28.2214</v>
      </c>
      <c r="JP63">
        <v>22.5859</v>
      </c>
      <c r="JQ63">
        <v>18.7959</v>
      </c>
      <c r="JR63">
        <v>82.288</v>
      </c>
      <c r="JS63">
        <v>31.6296</v>
      </c>
      <c r="JT63">
        <v>420</v>
      </c>
      <c r="JU63">
        <v>23.9269</v>
      </c>
      <c r="JV63">
        <v>102.256</v>
      </c>
      <c r="JW63">
        <v>91.502</v>
      </c>
    </row>
    <row r="64" spans="1:283">
      <c r="A64">
        <v>46</v>
      </c>
      <c r="B64">
        <v>1761018338</v>
      </c>
      <c r="C64">
        <v>268.5</v>
      </c>
      <c r="D64" t="s">
        <v>519</v>
      </c>
      <c r="E64" t="s">
        <v>520</v>
      </c>
      <c r="F64">
        <v>5</v>
      </c>
      <c r="G64" t="s">
        <v>489</v>
      </c>
      <c r="H64">
        <v>1761018335</v>
      </c>
      <c r="I64">
        <f>(J64)/1000</f>
        <v>0</v>
      </c>
      <c r="J64">
        <f>1000*DJ64*AH64*(DF64-DG64)/(100*CY64*(1000-AH64*DF64))</f>
        <v>0</v>
      </c>
      <c r="K64">
        <f>DJ64*AH64*(DE64-DD64*(1000-AH64*DG64)/(1000-AH64*DF64))/(100*CY64)</f>
        <v>0</v>
      </c>
      <c r="L64">
        <f>DD64 - IF(AH64&gt;1, K64*CY64*100.0/(AJ64), 0)</f>
        <v>0</v>
      </c>
      <c r="M64">
        <f>((S64-I64/2)*L64-K64)/(S64+I64/2)</f>
        <v>0</v>
      </c>
      <c r="N64">
        <f>M64*(DK64+DL64)/1000.0</f>
        <v>0</v>
      </c>
      <c r="O64">
        <f>(DD64 - IF(AH64&gt;1, K64*CY64*100.0/(AJ64), 0))*(DK64+DL64)/1000.0</f>
        <v>0</v>
      </c>
      <c r="P64">
        <f>2.0/((1/R64-1/Q64)+SIGN(R64)*SQRT((1/R64-1/Q64)*(1/R64-1/Q64) + 4*CZ64/((CZ64+1)*(CZ64+1))*(2*1/R64*1/Q64-1/Q64*1/Q64)))</f>
        <v>0</v>
      </c>
      <c r="Q64">
        <f>IF(LEFT(DA64,1)&lt;&gt;"0",IF(LEFT(DA64,1)="1",3.0,DB64),$D$5+$E$5*(DR64*DK64/($K$5*1000))+$F$5*(DR64*DK64/($K$5*1000))*MAX(MIN(CY64,$J$5),$I$5)*MAX(MIN(CY64,$J$5),$I$5)+$G$5*MAX(MIN(CY64,$J$5),$I$5)*(DR64*DK64/($K$5*1000))+$H$5*(DR64*DK64/($K$5*1000))*(DR64*DK64/($K$5*1000)))</f>
        <v>0</v>
      </c>
      <c r="R64">
        <f>I64*(1000-(1000*0.61365*exp(17.502*V64/(240.97+V64))/(DK64+DL64)+DF64)/2)/(1000*0.61365*exp(17.502*V64/(240.97+V64))/(DK64+DL64)-DF64)</f>
        <v>0</v>
      </c>
      <c r="S64">
        <f>1/((CZ64+1)/(P64/1.6)+1/(Q64/1.37)) + CZ64/((CZ64+1)/(P64/1.6) + CZ64/(Q64/1.37))</f>
        <v>0</v>
      </c>
      <c r="T64">
        <f>(CU64*CX64)</f>
        <v>0</v>
      </c>
      <c r="U64">
        <f>(DM64+(T64+2*0.95*5.67E-8*(((DM64+$B$9)+273)^4-(DM64+273)^4)-44100*I64)/(1.84*29.3*Q64+8*0.95*5.67E-8*(DM64+273)^3))</f>
        <v>0</v>
      </c>
      <c r="V64">
        <f>($C$9*DN64+$D$9*DO64+$E$9*U64)</f>
        <v>0</v>
      </c>
      <c r="W64">
        <f>0.61365*exp(17.502*V64/(240.97+V64))</f>
        <v>0</v>
      </c>
      <c r="X64">
        <f>(Y64/Z64*100)</f>
        <v>0</v>
      </c>
      <c r="Y64">
        <f>DF64*(DK64+DL64)/1000</f>
        <v>0</v>
      </c>
      <c r="Z64">
        <f>0.61365*exp(17.502*DM64/(240.97+DM64))</f>
        <v>0</v>
      </c>
      <c r="AA64">
        <f>(W64-DF64*(DK64+DL64)/1000)</f>
        <v>0</v>
      </c>
      <c r="AB64">
        <f>(-I64*44100)</f>
        <v>0</v>
      </c>
      <c r="AC64">
        <f>2*29.3*Q64*0.92*(DM64-V64)</f>
        <v>0</v>
      </c>
      <c r="AD64">
        <f>2*0.95*5.67E-8*(((DM64+$B$9)+273)^4-(V64+273)^4)</f>
        <v>0</v>
      </c>
      <c r="AE64">
        <f>T64+AD64+AB64+AC64</f>
        <v>0</v>
      </c>
      <c r="AF64">
        <v>0</v>
      </c>
      <c r="AG64">
        <v>0</v>
      </c>
      <c r="AH64">
        <f>IF(AF64*$H$15&gt;=AJ64,1.0,(AJ64/(AJ64-AF64*$H$15)))</f>
        <v>0</v>
      </c>
      <c r="AI64">
        <f>(AH64-1)*100</f>
        <v>0</v>
      </c>
      <c r="AJ64">
        <f>MAX(0,($B$15+$C$15*DR64)/(1+$D$15*DR64)*DK64/(DM64+273)*$E$15)</f>
        <v>0</v>
      </c>
      <c r="AK64" t="s">
        <v>420</v>
      </c>
      <c r="AL64" t="s">
        <v>420</v>
      </c>
      <c r="AM64">
        <v>0</v>
      </c>
      <c r="AN64">
        <v>0</v>
      </c>
      <c r="AO64">
        <f>1-AM64/AN64</f>
        <v>0</v>
      </c>
      <c r="AP64">
        <v>0</v>
      </c>
      <c r="AQ64" t="s">
        <v>420</v>
      </c>
      <c r="AR64" t="s">
        <v>420</v>
      </c>
      <c r="AS64">
        <v>0</v>
      </c>
      <c r="AT64">
        <v>0</v>
      </c>
      <c r="AU64">
        <f>1-AS64/AT64</f>
        <v>0</v>
      </c>
      <c r="AV64">
        <v>0.5</v>
      </c>
      <c r="AW64">
        <f>CV64</f>
        <v>0</v>
      </c>
      <c r="AX64">
        <f>K64</f>
        <v>0</v>
      </c>
      <c r="AY64">
        <f>AU64*AV64*AW64</f>
        <v>0</v>
      </c>
      <c r="AZ64">
        <f>(AX64-AP64)/AW64</f>
        <v>0</v>
      </c>
      <c r="BA64">
        <f>(AN64-AT64)/AT64</f>
        <v>0</v>
      </c>
      <c r="BB64">
        <f>AM64/(AO64+AM64/AT64)</f>
        <v>0</v>
      </c>
      <c r="BC64" t="s">
        <v>420</v>
      </c>
      <c r="BD64">
        <v>0</v>
      </c>
      <c r="BE64">
        <f>IF(BD64&lt;&gt;0, BD64, BB64)</f>
        <v>0</v>
      </c>
      <c r="BF64">
        <f>1-BE64/AT64</f>
        <v>0</v>
      </c>
      <c r="BG64">
        <f>(AT64-AS64)/(AT64-BE64)</f>
        <v>0</v>
      </c>
      <c r="BH64">
        <f>(AN64-AT64)/(AN64-BE64)</f>
        <v>0</v>
      </c>
      <c r="BI64">
        <f>(AT64-AS64)/(AT64-AM64)</f>
        <v>0</v>
      </c>
      <c r="BJ64">
        <f>(AN64-AT64)/(AN64-AM64)</f>
        <v>0</v>
      </c>
      <c r="BK64">
        <f>(BG64*BE64/AS64)</f>
        <v>0</v>
      </c>
      <c r="BL64">
        <f>(1-BK64)</f>
        <v>0</v>
      </c>
      <c r="CU64">
        <f>$B$13*DS64+$C$13*DT64+$F$13*EE64*(1-EH64)</f>
        <v>0</v>
      </c>
      <c r="CV64">
        <f>CU64*CW64</f>
        <v>0</v>
      </c>
      <c r="CW64">
        <f>($B$13*$D$11+$C$13*$D$11+$F$13*((ER64+EJ64)/MAX(ER64+EJ64+ES64, 0.1)*$I$11+ES64/MAX(ER64+EJ64+ES64, 0.1)*$J$11))/($B$13+$C$13+$F$13)</f>
        <v>0</v>
      </c>
      <c r="CX64">
        <f>($B$13*$K$11+$C$13*$K$11+$F$13*((ER64+EJ64)/MAX(ER64+EJ64+ES64, 0.1)*$P$11+ES64/MAX(ER64+EJ64+ES64, 0.1)*$Q$11))/($B$13+$C$13+$F$13)</f>
        <v>0</v>
      </c>
      <c r="CY64">
        <v>4.16</v>
      </c>
      <c r="CZ64">
        <v>0.5</v>
      </c>
      <c r="DA64" t="s">
        <v>421</v>
      </c>
      <c r="DB64">
        <v>2</v>
      </c>
      <c r="DC64">
        <v>1761018335</v>
      </c>
      <c r="DD64">
        <v>420.5972222222222</v>
      </c>
      <c r="DE64">
        <v>419.9164444444444</v>
      </c>
      <c r="DF64">
        <v>23.80963333333333</v>
      </c>
      <c r="DG64">
        <v>23.68815555555556</v>
      </c>
      <c r="DH64">
        <v>421.421111111111</v>
      </c>
      <c r="DI64">
        <v>23.61104444444444</v>
      </c>
      <c r="DJ64">
        <v>499.9656666666667</v>
      </c>
      <c r="DK64">
        <v>90.78628888888888</v>
      </c>
      <c r="DL64">
        <v>0.03453781111111112</v>
      </c>
      <c r="DM64">
        <v>30.36891111111111</v>
      </c>
      <c r="DN64">
        <v>29.9993</v>
      </c>
      <c r="DO64">
        <v>999.9000000000001</v>
      </c>
      <c r="DP64">
        <v>0</v>
      </c>
      <c r="DQ64">
        <v>0</v>
      </c>
      <c r="DR64">
        <v>9985.136666666667</v>
      </c>
      <c r="DS64">
        <v>0</v>
      </c>
      <c r="DT64">
        <v>0.242856</v>
      </c>
      <c r="DU64">
        <v>0.680752111111111</v>
      </c>
      <c r="DV64">
        <v>430.8556666666667</v>
      </c>
      <c r="DW64">
        <v>430.1047777777778</v>
      </c>
      <c r="DX64">
        <v>0.1214688777777778</v>
      </c>
      <c r="DY64">
        <v>419.9164444444444</v>
      </c>
      <c r="DZ64">
        <v>23.68815555555556</v>
      </c>
      <c r="EA64">
        <v>2.161587777777777</v>
      </c>
      <c r="EB64">
        <v>2.150562222222222</v>
      </c>
      <c r="EC64">
        <v>18.68044444444445</v>
      </c>
      <c r="ED64">
        <v>18.5987</v>
      </c>
      <c r="EE64">
        <v>0.00500078</v>
      </c>
      <c r="EF64">
        <v>0</v>
      </c>
      <c r="EG64">
        <v>0</v>
      </c>
      <c r="EH64">
        <v>0</v>
      </c>
      <c r="EI64">
        <v>525.5777777777778</v>
      </c>
      <c r="EJ64">
        <v>0.00500078</v>
      </c>
      <c r="EK64">
        <v>-12.22222222222222</v>
      </c>
      <c r="EL64">
        <v>0.08888888888888886</v>
      </c>
      <c r="EM64">
        <v>35.82599999999999</v>
      </c>
      <c r="EN64">
        <v>40.54822222222222</v>
      </c>
      <c r="EO64">
        <v>38.26366666666667</v>
      </c>
      <c r="EP64">
        <v>41.458</v>
      </c>
      <c r="EQ64">
        <v>39.11766666666666</v>
      </c>
      <c r="ER64">
        <v>0</v>
      </c>
      <c r="ES64">
        <v>0</v>
      </c>
      <c r="ET64">
        <v>0</v>
      </c>
      <c r="EU64">
        <v>1761018337.3</v>
      </c>
      <c r="EV64">
        <v>0</v>
      </c>
      <c r="EW64">
        <v>526.3720000000001</v>
      </c>
      <c r="EX64">
        <v>-31.01538448216138</v>
      </c>
      <c r="EY64">
        <v>45.88461520514301</v>
      </c>
      <c r="EZ64">
        <v>-14.584</v>
      </c>
      <c r="FA64">
        <v>15</v>
      </c>
      <c r="FB64">
        <v>1761018162.5</v>
      </c>
      <c r="FC64" t="s">
        <v>490</v>
      </c>
      <c r="FD64">
        <v>1761018155.5</v>
      </c>
      <c r="FE64">
        <v>1761018162.5</v>
      </c>
      <c r="FF64">
        <v>24</v>
      </c>
      <c r="FG64">
        <v>-0.207</v>
      </c>
      <c r="FH64">
        <v>-0.006</v>
      </c>
      <c r="FI64">
        <v>-0.825</v>
      </c>
      <c r="FJ64">
        <v>0.194</v>
      </c>
      <c r="FK64">
        <v>420</v>
      </c>
      <c r="FL64">
        <v>24</v>
      </c>
      <c r="FM64">
        <v>0.19</v>
      </c>
      <c r="FN64">
        <v>0.1</v>
      </c>
      <c r="FO64">
        <v>0.6107192926829268</v>
      </c>
      <c r="FP64">
        <v>0.2844343275261325</v>
      </c>
      <c r="FQ64">
        <v>0.06904936240790878</v>
      </c>
      <c r="FR64">
        <v>1</v>
      </c>
      <c r="FS64">
        <v>528.1058823529412</v>
      </c>
      <c r="FT64">
        <v>-28.42780737991214</v>
      </c>
      <c r="FU64">
        <v>6.42426197072567</v>
      </c>
      <c r="FV64">
        <v>0</v>
      </c>
      <c r="FW64">
        <v>0.1684380219512195</v>
      </c>
      <c r="FX64">
        <v>-0.2084083379790934</v>
      </c>
      <c r="FY64">
        <v>0.03791895554060008</v>
      </c>
      <c r="FZ64">
        <v>0</v>
      </c>
      <c r="GA64">
        <v>1</v>
      </c>
      <c r="GB64">
        <v>3</v>
      </c>
      <c r="GC64" t="s">
        <v>431</v>
      </c>
      <c r="GD64">
        <v>3.10945</v>
      </c>
      <c r="GE64">
        <v>2.72623</v>
      </c>
      <c r="GF64">
        <v>0.0886912</v>
      </c>
      <c r="GG64">
        <v>0.0884982</v>
      </c>
      <c r="GH64">
        <v>0.108092</v>
      </c>
      <c r="GI64">
        <v>0.108928</v>
      </c>
      <c r="GJ64">
        <v>23905.7</v>
      </c>
      <c r="GK64">
        <v>21678.7</v>
      </c>
      <c r="GL64">
        <v>26790.6</v>
      </c>
      <c r="GM64">
        <v>23990.8</v>
      </c>
      <c r="GN64">
        <v>38180.7</v>
      </c>
      <c r="GO64">
        <v>31540.7</v>
      </c>
      <c r="GP64">
        <v>46761.4</v>
      </c>
      <c r="GQ64">
        <v>37933.1</v>
      </c>
      <c r="GR64">
        <v>1.8894</v>
      </c>
      <c r="GS64">
        <v>1.8806</v>
      </c>
      <c r="GT64">
        <v>0.12745</v>
      </c>
      <c r="GU64">
        <v>0</v>
      </c>
      <c r="GV64">
        <v>27.9254</v>
      </c>
      <c r="GW64">
        <v>999.9</v>
      </c>
      <c r="GX64">
        <v>63.6</v>
      </c>
      <c r="GY64">
        <v>28.9</v>
      </c>
      <c r="GZ64">
        <v>28.0122</v>
      </c>
      <c r="HA64">
        <v>61.68</v>
      </c>
      <c r="HB64">
        <v>20.2083</v>
      </c>
      <c r="HC64">
        <v>1</v>
      </c>
      <c r="HD64">
        <v>0.0490701</v>
      </c>
      <c r="HE64">
        <v>-2.21231</v>
      </c>
      <c r="HF64">
        <v>20.3236</v>
      </c>
      <c r="HG64">
        <v>5.22208</v>
      </c>
      <c r="HH64">
        <v>11.98</v>
      </c>
      <c r="HI64">
        <v>4.96525</v>
      </c>
      <c r="HJ64">
        <v>3.27595</v>
      </c>
      <c r="HK64">
        <v>9999</v>
      </c>
      <c r="HL64">
        <v>9999</v>
      </c>
      <c r="HM64">
        <v>9999</v>
      </c>
      <c r="HN64">
        <v>999.9</v>
      </c>
      <c r="HO64">
        <v>1.86359</v>
      </c>
      <c r="HP64">
        <v>1.85974</v>
      </c>
      <c r="HQ64">
        <v>1.858</v>
      </c>
      <c r="HR64">
        <v>1.85943</v>
      </c>
      <c r="HS64">
        <v>1.85959</v>
      </c>
      <c r="HT64">
        <v>1.85805</v>
      </c>
      <c r="HU64">
        <v>1.85707</v>
      </c>
      <c r="HV64">
        <v>1.8521</v>
      </c>
      <c r="HW64">
        <v>0</v>
      </c>
      <c r="HX64">
        <v>0</v>
      </c>
      <c r="HY64">
        <v>0</v>
      </c>
      <c r="HZ64">
        <v>0</v>
      </c>
      <c r="IA64" t="s">
        <v>424</v>
      </c>
      <c r="IB64" t="s">
        <v>425</v>
      </c>
      <c r="IC64" t="s">
        <v>426</v>
      </c>
      <c r="ID64" t="s">
        <v>426</v>
      </c>
      <c r="IE64" t="s">
        <v>426</v>
      </c>
      <c r="IF64" t="s">
        <v>426</v>
      </c>
      <c r="IG64">
        <v>0</v>
      </c>
      <c r="IH64">
        <v>100</v>
      </c>
      <c r="II64">
        <v>100</v>
      </c>
      <c r="IJ64">
        <v>-0.824</v>
      </c>
      <c r="IK64">
        <v>0.1983</v>
      </c>
      <c r="IL64">
        <v>-1.613291919289301</v>
      </c>
      <c r="IM64">
        <v>0.001328113201692861</v>
      </c>
      <c r="IN64">
        <v>1.538283238170363E-06</v>
      </c>
      <c r="IO64">
        <v>-5.795655626708063E-10</v>
      </c>
      <c r="IP64">
        <v>-0.05565860728478197</v>
      </c>
      <c r="IQ64">
        <v>-0.004593102289677449</v>
      </c>
      <c r="IR64">
        <v>0.0008253994458280543</v>
      </c>
      <c r="IS64">
        <v>-7.403632370499484E-06</v>
      </c>
      <c r="IT64">
        <v>2</v>
      </c>
      <c r="IU64">
        <v>1985</v>
      </c>
      <c r="IV64">
        <v>1</v>
      </c>
      <c r="IW64">
        <v>27</v>
      </c>
      <c r="IX64">
        <v>3</v>
      </c>
      <c r="IY64">
        <v>2.9</v>
      </c>
      <c r="IZ64">
        <v>1.12305</v>
      </c>
      <c r="JA64">
        <v>2.57202</v>
      </c>
      <c r="JB64">
        <v>1.49658</v>
      </c>
      <c r="JC64">
        <v>2.34253</v>
      </c>
      <c r="JD64">
        <v>1.54907</v>
      </c>
      <c r="JE64">
        <v>2.44629</v>
      </c>
      <c r="JF64">
        <v>31.8269</v>
      </c>
      <c r="JG64">
        <v>14.6224</v>
      </c>
      <c r="JH64">
        <v>18</v>
      </c>
      <c r="JI64">
        <v>483.168</v>
      </c>
      <c r="JJ64">
        <v>507.29</v>
      </c>
      <c r="JK64">
        <v>31.6213</v>
      </c>
      <c r="JL64">
        <v>27.8849</v>
      </c>
      <c r="JM64">
        <v>29.9996</v>
      </c>
      <c r="JN64">
        <v>28.21</v>
      </c>
      <c r="JO64">
        <v>28.219</v>
      </c>
      <c r="JP64">
        <v>22.5886</v>
      </c>
      <c r="JQ64">
        <v>18.4872</v>
      </c>
      <c r="JR64">
        <v>82.288</v>
      </c>
      <c r="JS64">
        <v>31.6296</v>
      </c>
      <c r="JT64">
        <v>420</v>
      </c>
      <c r="JU64">
        <v>23.9456</v>
      </c>
      <c r="JV64">
        <v>102.257</v>
      </c>
      <c r="JW64">
        <v>91.5018</v>
      </c>
    </row>
    <row r="65" spans="1:283">
      <c r="A65">
        <v>47</v>
      </c>
      <c r="B65">
        <v>1761018340</v>
      </c>
      <c r="C65">
        <v>270.5</v>
      </c>
      <c r="D65" t="s">
        <v>521</v>
      </c>
      <c r="E65" t="s">
        <v>522</v>
      </c>
      <c r="F65">
        <v>5</v>
      </c>
      <c r="G65" t="s">
        <v>489</v>
      </c>
      <c r="H65">
        <v>1761018337</v>
      </c>
      <c r="I65">
        <f>(J65)/1000</f>
        <v>0</v>
      </c>
      <c r="J65">
        <f>1000*DJ65*AH65*(DF65-DG65)/(100*CY65*(1000-AH65*DF65))</f>
        <v>0</v>
      </c>
      <c r="K65">
        <f>DJ65*AH65*(DE65-DD65*(1000-AH65*DG65)/(1000-AH65*DF65))/(100*CY65)</f>
        <v>0</v>
      </c>
      <c r="L65">
        <f>DD65 - IF(AH65&gt;1, K65*CY65*100.0/(AJ65), 0)</f>
        <v>0</v>
      </c>
      <c r="M65">
        <f>((S65-I65/2)*L65-K65)/(S65+I65/2)</f>
        <v>0</v>
      </c>
      <c r="N65">
        <f>M65*(DK65+DL65)/1000.0</f>
        <v>0</v>
      </c>
      <c r="O65">
        <f>(DD65 - IF(AH65&gt;1, K65*CY65*100.0/(AJ65), 0))*(DK65+DL65)/1000.0</f>
        <v>0</v>
      </c>
      <c r="P65">
        <f>2.0/((1/R65-1/Q65)+SIGN(R65)*SQRT((1/R65-1/Q65)*(1/R65-1/Q65) + 4*CZ65/((CZ65+1)*(CZ65+1))*(2*1/R65*1/Q65-1/Q65*1/Q65)))</f>
        <v>0</v>
      </c>
      <c r="Q65">
        <f>IF(LEFT(DA65,1)&lt;&gt;"0",IF(LEFT(DA65,1)="1",3.0,DB65),$D$5+$E$5*(DR65*DK65/($K$5*1000))+$F$5*(DR65*DK65/($K$5*1000))*MAX(MIN(CY65,$J$5),$I$5)*MAX(MIN(CY65,$J$5),$I$5)+$G$5*MAX(MIN(CY65,$J$5),$I$5)*(DR65*DK65/($K$5*1000))+$H$5*(DR65*DK65/($K$5*1000))*(DR65*DK65/($K$5*1000)))</f>
        <v>0</v>
      </c>
      <c r="R65">
        <f>I65*(1000-(1000*0.61365*exp(17.502*V65/(240.97+V65))/(DK65+DL65)+DF65)/2)/(1000*0.61365*exp(17.502*V65/(240.97+V65))/(DK65+DL65)-DF65)</f>
        <v>0</v>
      </c>
      <c r="S65">
        <f>1/((CZ65+1)/(P65/1.6)+1/(Q65/1.37)) + CZ65/((CZ65+1)/(P65/1.6) + CZ65/(Q65/1.37))</f>
        <v>0</v>
      </c>
      <c r="T65">
        <f>(CU65*CX65)</f>
        <v>0</v>
      </c>
      <c r="U65">
        <f>(DM65+(T65+2*0.95*5.67E-8*(((DM65+$B$9)+273)^4-(DM65+273)^4)-44100*I65)/(1.84*29.3*Q65+8*0.95*5.67E-8*(DM65+273)^3))</f>
        <v>0</v>
      </c>
      <c r="V65">
        <f>($C$9*DN65+$D$9*DO65+$E$9*U65)</f>
        <v>0</v>
      </c>
      <c r="W65">
        <f>0.61365*exp(17.502*V65/(240.97+V65))</f>
        <v>0</v>
      </c>
      <c r="X65">
        <f>(Y65/Z65*100)</f>
        <v>0</v>
      </c>
      <c r="Y65">
        <f>DF65*(DK65+DL65)/1000</f>
        <v>0</v>
      </c>
      <c r="Z65">
        <f>0.61365*exp(17.502*DM65/(240.97+DM65))</f>
        <v>0</v>
      </c>
      <c r="AA65">
        <f>(W65-DF65*(DK65+DL65)/1000)</f>
        <v>0</v>
      </c>
      <c r="AB65">
        <f>(-I65*44100)</f>
        <v>0</v>
      </c>
      <c r="AC65">
        <f>2*29.3*Q65*0.92*(DM65-V65)</f>
        <v>0</v>
      </c>
      <c r="AD65">
        <f>2*0.95*5.67E-8*(((DM65+$B$9)+273)^4-(V65+273)^4)</f>
        <v>0</v>
      </c>
      <c r="AE65">
        <f>T65+AD65+AB65+AC65</f>
        <v>0</v>
      </c>
      <c r="AF65">
        <v>0</v>
      </c>
      <c r="AG65">
        <v>0</v>
      </c>
      <c r="AH65">
        <f>IF(AF65*$H$15&gt;=AJ65,1.0,(AJ65/(AJ65-AF65*$H$15)))</f>
        <v>0</v>
      </c>
      <c r="AI65">
        <f>(AH65-1)*100</f>
        <v>0</v>
      </c>
      <c r="AJ65">
        <f>MAX(0,($B$15+$C$15*DR65)/(1+$D$15*DR65)*DK65/(DM65+273)*$E$15)</f>
        <v>0</v>
      </c>
      <c r="AK65" t="s">
        <v>420</v>
      </c>
      <c r="AL65" t="s">
        <v>420</v>
      </c>
      <c r="AM65">
        <v>0</v>
      </c>
      <c r="AN65">
        <v>0</v>
      </c>
      <c r="AO65">
        <f>1-AM65/AN65</f>
        <v>0</v>
      </c>
      <c r="AP65">
        <v>0</v>
      </c>
      <c r="AQ65" t="s">
        <v>420</v>
      </c>
      <c r="AR65" t="s">
        <v>420</v>
      </c>
      <c r="AS65">
        <v>0</v>
      </c>
      <c r="AT65">
        <v>0</v>
      </c>
      <c r="AU65">
        <f>1-AS65/AT65</f>
        <v>0</v>
      </c>
      <c r="AV65">
        <v>0.5</v>
      </c>
      <c r="AW65">
        <f>CV65</f>
        <v>0</v>
      </c>
      <c r="AX65">
        <f>K65</f>
        <v>0</v>
      </c>
      <c r="AY65">
        <f>AU65*AV65*AW65</f>
        <v>0</v>
      </c>
      <c r="AZ65">
        <f>(AX65-AP65)/AW65</f>
        <v>0</v>
      </c>
      <c r="BA65">
        <f>(AN65-AT65)/AT65</f>
        <v>0</v>
      </c>
      <c r="BB65">
        <f>AM65/(AO65+AM65/AT65)</f>
        <v>0</v>
      </c>
      <c r="BC65" t="s">
        <v>420</v>
      </c>
      <c r="BD65">
        <v>0</v>
      </c>
      <c r="BE65">
        <f>IF(BD65&lt;&gt;0, BD65, BB65)</f>
        <v>0</v>
      </c>
      <c r="BF65">
        <f>1-BE65/AT65</f>
        <v>0</v>
      </c>
      <c r="BG65">
        <f>(AT65-AS65)/(AT65-BE65)</f>
        <v>0</v>
      </c>
      <c r="BH65">
        <f>(AN65-AT65)/(AN65-BE65)</f>
        <v>0</v>
      </c>
      <c r="BI65">
        <f>(AT65-AS65)/(AT65-AM65)</f>
        <v>0</v>
      </c>
      <c r="BJ65">
        <f>(AN65-AT65)/(AN65-AM65)</f>
        <v>0</v>
      </c>
      <c r="BK65">
        <f>(BG65*BE65/AS65)</f>
        <v>0</v>
      </c>
      <c r="BL65">
        <f>(1-BK65)</f>
        <v>0</v>
      </c>
      <c r="CU65">
        <f>$B$13*DS65+$C$13*DT65+$F$13*EE65*(1-EH65)</f>
        <v>0</v>
      </c>
      <c r="CV65">
        <f>CU65*CW65</f>
        <v>0</v>
      </c>
      <c r="CW65">
        <f>($B$13*$D$11+$C$13*$D$11+$F$13*((ER65+EJ65)/MAX(ER65+EJ65+ES65, 0.1)*$I$11+ES65/MAX(ER65+EJ65+ES65, 0.1)*$J$11))/($B$13+$C$13+$F$13)</f>
        <v>0</v>
      </c>
      <c r="CX65">
        <f>($B$13*$K$11+$C$13*$K$11+$F$13*((ER65+EJ65)/MAX(ER65+EJ65+ES65, 0.1)*$P$11+ES65/MAX(ER65+EJ65+ES65, 0.1)*$Q$11))/($B$13+$C$13+$F$13)</f>
        <v>0</v>
      </c>
      <c r="CY65">
        <v>4.16</v>
      </c>
      <c r="CZ65">
        <v>0.5</v>
      </c>
      <c r="DA65" t="s">
        <v>421</v>
      </c>
      <c r="DB65">
        <v>2</v>
      </c>
      <c r="DC65">
        <v>1761018337</v>
      </c>
      <c r="DD65">
        <v>420.5818888888889</v>
      </c>
      <c r="DE65">
        <v>419.9098888888889</v>
      </c>
      <c r="DF65">
        <v>23.80104444444444</v>
      </c>
      <c r="DG65">
        <v>23.71266666666666</v>
      </c>
      <c r="DH65">
        <v>421.4058888888889</v>
      </c>
      <c r="DI65">
        <v>23.60265555555555</v>
      </c>
      <c r="DJ65">
        <v>499.933888888889</v>
      </c>
      <c r="DK65">
        <v>90.78608888888888</v>
      </c>
      <c r="DL65">
        <v>0.03461362222222222</v>
      </c>
      <c r="DM65">
        <v>30.36806666666666</v>
      </c>
      <c r="DN65">
        <v>29.99995555555556</v>
      </c>
      <c r="DO65">
        <v>999.9000000000001</v>
      </c>
      <c r="DP65">
        <v>0</v>
      </c>
      <c r="DQ65">
        <v>0</v>
      </c>
      <c r="DR65">
        <v>9988.055555555557</v>
      </c>
      <c r="DS65">
        <v>0</v>
      </c>
      <c r="DT65">
        <v>0.242856</v>
      </c>
      <c r="DU65">
        <v>0.6721326666666667</v>
      </c>
      <c r="DV65">
        <v>430.8362222222222</v>
      </c>
      <c r="DW65">
        <v>430.1088888888889</v>
      </c>
      <c r="DX65">
        <v>0.08838485555555556</v>
      </c>
      <c r="DY65">
        <v>419.9098888888889</v>
      </c>
      <c r="DZ65">
        <v>23.71266666666666</v>
      </c>
      <c r="EA65">
        <v>2.160804444444444</v>
      </c>
      <c r="EB65">
        <v>2.15278</v>
      </c>
      <c r="EC65">
        <v>18.67464444444445</v>
      </c>
      <c r="ED65">
        <v>18.61517777777778</v>
      </c>
      <c r="EE65">
        <v>0.00500078</v>
      </c>
      <c r="EF65">
        <v>0</v>
      </c>
      <c r="EG65">
        <v>0</v>
      </c>
      <c r="EH65">
        <v>0</v>
      </c>
      <c r="EI65">
        <v>523.4777777777776</v>
      </c>
      <c r="EJ65">
        <v>0.00500078</v>
      </c>
      <c r="EK65">
        <v>-10.3</v>
      </c>
      <c r="EL65">
        <v>0.4222222222222223</v>
      </c>
      <c r="EM65">
        <v>35.84</v>
      </c>
      <c r="EN65">
        <v>40.562</v>
      </c>
      <c r="EO65">
        <v>38.15244444444444</v>
      </c>
      <c r="EP65">
        <v>41.472</v>
      </c>
      <c r="EQ65">
        <v>39.11777777777777</v>
      </c>
      <c r="ER65">
        <v>0</v>
      </c>
      <c r="ES65">
        <v>0</v>
      </c>
      <c r="ET65">
        <v>0</v>
      </c>
      <c r="EU65">
        <v>1761018339.1</v>
      </c>
      <c r="EV65">
        <v>0</v>
      </c>
      <c r="EW65">
        <v>525.3615384615385</v>
      </c>
      <c r="EX65">
        <v>-17.61367519942405</v>
      </c>
      <c r="EY65">
        <v>25.79487184921223</v>
      </c>
      <c r="EZ65">
        <v>-13.55</v>
      </c>
      <c r="FA65">
        <v>15</v>
      </c>
      <c r="FB65">
        <v>1761018162.5</v>
      </c>
      <c r="FC65" t="s">
        <v>490</v>
      </c>
      <c r="FD65">
        <v>1761018155.5</v>
      </c>
      <c r="FE65">
        <v>1761018162.5</v>
      </c>
      <c r="FF65">
        <v>24</v>
      </c>
      <c r="FG65">
        <v>-0.207</v>
      </c>
      <c r="FH65">
        <v>-0.006</v>
      </c>
      <c r="FI65">
        <v>-0.825</v>
      </c>
      <c r="FJ65">
        <v>0.194</v>
      </c>
      <c r="FK65">
        <v>420</v>
      </c>
      <c r="FL65">
        <v>24</v>
      </c>
      <c r="FM65">
        <v>0.19</v>
      </c>
      <c r="FN65">
        <v>0.1</v>
      </c>
      <c r="FO65">
        <v>0.609017975</v>
      </c>
      <c r="FP65">
        <v>0.4450394859287048</v>
      </c>
      <c r="FQ65">
        <v>0.06887666032354048</v>
      </c>
      <c r="FR65">
        <v>1</v>
      </c>
      <c r="FS65">
        <v>527.0852941176471</v>
      </c>
      <c r="FT65">
        <v>-33.91749417052088</v>
      </c>
      <c r="FU65">
        <v>6.786107450170496</v>
      </c>
      <c r="FV65">
        <v>0</v>
      </c>
      <c r="FW65">
        <v>0.1635406875</v>
      </c>
      <c r="FX65">
        <v>-0.4242828078799257</v>
      </c>
      <c r="FY65">
        <v>0.0469471213231929</v>
      </c>
      <c r="FZ65">
        <v>0</v>
      </c>
      <c r="GA65">
        <v>1</v>
      </c>
      <c r="GB65">
        <v>3</v>
      </c>
      <c r="GC65" t="s">
        <v>431</v>
      </c>
      <c r="GD65">
        <v>3.10961</v>
      </c>
      <c r="GE65">
        <v>2.72634</v>
      </c>
      <c r="GF65">
        <v>0.0886927</v>
      </c>
      <c r="GG65">
        <v>0.08850379999999999</v>
      </c>
      <c r="GH65">
        <v>0.108095</v>
      </c>
      <c r="GI65">
        <v>0.109062</v>
      </c>
      <c r="GJ65">
        <v>23905.9</v>
      </c>
      <c r="GK65">
        <v>21678.5</v>
      </c>
      <c r="GL65">
        <v>26790.8</v>
      </c>
      <c r="GM65">
        <v>23990.6</v>
      </c>
      <c r="GN65">
        <v>38180.5</v>
      </c>
      <c r="GO65">
        <v>31535.7</v>
      </c>
      <c r="GP65">
        <v>46761.5</v>
      </c>
      <c r="GQ65">
        <v>37932.8</v>
      </c>
      <c r="GR65">
        <v>1.88955</v>
      </c>
      <c r="GS65">
        <v>1.8802</v>
      </c>
      <c r="GT65">
        <v>0.127342</v>
      </c>
      <c r="GU65">
        <v>0</v>
      </c>
      <c r="GV65">
        <v>27.9266</v>
      </c>
      <c r="GW65">
        <v>999.9</v>
      </c>
      <c r="GX65">
        <v>63.6</v>
      </c>
      <c r="GY65">
        <v>29</v>
      </c>
      <c r="GZ65">
        <v>28.1728</v>
      </c>
      <c r="HA65">
        <v>61.69</v>
      </c>
      <c r="HB65">
        <v>19.9319</v>
      </c>
      <c r="HC65">
        <v>1</v>
      </c>
      <c r="HD65">
        <v>0.0488135</v>
      </c>
      <c r="HE65">
        <v>-2.66355</v>
      </c>
      <c r="HF65">
        <v>20.3146</v>
      </c>
      <c r="HG65">
        <v>5.22208</v>
      </c>
      <c r="HH65">
        <v>11.98</v>
      </c>
      <c r="HI65">
        <v>4.9654</v>
      </c>
      <c r="HJ65">
        <v>3.27598</v>
      </c>
      <c r="HK65">
        <v>9999</v>
      </c>
      <c r="HL65">
        <v>9999</v>
      </c>
      <c r="HM65">
        <v>9999</v>
      </c>
      <c r="HN65">
        <v>999.9</v>
      </c>
      <c r="HO65">
        <v>1.86359</v>
      </c>
      <c r="HP65">
        <v>1.85974</v>
      </c>
      <c r="HQ65">
        <v>1.85798</v>
      </c>
      <c r="HR65">
        <v>1.85942</v>
      </c>
      <c r="HS65">
        <v>1.85959</v>
      </c>
      <c r="HT65">
        <v>1.85803</v>
      </c>
      <c r="HU65">
        <v>1.85705</v>
      </c>
      <c r="HV65">
        <v>1.85209</v>
      </c>
      <c r="HW65">
        <v>0</v>
      </c>
      <c r="HX65">
        <v>0</v>
      </c>
      <c r="HY65">
        <v>0</v>
      </c>
      <c r="HZ65">
        <v>0</v>
      </c>
      <c r="IA65" t="s">
        <v>424</v>
      </c>
      <c r="IB65" t="s">
        <v>425</v>
      </c>
      <c r="IC65" t="s">
        <v>426</v>
      </c>
      <c r="ID65" t="s">
        <v>426</v>
      </c>
      <c r="IE65" t="s">
        <v>426</v>
      </c>
      <c r="IF65" t="s">
        <v>426</v>
      </c>
      <c r="IG65">
        <v>0</v>
      </c>
      <c r="IH65">
        <v>100</v>
      </c>
      <c r="II65">
        <v>100</v>
      </c>
      <c r="IJ65">
        <v>-0.824</v>
      </c>
      <c r="IK65">
        <v>0.1983</v>
      </c>
      <c r="IL65">
        <v>-1.613291919289301</v>
      </c>
      <c r="IM65">
        <v>0.001328113201692861</v>
      </c>
      <c r="IN65">
        <v>1.538283238170363E-06</v>
      </c>
      <c r="IO65">
        <v>-5.795655626708063E-10</v>
      </c>
      <c r="IP65">
        <v>-0.05565860728478197</v>
      </c>
      <c r="IQ65">
        <v>-0.004593102289677449</v>
      </c>
      <c r="IR65">
        <v>0.0008253994458280543</v>
      </c>
      <c r="IS65">
        <v>-7.403632370499484E-06</v>
      </c>
      <c r="IT65">
        <v>2</v>
      </c>
      <c r="IU65">
        <v>1985</v>
      </c>
      <c r="IV65">
        <v>1</v>
      </c>
      <c r="IW65">
        <v>27</v>
      </c>
      <c r="IX65">
        <v>3.1</v>
      </c>
      <c r="IY65">
        <v>3</v>
      </c>
      <c r="IZ65">
        <v>1.12305</v>
      </c>
      <c r="JA65">
        <v>2.56958</v>
      </c>
      <c r="JB65">
        <v>1.49658</v>
      </c>
      <c r="JC65">
        <v>2.34253</v>
      </c>
      <c r="JD65">
        <v>1.54907</v>
      </c>
      <c r="JE65">
        <v>2.35229</v>
      </c>
      <c r="JF65">
        <v>31.8269</v>
      </c>
      <c r="JG65">
        <v>14.5786</v>
      </c>
      <c r="JH65">
        <v>18</v>
      </c>
      <c r="JI65">
        <v>483.231</v>
      </c>
      <c r="JJ65">
        <v>506.995</v>
      </c>
      <c r="JK65">
        <v>31.6245</v>
      </c>
      <c r="JL65">
        <v>27.8818</v>
      </c>
      <c r="JM65">
        <v>29.9996</v>
      </c>
      <c r="JN65">
        <v>28.207</v>
      </c>
      <c r="JO65">
        <v>28.216</v>
      </c>
      <c r="JP65">
        <v>22.5877</v>
      </c>
      <c r="JQ65">
        <v>18.4872</v>
      </c>
      <c r="JR65">
        <v>82.7188</v>
      </c>
      <c r="JS65">
        <v>32.0074</v>
      </c>
      <c r="JT65">
        <v>420</v>
      </c>
      <c r="JU65">
        <v>23.95</v>
      </c>
      <c r="JV65">
        <v>102.257</v>
      </c>
      <c r="JW65">
        <v>91.5012</v>
      </c>
    </row>
    <row r="66" spans="1:283">
      <c r="A66">
        <v>48</v>
      </c>
      <c r="B66">
        <v>1761018342</v>
      </c>
      <c r="C66">
        <v>272.5</v>
      </c>
      <c r="D66" t="s">
        <v>523</v>
      </c>
      <c r="E66" t="s">
        <v>524</v>
      </c>
      <c r="F66">
        <v>5</v>
      </c>
      <c r="G66" t="s">
        <v>489</v>
      </c>
      <c r="H66">
        <v>1761018339</v>
      </c>
      <c r="I66">
        <f>(J66)/1000</f>
        <v>0</v>
      </c>
      <c r="J66">
        <f>1000*DJ66*AH66*(DF66-DG66)/(100*CY66*(1000-AH66*DF66))</f>
        <v>0</v>
      </c>
      <c r="K66">
        <f>DJ66*AH66*(DE66-DD66*(1000-AH66*DG66)/(1000-AH66*DF66))/(100*CY66)</f>
        <v>0</v>
      </c>
      <c r="L66">
        <f>DD66 - IF(AH66&gt;1, K66*CY66*100.0/(AJ66), 0)</f>
        <v>0</v>
      </c>
      <c r="M66">
        <f>((S66-I66/2)*L66-K66)/(S66+I66/2)</f>
        <v>0</v>
      </c>
      <c r="N66">
        <f>M66*(DK66+DL66)/1000.0</f>
        <v>0</v>
      </c>
      <c r="O66">
        <f>(DD66 - IF(AH66&gt;1, K66*CY66*100.0/(AJ66), 0))*(DK66+DL66)/1000.0</f>
        <v>0</v>
      </c>
      <c r="P66">
        <f>2.0/((1/R66-1/Q66)+SIGN(R66)*SQRT((1/R66-1/Q66)*(1/R66-1/Q66) + 4*CZ66/((CZ66+1)*(CZ66+1))*(2*1/R66*1/Q66-1/Q66*1/Q66)))</f>
        <v>0</v>
      </c>
      <c r="Q66">
        <f>IF(LEFT(DA66,1)&lt;&gt;"0",IF(LEFT(DA66,1)="1",3.0,DB66),$D$5+$E$5*(DR66*DK66/($K$5*1000))+$F$5*(DR66*DK66/($K$5*1000))*MAX(MIN(CY66,$J$5),$I$5)*MAX(MIN(CY66,$J$5),$I$5)+$G$5*MAX(MIN(CY66,$J$5),$I$5)*(DR66*DK66/($K$5*1000))+$H$5*(DR66*DK66/($K$5*1000))*(DR66*DK66/($K$5*1000)))</f>
        <v>0</v>
      </c>
      <c r="R66">
        <f>I66*(1000-(1000*0.61365*exp(17.502*V66/(240.97+V66))/(DK66+DL66)+DF66)/2)/(1000*0.61365*exp(17.502*V66/(240.97+V66))/(DK66+DL66)-DF66)</f>
        <v>0</v>
      </c>
      <c r="S66">
        <f>1/((CZ66+1)/(P66/1.6)+1/(Q66/1.37)) + CZ66/((CZ66+1)/(P66/1.6) + CZ66/(Q66/1.37))</f>
        <v>0</v>
      </c>
      <c r="T66">
        <f>(CU66*CX66)</f>
        <v>0</v>
      </c>
      <c r="U66">
        <f>(DM66+(T66+2*0.95*5.67E-8*(((DM66+$B$9)+273)^4-(DM66+273)^4)-44100*I66)/(1.84*29.3*Q66+8*0.95*5.67E-8*(DM66+273)^3))</f>
        <v>0</v>
      </c>
      <c r="V66">
        <f>($C$9*DN66+$D$9*DO66+$E$9*U66)</f>
        <v>0</v>
      </c>
      <c r="W66">
        <f>0.61365*exp(17.502*V66/(240.97+V66))</f>
        <v>0</v>
      </c>
      <c r="X66">
        <f>(Y66/Z66*100)</f>
        <v>0</v>
      </c>
      <c r="Y66">
        <f>DF66*(DK66+DL66)/1000</f>
        <v>0</v>
      </c>
      <c r="Z66">
        <f>0.61365*exp(17.502*DM66/(240.97+DM66))</f>
        <v>0</v>
      </c>
      <c r="AA66">
        <f>(W66-DF66*(DK66+DL66)/1000)</f>
        <v>0</v>
      </c>
      <c r="AB66">
        <f>(-I66*44100)</f>
        <v>0</v>
      </c>
      <c r="AC66">
        <f>2*29.3*Q66*0.92*(DM66-V66)</f>
        <v>0</v>
      </c>
      <c r="AD66">
        <f>2*0.95*5.67E-8*(((DM66+$B$9)+273)^4-(V66+273)^4)</f>
        <v>0</v>
      </c>
      <c r="AE66">
        <f>T66+AD66+AB66+AC66</f>
        <v>0</v>
      </c>
      <c r="AF66">
        <v>0</v>
      </c>
      <c r="AG66">
        <v>0</v>
      </c>
      <c r="AH66">
        <f>IF(AF66*$H$15&gt;=AJ66,1.0,(AJ66/(AJ66-AF66*$H$15)))</f>
        <v>0</v>
      </c>
      <c r="AI66">
        <f>(AH66-1)*100</f>
        <v>0</v>
      </c>
      <c r="AJ66">
        <f>MAX(0,($B$15+$C$15*DR66)/(1+$D$15*DR66)*DK66/(DM66+273)*$E$15)</f>
        <v>0</v>
      </c>
      <c r="AK66" t="s">
        <v>420</v>
      </c>
      <c r="AL66" t="s">
        <v>420</v>
      </c>
      <c r="AM66">
        <v>0</v>
      </c>
      <c r="AN66">
        <v>0</v>
      </c>
      <c r="AO66">
        <f>1-AM66/AN66</f>
        <v>0</v>
      </c>
      <c r="AP66">
        <v>0</v>
      </c>
      <c r="AQ66" t="s">
        <v>420</v>
      </c>
      <c r="AR66" t="s">
        <v>420</v>
      </c>
      <c r="AS66">
        <v>0</v>
      </c>
      <c r="AT66">
        <v>0</v>
      </c>
      <c r="AU66">
        <f>1-AS66/AT66</f>
        <v>0</v>
      </c>
      <c r="AV66">
        <v>0.5</v>
      </c>
      <c r="AW66">
        <f>CV66</f>
        <v>0</v>
      </c>
      <c r="AX66">
        <f>K66</f>
        <v>0</v>
      </c>
      <c r="AY66">
        <f>AU66*AV66*AW66</f>
        <v>0</v>
      </c>
      <c r="AZ66">
        <f>(AX66-AP66)/AW66</f>
        <v>0</v>
      </c>
      <c r="BA66">
        <f>(AN66-AT66)/AT66</f>
        <v>0</v>
      </c>
      <c r="BB66">
        <f>AM66/(AO66+AM66/AT66)</f>
        <v>0</v>
      </c>
      <c r="BC66" t="s">
        <v>420</v>
      </c>
      <c r="BD66">
        <v>0</v>
      </c>
      <c r="BE66">
        <f>IF(BD66&lt;&gt;0, BD66, BB66)</f>
        <v>0</v>
      </c>
      <c r="BF66">
        <f>1-BE66/AT66</f>
        <v>0</v>
      </c>
      <c r="BG66">
        <f>(AT66-AS66)/(AT66-BE66)</f>
        <v>0</v>
      </c>
      <c r="BH66">
        <f>(AN66-AT66)/(AN66-BE66)</f>
        <v>0</v>
      </c>
      <c r="BI66">
        <f>(AT66-AS66)/(AT66-AM66)</f>
        <v>0</v>
      </c>
      <c r="BJ66">
        <f>(AN66-AT66)/(AN66-AM66)</f>
        <v>0</v>
      </c>
      <c r="BK66">
        <f>(BG66*BE66/AS66)</f>
        <v>0</v>
      </c>
      <c r="BL66">
        <f>(1-BK66)</f>
        <v>0</v>
      </c>
      <c r="CU66">
        <f>$B$13*DS66+$C$13*DT66+$F$13*EE66*(1-EH66)</f>
        <v>0</v>
      </c>
      <c r="CV66">
        <f>CU66*CW66</f>
        <v>0</v>
      </c>
      <c r="CW66">
        <f>($B$13*$D$11+$C$13*$D$11+$F$13*((ER66+EJ66)/MAX(ER66+EJ66+ES66, 0.1)*$I$11+ES66/MAX(ER66+EJ66+ES66, 0.1)*$J$11))/($B$13+$C$13+$F$13)</f>
        <v>0</v>
      </c>
      <c r="CX66">
        <f>($B$13*$K$11+$C$13*$K$11+$F$13*((ER66+EJ66)/MAX(ER66+EJ66+ES66, 0.1)*$P$11+ES66/MAX(ER66+EJ66+ES66, 0.1)*$Q$11))/($B$13+$C$13+$F$13)</f>
        <v>0</v>
      </c>
      <c r="CY66">
        <v>4.16</v>
      </c>
      <c r="CZ66">
        <v>0.5</v>
      </c>
      <c r="DA66" t="s">
        <v>421</v>
      </c>
      <c r="DB66">
        <v>2</v>
      </c>
      <c r="DC66">
        <v>1761018339</v>
      </c>
      <c r="DD66">
        <v>420.5757777777778</v>
      </c>
      <c r="DE66">
        <v>419.9125555555556</v>
      </c>
      <c r="DF66">
        <v>23.79918888888889</v>
      </c>
      <c r="DG66">
        <v>23.74854444444444</v>
      </c>
      <c r="DH66">
        <v>421.3997777777778</v>
      </c>
      <c r="DI66">
        <v>23.60082222222222</v>
      </c>
      <c r="DJ66">
        <v>499.9331111111111</v>
      </c>
      <c r="DK66">
        <v>90.78598888888889</v>
      </c>
      <c r="DL66">
        <v>0.03458473333333333</v>
      </c>
      <c r="DM66">
        <v>30.36701111111111</v>
      </c>
      <c r="DN66">
        <v>30.00107777777778</v>
      </c>
      <c r="DO66">
        <v>999.9000000000001</v>
      </c>
      <c r="DP66">
        <v>0</v>
      </c>
      <c r="DQ66">
        <v>0</v>
      </c>
      <c r="DR66">
        <v>10001.38666666667</v>
      </c>
      <c r="DS66">
        <v>0</v>
      </c>
      <c r="DT66">
        <v>0.242856</v>
      </c>
      <c r="DU66">
        <v>0.6633435555555556</v>
      </c>
      <c r="DV66">
        <v>430.8292222222222</v>
      </c>
      <c r="DW66">
        <v>430.1273333333334</v>
      </c>
      <c r="DX66">
        <v>0.05063588333333333</v>
      </c>
      <c r="DY66">
        <v>419.9125555555556</v>
      </c>
      <c r="DZ66">
        <v>23.74854444444444</v>
      </c>
      <c r="EA66">
        <v>2.160633333333334</v>
      </c>
      <c r="EB66">
        <v>2.156035555555555</v>
      </c>
      <c r="EC66">
        <v>18.67336666666667</v>
      </c>
      <c r="ED66">
        <v>18.63931111111111</v>
      </c>
      <c r="EE66">
        <v>0.00500078</v>
      </c>
      <c r="EF66">
        <v>0</v>
      </c>
      <c r="EG66">
        <v>0</v>
      </c>
      <c r="EH66">
        <v>0</v>
      </c>
      <c r="EI66">
        <v>524.4555555555555</v>
      </c>
      <c r="EJ66">
        <v>0.00500078</v>
      </c>
      <c r="EK66">
        <v>-10.27777777777778</v>
      </c>
      <c r="EL66">
        <v>0.3777777777777778</v>
      </c>
      <c r="EM66">
        <v>35.84</v>
      </c>
      <c r="EN66">
        <v>40.562</v>
      </c>
      <c r="EO66">
        <v>38.42333333333332</v>
      </c>
      <c r="EP66">
        <v>41.49288888888889</v>
      </c>
      <c r="EQ66">
        <v>39.111</v>
      </c>
      <c r="ER66">
        <v>0</v>
      </c>
      <c r="ES66">
        <v>0</v>
      </c>
      <c r="ET66">
        <v>0</v>
      </c>
      <c r="EU66">
        <v>1761018340.9</v>
      </c>
      <c r="EV66">
        <v>0</v>
      </c>
      <c r="EW66">
        <v>525.216</v>
      </c>
      <c r="EX66">
        <v>-4.376923261003758</v>
      </c>
      <c r="EY66">
        <v>19.06153863313394</v>
      </c>
      <c r="EZ66">
        <v>-13.212</v>
      </c>
      <c r="FA66">
        <v>15</v>
      </c>
      <c r="FB66">
        <v>1761018162.5</v>
      </c>
      <c r="FC66" t="s">
        <v>490</v>
      </c>
      <c r="FD66">
        <v>1761018155.5</v>
      </c>
      <c r="FE66">
        <v>1761018162.5</v>
      </c>
      <c r="FF66">
        <v>24</v>
      </c>
      <c r="FG66">
        <v>-0.207</v>
      </c>
      <c r="FH66">
        <v>-0.006</v>
      </c>
      <c r="FI66">
        <v>-0.825</v>
      </c>
      <c r="FJ66">
        <v>0.194</v>
      </c>
      <c r="FK66">
        <v>420</v>
      </c>
      <c r="FL66">
        <v>24</v>
      </c>
      <c r="FM66">
        <v>0.19</v>
      </c>
      <c r="FN66">
        <v>0.1</v>
      </c>
      <c r="FO66">
        <v>0.6113698048780487</v>
      </c>
      <c r="FP66">
        <v>0.5705853867595823</v>
      </c>
      <c r="FQ66">
        <v>0.06926168701671186</v>
      </c>
      <c r="FR66">
        <v>0</v>
      </c>
      <c r="FS66">
        <v>526.6529411764706</v>
      </c>
      <c r="FT66">
        <v>-14.64629482620533</v>
      </c>
      <c r="FU66">
        <v>6.433013898637962</v>
      </c>
      <c r="FV66">
        <v>0</v>
      </c>
      <c r="FW66">
        <v>0.1443575231707317</v>
      </c>
      <c r="FX66">
        <v>-0.6325970236933801</v>
      </c>
      <c r="FY66">
        <v>0.06526383032181303</v>
      </c>
      <c r="FZ66">
        <v>0</v>
      </c>
      <c r="GA66">
        <v>0</v>
      </c>
      <c r="GB66">
        <v>3</v>
      </c>
      <c r="GC66" t="s">
        <v>423</v>
      </c>
      <c r="GD66">
        <v>3.10967</v>
      </c>
      <c r="GE66">
        <v>2.72623</v>
      </c>
      <c r="GF66">
        <v>0.0886948</v>
      </c>
      <c r="GG66">
        <v>0.0885044</v>
      </c>
      <c r="GH66">
        <v>0.108132</v>
      </c>
      <c r="GI66">
        <v>0.109218</v>
      </c>
      <c r="GJ66">
        <v>23906</v>
      </c>
      <c r="GK66">
        <v>21678.4</v>
      </c>
      <c r="GL66">
        <v>26791</v>
      </c>
      <c r="GM66">
        <v>23990.5</v>
      </c>
      <c r="GN66">
        <v>38179.2</v>
      </c>
      <c r="GO66">
        <v>31529.9</v>
      </c>
      <c r="GP66">
        <v>46761.8</v>
      </c>
      <c r="GQ66">
        <v>37932.5</v>
      </c>
      <c r="GR66">
        <v>1.88973</v>
      </c>
      <c r="GS66">
        <v>1.88028</v>
      </c>
      <c r="GT66">
        <v>0.126887</v>
      </c>
      <c r="GU66">
        <v>0</v>
      </c>
      <c r="GV66">
        <v>27.9278</v>
      </c>
      <c r="GW66">
        <v>999.9</v>
      </c>
      <c r="GX66">
        <v>63.6</v>
      </c>
      <c r="GY66">
        <v>29</v>
      </c>
      <c r="GZ66">
        <v>28.1726</v>
      </c>
      <c r="HA66">
        <v>61.22</v>
      </c>
      <c r="HB66">
        <v>20.1442</v>
      </c>
      <c r="HC66">
        <v>1</v>
      </c>
      <c r="HD66">
        <v>0.0490473</v>
      </c>
      <c r="HE66">
        <v>-3.36709</v>
      </c>
      <c r="HF66">
        <v>20.3017</v>
      </c>
      <c r="HG66">
        <v>5.22193</v>
      </c>
      <c r="HH66">
        <v>11.98</v>
      </c>
      <c r="HI66">
        <v>4.96535</v>
      </c>
      <c r="HJ66">
        <v>3.27593</v>
      </c>
      <c r="HK66">
        <v>9999</v>
      </c>
      <c r="HL66">
        <v>9999</v>
      </c>
      <c r="HM66">
        <v>9999</v>
      </c>
      <c r="HN66">
        <v>999.9</v>
      </c>
      <c r="HO66">
        <v>1.86356</v>
      </c>
      <c r="HP66">
        <v>1.85974</v>
      </c>
      <c r="HQ66">
        <v>1.85798</v>
      </c>
      <c r="HR66">
        <v>1.8594</v>
      </c>
      <c r="HS66">
        <v>1.85959</v>
      </c>
      <c r="HT66">
        <v>1.85801</v>
      </c>
      <c r="HU66">
        <v>1.85704</v>
      </c>
      <c r="HV66">
        <v>1.85209</v>
      </c>
      <c r="HW66">
        <v>0</v>
      </c>
      <c r="HX66">
        <v>0</v>
      </c>
      <c r="HY66">
        <v>0</v>
      </c>
      <c r="HZ66">
        <v>0</v>
      </c>
      <c r="IA66" t="s">
        <v>424</v>
      </c>
      <c r="IB66" t="s">
        <v>425</v>
      </c>
      <c r="IC66" t="s">
        <v>426</v>
      </c>
      <c r="ID66" t="s">
        <v>426</v>
      </c>
      <c r="IE66" t="s">
        <v>426</v>
      </c>
      <c r="IF66" t="s">
        <v>426</v>
      </c>
      <c r="IG66">
        <v>0</v>
      </c>
      <c r="IH66">
        <v>100</v>
      </c>
      <c r="II66">
        <v>100</v>
      </c>
      <c r="IJ66">
        <v>-0.824</v>
      </c>
      <c r="IK66">
        <v>0.1986</v>
      </c>
      <c r="IL66">
        <v>-1.613291919289301</v>
      </c>
      <c r="IM66">
        <v>0.001328113201692861</v>
      </c>
      <c r="IN66">
        <v>1.538283238170363E-06</v>
      </c>
      <c r="IO66">
        <v>-5.795655626708063E-10</v>
      </c>
      <c r="IP66">
        <v>-0.05565860728478197</v>
      </c>
      <c r="IQ66">
        <v>-0.004593102289677449</v>
      </c>
      <c r="IR66">
        <v>0.0008253994458280543</v>
      </c>
      <c r="IS66">
        <v>-7.403632370499484E-06</v>
      </c>
      <c r="IT66">
        <v>2</v>
      </c>
      <c r="IU66">
        <v>1985</v>
      </c>
      <c r="IV66">
        <v>1</v>
      </c>
      <c r="IW66">
        <v>27</v>
      </c>
      <c r="IX66">
        <v>3.1</v>
      </c>
      <c r="IY66">
        <v>3</v>
      </c>
      <c r="IZ66">
        <v>1.12305</v>
      </c>
      <c r="JA66">
        <v>2.5647</v>
      </c>
      <c r="JB66">
        <v>1.49658</v>
      </c>
      <c r="JC66">
        <v>2.34253</v>
      </c>
      <c r="JD66">
        <v>1.54907</v>
      </c>
      <c r="JE66">
        <v>2.46704</v>
      </c>
      <c r="JF66">
        <v>31.8269</v>
      </c>
      <c r="JG66">
        <v>14.6049</v>
      </c>
      <c r="JH66">
        <v>18</v>
      </c>
      <c r="JI66">
        <v>483.309</v>
      </c>
      <c r="JJ66">
        <v>507.019</v>
      </c>
      <c r="JK66">
        <v>31.717</v>
      </c>
      <c r="JL66">
        <v>27.8783</v>
      </c>
      <c r="JM66">
        <v>30</v>
      </c>
      <c r="JN66">
        <v>28.204</v>
      </c>
      <c r="JO66">
        <v>28.213</v>
      </c>
      <c r="JP66">
        <v>22.5891</v>
      </c>
      <c r="JQ66">
        <v>18.4872</v>
      </c>
      <c r="JR66">
        <v>82.7188</v>
      </c>
      <c r="JS66">
        <v>32.0074</v>
      </c>
      <c r="JT66">
        <v>420</v>
      </c>
      <c r="JU66">
        <v>23.9494</v>
      </c>
      <c r="JV66">
        <v>102.258</v>
      </c>
      <c r="JW66">
        <v>91.50069999999999</v>
      </c>
    </row>
    <row r="67" spans="1:283">
      <c r="A67">
        <v>49</v>
      </c>
      <c r="B67">
        <v>1761018344</v>
      </c>
      <c r="C67">
        <v>274.5</v>
      </c>
      <c r="D67" t="s">
        <v>525</v>
      </c>
      <c r="E67" t="s">
        <v>526</v>
      </c>
      <c r="F67">
        <v>5</v>
      </c>
      <c r="G67" t="s">
        <v>489</v>
      </c>
      <c r="H67">
        <v>1761018341</v>
      </c>
      <c r="I67">
        <f>(J67)/1000</f>
        <v>0</v>
      </c>
      <c r="J67">
        <f>1000*DJ67*AH67*(DF67-DG67)/(100*CY67*(1000-AH67*DF67))</f>
        <v>0</v>
      </c>
      <c r="K67">
        <f>DJ67*AH67*(DE67-DD67*(1000-AH67*DG67)/(1000-AH67*DF67))/(100*CY67)</f>
        <v>0</v>
      </c>
      <c r="L67">
        <f>DD67 - IF(AH67&gt;1, K67*CY67*100.0/(AJ67), 0)</f>
        <v>0</v>
      </c>
      <c r="M67">
        <f>((S67-I67/2)*L67-K67)/(S67+I67/2)</f>
        <v>0</v>
      </c>
      <c r="N67">
        <f>M67*(DK67+DL67)/1000.0</f>
        <v>0</v>
      </c>
      <c r="O67">
        <f>(DD67 - IF(AH67&gt;1, K67*CY67*100.0/(AJ67), 0))*(DK67+DL67)/1000.0</f>
        <v>0</v>
      </c>
      <c r="P67">
        <f>2.0/((1/R67-1/Q67)+SIGN(R67)*SQRT((1/R67-1/Q67)*(1/R67-1/Q67) + 4*CZ67/((CZ67+1)*(CZ67+1))*(2*1/R67*1/Q67-1/Q67*1/Q67)))</f>
        <v>0</v>
      </c>
      <c r="Q67">
        <f>IF(LEFT(DA67,1)&lt;&gt;"0",IF(LEFT(DA67,1)="1",3.0,DB67),$D$5+$E$5*(DR67*DK67/($K$5*1000))+$F$5*(DR67*DK67/($K$5*1000))*MAX(MIN(CY67,$J$5),$I$5)*MAX(MIN(CY67,$J$5),$I$5)+$G$5*MAX(MIN(CY67,$J$5),$I$5)*(DR67*DK67/($K$5*1000))+$H$5*(DR67*DK67/($K$5*1000))*(DR67*DK67/($K$5*1000)))</f>
        <v>0</v>
      </c>
      <c r="R67">
        <f>I67*(1000-(1000*0.61365*exp(17.502*V67/(240.97+V67))/(DK67+DL67)+DF67)/2)/(1000*0.61365*exp(17.502*V67/(240.97+V67))/(DK67+DL67)-DF67)</f>
        <v>0</v>
      </c>
      <c r="S67">
        <f>1/((CZ67+1)/(P67/1.6)+1/(Q67/1.37)) + CZ67/((CZ67+1)/(P67/1.6) + CZ67/(Q67/1.37))</f>
        <v>0</v>
      </c>
      <c r="T67">
        <f>(CU67*CX67)</f>
        <v>0</v>
      </c>
      <c r="U67">
        <f>(DM67+(T67+2*0.95*5.67E-8*(((DM67+$B$9)+273)^4-(DM67+273)^4)-44100*I67)/(1.84*29.3*Q67+8*0.95*5.67E-8*(DM67+273)^3))</f>
        <v>0</v>
      </c>
      <c r="V67">
        <f>($C$9*DN67+$D$9*DO67+$E$9*U67)</f>
        <v>0</v>
      </c>
      <c r="W67">
        <f>0.61365*exp(17.502*V67/(240.97+V67))</f>
        <v>0</v>
      </c>
      <c r="X67">
        <f>(Y67/Z67*100)</f>
        <v>0</v>
      </c>
      <c r="Y67">
        <f>DF67*(DK67+DL67)/1000</f>
        <v>0</v>
      </c>
      <c r="Z67">
        <f>0.61365*exp(17.502*DM67/(240.97+DM67))</f>
        <v>0</v>
      </c>
      <c r="AA67">
        <f>(W67-DF67*(DK67+DL67)/1000)</f>
        <v>0</v>
      </c>
      <c r="AB67">
        <f>(-I67*44100)</f>
        <v>0</v>
      </c>
      <c r="AC67">
        <f>2*29.3*Q67*0.92*(DM67-V67)</f>
        <v>0</v>
      </c>
      <c r="AD67">
        <f>2*0.95*5.67E-8*(((DM67+$B$9)+273)^4-(V67+273)^4)</f>
        <v>0</v>
      </c>
      <c r="AE67">
        <f>T67+AD67+AB67+AC67</f>
        <v>0</v>
      </c>
      <c r="AF67">
        <v>0</v>
      </c>
      <c r="AG67">
        <v>0</v>
      </c>
      <c r="AH67">
        <f>IF(AF67*$H$15&gt;=AJ67,1.0,(AJ67/(AJ67-AF67*$H$15)))</f>
        <v>0</v>
      </c>
      <c r="AI67">
        <f>(AH67-1)*100</f>
        <v>0</v>
      </c>
      <c r="AJ67">
        <f>MAX(0,($B$15+$C$15*DR67)/(1+$D$15*DR67)*DK67/(DM67+273)*$E$15)</f>
        <v>0</v>
      </c>
      <c r="AK67" t="s">
        <v>420</v>
      </c>
      <c r="AL67" t="s">
        <v>420</v>
      </c>
      <c r="AM67">
        <v>0</v>
      </c>
      <c r="AN67">
        <v>0</v>
      </c>
      <c r="AO67">
        <f>1-AM67/AN67</f>
        <v>0</v>
      </c>
      <c r="AP67">
        <v>0</v>
      </c>
      <c r="AQ67" t="s">
        <v>420</v>
      </c>
      <c r="AR67" t="s">
        <v>420</v>
      </c>
      <c r="AS67">
        <v>0</v>
      </c>
      <c r="AT67">
        <v>0</v>
      </c>
      <c r="AU67">
        <f>1-AS67/AT67</f>
        <v>0</v>
      </c>
      <c r="AV67">
        <v>0.5</v>
      </c>
      <c r="AW67">
        <f>CV67</f>
        <v>0</v>
      </c>
      <c r="AX67">
        <f>K67</f>
        <v>0</v>
      </c>
      <c r="AY67">
        <f>AU67*AV67*AW67</f>
        <v>0</v>
      </c>
      <c r="AZ67">
        <f>(AX67-AP67)/AW67</f>
        <v>0</v>
      </c>
      <c r="BA67">
        <f>(AN67-AT67)/AT67</f>
        <v>0</v>
      </c>
      <c r="BB67">
        <f>AM67/(AO67+AM67/AT67)</f>
        <v>0</v>
      </c>
      <c r="BC67" t="s">
        <v>420</v>
      </c>
      <c r="BD67">
        <v>0</v>
      </c>
      <c r="BE67">
        <f>IF(BD67&lt;&gt;0, BD67, BB67)</f>
        <v>0</v>
      </c>
      <c r="BF67">
        <f>1-BE67/AT67</f>
        <v>0</v>
      </c>
      <c r="BG67">
        <f>(AT67-AS67)/(AT67-BE67)</f>
        <v>0</v>
      </c>
      <c r="BH67">
        <f>(AN67-AT67)/(AN67-BE67)</f>
        <v>0</v>
      </c>
      <c r="BI67">
        <f>(AT67-AS67)/(AT67-AM67)</f>
        <v>0</v>
      </c>
      <c r="BJ67">
        <f>(AN67-AT67)/(AN67-AM67)</f>
        <v>0</v>
      </c>
      <c r="BK67">
        <f>(BG67*BE67/AS67)</f>
        <v>0</v>
      </c>
      <c r="BL67">
        <f>(1-BK67)</f>
        <v>0</v>
      </c>
      <c r="CU67">
        <f>$B$13*DS67+$C$13*DT67+$F$13*EE67*(1-EH67)</f>
        <v>0</v>
      </c>
      <c r="CV67">
        <f>CU67*CW67</f>
        <v>0</v>
      </c>
      <c r="CW67">
        <f>($B$13*$D$11+$C$13*$D$11+$F$13*((ER67+EJ67)/MAX(ER67+EJ67+ES67, 0.1)*$I$11+ES67/MAX(ER67+EJ67+ES67, 0.1)*$J$11))/($B$13+$C$13+$F$13)</f>
        <v>0</v>
      </c>
      <c r="CX67">
        <f>($B$13*$K$11+$C$13*$K$11+$F$13*((ER67+EJ67)/MAX(ER67+EJ67+ES67, 0.1)*$P$11+ES67/MAX(ER67+EJ67+ES67, 0.1)*$Q$11))/($B$13+$C$13+$F$13)</f>
        <v>0</v>
      </c>
      <c r="CY67">
        <v>4.16</v>
      </c>
      <c r="CZ67">
        <v>0.5</v>
      </c>
      <c r="DA67" t="s">
        <v>421</v>
      </c>
      <c r="DB67">
        <v>2</v>
      </c>
      <c r="DC67">
        <v>1761018341</v>
      </c>
      <c r="DD67">
        <v>420.5806666666666</v>
      </c>
      <c r="DE67">
        <v>419.9187777777778</v>
      </c>
      <c r="DF67">
        <v>23.80517777777778</v>
      </c>
      <c r="DG67">
        <v>23.79226666666667</v>
      </c>
      <c r="DH67">
        <v>421.4045555555556</v>
      </c>
      <c r="DI67">
        <v>23.60667777777778</v>
      </c>
      <c r="DJ67">
        <v>500</v>
      </c>
      <c r="DK67">
        <v>90.78623333333333</v>
      </c>
      <c r="DL67">
        <v>0.034515</v>
      </c>
      <c r="DM67">
        <v>30.36642222222222</v>
      </c>
      <c r="DN67">
        <v>29.99986666666667</v>
      </c>
      <c r="DO67">
        <v>999.9000000000001</v>
      </c>
      <c r="DP67">
        <v>0</v>
      </c>
      <c r="DQ67">
        <v>0</v>
      </c>
      <c r="DR67">
        <v>10005.13666666667</v>
      </c>
      <c r="DS67">
        <v>0</v>
      </c>
      <c r="DT67">
        <v>0.242856</v>
      </c>
      <c r="DU67">
        <v>0.6619567777777777</v>
      </c>
      <c r="DV67">
        <v>430.8368888888889</v>
      </c>
      <c r="DW67">
        <v>430.153</v>
      </c>
      <c r="DX67">
        <v>0.01291720555555556</v>
      </c>
      <c r="DY67">
        <v>419.9187777777778</v>
      </c>
      <c r="DZ67">
        <v>23.79226666666667</v>
      </c>
      <c r="EA67">
        <v>2.161183333333333</v>
      </c>
      <c r="EB67">
        <v>2.160008888888889</v>
      </c>
      <c r="EC67">
        <v>18.67743333333333</v>
      </c>
      <c r="ED67">
        <v>18.66873333333333</v>
      </c>
      <c r="EE67">
        <v>0.00500078</v>
      </c>
      <c r="EF67">
        <v>0</v>
      </c>
      <c r="EG67">
        <v>0</v>
      </c>
      <c r="EH67">
        <v>0</v>
      </c>
      <c r="EI67">
        <v>524.2333333333332</v>
      </c>
      <c r="EJ67">
        <v>0.00500078</v>
      </c>
      <c r="EK67">
        <v>-10.14444444444444</v>
      </c>
      <c r="EL67">
        <v>0.4444444444444444</v>
      </c>
      <c r="EM67">
        <v>35.84</v>
      </c>
      <c r="EN67">
        <v>40.569</v>
      </c>
      <c r="EO67">
        <v>38.14566666666666</v>
      </c>
      <c r="EP67">
        <v>41.53466666666667</v>
      </c>
      <c r="EQ67">
        <v>39.09700000000001</v>
      </c>
      <c r="ER67">
        <v>0</v>
      </c>
      <c r="ES67">
        <v>0</v>
      </c>
      <c r="ET67">
        <v>0</v>
      </c>
      <c r="EU67">
        <v>1761018343.3</v>
      </c>
      <c r="EV67">
        <v>0</v>
      </c>
      <c r="EW67">
        <v>524.576</v>
      </c>
      <c r="EX67">
        <v>-16.56923075568759</v>
      </c>
      <c r="EY67">
        <v>32.64615402113519</v>
      </c>
      <c r="EZ67">
        <v>-12.212</v>
      </c>
      <c r="FA67">
        <v>15</v>
      </c>
      <c r="FB67">
        <v>1761018162.5</v>
      </c>
      <c r="FC67" t="s">
        <v>490</v>
      </c>
      <c r="FD67">
        <v>1761018155.5</v>
      </c>
      <c r="FE67">
        <v>1761018162.5</v>
      </c>
      <c r="FF67">
        <v>24</v>
      </c>
      <c r="FG67">
        <v>-0.207</v>
      </c>
      <c r="FH67">
        <v>-0.006</v>
      </c>
      <c r="FI67">
        <v>-0.825</v>
      </c>
      <c r="FJ67">
        <v>0.194</v>
      </c>
      <c r="FK67">
        <v>420</v>
      </c>
      <c r="FL67">
        <v>24</v>
      </c>
      <c r="FM67">
        <v>0.19</v>
      </c>
      <c r="FN67">
        <v>0.1</v>
      </c>
      <c r="FO67">
        <v>0.6255065999999999</v>
      </c>
      <c r="FP67">
        <v>0.4688850506566611</v>
      </c>
      <c r="FQ67">
        <v>0.06064596292491364</v>
      </c>
      <c r="FR67">
        <v>1</v>
      </c>
      <c r="FS67">
        <v>525.579411764706</v>
      </c>
      <c r="FT67">
        <v>-22.75477460649466</v>
      </c>
      <c r="FU67">
        <v>6.650509905783198</v>
      </c>
      <c r="FV67">
        <v>0</v>
      </c>
      <c r="FW67">
        <v>0.125972715</v>
      </c>
      <c r="FX67">
        <v>-0.7541257767354602</v>
      </c>
      <c r="FY67">
        <v>0.07432660332418434</v>
      </c>
      <c r="FZ67">
        <v>0</v>
      </c>
      <c r="GA67">
        <v>1</v>
      </c>
      <c r="GB67">
        <v>3</v>
      </c>
      <c r="GC67" t="s">
        <v>431</v>
      </c>
      <c r="GD67">
        <v>3.1096</v>
      </c>
      <c r="GE67">
        <v>2.7261</v>
      </c>
      <c r="GF67">
        <v>0.088697</v>
      </c>
      <c r="GG67">
        <v>0.0885026</v>
      </c>
      <c r="GH67">
        <v>0.108192</v>
      </c>
      <c r="GI67">
        <v>0.109369</v>
      </c>
      <c r="GJ67">
        <v>23905.9</v>
      </c>
      <c r="GK67">
        <v>21678.4</v>
      </c>
      <c r="GL67">
        <v>26791</v>
      </c>
      <c r="GM67">
        <v>23990.5</v>
      </c>
      <c r="GN67">
        <v>38176.6</v>
      </c>
      <c r="GO67">
        <v>31524.3</v>
      </c>
      <c r="GP67">
        <v>46761.9</v>
      </c>
      <c r="GQ67">
        <v>37932.3</v>
      </c>
      <c r="GR67">
        <v>1.89002</v>
      </c>
      <c r="GS67">
        <v>1.88057</v>
      </c>
      <c r="GT67">
        <v>0.126772</v>
      </c>
      <c r="GU67">
        <v>0</v>
      </c>
      <c r="GV67">
        <v>27.9286</v>
      </c>
      <c r="GW67">
        <v>999.9</v>
      </c>
      <c r="GX67">
        <v>63.6</v>
      </c>
      <c r="GY67">
        <v>29</v>
      </c>
      <c r="GZ67">
        <v>28.1746</v>
      </c>
      <c r="HA67">
        <v>61.56</v>
      </c>
      <c r="HB67">
        <v>20.0521</v>
      </c>
      <c r="HC67">
        <v>1</v>
      </c>
      <c r="HD67">
        <v>0.0496392</v>
      </c>
      <c r="HE67">
        <v>-3.35689</v>
      </c>
      <c r="HF67">
        <v>20.3029</v>
      </c>
      <c r="HG67">
        <v>5.22178</v>
      </c>
      <c r="HH67">
        <v>11.98</v>
      </c>
      <c r="HI67">
        <v>4.96525</v>
      </c>
      <c r="HJ67">
        <v>3.27593</v>
      </c>
      <c r="HK67">
        <v>9999</v>
      </c>
      <c r="HL67">
        <v>9999</v>
      </c>
      <c r="HM67">
        <v>9999</v>
      </c>
      <c r="HN67">
        <v>999.9</v>
      </c>
      <c r="HO67">
        <v>1.86356</v>
      </c>
      <c r="HP67">
        <v>1.85974</v>
      </c>
      <c r="HQ67">
        <v>1.858</v>
      </c>
      <c r="HR67">
        <v>1.85938</v>
      </c>
      <c r="HS67">
        <v>1.85958</v>
      </c>
      <c r="HT67">
        <v>1.85799</v>
      </c>
      <c r="HU67">
        <v>1.85706</v>
      </c>
      <c r="HV67">
        <v>1.8521</v>
      </c>
      <c r="HW67">
        <v>0</v>
      </c>
      <c r="HX67">
        <v>0</v>
      </c>
      <c r="HY67">
        <v>0</v>
      </c>
      <c r="HZ67">
        <v>0</v>
      </c>
      <c r="IA67" t="s">
        <v>424</v>
      </c>
      <c r="IB67" t="s">
        <v>425</v>
      </c>
      <c r="IC67" t="s">
        <v>426</v>
      </c>
      <c r="ID67" t="s">
        <v>426</v>
      </c>
      <c r="IE67" t="s">
        <v>426</v>
      </c>
      <c r="IF67" t="s">
        <v>426</v>
      </c>
      <c r="IG67">
        <v>0</v>
      </c>
      <c r="IH67">
        <v>100</v>
      </c>
      <c r="II67">
        <v>100</v>
      </c>
      <c r="IJ67">
        <v>-0.824</v>
      </c>
      <c r="IK67">
        <v>0.1989</v>
      </c>
      <c r="IL67">
        <v>-1.613291919289301</v>
      </c>
      <c r="IM67">
        <v>0.001328113201692861</v>
      </c>
      <c r="IN67">
        <v>1.538283238170363E-06</v>
      </c>
      <c r="IO67">
        <v>-5.795655626708063E-10</v>
      </c>
      <c r="IP67">
        <v>-0.05565860728478197</v>
      </c>
      <c r="IQ67">
        <v>-0.004593102289677449</v>
      </c>
      <c r="IR67">
        <v>0.0008253994458280543</v>
      </c>
      <c r="IS67">
        <v>-7.403632370499484E-06</v>
      </c>
      <c r="IT67">
        <v>2</v>
      </c>
      <c r="IU67">
        <v>1985</v>
      </c>
      <c r="IV67">
        <v>1</v>
      </c>
      <c r="IW67">
        <v>27</v>
      </c>
      <c r="IX67">
        <v>3.1</v>
      </c>
      <c r="IY67">
        <v>3</v>
      </c>
      <c r="IZ67">
        <v>1.12305</v>
      </c>
      <c r="JA67">
        <v>2.57568</v>
      </c>
      <c r="JB67">
        <v>1.49658</v>
      </c>
      <c r="JC67">
        <v>2.34253</v>
      </c>
      <c r="JD67">
        <v>1.54907</v>
      </c>
      <c r="JE67">
        <v>2.37305</v>
      </c>
      <c r="JF67">
        <v>31.8269</v>
      </c>
      <c r="JG67">
        <v>14.5961</v>
      </c>
      <c r="JH67">
        <v>18</v>
      </c>
      <c r="JI67">
        <v>483.461</v>
      </c>
      <c r="JJ67">
        <v>507.2</v>
      </c>
      <c r="JK67">
        <v>31.8881</v>
      </c>
      <c r="JL67">
        <v>27.8754</v>
      </c>
      <c r="JM67">
        <v>30.0004</v>
      </c>
      <c r="JN67">
        <v>28.201</v>
      </c>
      <c r="JO67">
        <v>28.2106</v>
      </c>
      <c r="JP67">
        <v>22.5905</v>
      </c>
      <c r="JQ67">
        <v>18.4872</v>
      </c>
      <c r="JR67">
        <v>82.7188</v>
      </c>
      <c r="JS67">
        <v>32.0085</v>
      </c>
      <c r="JT67">
        <v>420</v>
      </c>
      <c r="JU67">
        <v>23.9386</v>
      </c>
      <c r="JV67">
        <v>102.258</v>
      </c>
      <c r="JW67">
        <v>91.5003</v>
      </c>
    </row>
    <row r="68" spans="1:283">
      <c r="A68">
        <v>50</v>
      </c>
      <c r="B68">
        <v>1761018346</v>
      </c>
      <c r="C68">
        <v>276.5</v>
      </c>
      <c r="D68" t="s">
        <v>527</v>
      </c>
      <c r="E68" t="s">
        <v>528</v>
      </c>
      <c r="F68">
        <v>5</v>
      </c>
      <c r="G68" t="s">
        <v>489</v>
      </c>
      <c r="H68">
        <v>1761018343</v>
      </c>
      <c r="I68">
        <f>(J68)/1000</f>
        <v>0</v>
      </c>
      <c r="J68">
        <f>1000*DJ68*AH68*(DF68-DG68)/(100*CY68*(1000-AH68*DF68))</f>
        <v>0</v>
      </c>
      <c r="K68">
        <f>DJ68*AH68*(DE68-DD68*(1000-AH68*DG68)/(1000-AH68*DF68))/(100*CY68)</f>
        <v>0</v>
      </c>
      <c r="L68">
        <f>DD68 - IF(AH68&gt;1, K68*CY68*100.0/(AJ68), 0)</f>
        <v>0</v>
      </c>
      <c r="M68">
        <f>((S68-I68/2)*L68-K68)/(S68+I68/2)</f>
        <v>0</v>
      </c>
      <c r="N68">
        <f>M68*(DK68+DL68)/1000.0</f>
        <v>0</v>
      </c>
      <c r="O68">
        <f>(DD68 - IF(AH68&gt;1, K68*CY68*100.0/(AJ68), 0))*(DK68+DL68)/1000.0</f>
        <v>0</v>
      </c>
      <c r="P68">
        <f>2.0/((1/R68-1/Q68)+SIGN(R68)*SQRT((1/R68-1/Q68)*(1/R68-1/Q68) + 4*CZ68/((CZ68+1)*(CZ68+1))*(2*1/R68*1/Q68-1/Q68*1/Q68)))</f>
        <v>0</v>
      </c>
      <c r="Q68">
        <f>IF(LEFT(DA68,1)&lt;&gt;"0",IF(LEFT(DA68,1)="1",3.0,DB68),$D$5+$E$5*(DR68*DK68/($K$5*1000))+$F$5*(DR68*DK68/($K$5*1000))*MAX(MIN(CY68,$J$5),$I$5)*MAX(MIN(CY68,$J$5),$I$5)+$G$5*MAX(MIN(CY68,$J$5),$I$5)*(DR68*DK68/($K$5*1000))+$H$5*(DR68*DK68/($K$5*1000))*(DR68*DK68/($K$5*1000)))</f>
        <v>0</v>
      </c>
      <c r="R68">
        <f>I68*(1000-(1000*0.61365*exp(17.502*V68/(240.97+V68))/(DK68+DL68)+DF68)/2)/(1000*0.61365*exp(17.502*V68/(240.97+V68))/(DK68+DL68)-DF68)</f>
        <v>0</v>
      </c>
      <c r="S68">
        <f>1/((CZ68+1)/(P68/1.6)+1/(Q68/1.37)) + CZ68/((CZ68+1)/(P68/1.6) + CZ68/(Q68/1.37))</f>
        <v>0</v>
      </c>
      <c r="T68">
        <f>(CU68*CX68)</f>
        <v>0</v>
      </c>
      <c r="U68">
        <f>(DM68+(T68+2*0.95*5.67E-8*(((DM68+$B$9)+273)^4-(DM68+273)^4)-44100*I68)/(1.84*29.3*Q68+8*0.95*5.67E-8*(DM68+273)^3))</f>
        <v>0</v>
      </c>
      <c r="V68">
        <f>($C$9*DN68+$D$9*DO68+$E$9*U68)</f>
        <v>0</v>
      </c>
      <c r="W68">
        <f>0.61365*exp(17.502*V68/(240.97+V68))</f>
        <v>0</v>
      </c>
      <c r="X68">
        <f>(Y68/Z68*100)</f>
        <v>0</v>
      </c>
      <c r="Y68">
        <f>DF68*(DK68+DL68)/1000</f>
        <v>0</v>
      </c>
      <c r="Z68">
        <f>0.61365*exp(17.502*DM68/(240.97+DM68))</f>
        <v>0</v>
      </c>
      <c r="AA68">
        <f>(W68-DF68*(DK68+DL68)/1000)</f>
        <v>0</v>
      </c>
      <c r="AB68">
        <f>(-I68*44100)</f>
        <v>0</v>
      </c>
      <c r="AC68">
        <f>2*29.3*Q68*0.92*(DM68-V68)</f>
        <v>0</v>
      </c>
      <c r="AD68">
        <f>2*0.95*5.67E-8*(((DM68+$B$9)+273)^4-(V68+273)^4)</f>
        <v>0</v>
      </c>
      <c r="AE68">
        <f>T68+AD68+AB68+AC68</f>
        <v>0</v>
      </c>
      <c r="AF68">
        <v>0</v>
      </c>
      <c r="AG68">
        <v>0</v>
      </c>
      <c r="AH68">
        <f>IF(AF68*$H$15&gt;=AJ68,1.0,(AJ68/(AJ68-AF68*$H$15)))</f>
        <v>0</v>
      </c>
      <c r="AI68">
        <f>(AH68-1)*100</f>
        <v>0</v>
      </c>
      <c r="AJ68">
        <f>MAX(0,($B$15+$C$15*DR68)/(1+$D$15*DR68)*DK68/(DM68+273)*$E$15)</f>
        <v>0</v>
      </c>
      <c r="AK68" t="s">
        <v>420</v>
      </c>
      <c r="AL68" t="s">
        <v>420</v>
      </c>
      <c r="AM68">
        <v>0</v>
      </c>
      <c r="AN68">
        <v>0</v>
      </c>
      <c r="AO68">
        <f>1-AM68/AN68</f>
        <v>0</v>
      </c>
      <c r="AP68">
        <v>0</v>
      </c>
      <c r="AQ68" t="s">
        <v>420</v>
      </c>
      <c r="AR68" t="s">
        <v>420</v>
      </c>
      <c r="AS68">
        <v>0</v>
      </c>
      <c r="AT68">
        <v>0</v>
      </c>
      <c r="AU68">
        <f>1-AS68/AT68</f>
        <v>0</v>
      </c>
      <c r="AV68">
        <v>0.5</v>
      </c>
      <c r="AW68">
        <f>CV68</f>
        <v>0</v>
      </c>
      <c r="AX68">
        <f>K68</f>
        <v>0</v>
      </c>
      <c r="AY68">
        <f>AU68*AV68*AW68</f>
        <v>0</v>
      </c>
      <c r="AZ68">
        <f>(AX68-AP68)/AW68</f>
        <v>0</v>
      </c>
      <c r="BA68">
        <f>(AN68-AT68)/AT68</f>
        <v>0</v>
      </c>
      <c r="BB68">
        <f>AM68/(AO68+AM68/AT68)</f>
        <v>0</v>
      </c>
      <c r="BC68" t="s">
        <v>420</v>
      </c>
      <c r="BD68">
        <v>0</v>
      </c>
      <c r="BE68">
        <f>IF(BD68&lt;&gt;0, BD68, BB68)</f>
        <v>0</v>
      </c>
      <c r="BF68">
        <f>1-BE68/AT68</f>
        <v>0</v>
      </c>
      <c r="BG68">
        <f>(AT68-AS68)/(AT68-BE68)</f>
        <v>0</v>
      </c>
      <c r="BH68">
        <f>(AN68-AT68)/(AN68-BE68)</f>
        <v>0</v>
      </c>
      <c r="BI68">
        <f>(AT68-AS68)/(AT68-AM68)</f>
        <v>0</v>
      </c>
      <c r="BJ68">
        <f>(AN68-AT68)/(AN68-AM68)</f>
        <v>0</v>
      </c>
      <c r="BK68">
        <f>(BG68*BE68/AS68)</f>
        <v>0</v>
      </c>
      <c r="BL68">
        <f>(1-BK68)</f>
        <v>0</v>
      </c>
      <c r="CU68">
        <f>$B$13*DS68+$C$13*DT68+$F$13*EE68*(1-EH68)</f>
        <v>0</v>
      </c>
      <c r="CV68">
        <f>CU68*CW68</f>
        <v>0</v>
      </c>
      <c r="CW68">
        <f>($B$13*$D$11+$C$13*$D$11+$F$13*((ER68+EJ68)/MAX(ER68+EJ68+ES68, 0.1)*$I$11+ES68/MAX(ER68+EJ68+ES68, 0.1)*$J$11))/($B$13+$C$13+$F$13)</f>
        <v>0</v>
      </c>
      <c r="CX68">
        <f>($B$13*$K$11+$C$13*$K$11+$F$13*((ER68+EJ68)/MAX(ER68+EJ68+ES68, 0.1)*$P$11+ES68/MAX(ER68+EJ68+ES68, 0.1)*$Q$11))/($B$13+$C$13+$F$13)</f>
        <v>0</v>
      </c>
      <c r="CY68">
        <v>4.16</v>
      </c>
      <c r="CZ68">
        <v>0.5</v>
      </c>
      <c r="DA68" t="s">
        <v>421</v>
      </c>
      <c r="DB68">
        <v>2</v>
      </c>
      <c r="DC68">
        <v>1761018343</v>
      </c>
      <c r="DD68">
        <v>420.5776666666666</v>
      </c>
      <c r="DE68">
        <v>419.9191111111111</v>
      </c>
      <c r="DF68">
        <v>23.82</v>
      </c>
      <c r="DG68">
        <v>23.83863333333333</v>
      </c>
      <c r="DH68">
        <v>421.4015555555555</v>
      </c>
      <c r="DI68">
        <v>23.62118888888889</v>
      </c>
      <c r="DJ68">
        <v>500.0217777777777</v>
      </c>
      <c r="DK68">
        <v>90.78683333333333</v>
      </c>
      <c r="DL68">
        <v>0.0344562</v>
      </c>
      <c r="DM68">
        <v>30.36728888888889</v>
      </c>
      <c r="DN68">
        <v>29.99831111111111</v>
      </c>
      <c r="DO68">
        <v>999.9000000000001</v>
      </c>
      <c r="DP68">
        <v>0</v>
      </c>
      <c r="DQ68">
        <v>0</v>
      </c>
      <c r="DR68">
        <v>10004.71444444444</v>
      </c>
      <c r="DS68">
        <v>0</v>
      </c>
      <c r="DT68">
        <v>0.242856</v>
      </c>
      <c r="DU68">
        <v>0.6585183333333333</v>
      </c>
      <c r="DV68">
        <v>430.8403333333334</v>
      </c>
      <c r="DW68">
        <v>430.1738888888889</v>
      </c>
      <c r="DX68">
        <v>-0.01863077222222222</v>
      </c>
      <c r="DY68">
        <v>419.9191111111111</v>
      </c>
      <c r="DZ68">
        <v>23.83863333333333</v>
      </c>
      <c r="EA68">
        <v>2.162543333333333</v>
      </c>
      <c r="EB68">
        <v>2.164234444444444</v>
      </c>
      <c r="EC68">
        <v>18.68748888888889</v>
      </c>
      <c r="ED68">
        <v>18.69995555555555</v>
      </c>
      <c r="EE68">
        <v>0.00500078</v>
      </c>
      <c r="EF68">
        <v>0</v>
      </c>
      <c r="EG68">
        <v>0</v>
      </c>
      <c r="EH68">
        <v>0</v>
      </c>
      <c r="EI68">
        <v>525.4888888888888</v>
      </c>
      <c r="EJ68">
        <v>0.00500078</v>
      </c>
      <c r="EK68">
        <v>-10.86666666666667</v>
      </c>
      <c r="EL68">
        <v>0.9222222222222223</v>
      </c>
      <c r="EM68">
        <v>35.847</v>
      </c>
      <c r="EN68">
        <v>40.57599999999999</v>
      </c>
      <c r="EO68">
        <v>38.52077777777778</v>
      </c>
      <c r="EP68">
        <v>41.56233333333333</v>
      </c>
      <c r="EQ68">
        <v>39.11777777777777</v>
      </c>
      <c r="ER68">
        <v>0</v>
      </c>
      <c r="ES68">
        <v>0</v>
      </c>
      <c r="ET68">
        <v>0</v>
      </c>
      <c r="EU68">
        <v>1761018345.1</v>
      </c>
      <c r="EV68">
        <v>0</v>
      </c>
      <c r="EW68">
        <v>524.4576923076922</v>
      </c>
      <c r="EX68">
        <v>-16.4273502555522</v>
      </c>
      <c r="EY68">
        <v>23.39145294292283</v>
      </c>
      <c r="EZ68">
        <v>-11.61538461538462</v>
      </c>
      <c r="FA68">
        <v>15</v>
      </c>
      <c r="FB68">
        <v>1761018162.5</v>
      </c>
      <c r="FC68" t="s">
        <v>490</v>
      </c>
      <c r="FD68">
        <v>1761018155.5</v>
      </c>
      <c r="FE68">
        <v>1761018162.5</v>
      </c>
      <c r="FF68">
        <v>24</v>
      </c>
      <c r="FG68">
        <v>-0.207</v>
      </c>
      <c r="FH68">
        <v>-0.006</v>
      </c>
      <c r="FI68">
        <v>-0.825</v>
      </c>
      <c r="FJ68">
        <v>0.194</v>
      </c>
      <c r="FK68">
        <v>420</v>
      </c>
      <c r="FL68">
        <v>24</v>
      </c>
      <c r="FM68">
        <v>0.19</v>
      </c>
      <c r="FN68">
        <v>0.1</v>
      </c>
      <c r="FO68">
        <v>0.6406011463414634</v>
      </c>
      <c r="FP68">
        <v>0.2581312055749148</v>
      </c>
      <c r="FQ68">
        <v>0.04610578077641646</v>
      </c>
      <c r="FR68">
        <v>1</v>
      </c>
      <c r="FS68">
        <v>525.3441176470589</v>
      </c>
      <c r="FT68">
        <v>-16.28877004130532</v>
      </c>
      <c r="FU68">
        <v>6.102130350106317</v>
      </c>
      <c r="FV68">
        <v>0</v>
      </c>
      <c r="FW68">
        <v>0.09706040000000001</v>
      </c>
      <c r="FX68">
        <v>-0.8445225543554005</v>
      </c>
      <c r="FY68">
        <v>0.08440045814192715</v>
      </c>
      <c r="FZ68">
        <v>0</v>
      </c>
      <c r="GA68">
        <v>1</v>
      </c>
      <c r="GB68">
        <v>3</v>
      </c>
      <c r="GC68" t="s">
        <v>431</v>
      </c>
      <c r="GD68">
        <v>3.10969</v>
      </c>
      <c r="GE68">
        <v>2.72618</v>
      </c>
      <c r="GF68">
        <v>0.0886919</v>
      </c>
      <c r="GG68">
        <v>0.08849659999999999</v>
      </c>
      <c r="GH68">
        <v>0.10828</v>
      </c>
      <c r="GI68">
        <v>0.109502</v>
      </c>
      <c r="GJ68">
        <v>23905.9</v>
      </c>
      <c r="GK68">
        <v>21678.4</v>
      </c>
      <c r="GL68">
        <v>26790.8</v>
      </c>
      <c r="GM68">
        <v>23990.4</v>
      </c>
      <c r="GN68">
        <v>38172.8</v>
      </c>
      <c r="GO68">
        <v>31519.3</v>
      </c>
      <c r="GP68">
        <v>46761.9</v>
      </c>
      <c r="GQ68">
        <v>37932</v>
      </c>
      <c r="GR68">
        <v>1.89018</v>
      </c>
      <c r="GS68">
        <v>1.88075</v>
      </c>
      <c r="GT68">
        <v>0.127167</v>
      </c>
      <c r="GU68">
        <v>0</v>
      </c>
      <c r="GV68">
        <v>27.9286</v>
      </c>
      <c r="GW68">
        <v>999.9</v>
      </c>
      <c r="GX68">
        <v>63.6</v>
      </c>
      <c r="GY68">
        <v>28.9</v>
      </c>
      <c r="GZ68">
        <v>28.0078</v>
      </c>
      <c r="HA68">
        <v>61.27</v>
      </c>
      <c r="HB68">
        <v>19.992</v>
      </c>
      <c r="HC68">
        <v>1</v>
      </c>
      <c r="HD68">
        <v>0.0491972</v>
      </c>
      <c r="HE68">
        <v>-2.99855</v>
      </c>
      <c r="HF68">
        <v>20.3102</v>
      </c>
      <c r="HG68">
        <v>5.22208</v>
      </c>
      <c r="HH68">
        <v>11.98</v>
      </c>
      <c r="HI68">
        <v>4.96545</v>
      </c>
      <c r="HJ68">
        <v>3.27598</v>
      </c>
      <c r="HK68">
        <v>9999</v>
      </c>
      <c r="HL68">
        <v>9999</v>
      </c>
      <c r="HM68">
        <v>9999</v>
      </c>
      <c r="HN68">
        <v>999.9</v>
      </c>
      <c r="HO68">
        <v>1.86357</v>
      </c>
      <c r="HP68">
        <v>1.85974</v>
      </c>
      <c r="HQ68">
        <v>1.858</v>
      </c>
      <c r="HR68">
        <v>1.85936</v>
      </c>
      <c r="HS68">
        <v>1.85958</v>
      </c>
      <c r="HT68">
        <v>1.85798</v>
      </c>
      <c r="HU68">
        <v>1.85707</v>
      </c>
      <c r="HV68">
        <v>1.85209</v>
      </c>
      <c r="HW68">
        <v>0</v>
      </c>
      <c r="HX68">
        <v>0</v>
      </c>
      <c r="HY68">
        <v>0</v>
      </c>
      <c r="HZ68">
        <v>0</v>
      </c>
      <c r="IA68" t="s">
        <v>424</v>
      </c>
      <c r="IB68" t="s">
        <v>425</v>
      </c>
      <c r="IC68" t="s">
        <v>426</v>
      </c>
      <c r="ID68" t="s">
        <v>426</v>
      </c>
      <c r="IE68" t="s">
        <v>426</v>
      </c>
      <c r="IF68" t="s">
        <v>426</v>
      </c>
      <c r="IG68">
        <v>0</v>
      </c>
      <c r="IH68">
        <v>100</v>
      </c>
      <c r="II68">
        <v>100</v>
      </c>
      <c r="IJ68">
        <v>-0.824</v>
      </c>
      <c r="IK68">
        <v>0.1995</v>
      </c>
      <c r="IL68">
        <v>-1.613291919289301</v>
      </c>
      <c r="IM68">
        <v>0.001328113201692861</v>
      </c>
      <c r="IN68">
        <v>1.538283238170363E-06</v>
      </c>
      <c r="IO68">
        <v>-5.795655626708063E-10</v>
      </c>
      <c r="IP68">
        <v>-0.05565860728478197</v>
      </c>
      <c r="IQ68">
        <v>-0.004593102289677449</v>
      </c>
      <c r="IR68">
        <v>0.0008253994458280543</v>
      </c>
      <c r="IS68">
        <v>-7.403632370499484E-06</v>
      </c>
      <c r="IT68">
        <v>2</v>
      </c>
      <c r="IU68">
        <v>1985</v>
      </c>
      <c r="IV68">
        <v>1</v>
      </c>
      <c r="IW68">
        <v>27</v>
      </c>
      <c r="IX68">
        <v>3.2</v>
      </c>
      <c r="IY68">
        <v>3.1</v>
      </c>
      <c r="IZ68">
        <v>1.12305</v>
      </c>
      <c r="JA68">
        <v>2.55981</v>
      </c>
      <c r="JB68">
        <v>1.49658</v>
      </c>
      <c r="JC68">
        <v>2.34253</v>
      </c>
      <c r="JD68">
        <v>1.54907</v>
      </c>
      <c r="JE68">
        <v>2.43774</v>
      </c>
      <c r="JF68">
        <v>31.8269</v>
      </c>
      <c r="JG68">
        <v>14.6224</v>
      </c>
      <c r="JH68">
        <v>18</v>
      </c>
      <c r="JI68">
        <v>483.526</v>
      </c>
      <c r="JJ68">
        <v>507.293</v>
      </c>
      <c r="JK68">
        <v>31.9927</v>
      </c>
      <c r="JL68">
        <v>27.8724</v>
      </c>
      <c r="JM68">
        <v>29.9999</v>
      </c>
      <c r="JN68">
        <v>28.198</v>
      </c>
      <c r="JO68">
        <v>28.2078</v>
      </c>
      <c r="JP68">
        <v>22.5949</v>
      </c>
      <c r="JQ68">
        <v>18.4872</v>
      </c>
      <c r="JR68">
        <v>82.7188</v>
      </c>
      <c r="JS68">
        <v>32.0085</v>
      </c>
      <c r="JT68">
        <v>420</v>
      </c>
      <c r="JU68">
        <v>23.9227</v>
      </c>
      <c r="JV68">
        <v>102.258</v>
      </c>
      <c r="JW68">
        <v>91.4996</v>
      </c>
    </row>
    <row r="69" spans="1:283">
      <c r="A69">
        <v>51</v>
      </c>
      <c r="B69">
        <v>1761018348</v>
      </c>
      <c r="C69">
        <v>278.5</v>
      </c>
      <c r="D69" t="s">
        <v>529</v>
      </c>
      <c r="E69" t="s">
        <v>530</v>
      </c>
      <c r="F69">
        <v>5</v>
      </c>
      <c r="G69" t="s">
        <v>489</v>
      </c>
      <c r="H69">
        <v>1761018345</v>
      </c>
      <c r="I69">
        <f>(J69)/1000</f>
        <v>0</v>
      </c>
      <c r="J69">
        <f>1000*DJ69*AH69*(DF69-DG69)/(100*CY69*(1000-AH69*DF69))</f>
        <v>0</v>
      </c>
      <c r="K69">
        <f>DJ69*AH69*(DE69-DD69*(1000-AH69*DG69)/(1000-AH69*DF69))/(100*CY69)</f>
        <v>0</v>
      </c>
      <c r="L69">
        <f>DD69 - IF(AH69&gt;1, K69*CY69*100.0/(AJ69), 0)</f>
        <v>0</v>
      </c>
      <c r="M69">
        <f>((S69-I69/2)*L69-K69)/(S69+I69/2)</f>
        <v>0</v>
      </c>
      <c r="N69">
        <f>M69*(DK69+DL69)/1000.0</f>
        <v>0</v>
      </c>
      <c r="O69">
        <f>(DD69 - IF(AH69&gt;1, K69*CY69*100.0/(AJ69), 0))*(DK69+DL69)/1000.0</f>
        <v>0</v>
      </c>
      <c r="P69">
        <f>2.0/((1/R69-1/Q69)+SIGN(R69)*SQRT((1/R69-1/Q69)*(1/R69-1/Q69) + 4*CZ69/((CZ69+1)*(CZ69+1))*(2*1/R69*1/Q69-1/Q69*1/Q69)))</f>
        <v>0</v>
      </c>
      <c r="Q69">
        <f>IF(LEFT(DA69,1)&lt;&gt;"0",IF(LEFT(DA69,1)="1",3.0,DB69),$D$5+$E$5*(DR69*DK69/($K$5*1000))+$F$5*(DR69*DK69/($K$5*1000))*MAX(MIN(CY69,$J$5),$I$5)*MAX(MIN(CY69,$J$5),$I$5)+$G$5*MAX(MIN(CY69,$J$5),$I$5)*(DR69*DK69/($K$5*1000))+$H$5*(DR69*DK69/($K$5*1000))*(DR69*DK69/($K$5*1000)))</f>
        <v>0</v>
      </c>
      <c r="R69">
        <f>I69*(1000-(1000*0.61365*exp(17.502*V69/(240.97+V69))/(DK69+DL69)+DF69)/2)/(1000*0.61365*exp(17.502*V69/(240.97+V69))/(DK69+DL69)-DF69)</f>
        <v>0</v>
      </c>
      <c r="S69">
        <f>1/((CZ69+1)/(P69/1.6)+1/(Q69/1.37)) + CZ69/((CZ69+1)/(P69/1.6) + CZ69/(Q69/1.37))</f>
        <v>0</v>
      </c>
      <c r="T69">
        <f>(CU69*CX69)</f>
        <v>0</v>
      </c>
      <c r="U69">
        <f>(DM69+(T69+2*0.95*5.67E-8*(((DM69+$B$9)+273)^4-(DM69+273)^4)-44100*I69)/(1.84*29.3*Q69+8*0.95*5.67E-8*(DM69+273)^3))</f>
        <v>0</v>
      </c>
      <c r="V69">
        <f>($C$9*DN69+$D$9*DO69+$E$9*U69)</f>
        <v>0</v>
      </c>
      <c r="W69">
        <f>0.61365*exp(17.502*V69/(240.97+V69))</f>
        <v>0</v>
      </c>
      <c r="X69">
        <f>(Y69/Z69*100)</f>
        <v>0</v>
      </c>
      <c r="Y69">
        <f>DF69*(DK69+DL69)/1000</f>
        <v>0</v>
      </c>
      <c r="Z69">
        <f>0.61365*exp(17.502*DM69/(240.97+DM69))</f>
        <v>0</v>
      </c>
      <c r="AA69">
        <f>(W69-DF69*(DK69+DL69)/1000)</f>
        <v>0</v>
      </c>
      <c r="AB69">
        <f>(-I69*44100)</f>
        <v>0</v>
      </c>
      <c r="AC69">
        <f>2*29.3*Q69*0.92*(DM69-V69)</f>
        <v>0</v>
      </c>
      <c r="AD69">
        <f>2*0.95*5.67E-8*(((DM69+$B$9)+273)^4-(V69+273)^4)</f>
        <v>0</v>
      </c>
      <c r="AE69">
        <f>T69+AD69+AB69+AC69</f>
        <v>0</v>
      </c>
      <c r="AF69">
        <v>0</v>
      </c>
      <c r="AG69">
        <v>0</v>
      </c>
      <c r="AH69">
        <f>IF(AF69*$H$15&gt;=AJ69,1.0,(AJ69/(AJ69-AF69*$H$15)))</f>
        <v>0</v>
      </c>
      <c r="AI69">
        <f>(AH69-1)*100</f>
        <v>0</v>
      </c>
      <c r="AJ69">
        <f>MAX(0,($B$15+$C$15*DR69)/(1+$D$15*DR69)*DK69/(DM69+273)*$E$15)</f>
        <v>0</v>
      </c>
      <c r="AK69" t="s">
        <v>420</v>
      </c>
      <c r="AL69" t="s">
        <v>420</v>
      </c>
      <c r="AM69">
        <v>0</v>
      </c>
      <c r="AN69">
        <v>0</v>
      </c>
      <c r="AO69">
        <f>1-AM69/AN69</f>
        <v>0</v>
      </c>
      <c r="AP69">
        <v>0</v>
      </c>
      <c r="AQ69" t="s">
        <v>420</v>
      </c>
      <c r="AR69" t="s">
        <v>420</v>
      </c>
      <c r="AS69">
        <v>0</v>
      </c>
      <c r="AT69">
        <v>0</v>
      </c>
      <c r="AU69">
        <f>1-AS69/AT69</f>
        <v>0</v>
      </c>
      <c r="AV69">
        <v>0.5</v>
      </c>
      <c r="AW69">
        <f>CV69</f>
        <v>0</v>
      </c>
      <c r="AX69">
        <f>K69</f>
        <v>0</v>
      </c>
      <c r="AY69">
        <f>AU69*AV69*AW69</f>
        <v>0</v>
      </c>
      <c r="AZ69">
        <f>(AX69-AP69)/AW69</f>
        <v>0</v>
      </c>
      <c r="BA69">
        <f>(AN69-AT69)/AT69</f>
        <v>0</v>
      </c>
      <c r="BB69">
        <f>AM69/(AO69+AM69/AT69)</f>
        <v>0</v>
      </c>
      <c r="BC69" t="s">
        <v>420</v>
      </c>
      <c r="BD69">
        <v>0</v>
      </c>
      <c r="BE69">
        <f>IF(BD69&lt;&gt;0, BD69, BB69)</f>
        <v>0</v>
      </c>
      <c r="BF69">
        <f>1-BE69/AT69</f>
        <v>0</v>
      </c>
      <c r="BG69">
        <f>(AT69-AS69)/(AT69-BE69)</f>
        <v>0</v>
      </c>
      <c r="BH69">
        <f>(AN69-AT69)/(AN69-BE69)</f>
        <v>0</v>
      </c>
      <c r="BI69">
        <f>(AT69-AS69)/(AT69-AM69)</f>
        <v>0</v>
      </c>
      <c r="BJ69">
        <f>(AN69-AT69)/(AN69-AM69)</f>
        <v>0</v>
      </c>
      <c r="BK69">
        <f>(BG69*BE69/AS69)</f>
        <v>0</v>
      </c>
      <c r="BL69">
        <f>(1-BK69)</f>
        <v>0</v>
      </c>
      <c r="CU69">
        <f>$B$13*DS69+$C$13*DT69+$F$13*EE69*(1-EH69)</f>
        <v>0</v>
      </c>
      <c r="CV69">
        <f>CU69*CW69</f>
        <v>0</v>
      </c>
      <c r="CW69">
        <f>($B$13*$D$11+$C$13*$D$11+$F$13*((ER69+EJ69)/MAX(ER69+EJ69+ES69, 0.1)*$I$11+ES69/MAX(ER69+EJ69+ES69, 0.1)*$J$11))/($B$13+$C$13+$F$13)</f>
        <v>0</v>
      </c>
      <c r="CX69">
        <f>($B$13*$K$11+$C$13*$K$11+$F$13*((ER69+EJ69)/MAX(ER69+EJ69+ES69, 0.1)*$P$11+ES69/MAX(ER69+EJ69+ES69, 0.1)*$Q$11))/($B$13+$C$13+$F$13)</f>
        <v>0</v>
      </c>
      <c r="CY69">
        <v>4.16</v>
      </c>
      <c r="CZ69">
        <v>0.5</v>
      </c>
      <c r="DA69" t="s">
        <v>421</v>
      </c>
      <c r="DB69">
        <v>2</v>
      </c>
      <c r="DC69">
        <v>1761018345</v>
      </c>
      <c r="DD69">
        <v>420.5627777777778</v>
      </c>
      <c r="DE69">
        <v>419.9042222222222</v>
      </c>
      <c r="DF69">
        <v>23.84293333333333</v>
      </c>
      <c r="DG69">
        <v>23.8822</v>
      </c>
      <c r="DH69">
        <v>421.3865555555556</v>
      </c>
      <c r="DI69">
        <v>23.64364444444444</v>
      </c>
      <c r="DJ69">
        <v>500.0206666666666</v>
      </c>
      <c r="DK69">
        <v>90.78732222222223</v>
      </c>
      <c r="DL69">
        <v>0.03446465555555555</v>
      </c>
      <c r="DM69">
        <v>30.36935555555555</v>
      </c>
      <c r="DN69">
        <v>29.99994444444444</v>
      </c>
      <c r="DO69">
        <v>999.9000000000001</v>
      </c>
      <c r="DP69">
        <v>0</v>
      </c>
      <c r="DQ69">
        <v>0</v>
      </c>
      <c r="DR69">
        <v>10000.19777777778</v>
      </c>
      <c r="DS69">
        <v>0</v>
      </c>
      <c r="DT69">
        <v>0.242856</v>
      </c>
      <c r="DU69">
        <v>0.6583691111111111</v>
      </c>
      <c r="DV69">
        <v>430.8351111111112</v>
      </c>
      <c r="DW69">
        <v>430.1780000000001</v>
      </c>
      <c r="DX69">
        <v>-0.03925938888888889</v>
      </c>
      <c r="DY69">
        <v>419.9042222222222</v>
      </c>
      <c r="DZ69">
        <v>23.8822</v>
      </c>
      <c r="EA69">
        <v>2.164637777777778</v>
      </c>
      <c r="EB69">
        <v>2.168201111111111</v>
      </c>
      <c r="EC69">
        <v>18.70297777777778</v>
      </c>
      <c r="ED69">
        <v>18.72925555555555</v>
      </c>
      <c r="EE69">
        <v>0.00500078</v>
      </c>
      <c r="EF69">
        <v>0</v>
      </c>
      <c r="EG69">
        <v>0</v>
      </c>
      <c r="EH69">
        <v>0</v>
      </c>
      <c r="EI69">
        <v>521.2888888888889</v>
      </c>
      <c r="EJ69">
        <v>0.00500078</v>
      </c>
      <c r="EK69">
        <v>-8.866666666666667</v>
      </c>
      <c r="EL69">
        <v>0.8888888888888888</v>
      </c>
      <c r="EM69">
        <v>35.86788888888889</v>
      </c>
      <c r="EN69">
        <v>40.597</v>
      </c>
      <c r="EO69">
        <v>38.08333333333334</v>
      </c>
      <c r="EP69">
        <v>41.56933333333333</v>
      </c>
      <c r="EQ69">
        <v>39.11077777777777</v>
      </c>
      <c r="ER69">
        <v>0</v>
      </c>
      <c r="ES69">
        <v>0</v>
      </c>
      <c r="ET69">
        <v>0</v>
      </c>
      <c r="EU69">
        <v>1761018346.9</v>
      </c>
      <c r="EV69">
        <v>0</v>
      </c>
      <c r="EW69">
        <v>523.6</v>
      </c>
      <c r="EX69">
        <v>-19.3230765986933</v>
      </c>
      <c r="EY69">
        <v>16.37692279394792</v>
      </c>
      <c r="EZ69">
        <v>-11.872</v>
      </c>
      <c r="FA69">
        <v>15</v>
      </c>
      <c r="FB69">
        <v>1761018162.5</v>
      </c>
      <c r="FC69" t="s">
        <v>490</v>
      </c>
      <c r="FD69">
        <v>1761018155.5</v>
      </c>
      <c r="FE69">
        <v>1761018162.5</v>
      </c>
      <c r="FF69">
        <v>24</v>
      </c>
      <c r="FG69">
        <v>-0.207</v>
      </c>
      <c r="FH69">
        <v>-0.006</v>
      </c>
      <c r="FI69">
        <v>-0.825</v>
      </c>
      <c r="FJ69">
        <v>0.194</v>
      </c>
      <c r="FK69">
        <v>420</v>
      </c>
      <c r="FL69">
        <v>24</v>
      </c>
      <c r="FM69">
        <v>0.19</v>
      </c>
      <c r="FN69">
        <v>0.1</v>
      </c>
      <c r="FO69">
        <v>0.6479476500000001</v>
      </c>
      <c r="FP69">
        <v>0.2266274971857399</v>
      </c>
      <c r="FQ69">
        <v>0.0441267283760931</v>
      </c>
      <c r="FR69">
        <v>1</v>
      </c>
      <c r="FS69">
        <v>524.3882352941175</v>
      </c>
      <c r="FT69">
        <v>-12.03361338642233</v>
      </c>
      <c r="FU69">
        <v>6.217563581163705</v>
      </c>
      <c r="FV69">
        <v>0</v>
      </c>
      <c r="FW69">
        <v>0.07510404</v>
      </c>
      <c r="FX69">
        <v>-0.8783956108818013</v>
      </c>
      <c r="FY69">
        <v>0.08528847249591104</v>
      </c>
      <c r="FZ69">
        <v>0</v>
      </c>
      <c r="GA69">
        <v>1</v>
      </c>
      <c r="GB69">
        <v>3</v>
      </c>
      <c r="GC69" t="s">
        <v>431</v>
      </c>
      <c r="GD69">
        <v>3.10959</v>
      </c>
      <c r="GE69">
        <v>2.72616</v>
      </c>
      <c r="GF69">
        <v>0.0886914</v>
      </c>
      <c r="GG69">
        <v>0.0884997</v>
      </c>
      <c r="GH69">
        <v>0.108382</v>
      </c>
      <c r="GI69">
        <v>0.1096</v>
      </c>
      <c r="GJ69">
        <v>23905.9</v>
      </c>
      <c r="GK69">
        <v>21678.2</v>
      </c>
      <c r="GL69">
        <v>26790.8</v>
      </c>
      <c r="GM69">
        <v>23990.2</v>
      </c>
      <c r="GN69">
        <v>38168.5</v>
      </c>
      <c r="GO69">
        <v>31515.5</v>
      </c>
      <c r="GP69">
        <v>46762</v>
      </c>
      <c r="GQ69">
        <v>37931.6</v>
      </c>
      <c r="GR69">
        <v>1.89002</v>
      </c>
      <c r="GS69">
        <v>1.88092</v>
      </c>
      <c r="GT69">
        <v>0.127971</v>
      </c>
      <c r="GU69">
        <v>0</v>
      </c>
      <c r="GV69">
        <v>27.9296</v>
      </c>
      <c r="GW69">
        <v>999.9</v>
      </c>
      <c r="GX69">
        <v>63.6</v>
      </c>
      <c r="GY69">
        <v>28.9</v>
      </c>
      <c r="GZ69">
        <v>28.0121</v>
      </c>
      <c r="HA69">
        <v>61.34</v>
      </c>
      <c r="HB69">
        <v>20.2003</v>
      </c>
      <c r="HC69">
        <v>1</v>
      </c>
      <c r="HD69">
        <v>0.0482139</v>
      </c>
      <c r="HE69">
        <v>-2.84629</v>
      </c>
      <c r="HF69">
        <v>20.3133</v>
      </c>
      <c r="HG69">
        <v>5.22223</v>
      </c>
      <c r="HH69">
        <v>11.98</v>
      </c>
      <c r="HI69">
        <v>4.96555</v>
      </c>
      <c r="HJ69">
        <v>3.27598</v>
      </c>
      <c r="HK69">
        <v>9999</v>
      </c>
      <c r="HL69">
        <v>9999</v>
      </c>
      <c r="HM69">
        <v>9999</v>
      </c>
      <c r="HN69">
        <v>999.9</v>
      </c>
      <c r="HO69">
        <v>1.86357</v>
      </c>
      <c r="HP69">
        <v>1.85974</v>
      </c>
      <c r="HQ69">
        <v>1.858</v>
      </c>
      <c r="HR69">
        <v>1.85933</v>
      </c>
      <c r="HS69">
        <v>1.85958</v>
      </c>
      <c r="HT69">
        <v>1.85799</v>
      </c>
      <c r="HU69">
        <v>1.85705</v>
      </c>
      <c r="HV69">
        <v>1.85208</v>
      </c>
      <c r="HW69">
        <v>0</v>
      </c>
      <c r="HX69">
        <v>0</v>
      </c>
      <c r="HY69">
        <v>0</v>
      </c>
      <c r="HZ69">
        <v>0</v>
      </c>
      <c r="IA69" t="s">
        <v>424</v>
      </c>
      <c r="IB69" t="s">
        <v>425</v>
      </c>
      <c r="IC69" t="s">
        <v>426</v>
      </c>
      <c r="ID69" t="s">
        <v>426</v>
      </c>
      <c r="IE69" t="s">
        <v>426</v>
      </c>
      <c r="IF69" t="s">
        <v>426</v>
      </c>
      <c r="IG69">
        <v>0</v>
      </c>
      <c r="IH69">
        <v>100</v>
      </c>
      <c r="II69">
        <v>100</v>
      </c>
      <c r="IJ69">
        <v>-0.824</v>
      </c>
      <c r="IK69">
        <v>0.2002</v>
      </c>
      <c r="IL69">
        <v>-1.613291919289301</v>
      </c>
      <c r="IM69">
        <v>0.001328113201692861</v>
      </c>
      <c r="IN69">
        <v>1.538283238170363E-06</v>
      </c>
      <c r="IO69">
        <v>-5.795655626708063E-10</v>
      </c>
      <c r="IP69">
        <v>-0.05565860728478197</v>
      </c>
      <c r="IQ69">
        <v>-0.004593102289677449</v>
      </c>
      <c r="IR69">
        <v>0.0008253994458280543</v>
      </c>
      <c r="IS69">
        <v>-7.403632370499484E-06</v>
      </c>
      <c r="IT69">
        <v>2</v>
      </c>
      <c r="IU69">
        <v>1985</v>
      </c>
      <c r="IV69">
        <v>1</v>
      </c>
      <c r="IW69">
        <v>27</v>
      </c>
      <c r="IX69">
        <v>3.2</v>
      </c>
      <c r="IY69">
        <v>3.1</v>
      </c>
      <c r="IZ69">
        <v>1.12427</v>
      </c>
      <c r="JA69">
        <v>2.57324</v>
      </c>
      <c r="JB69">
        <v>1.49658</v>
      </c>
      <c r="JC69">
        <v>2.34253</v>
      </c>
      <c r="JD69">
        <v>1.54907</v>
      </c>
      <c r="JE69">
        <v>2.43042</v>
      </c>
      <c r="JF69">
        <v>31.8269</v>
      </c>
      <c r="JG69">
        <v>14.6049</v>
      </c>
      <c r="JH69">
        <v>18</v>
      </c>
      <c r="JI69">
        <v>483.419</v>
      </c>
      <c r="JJ69">
        <v>507.385</v>
      </c>
      <c r="JK69">
        <v>32.0262</v>
      </c>
      <c r="JL69">
        <v>27.8689</v>
      </c>
      <c r="JM69">
        <v>29.9992</v>
      </c>
      <c r="JN69">
        <v>28.1956</v>
      </c>
      <c r="JO69">
        <v>28.2049</v>
      </c>
      <c r="JP69">
        <v>22.5935</v>
      </c>
      <c r="JQ69">
        <v>18.4872</v>
      </c>
      <c r="JR69">
        <v>82.7188</v>
      </c>
      <c r="JS69">
        <v>32.0085</v>
      </c>
      <c r="JT69">
        <v>420</v>
      </c>
      <c r="JU69">
        <v>23.9074</v>
      </c>
      <c r="JV69">
        <v>102.258</v>
      </c>
      <c r="JW69">
        <v>91.4987</v>
      </c>
    </row>
    <row r="70" spans="1:283">
      <c r="A70">
        <v>52</v>
      </c>
      <c r="B70">
        <v>1761018350</v>
      </c>
      <c r="C70">
        <v>280.5</v>
      </c>
      <c r="D70" t="s">
        <v>531</v>
      </c>
      <c r="E70" t="s">
        <v>532</v>
      </c>
      <c r="F70">
        <v>5</v>
      </c>
      <c r="G70" t="s">
        <v>489</v>
      </c>
      <c r="H70">
        <v>1761018347</v>
      </c>
      <c r="I70">
        <f>(J70)/1000</f>
        <v>0</v>
      </c>
      <c r="J70">
        <f>1000*DJ70*AH70*(DF70-DG70)/(100*CY70*(1000-AH70*DF70))</f>
        <v>0</v>
      </c>
      <c r="K70">
        <f>DJ70*AH70*(DE70-DD70*(1000-AH70*DG70)/(1000-AH70*DF70))/(100*CY70)</f>
        <v>0</v>
      </c>
      <c r="L70">
        <f>DD70 - IF(AH70&gt;1, K70*CY70*100.0/(AJ70), 0)</f>
        <v>0</v>
      </c>
      <c r="M70">
        <f>((S70-I70/2)*L70-K70)/(S70+I70/2)</f>
        <v>0</v>
      </c>
      <c r="N70">
        <f>M70*(DK70+DL70)/1000.0</f>
        <v>0</v>
      </c>
      <c r="O70">
        <f>(DD70 - IF(AH70&gt;1, K70*CY70*100.0/(AJ70), 0))*(DK70+DL70)/1000.0</f>
        <v>0</v>
      </c>
      <c r="P70">
        <f>2.0/((1/R70-1/Q70)+SIGN(R70)*SQRT((1/R70-1/Q70)*(1/R70-1/Q70) + 4*CZ70/((CZ70+1)*(CZ70+1))*(2*1/R70*1/Q70-1/Q70*1/Q70)))</f>
        <v>0</v>
      </c>
      <c r="Q70">
        <f>IF(LEFT(DA70,1)&lt;&gt;"0",IF(LEFT(DA70,1)="1",3.0,DB70),$D$5+$E$5*(DR70*DK70/($K$5*1000))+$F$5*(DR70*DK70/($K$5*1000))*MAX(MIN(CY70,$J$5),$I$5)*MAX(MIN(CY70,$J$5),$I$5)+$G$5*MAX(MIN(CY70,$J$5),$I$5)*(DR70*DK70/($K$5*1000))+$H$5*(DR70*DK70/($K$5*1000))*(DR70*DK70/($K$5*1000)))</f>
        <v>0</v>
      </c>
      <c r="R70">
        <f>I70*(1000-(1000*0.61365*exp(17.502*V70/(240.97+V70))/(DK70+DL70)+DF70)/2)/(1000*0.61365*exp(17.502*V70/(240.97+V70))/(DK70+DL70)-DF70)</f>
        <v>0</v>
      </c>
      <c r="S70">
        <f>1/((CZ70+1)/(P70/1.6)+1/(Q70/1.37)) + CZ70/((CZ70+1)/(P70/1.6) + CZ70/(Q70/1.37))</f>
        <v>0</v>
      </c>
      <c r="T70">
        <f>(CU70*CX70)</f>
        <v>0</v>
      </c>
      <c r="U70">
        <f>(DM70+(T70+2*0.95*5.67E-8*(((DM70+$B$9)+273)^4-(DM70+273)^4)-44100*I70)/(1.84*29.3*Q70+8*0.95*5.67E-8*(DM70+273)^3))</f>
        <v>0</v>
      </c>
      <c r="V70">
        <f>($C$9*DN70+$D$9*DO70+$E$9*U70)</f>
        <v>0</v>
      </c>
      <c r="W70">
        <f>0.61365*exp(17.502*V70/(240.97+V70))</f>
        <v>0</v>
      </c>
      <c r="X70">
        <f>(Y70/Z70*100)</f>
        <v>0</v>
      </c>
      <c r="Y70">
        <f>DF70*(DK70+DL70)/1000</f>
        <v>0</v>
      </c>
      <c r="Z70">
        <f>0.61365*exp(17.502*DM70/(240.97+DM70))</f>
        <v>0</v>
      </c>
      <c r="AA70">
        <f>(W70-DF70*(DK70+DL70)/1000)</f>
        <v>0</v>
      </c>
      <c r="AB70">
        <f>(-I70*44100)</f>
        <v>0</v>
      </c>
      <c r="AC70">
        <f>2*29.3*Q70*0.92*(DM70-V70)</f>
        <v>0</v>
      </c>
      <c r="AD70">
        <f>2*0.95*5.67E-8*(((DM70+$B$9)+273)^4-(V70+273)^4)</f>
        <v>0</v>
      </c>
      <c r="AE70">
        <f>T70+AD70+AB70+AC70</f>
        <v>0</v>
      </c>
      <c r="AF70">
        <v>0</v>
      </c>
      <c r="AG70">
        <v>0</v>
      </c>
      <c r="AH70">
        <f>IF(AF70*$H$15&gt;=AJ70,1.0,(AJ70/(AJ70-AF70*$H$15)))</f>
        <v>0</v>
      </c>
      <c r="AI70">
        <f>(AH70-1)*100</f>
        <v>0</v>
      </c>
      <c r="AJ70">
        <f>MAX(0,($B$15+$C$15*DR70)/(1+$D$15*DR70)*DK70/(DM70+273)*$E$15)</f>
        <v>0</v>
      </c>
      <c r="AK70" t="s">
        <v>420</v>
      </c>
      <c r="AL70" t="s">
        <v>420</v>
      </c>
      <c r="AM70">
        <v>0</v>
      </c>
      <c r="AN70">
        <v>0</v>
      </c>
      <c r="AO70">
        <f>1-AM70/AN70</f>
        <v>0</v>
      </c>
      <c r="AP70">
        <v>0</v>
      </c>
      <c r="AQ70" t="s">
        <v>420</v>
      </c>
      <c r="AR70" t="s">
        <v>420</v>
      </c>
      <c r="AS70">
        <v>0</v>
      </c>
      <c r="AT70">
        <v>0</v>
      </c>
      <c r="AU70">
        <f>1-AS70/AT70</f>
        <v>0</v>
      </c>
      <c r="AV70">
        <v>0.5</v>
      </c>
      <c r="AW70">
        <f>CV70</f>
        <v>0</v>
      </c>
      <c r="AX70">
        <f>K70</f>
        <v>0</v>
      </c>
      <c r="AY70">
        <f>AU70*AV70*AW70</f>
        <v>0</v>
      </c>
      <c r="AZ70">
        <f>(AX70-AP70)/AW70</f>
        <v>0</v>
      </c>
      <c r="BA70">
        <f>(AN70-AT70)/AT70</f>
        <v>0</v>
      </c>
      <c r="BB70">
        <f>AM70/(AO70+AM70/AT70)</f>
        <v>0</v>
      </c>
      <c r="BC70" t="s">
        <v>420</v>
      </c>
      <c r="BD70">
        <v>0</v>
      </c>
      <c r="BE70">
        <f>IF(BD70&lt;&gt;0, BD70, BB70)</f>
        <v>0</v>
      </c>
      <c r="BF70">
        <f>1-BE70/AT70</f>
        <v>0</v>
      </c>
      <c r="BG70">
        <f>(AT70-AS70)/(AT70-BE70)</f>
        <v>0</v>
      </c>
      <c r="BH70">
        <f>(AN70-AT70)/(AN70-BE70)</f>
        <v>0</v>
      </c>
      <c r="BI70">
        <f>(AT70-AS70)/(AT70-AM70)</f>
        <v>0</v>
      </c>
      <c r="BJ70">
        <f>(AN70-AT70)/(AN70-AM70)</f>
        <v>0</v>
      </c>
      <c r="BK70">
        <f>(BG70*BE70/AS70)</f>
        <v>0</v>
      </c>
      <c r="BL70">
        <f>(1-BK70)</f>
        <v>0</v>
      </c>
      <c r="CU70">
        <f>$B$13*DS70+$C$13*DT70+$F$13*EE70*(1-EH70)</f>
        <v>0</v>
      </c>
      <c r="CV70">
        <f>CU70*CW70</f>
        <v>0</v>
      </c>
      <c r="CW70">
        <f>($B$13*$D$11+$C$13*$D$11+$F$13*((ER70+EJ70)/MAX(ER70+EJ70+ES70, 0.1)*$I$11+ES70/MAX(ER70+EJ70+ES70, 0.1)*$J$11))/($B$13+$C$13+$F$13)</f>
        <v>0</v>
      </c>
      <c r="CX70">
        <f>($B$13*$K$11+$C$13*$K$11+$F$13*((ER70+EJ70)/MAX(ER70+EJ70+ES70, 0.1)*$P$11+ES70/MAX(ER70+EJ70+ES70, 0.1)*$Q$11))/($B$13+$C$13+$F$13)</f>
        <v>0</v>
      </c>
      <c r="CY70">
        <v>4.16</v>
      </c>
      <c r="CZ70">
        <v>0.5</v>
      </c>
      <c r="DA70" t="s">
        <v>421</v>
      </c>
      <c r="DB70">
        <v>2</v>
      </c>
      <c r="DC70">
        <v>1761018347</v>
      </c>
      <c r="DD70">
        <v>420.5534444444444</v>
      </c>
      <c r="DE70">
        <v>419.8967777777777</v>
      </c>
      <c r="DF70">
        <v>23.87108888888889</v>
      </c>
      <c r="DG70">
        <v>23.91702222222222</v>
      </c>
      <c r="DH70">
        <v>421.3773333333334</v>
      </c>
      <c r="DI70">
        <v>23.67118888888889</v>
      </c>
      <c r="DJ70">
        <v>499.9924444444445</v>
      </c>
      <c r="DK70">
        <v>90.78791111111111</v>
      </c>
      <c r="DL70">
        <v>0.03442961111111111</v>
      </c>
      <c r="DM70">
        <v>30.3706</v>
      </c>
      <c r="DN70">
        <v>30.01077777777778</v>
      </c>
      <c r="DO70">
        <v>999.9000000000001</v>
      </c>
      <c r="DP70">
        <v>0</v>
      </c>
      <c r="DQ70">
        <v>0</v>
      </c>
      <c r="DR70">
        <v>10002.76666666667</v>
      </c>
      <c r="DS70">
        <v>0</v>
      </c>
      <c r="DT70">
        <v>0.242856</v>
      </c>
      <c r="DU70">
        <v>0.6565685555555556</v>
      </c>
      <c r="DV70">
        <v>430.8381111111111</v>
      </c>
      <c r="DW70">
        <v>430.1857777777778</v>
      </c>
      <c r="DX70">
        <v>-0.0459493</v>
      </c>
      <c r="DY70">
        <v>419.8967777777777</v>
      </c>
      <c r="DZ70">
        <v>23.91702222222222</v>
      </c>
      <c r="EA70">
        <v>2.167206666666667</v>
      </c>
      <c r="EB70">
        <v>2.171378888888889</v>
      </c>
      <c r="EC70">
        <v>18.72194444444445</v>
      </c>
      <c r="ED70">
        <v>18.75268888888889</v>
      </c>
      <c r="EE70">
        <v>0.00500078</v>
      </c>
      <c r="EF70">
        <v>0</v>
      </c>
      <c r="EG70">
        <v>0</v>
      </c>
      <c r="EH70">
        <v>0</v>
      </c>
      <c r="EI70">
        <v>521.4555555555556</v>
      </c>
      <c r="EJ70">
        <v>0.00500078</v>
      </c>
      <c r="EK70">
        <v>-8.844444444444447</v>
      </c>
      <c r="EL70">
        <v>0.7555555555555555</v>
      </c>
      <c r="EM70">
        <v>35.88188888888889</v>
      </c>
      <c r="EN70">
        <v>40.611</v>
      </c>
      <c r="EO70">
        <v>38.45133333333334</v>
      </c>
      <c r="EP70">
        <v>41.58322222222223</v>
      </c>
      <c r="EQ70">
        <v>39.12466666666666</v>
      </c>
      <c r="ER70">
        <v>0</v>
      </c>
      <c r="ES70">
        <v>0</v>
      </c>
      <c r="ET70">
        <v>0</v>
      </c>
      <c r="EU70">
        <v>1761018349.3</v>
      </c>
      <c r="EV70">
        <v>0</v>
      </c>
      <c r="EW70">
        <v>522.8440000000001</v>
      </c>
      <c r="EX70">
        <v>-11.0076922496393</v>
      </c>
      <c r="EY70">
        <v>-3.60000020235011</v>
      </c>
      <c r="EZ70">
        <v>-10.452</v>
      </c>
      <c r="FA70">
        <v>15</v>
      </c>
      <c r="FB70">
        <v>1761018162.5</v>
      </c>
      <c r="FC70" t="s">
        <v>490</v>
      </c>
      <c r="FD70">
        <v>1761018155.5</v>
      </c>
      <c r="FE70">
        <v>1761018162.5</v>
      </c>
      <c r="FF70">
        <v>24</v>
      </c>
      <c r="FG70">
        <v>-0.207</v>
      </c>
      <c r="FH70">
        <v>-0.006</v>
      </c>
      <c r="FI70">
        <v>-0.825</v>
      </c>
      <c r="FJ70">
        <v>0.194</v>
      </c>
      <c r="FK70">
        <v>420</v>
      </c>
      <c r="FL70">
        <v>24</v>
      </c>
      <c r="FM70">
        <v>0.19</v>
      </c>
      <c r="FN70">
        <v>0.1</v>
      </c>
      <c r="FO70">
        <v>0.6554252439024391</v>
      </c>
      <c r="FP70">
        <v>0.124897693379792</v>
      </c>
      <c r="FQ70">
        <v>0.03907204316467802</v>
      </c>
      <c r="FR70">
        <v>1</v>
      </c>
      <c r="FS70">
        <v>523.8558823529412</v>
      </c>
      <c r="FT70">
        <v>-17.5294117629841</v>
      </c>
      <c r="FU70">
        <v>6.059421015656763</v>
      </c>
      <c r="FV70">
        <v>0</v>
      </c>
      <c r="FW70">
        <v>0.04928177073170732</v>
      </c>
      <c r="FX70">
        <v>-0.8261395348432057</v>
      </c>
      <c r="FY70">
        <v>0.08320440004793951</v>
      </c>
      <c r="FZ70">
        <v>0</v>
      </c>
      <c r="GA70">
        <v>1</v>
      </c>
      <c r="GB70">
        <v>3</v>
      </c>
      <c r="GC70" t="s">
        <v>431</v>
      </c>
      <c r="GD70">
        <v>3.10963</v>
      </c>
      <c r="GE70">
        <v>2.72596</v>
      </c>
      <c r="GF70">
        <v>0.0886971</v>
      </c>
      <c r="GG70">
        <v>0.08851150000000001</v>
      </c>
      <c r="GH70">
        <v>0.108473</v>
      </c>
      <c r="GI70">
        <v>0.109653</v>
      </c>
      <c r="GJ70">
        <v>23906.1</v>
      </c>
      <c r="GK70">
        <v>21677.8</v>
      </c>
      <c r="GL70">
        <v>26791.1</v>
      </c>
      <c r="GM70">
        <v>23990.1</v>
      </c>
      <c r="GN70">
        <v>38164.7</v>
      </c>
      <c r="GO70">
        <v>31513.2</v>
      </c>
      <c r="GP70">
        <v>46762.2</v>
      </c>
      <c r="GQ70">
        <v>37931.2</v>
      </c>
      <c r="GR70">
        <v>1.88983</v>
      </c>
      <c r="GS70">
        <v>1.88085</v>
      </c>
      <c r="GT70">
        <v>0.129711</v>
      </c>
      <c r="GU70">
        <v>0</v>
      </c>
      <c r="GV70">
        <v>27.9307</v>
      </c>
      <c r="GW70">
        <v>999.9</v>
      </c>
      <c r="GX70">
        <v>63.6</v>
      </c>
      <c r="GY70">
        <v>28.9</v>
      </c>
      <c r="GZ70">
        <v>28.0086</v>
      </c>
      <c r="HA70">
        <v>61.68</v>
      </c>
      <c r="HB70">
        <v>19.9679</v>
      </c>
      <c r="HC70">
        <v>1</v>
      </c>
      <c r="HD70">
        <v>0.0475737</v>
      </c>
      <c r="HE70">
        <v>-2.74745</v>
      </c>
      <c r="HF70">
        <v>20.3151</v>
      </c>
      <c r="HG70">
        <v>5.22178</v>
      </c>
      <c r="HH70">
        <v>11.98</v>
      </c>
      <c r="HI70">
        <v>4.96545</v>
      </c>
      <c r="HJ70">
        <v>3.27595</v>
      </c>
      <c r="HK70">
        <v>9999</v>
      </c>
      <c r="HL70">
        <v>9999</v>
      </c>
      <c r="HM70">
        <v>9999</v>
      </c>
      <c r="HN70">
        <v>999.9</v>
      </c>
      <c r="HO70">
        <v>1.86357</v>
      </c>
      <c r="HP70">
        <v>1.85974</v>
      </c>
      <c r="HQ70">
        <v>1.85798</v>
      </c>
      <c r="HR70">
        <v>1.85934</v>
      </c>
      <c r="HS70">
        <v>1.85959</v>
      </c>
      <c r="HT70">
        <v>1.85799</v>
      </c>
      <c r="HU70">
        <v>1.85704</v>
      </c>
      <c r="HV70">
        <v>1.85209</v>
      </c>
      <c r="HW70">
        <v>0</v>
      </c>
      <c r="HX70">
        <v>0</v>
      </c>
      <c r="HY70">
        <v>0</v>
      </c>
      <c r="HZ70">
        <v>0</v>
      </c>
      <c r="IA70" t="s">
        <v>424</v>
      </c>
      <c r="IB70" t="s">
        <v>425</v>
      </c>
      <c r="IC70" t="s">
        <v>426</v>
      </c>
      <c r="ID70" t="s">
        <v>426</v>
      </c>
      <c r="IE70" t="s">
        <v>426</v>
      </c>
      <c r="IF70" t="s">
        <v>426</v>
      </c>
      <c r="IG70">
        <v>0</v>
      </c>
      <c r="IH70">
        <v>100</v>
      </c>
      <c r="II70">
        <v>100</v>
      </c>
      <c r="IJ70">
        <v>-0.824</v>
      </c>
      <c r="IK70">
        <v>0.2009</v>
      </c>
      <c r="IL70">
        <v>-1.613291919289301</v>
      </c>
      <c r="IM70">
        <v>0.001328113201692861</v>
      </c>
      <c r="IN70">
        <v>1.538283238170363E-06</v>
      </c>
      <c r="IO70">
        <v>-5.795655626708063E-10</v>
      </c>
      <c r="IP70">
        <v>-0.05565860728478197</v>
      </c>
      <c r="IQ70">
        <v>-0.004593102289677449</v>
      </c>
      <c r="IR70">
        <v>0.0008253994458280543</v>
      </c>
      <c r="IS70">
        <v>-7.403632370499484E-06</v>
      </c>
      <c r="IT70">
        <v>2</v>
      </c>
      <c r="IU70">
        <v>1985</v>
      </c>
      <c r="IV70">
        <v>1</v>
      </c>
      <c r="IW70">
        <v>27</v>
      </c>
      <c r="IX70">
        <v>3.2</v>
      </c>
      <c r="IY70">
        <v>3.1</v>
      </c>
      <c r="IZ70">
        <v>1.12305</v>
      </c>
      <c r="JA70">
        <v>2.56592</v>
      </c>
      <c r="JB70">
        <v>1.49658</v>
      </c>
      <c r="JC70">
        <v>2.34253</v>
      </c>
      <c r="JD70">
        <v>1.54907</v>
      </c>
      <c r="JE70">
        <v>2.39502</v>
      </c>
      <c r="JF70">
        <v>31.8269</v>
      </c>
      <c r="JG70">
        <v>14.6049</v>
      </c>
      <c r="JH70">
        <v>18</v>
      </c>
      <c r="JI70">
        <v>483.28</v>
      </c>
      <c r="JJ70">
        <v>507.306</v>
      </c>
      <c r="JK70">
        <v>32.0415</v>
      </c>
      <c r="JL70">
        <v>27.8659</v>
      </c>
      <c r="JM70">
        <v>29.999</v>
      </c>
      <c r="JN70">
        <v>28.1926</v>
      </c>
      <c r="JO70">
        <v>28.2017</v>
      </c>
      <c r="JP70">
        <v>22.5947</v>
      </c>
      <c r="JQ70">
        <v>18.4872</v>
      </c>
      <c r="JR70">
        <v>82.7188</v>
      </c>
      <c r="JS70">
        <v>32.0214</v>
      </c>
      <c r="JT70">
        <v>420</v>
      </c>
      <c r="JU70">
        <v>23.9074</v>
      </c>
      <c r="JV70">
        <v>102.258</v>
      </c>
      <c r="JW70">
        <v>91.498</v>
      </c>
    </row>
    <row r="71" spans="1:283">
      <c r="A71">
        <v>53</v>
      </c>
      <c r="B71">
        <v>1761018352</v>
      </c>
      <c r="C71">
        <v>282.5</v>
      </c>
      <c r="D71" t="s">
        <v>533</v>
      </c>
      <c r="E71" t="s">
        <v>534</v>
      </c>
      <c r="F71">
        <v>5</v>
      </c>
      <c r="G71" t="s">
        <v>489</v>
      </c>
      <c r="H71">
        <v>1761018349</v>
      </c>
      <c r="I71">
        <f>(J71)/1000</f>
        <v>0</v>
      </c>
      <c r="J71">
        <f>1000*DJ71*AH71*(DF71-DG71)/(100*CY71*(1000-AH71*DF71))</f>
        <v>0</v>
      </c>
      <c r="K71">
        <f>DJ71*AH71*(DE71-DD71*(1000-AH71*DG71)/(1000-AH71*DF71))/(100*CY71)</f>
        <v>0</v>
      </c>
      <c r="L71">
        <f>DD71 - IF(AH71&gt;1, K71*CY71*100.0/(AJ71), 0)</f>
        <v>0</v>
      </c>
      <c r="M71">
        <f>((S71-I71/2)*L71-K71)/(S71+I71/2)</f>
        <v>0</v>
      </c>
      <c r="N71">
        <f>M71*(DK71+DL71)/1000.0</f>
        <v>0</v>
      </c>
      <c r="O71">
        <f>(DD71 - IF(AH71&gt;1, K71*CY71*100.0/(AJ71), 0))*(DK71+DL71)/1000.0</f>
        <v>0</v>
      </c>
      <c r="P71">
        <f>2.0/((1/R71-1/Q71)+SIGN(R71)*SQRT((1/R71-1/Q71)*(1/R71-1/Q71) + 4*CZ71/((CZ71+1)*(CZ71+1))*(2*1/R71*1/Q71-1/Q71*1/Q71)))</f>
        <v>0</v>
      </c>
      <c r="Q71">
        <f>IF(LEFT(DA71,1)&lt;&gt;"0",IF(LEFT(DA71,1)="1",3.0,DB71),$D$5+$E$5*(DR71*DK71/($K$5*1000))+$F$5*(DR71*DK71/($K$5*1000))*MAX(MIN(CY71,$J$5),$I$5)*MAX(MIN(CY71,$J$5),$I$5)+$G$5*MAX(MIN(CY71,$J$5),$I$5)*(DR71*DK71/($K$5*1000))+$H$5*(DR71*DK71/($K$5*1000))*(DR71*DK71/($K$5*1000)))</f>
        <v>0</v>
      </c>
      <c r="R71">
        <f>I71*(1000-(1000*0.61365*exp(17.502*V71/(240.97+V71))/(DK71+DL71)+DF71)/2)/(1000*0.61365*exp(17.502*V71/(240.97+V71))/(DK71+DL71)-DF71)</f>
        <v>0</v>
      </c>
      <c r="S71">
        <f>1/((CZ71+1)/(P71/1.6)+1/(Q71/1.37)) + CZ71/((CZ71+1)/(P71/1.6) + CZ71/(Q71/1.37))</f>
        <v>0</v>
      </c>
      <c r="T71">
        <f>(CU71*CX71)</f>
        <v>0</v>
      </c>
      <c r="U71">
        <f>(DM71+(T71+2*0.95*5.67E-8*(((DM71+$B$9)+273)^4-(DM71+273)^4)-44100*I71)/(1.84*29.3*Q71+8*0.95*5.67E-8*(DM71+273)^3))</f>
        <v>0</v>
      </c>
      <c r="V71">
        <f>($C$9*DN71+$D$9*DO71+$E$9*U71)</f>
        <v>0</v>
      </c>
      <c r="W71">
        <f>0.61365*exp(17.502*V71/(240.97+V71))</f>
        <v>0</v>
      </c>
      <c r="X71">
        <f>(Y71/Z71*100)</f>
        <v>0</v>
      </c>
      <c r="Y71">
        <f>DF71*(DK71+DL71)/1000</f>
        <v>0</v>
      </c>
      <c r="Z71">
        <f>0.61365*exp(17.502*DM71/(240.97+DM71))</f>
        <v>0</v>
      </c>
      <c r="AA71">
        <f>(W71-DF71*(DK71+DL71)/1000)</f>
        <v>0</v>
      </c>
      <c r="AB71">
        <f>(-I71*44100)</f>
        <v>0</v>
      </c>
      <c r="AC71">
        <f>2*29.3*Q71*0.92*(DM71-V71)</f>
        <v>0</v>
      </c>
      <c r="AD71">
        <f>2*0.95*5.67E-8*(((DM71+$B$9)+273)^4-(V71+273)^4)</f>
        <v>0</v>
      </c>
      <c r="AE71">
        <f>T71+AD71+AB71+AC71</f>
        <v>0</v>
      </c>
      <c r="AF71">
        <v>0</v>
      </c>
      <c r="AG71">
        <v>0</v>
      </c>
      <c r="AH71">
        <f>IF(AF71*$H$15&gt;=AJ71,1.0,(AJ71/(AJ71-AF71*$H$15)))</f>
        <v>0</v>
      </c>
      <c r="AI71">
        <f>(AH71-1)*100</f>
        <v>0</v>
      </c>
      <c r="AJ71">
        <f>MAX(0,($B$15+$C$15*DR71)/(1+$D$15*DR71)*DK71/(DM71+273)*$E$15)</f>
        <v>0</v>
      </c>
      <c r="AK71" t="s">
        <v>420</v>
      </c>
      <c r="AL71" t="s">
        <v>420</v>
      </c>
      <c r="AM71">
        <v>0</v>
      </c>
      <c r="AN71">
        <v>0</v>
      </c>
      <c r="AO71">
        <f>1-AM71/AN71</f>
        <v>0</v>
      </c>
      <c r="AP71">
        <v>0</v>
      </c>
      <c r="AQ71" t="s">
        <v>420</v>
      </c>
      <c r="AR71" t="s">
        <v>420</v>
      </c>
      <c r="AS71">
        <v>0</v>
      </c>
      <c r="AT71">
        <v>0</v>
      </c>
      <c r="AU71">
        <f>1-AS71/AT71</f>
        <v>0</v>
      </c>
      <c r="AV71">
        <v>0.5</v>
      </c>
      <c r="AW71">
        <f>CV71</f>
        <v>0</v>
      </c>
      <c r="AX71">
        <f>K71</f>
        <v>0</v>
      </c>
      <c r="AY71">
        <f>AU71*AV71*AW71</f>
        <v>0</v>
      </c>
      <c r="AZ71">
        <f>(AX71-AP71)/AW71</f>
        <v>0</v>
      </c>
      <c r="BA71">
        <f>(AN71-AT71)/AT71</f>
        <v>0</v>
      </c>
      <c r="BB71">
        <f>AM71/(AO71+AM71/AT71)</f>
        <v>0</v>
      </c>
      <c r="BC71" t="s">
        <v>420</v>
      </c>
      <c r="BD71">
        <v>0</v>
      </c>
      <c r="BE71">
        <f>IF(BD71&lt;&gt;0, BD71, BB71)</f>
        <v>0</v>
      </c>
      <c r="BF71">
        <f>1-BE71/AT71</f>
        <v>0</v>
      </c>
      <c r="BG71">
        <f>(AT71-AS71)/(AT71-BE71)</f>
        <v>0</v>
      </c>
      <c r="BH71">
        <f>(AN71-AT71)/(AN71-BE71)</f>
        <v>0</v>
      </c>
      <c r="BI71">
        <f>(AT71-AS71)/(AT71-AM71)</f>
        <v>0</v>
      </c>
      <c r="BJ71">
        <f>(AN71-AT71)/(AN71-AM71)</f>
        <v>0</v>
      </c>
      <c r="BK71">
        <f>(BG71*BE71/AS71)</f>
        <v>0</v>
      </c>
      <c r="BL71">
        <f>(1-BK71)</f>
        <v>0</v>
      </c>
      <c r="CU71">
        <f>$B$13*DS71+$C$13*DT71+$F$13*EE71*(1-EH71)</f>
        <v>0</v>
      </c>
      <c r="CV71">
        <f>CU71*CW71</f>
        <v>0</v>
      </c>
      <c r="CW71">
        <f>($B$13*$D$11+$C$13*$D$11+$F$13*((ER71+EJ71)/MAX(ER71+EJ71+ES71, 0.1)*$I$11+ES71/MAX(ER71+EJ71+ES71, 0.1)*$J$11))/($B$13+$C$13+$F$13)</f>
        <v>0</v>
      </c>
      <c r="CX71">
        <f>($B$13*$K$11+$C$13*$K$11+$F$13*((ER71+EJ71)/MAX(ER71+EJ71+ES71, 0.1)*$P$11+ES71/MAX(ER71+EJ71+ES71, 0.1)*$Q$11))/($B$13+$C$13+$F$13)</f>
        <v>0</v>
      </c>
      <c r="CY71">
        <v>4.16</v>
      </c>
      <c r="CZ71">
        <v>0.5</v>
      </c>
      <c r="DA71" t="s">
        <v>421</v>
      </c>
      <c r="DB71">
        <v>2</v>
      </c>
      <c r="DC71">
        <v>1761018349</v>
      </c>
      <c r="DD71">
        <v>420.5661111111111</v>
      </c>
      <c r="DE71">
        <v>419.9055555555555</v>
      </c>
      <c r="DF71">
        <v>23.90056666666667</v>
      </c>
      <c r="DG71">
        <v>23.94124444444445</v>
      </c>
      <c r="DH71">
        <v>421.3898888888888</v>
      </c>
      <c r="DI71">
        <v>23.70002222222222</v>
      </c>
      <c r="DJ71">
        <v>499.9696666666667</v>
      </c>
      <c r="DK71">
        <v>90.78823333333335</v>
      </c>
      <c r="DL71">
        <v>0.03439291111111111</v>
      </c>
      <c r="DM71">
        <v>30.37</v>
      </c>
      <c r="DN71">
        <v>30.03136666666666</v>
      </c>
      <c r="DO71">
        <v>999.9000000000001</v>
      </c>
      <c r="DP71">
        <v>0</v>
      </c>
      <c r="DQ71">
        <v>0</v>
      </c>
      <c r="DR71">
        <v>10001.94222222222</v>
      </c>
      <c r="DS71">
        <v>0</v>
      </c>
      <c r="DT71">
        <v>0.242856</v>
      </c>
      <c r="DU71">
        <v>0.6605562222222222</v>
      </c>
      <c r="DV71">
        <v>430.8641111111111</v>
      </c>
      <c r="DW71">
        <v>430.2054444444445</v>
      </c>
      <c r="DX71">
        <v>-0.04068884444444444</v>
      </c>
      <c r="DY71">
        <v>419.9055555555555</v>
      </c>
      <c r="DZ71">
        <v>23.94124444444445</v>
      </c>
      <c r="EA71">
        <v>2.16989</v>
      </c>
      <c r="EB71">
        <v>2.173585555555556</v>
      </c>
      <c r="EC71">
        <v>18.74173333333333</v>
      </c>
      <c r="ED71">
        <v>18.76895555555556</v>
      </c>
      <c r="EE71">
        <v>0.00500078</v>
      </c>
      <c r="EF71">
        <v>0</v>
      </c>
      <c r="EG71">
        <v>0</v>
      </c>
      <c r="EH71">
        <v>0</v>
      </c>
      <c r="EI71">
        <v>522.5222222222222</v>
      </c>
      <c r="EJ71">
        <v>0.00500078</v>
      </c>
      <c r="EK71">
        <v>-10.9</v>
      </c>
      <c r="EL71">
        <v>0.2888888888888889</v>
      </c>
      <c r="EM71">
        <v>35.90255555555556</v>
      </c>
      <c r="EN71">
        <v>40.625</v>
      </c>
      <c r="EO71">
        <v>38.15955555555556</v>
      </c>
      <c r="EP71">
        <v>41.60411111111111</v>
      </c>
      <c r="EQ71">
        <v>39.13855555555555</v>
      </c>
      <c r="ER71">
        <v>0</v>
      </c>
      <c r="ES71">
        <v>0</v>
      </c>
      <c r="ET71">
        <v>0</v>
      </c>
      <c r="EU71">
        <v>1761018351.1</v>
      </c>
      <c r="EV71">
        <v>0</v>
      </c>
      <c r="EW71">
        <v>523.3807692307693</v>
      </c>
      <c r="EX71">
        <v>18.01367521129241</v>
      </c>
      <c r="EY71">
        <v>-30.85811978841122</v>
      </c>
      <c r="EZ71">
        <v>-11.33846153846154</v>
      </c>
      <c r="FA71">
        <v>15</v>
      </c>
      <c r="FB71">
        <v>1761018162.5</v>
      </c>
      <c r="FC71" t="s">
        <v>490</v>
      </c>
      <c r="FD71">
        <v>1761018155.5</v>
      </c>
      <c r="FE71">
        <v>1761018162.5</v>
      </c>
      <c r="FF71">
        <v>24</v>
      </c>
      <c r="FG71">
        <v>-0.207</v>
      </c>
      <c r="FH71">
        <v>-0.006</v>
      </c>
      <c r="FI71">
        <v>-0.825</v>
      </c>
      <c r="FJ71">
        <v>0.194</v>
      </c>
      <c r="FK71">
        <v>420</v>
      </c>
      <c r="FL71">
        <v>24</v>
      </c>
      <c r="FM71">
        <v>0.19</v>
      </c>
      <c r="FN71">
        <v>0.1</v>
      </c>
      <c r="FO71">
        <v>0.6621085750000001</v>
      </c>
      <c r="FP71">
        <v>-0.0514676735459676</v>
      </c>
      <c r="FQ71">
        <v>0.03003200357192931</v>
      </c>
      <c r="FR71">
        <v>1</v>
      </c>
      <c r="FS71">
        <v>524.0588235294117</v>
      </c>
      <c r="FT71">
        <v>-11.74331542467437</v>
      </c>
      <c r="FU71">
        <v>6.187326593984104</v>
      </c>
      <c r="FV71">
        <v>0</v>
      </c>
      <c r="FW71">
        <v>0.030750495</v>
      </c>
      <c r="FX71">
        <v>-0.7451907883677301</v>
      </c>
      <c r="FY71">
        <v>0.07557016768934584</v>
      </c>
      <c r="FZ71">
        <v>0</v>
      </c>
      <c r="GA71">
        <v>1</v>
      </c>
      <c r="GB71">
        <v>3</v>
      </c>
      <c r="GC71" t="s">
        <v>431</v>
      </c>
      <c r="GD71">
        <v>3.10961</v>
      </c>
      <c r="GE71">
        <v>2.72611</v>
      </c>
      <c r="GF71">
        <v>0.0887051</v>
      </c>
      <c r="GG71">
        <v>0.0885124</v>
      </c>
      <c r="GH71">
        <v>0.108554</v>
      </c>
      <c r="GI71">
        <v>0.109688</v>
      </c>
      <c r="GJ71">
        <v>23906.1</v>
      </c>
      <c r="GK71">
        <v>21677.8</v>
      </c>
      <c r="GL71">
        <v>26791.3</v>
      </c>
      <c r="GM71">
        <v>23990.1</v>
      </c>
      <c r="GN71">
        <v>38161.4</v>
      </c>
      <c r="GO71">
        <v>31511.8</v>
      </c>
      <c r="GP71">
        <v>46762.5</v>
      </c>
      <c r="GQ71">
        <v>37931.1</v>
      </c>
      <c r="GR71">
        <v>1.88993</v>
      </c>
      <c r="GS71">
        <v>1.88098</v>
      </c>
      <c r="GT71">
        <v>0.131134</v>
      </c>
      <c r="GU71">
        <v>0</v>
      </c>
      <c r="GV71">
        <v>27.9309</v>
      </c>
      <c r="GW71">
        <v>999.9</v>
      </c>
      <c r="GX71">
        <v>63.6</v>
      </c>
      <c r="GY71">
        <v>28.9</v>
      </c>
      <c r="GZ71">
        <v>28.0136</v>
      </c>
      <c r="HA71">
        <v>61.18</v>
      </c>
      <c r="HB71">
        <v>20.2003</v>
      </c>
      <c r="HC71">
        <v>1</v>
      </c>
      <c r="HD71">
        <v>0.0472434</v>
      </c>
      <c r="HE71">
        <v>-2.68263</v>
      </c>
      <c r="HF71">
        <v>20.3163</v>
      </c>
      <c r="HG71">
        <v>5.22178</v>
      </c>
      <c r="HH71">
        <v>11.98</v>
      </c>
      <c r="HI71">
        <v>4.9655</v>
      </c>
      <c r="HJ71">
        <v>3.27598</v>
      </c>
      <c r="HK71">
        <v>9999</v>
      </c>
      <c r="HL71">
        <v>9999</v>
      </c>
      <c r="HM71">
        <v>9999</v>
      </c>
      <c r="HN71">
        <v>999.9</v>
      </c>
      <c r="HO71">
        <v>1.86356</v>
      </c>
      <c r="HP71">
        <v>1.85974</v>
      </c>
      <c r="HQ71">
        <v>1.85799</v>
      </c>
      <c r="HR71">
        <v>1.85939</v>
      </c>
      <c r="HS71">
        <v>1.85959</v>
      </c>
      <c r="HT71">
        <v>1.85801</v>
      </c>
      <c r="HU71">
        <v>1.85703</v>
      </c>
      <c r="HV71">
        <v>1.85208</v>
      </c>
      <c r="HW71">
        <v>0</v>
      </c>
      <c r="HX71">
        <v>0</v>
      </c>
      <c r="HY71">
        <v>0</v>
      </c>
      <c r="HZ71">
        <v>0</v>
      </c>
      <c r="IA71" t="s">
        <v>424</v>
      </c>
      <c r="IB71" t="s">
        <v>425</v>
      </c>
      <c r="IC71" t="s">
        <v>426</v>
      </c>
      <c r="ID71" t="s">
        <v>426</v>
      </c>
      <c r="IE71" t="s">
        <v>426</v>
      </c>
      <c r="IF71" t="s">
        <v>426</v>
      </c>
      <c r="IG71">
        <v>0</v>
      </c>
      <c r="IH71">
        <v>100</v>
      </c>
      <c r="II71">
        <v>100</v>
      </c>
      <c r="IJ71">
        <v>-0.824</v>
      </c>
      <c r="IK71">
        <v>0.2014</v>
      </c>
      <c r="IL71">
        <v>-1.613291919289301</v>
      </c>
      <c r="IM71">
        <v>0.001328113201692861</v>
      </c>
      <c r="IN71">
        <v>1.538283238170363E-06</v>
      </c>
      <c r="IO71">
        <v>-5.795655626708063E-10</v>
      </c>
      <c r="IP71">
        <v>-0.05565860728478197</v>
      </c>
      <c r="IQ71">
        <v>-0.004593102289677449</v>
      </c>
      <c r="IR71">
        <v>0.0008253994458280543</v>
      </c>
      <c r="IS71">
        <v>-7.403632370499484E-06</v>
      </c>
      <c r="IT71">
        <v>2</v>
      </c>
      <c r="IU71">
        <v>1985</v>
      </c>
      <c r="IV71">
        <v>1</v>
      </c>
      <c r="IW71">
        <v>27</v>
      </c>
      <c r="IX71">
        <v>3.3</v>
      </c>
      <c r="IY71">
        <v>3.2</v>
      </c>
      <c r="IZ71">
        <v>1.12427</v>
      </c>
      <c r="JA71">
        <v>2.56836</v>
      </c>
      <c r="JB71">
        <v>1.49658</v>
      </c>
      <c r="JC71">
        <v>2.34253</v>
      </c>
      <c r="JD71">
        <v>1.54907</v>
      </c>
      <c r="JE71">
        <v>2.46094</v>
      </c>
      <c r="JF71">
        <v>31.8269</v>
      </c>
      <c r="JG71">
        <v>14.6311</v>
      </c>
      <c r="JH71">
        <v>18</v>
      </c>
      <c r="JI71">
        <v>483.316</v>
      </c>
      <c r="JJ71">
        <v>507.364</v>
      </c>
      <c r="JK71">
        <v>32.0501</v>
      </c>
      <c r="JL71">
        <v>27.8635</v>
      </c>
      <c r="JM71">
        <v>29.9991</v>
      </c>
      <c r="JN71">
        <v>28.1896</v>
      </c>
      <c r="JO71">
        <v>28.1987</v>
      </c>
      <c r="JP71">
        <v>22.595</v>
      </c>
      <c r="JQ71">
        <v>18.4872</v>
      </c>
      <c r="JR71">
        <v>82.7188</v>
      </c>
      <c r="JS71">
        <v>32.0214</v>
      </c>
      <c r="JT71">
        <v>420</v>
      </c>
      <c r="JU71">
        <v>23.9074</v>
      </c>
      <c r="JV71">
        <v>102.259</v>
      </c>
      <c r="JW71">
        <v>91.4978</v>
      </c>
    </row>
    <row r="72" spans="1:283">
      <c r="A72">
        <v>54</v>
      </c>
      <c r="B72">
        <v>1761018354</v>
      </c>
      <c r="C72">
        <v>284.5</v>
      </c>
      <c r="D72" t="s">
        <v>535</v>
      </c>
      <c r="E72" t="s">
        <v>536</v>
      </c>
      <c r="F72">
        <v>5</v>
      </c>
      <c r="G72" t="s">
        <v>489</v>
      </c>
      <c r="H72">
        <v>1761018351</v>
      </c>
      <c r="I72">
        <f>(J72)/1000</f>
        <v>0</v>
      </c>
      <c r="J72">
        <f>1000*DJ72*AH72*(DF72-DG72)/(100*CY72*(1000-AH72*DF72))</f>
        <v>0</v>
      </c>
      <c r="K72">
        <f>DJ72*AH72*(DE72-DD72*(1000-AH72*DG72)/(1000-AH72*DF72))/(100*CY72)</f>
        <v>0</v>
      </c>
      <c r="L72">
        <f>DD72 - IF(AH72&gt;1, K72*CY72*100.0/(AJ72), 0)</f>
        <v>0</v>
      </c>
      <c r="M72">
        <f>((S72-I72/2)*L72-K72)/(S72+I72/2)</f>
        <v>0</v>
      </c>
      <c r="N72">
        <f>M72*(DK72+DL72)/1000.0</f>
        <v>0</v>
      </c>
      <c r="O72">
        <f>(DD72 - IF(AH72&gt;1, K72*CY72*100.0/(AJ72), 0))*(DK72+DL72)/1000.0</f>
        <v>0</v>
      </c>
      <c r="P72">
        <f>2.0/((1/R72-1/Q72)+SIGN(R72)*SQRT((1/R72-1/Q72)*(1/R72-1/Q72) + 4*CZ72/((CZ72+1)*(CZ72+1))*(2*1/R72*1/Q72-1/Q72*1/Q72)))</f>
        <v>0</v>
      </c>
      <c r="Q72">
        <f>IF(LEFT(DA72,1)&lt;&gt;"0",IF(LEFT(DA72,1)="1",3.0,DB72),$D$5+$E$5*(DR72*DK72/($K$5*1000))+$F$5*(DR72*DK72/($K$5*1000))*MAX(MIN(CY72,$J$5),$I$5)*MAX(MIN(CY72,$J$5),$I$5)+$G$5*MAX(MIN(CY72,$J$5),$I$5)*(DR72*DK72/($K$5*1000))+$H$5*(DR72*DK72/($K$5*1000))*(DR72*DK72/($K$5*1000)))</f>
        <v>0</v>
      </c>
      <c r="R72">
        <f>I72*(1000-(1000*0.61365*exp(17.502*V72/(240.97+V72))/(DK72+DL72)+DF72)/2)/(1000*0.61365*exp(17.502*V72/(240.97+V72))/(DK72+DL72)-DF72)</f>
        <v>0</v>
      </c>
      <c r="S72">
        <f>1/((CZ72+1)/(P72/1.6)+1/(Q72/1.37)) + CZ72/((CZ72+1)/(P72/1.6) + CZ72/(Q72/1.37))</f>
        <v>0</v>
      </c>
      <c r="T72">
        <f>(CU72*CX72)</f>
        <v>0</v>
      </c>
      <c r="U72">
        <f>(DM72+(T72+2*0.95*5.67E-8*(((DM72+$B$9)+273)^4-(DM72+273)^4)-44100*I72)/(1.84*29.3*Q72+8*0.95*5.67E-8*(DM72+273)^3))</f>
        <v>0</v>
      </c>
      <c r="V72">
        <f>($C$9*DN72+$D$9*DO72+$E$9*U72)</f>
        <v>0</v>
      </c>
      <c r="W72">
        <f>0.61365*exp(17.502*V72/(240.97+V72))</f>
        <v>0</v>
      </c>
      <c r="X72">
        <f>(Y72/Z72*100)</f>
        <v>0</v>
      </c>
      <c r="Y72">
        <f>DF72*(DK72+DL72)/1000</f>
        <v>0</v>
      </c>
      <c r="Z72">
        <f>0.61365*exp(17.502*DM72/(240.97+DM72))</f>
        <v>0</v>
      </c>
      <c r="AA72">
        <f>(W72-DF72*(DK72+DL72)/1000)</f>
        <v>0</v>
      </c>
      <c r="AB72">
        <f>(-I72*44100)</f>
        <v>0</v>
      </c>
      <c r="AC72">
        <f>2*29.3*Q72*0.92*(DM72-V72)</f>
        <v>0</v>
      </c>
      <c r="AD72">
        <f>2*0.95*5.67E-8*(((DM72+$B$9)+273)^4-(V72+273)^4)</f>
        <v>0</v>
      </c>
      <c r="AE72">
        <f>T72+AD72+AB72+AC72</f>
        <v>0</v>
      </c>
      <c r="AF72">
        <v>0</v>
      </c>
      <c r="AG72">
        <v>0</v>
      </c>
      <c r="AH72">
        <f>IF(AF72*$H$15&gt;=AJ72,1.0,(AJ72/(AJ72-AF72*$H$15)))</f>
        <v>0</v>
      </c>
      <c r="AI72">
        <f>(AH72-1)*100</f>
        <v>0</v>
      </c>
      <c r="AJ72">
        <f>MAX(0,($B$15+$C$15*DR72)/(1+$D$15*DR72)*DK72/(DM72+273)*$E$15)</f>
        <v>0</v>
      </c>
      <c r="AK72" t="s">
        <v>420</v>
      </c>
      <c r="AL72" t="s">
        <v>420</v>
      </c>
      <c r="AM72">
        <v>0</v>
      </c>
      <c r="AN72">
        <v>0</v>
      </c>
      <c r="AO72">
        <f>1-AM72/AN72</f>
        <v>0</v>
      </c>
      <c r="AP72">
        <v>0</v>
      </c>
      <c r="AQ72" t="s">
        <v>420</v>
      </c>
      <c r="AR72" t="s">
        <v>420</v>
      </c>
      <c r="AS72">
        <v>0</v>
      </c>
      <c r="AT72">
        <v>0</v>
      </c>
      <c r="AU72">
        <f>1-AS72/AT72</f>
        <v>0</v>
      </c>
      <c r="AV72">
        <v>0.5</v>
      </c>
      <c r="AW72">
        <f>CV72</f>
        <v>0</v>
      </c>
      <c r="AX72">
        <f>K72</f>
        <v>0</v>
      </c>
      <c r="AY72">
        <f>AU72*AV72*AW72</f>
        <v>0</v>
      </c>
      <c r="AZ72">
        <f>(AX72-AP72)/AW72</f>
        <v>0</v>
      </c>
      <c r="BA72">
        <f>(AN72-AT72)/AT72</f>
        <v>0</v>
      </c>
      <c r="BB72">
        <f>AM72/(AO72+AM72/AT72)</f>
        <v>0</v>
      </c>
      <c r="BC72" t="s">
        <v>420</v>
      </c>
      <c r="BD72">
        <v>0</v>
      </c>
      <c r="BE72">
        <f>IF(BD72&lt;&gt;0, BD72, BB72)</f>
        <v>0</v>
      </c>
      <c r="BF72">
        <f>1-BE72/AT72</f>
        <v>0</v>
      </c>
      <c r="BG72">
        <f>(AT72-AS72)/(AT72-BE72)</f>
        <v>0</v>
      </c>
      <c r="BH72">
        <f>(AN72-AT72)/(AN72-BE72)</f>
        <v>0</v>
      </c>
      <c r="BI72">
        <f>(AT72-AS72)/(AT72-AM72)</f>
        <v>0</v>
      </c>
      <c r="BJ72">
        <f>(AN72-AT72)/(AN72-AM72)</f>
        <v>0</v>
      </c>
      <c r="BK72">
        <f>(BG72*BE72/AS72)</f>
        <v>0</v>
      </c>
      <c r="BL72">
        <f>(1-BK72)</f>
        <v>0</v>
      </c>
      <c r="CU72">
        <f>$B$13*DS72+$C$13*DT72+$F$13*EE72*(1-EH72)</f>
        <v>0</v>
      </c>
      <c r="CV72">
        <f>CU72*CW72</f>
        <v>0</v>
      </c>
      <c r="CW72">
        <f>($B$13*$D$11+$C$13*$D$11+$F$13*((ER72+EJ72)/MAX(ER72+EJ72+ES72, 0.1)*$I$11+ES72/MAX(ER72+EJ72+ES72, 0.1)*$J$11))/($B$13+$C$13+$F$13)</f>
        <v>0</v>
      </c>
      <c r="CX72">
        <f>($B$13*$K$11+$C$13*$K$11+$F$13*((ER72+EJ72)/MAX(ER72+EJ72+ES72, 0.1)*$P$11+ES72/MAX(ER72+EJ72+ES72, 0.1)*$Q$11))/($B$13+$C$13+$F$13)</f>
        <v>0</v>
      </c>
      <c r="CY72">
        <v>4.16</v>
      </c>
      <c r="CZ72">
        <v>0.5</v>
      </c>
      <c r="DA72" t="s">
        <v>421</v>
      </c>
      <c r="DB72">
        <v>2</v>
      </c>
      <c r="DC72">
        <v>1761018351</v>
      </c>
      <c r="DD72">
        <v>420.5857777777778</v>
      </c>
      <c r="DE72">
        <v>419.9337777777778</v>
      </c>
      <c r="DF72">
        <v>23.92803333333333</v>
      </c>
      <c r="DG72">
        <v>23.95596666666667</v>
      </c>
      <c r="DH72">
        <v>421.4095555555555</v>
      </c>
      <c r="DI72">
        <v>23.72688888888889</v>
      </c>
      <c r="DJ72">
        <v>499.9918888888889</v>
      </c>
      <c r="DK72">
        <v>90.78821111111111</v>
      </c>
      <c r="DL72">
        <v>0.03436006666666667</v>
      </c>
      <c r="DM72">
        <v>30.37055555555555</v>
      </c>
      <c r="DN72">
        <v>30.05193333333333</v>
      </c>
      <c r="DO72">
        <v>999.9000000000001</v>
      </c>
      <c r="DP72">
        <v>0</v>
      </c>
      <c r="DQ72">
        <v>0</v>
      </c>
      <c r="DR72">
        <v>10001.11444444444</v>
      </c>
      <c r="DS72">
        <v>0</v>
      </c>
      <c r="DT72">
        <v>0.242856</v>
      </c>
      <c r="DU72">
        <v>0.6519063333333334</v>
      </c>
      <c r="DV72">
        <v>430.8963333333334</v>
      </c>
      <c r="DW72">
        <v>430.2408888888888</v>
      </c>
      <c r="DX72">
        <v>-0.02794966111111111</v>
      </c>
      <c r="DY72">
        <v>419.9337777777778</v>
      </c>
      <c r="DZ72">
        <v>23.95596666666667</v>
      </c>
      <c r="EA72">
        <v>2.172382222222222</v>
      </c>
      <c r="EB72">
        <v>2.174922222222222</v>
      </c>
      <c r="EC72">
        <v>18.76008888888889</v>
      </c>
      <c r="ED72">
        <v>18.77878888888889</v>
      </c>
      <c r="EE72">
        <v>0.00500078</v>
      </c>
      <c r="EF72">
        <v>0</v>
      </c>
      <c r="EG72">
        <v>0</v>
      </c>
      <c r="EH72">
        <v>0</v>
      </c>
      <c r="EI72">
        <v>524.0333333333333</v>
      </c>
      <c r="EJ72">
        <v>0.00500078</v>
      </c>
      <c r="EK72">
        <v>-10.37777777777778</v>
      </c>
      <c r="EL72">
        <v>0.811111111111111</v>
      </c>
      <c r="EM72">
        <v>35.90255555555555</v>
      </c>
      <c r="EN72">
        <v>40.63188888888889</v>
      </c>
      <c r="EO72">
        <v>38.59688888888889</v>
      </c>
      <c r="EP72">
        <v>41.65255555555556</v>
      </c>
      <c r="EQ72">
        <v>39.14555555555555</v>
      </c>
      <c r="ER72">
        <v>0</v>
      </c>
      <c r="ES72">
        <v>0</v>
      </c>
      <c r="ET72">
        <v>0</v>
      </c>
      <c r="EU72">
        <v>1761018352.9</v>
      </c>
      <c r="EV72">
        <v>0</v>
      </c>
      <c r="EW72">
        <v>524.572</v>
      </c>
      <c r="EX72">
        <v>1.753846320882097</v>
      </c>
      <c r="EY72">
        <v>2.323076444029535</v>
      </c>
      <c r="EZ72">
        <v>-12.292</v>
      </c>
      <c r="FA72">
        <v>15</v>
      </c>
      <c r="FB72">
        <v>1761018162.5</v>
      </c>
      <c r="FC72" t="s">
        <v>490</v>
      </c>
      <c r="FD72">
        <v>1761018155.5</v>
      </c>
      <c r="FE72">
        <v>1761018162.5</v>
      </c>
      <c r="FF72">
        <v>24</v>
      </c>
      <c r="FG72">
        <v>-0.207</v>
      </c>
      <c r="FH72">
        <v>-0.006</v>
      </c>
      <c r="FI72">
        <v>-0.825</v>
      </c>
      <c r="FJ72">
        <v>0.194</v>
      </c>
      <c r="FK72">
        <v>420</v>
      </c>
      <c r="FL72">
        <v>24</v>
      </c>
      <c r="FM72">
        <v>0.19</v>
      </c>
      <c r="FN72">
        <v>0.1</v>
      </c>
      <c r="FO72">
        <v>0.6636984878048781</v>
      </c>
      <c r="FP72">
        <v>-0.1447460696864104</v>
      </c>
      <c r="FQ72">
        <v>0.0265230110806906</v>
      </c>
      <c r="FR72">
        <v>1</v>
      </c>
      <c r="FS72">
        <v>524.2529411764707</v>
      </c>
      <c r="FT72">
        <v>2.300993217064419</v>
      </c>
      <c r="FU72">
        <v>6.90073462816131</v>
      </c>
      <c r="FV72">
        <v>0</v>
      </c>
      <c r="FW72">
        <v>0.01261972804878049</v>
      </c>
      <c r="FX72">
        <v>-0.5420043334494775</v>
      </c>
      <c r="FY72">
        <v>0.06291177137191287</v>
      </c>
      <c r="FZ72">
        <v>0</v>
      </c>
      <c r="GA72">
        <v>1</v>
      </c>
      <c r="GB72">
        <v>3</v>
      </c>
      <c r="GC72" t="s">
        <v>431</v>
      </c>
      <c r="GD72">
        <v>3.10966</v>
      </c>
      <c r="GE72">
        <v>2.72624</v>
      </c>
      <c r="GF72">
        <v>0.0887053</v>
      </c>
      <c r="GG72">
        <v>0.08851920000000001</v>
      </c>
      <c r="GH72">
        <v>0.108627</v>
      </c>
      <c r="GI72">
        <v>0.10971</v>
      </c>
      <c r="GJ72">
        <v>23906.1</v>
      </c>
      <c r="GK72">
        <v>21677.6</v>
      </c>
      <c r="GL72">
        <v>26791.4</v>
      </c>
      <c r="GM72">
        <v>23990</v>
      </c>
      <c r="GN72">
        <v>38158.5</v>
      </c>
      <c r="GO72">
        <v>31510.9</v>
      </c>
      <c r="GP72">
        <v>46762.8</v>
      </c>
      <c r="GQ72">
        <v>37930.9</v>
      </c>
      <c r="GR72">
        <v>1.88997</v>
      </c>
      <c r="GS72">
        <v>1.88102</v>
      </c>
      <c r="GT72">
        <v>0.130594</v>
      </c>
      <c r="GU72">
        <v>0</v>
      </c>
      <c r="GV72">
        <v>27.9319</v>
      </c>
      <c r="GW72">
        <v>999.9</v>
      </c>
      <c r="GX72">
        <v>63.6</v>
      </c>
      <c r="GY72">
        <v>28.9</v>
      </c>
      <c r="GZ72">
        <v>28.0119</v>
      </c>
      <c r="HA72">
        <v>61.55</v>
      </c>
      <c r="HB72">
        <v>20.0561</v>
      </c>
      <c r="HC72">
        <v>1</v>
      </c>
      <c r="HD72">
        <v>0.046997</v>
      </c>
      <c r="HE72">
        <v>-2.61463</v>
      </c>
      <c r="HF72">
        <v>20.3177</v>
      </c>
      <c r="HG72">
        <v>5.22193</v>
      </c>
      <c r="HH72">
        <v>11.98</v>
      </c>
      <c r="HI72">
        <v>4.9653</v>
      </c>
      <c r="HJ72">
        <v>3.27598</v>
      </c>
      <c r="HK72">
        <v>9999</v>
      </c>
      <c r="HL72">
        <v>9999</v>
      </c>
      <c r="HM72">
        <v>9999</v>
      </c>
      <c r="HN72">
        <v>999.9</v>
      </c>
      <c r="HO72">
        <v>1.86357</v>
      </c>
      <c r="HP72">
        <v>1.85974</v>
      </c>
      <c r="HQ72">
        <v>1.858</v>
      </c>
      <c r="HR72">
        <v>1.85939</v>
      </c>
      <c r="HS72">
        <v>1.85959</v>
      </c>
      <c r="HT72">
        <v>1.85799</v>
      </c>
      <c r="HU72">
        <v>1.85701</v>
      </c>
      <c r="HV72">
        <v>1.85206</v>
      </c>
      <c r="HW72">
        <v>0</v>
      </c>
      <c r="HX72">
        <v>0</v>
      </c>
      <c r="HY72">
        <v>0</v>
      </c>
      <c r="HZ72">
        <v>0</v>
      </c>
      <c r="IA72" t="s">
        <v>424</v>
      </c>
      <c r="IB72" t="s">
        <v>425</v>
      </c>
      <c r="IC72" t="s">
        <v>426</v>
      </c>
      <c r="ID72" t="s">
        <v>426</v>
      </c>
      <c r="IE72" t="s">
        <v>426</v>
      </c>
      <c r="IF72" t="s">
        <v>426</v>
      </c>
      <c r="IG72">
        <v>0</v>
      </c>
      <c r="IH72">
        <v>100</v>
      </c>
      <c r="II72">
        <v>100</v>
      </c>
      <c r="IJ72">
        <v>-0.824</v>
      </c>
      <c r="IK72">
        <v>0.2019</v>
      </c>
      <c r="IL72">
        <v>-1.613291919289301</v>
      </c>
      <c r="IM72">
        <v>0.001328113201692861</v>
      </c>
      <c r="IN72">
        <v>1.538283238170363E-06</v>
      </c>
      <c r="IO72">
        <v>-5.795655626708063E-10</v>
      </c>
      <c r="IP72">
        <v>-0.05565860728478197</v>
      </c>
      <c r="IQ72">
        <v>-0.004593102289677449</v>
      </c>
      <c r="IR72">
        <v>0.0008253994458280543</v>
      </c>
      <c r="IS72">
        <v>-7.403632370499484E-06</v>
      </c>
      <c r="IT72">
        <v>2</v>
      </c>
      <c r="IU72">
        <v>1985</v>
      </c>
      <c r="IV72">
        <v>1</v>
      </c>
      <c r="IW72">
        <v>27</v>
      </c>
      <c r="IX72">
        <v>3.3</v>
      </c>
      <c r="IY72">
        <v>3.2</v>
      </c>
      <c r="IZ72">
        <v>1.12427</v>
      </c>
      <c r="JA72">
        <v>2.5769</v>
      </c>
      <c r="JB72">
        <v>1.49658</v>
      </c>
      <c r="JC72">
        <v>2.34253</v>
      </c>
      <c r="JD72">
        <v>1.54907</v>
      </c>
      <c r="JE72">
        <v>2.35962</v>
      </c>
      <c r="JF72">
        <v>31.8269</v>
      </c>
      <c r="JG72">
        <v>14.5961</v>
      </c>
      <c r="JH72">
        <v>18</v>
      </c>
      <c r="JI72">
        <v>483.323</v>
      </c>
      <c r="JJ72">
        <v>507.374</v>
      </c>
      <c r="JK72">
        <v>32.0557</v>
      </c>
      <c r="JL72">
        <v>27.8605</v>
      </c>
      <c r="JM72">
        <v>29.9993</v>
      </c>
      <c r="JN72">
        <v>28.1867</v>
      </c>
      <c r="JO72">
        <v>28.196</v>
      </c>
      <c r="JP72">
        <v>22.5946</v>
      </c>
      <c r="JQ72">
        <v>18.4872</v>
      </c>
      <c r="JR72">
        <v>82.7188</v>
      </c>
      <c r="JS72">
        <v>31.962</v>
      </c>
      <c r="JT72">
        <v>420</v>
      </c>
      <c r="JU72">
        <v>23.8945</v>
      </c>
      <c r="JV72">
        <v>102.26</v>
      </c>
      <c r="JW72">
        <v>91.4975</v>
      </c>
    </row>
    <row r="73" spans="1:283">
      <c r="A73">
        <v>55</v>
      </c>
      <c r="B73">
        <v>1761018356</v>
      </c>
      <c r="C73">
        <v>286.5</v>
      </c>
      <c r="D73" t="s">
        <v>537</v>
      </c>
      <c r="E73" t="s">
        <v>538</v>
      </c>
      <c r="F73">
        <v>5</v>
      </c>
      <c r="G73" t="s">
        <v>489</v>
      </c>
      <c r="H73">
        <v>1761018353</v>
      </c>
      <c r="I73">
        <f>(J73)/1000</f>
        <v>0</v>
      </c>
      <c r="J73">
        <f>1000*DJ73*AH73*(DF73-DG73)/(100*CY73*(1000-AH73*DF73))</f>
        <v>0</v>
      </c>
      <c r="K73">
        <f>DJ73*AH73*(DE73-DD73*(1000-AH73*DG73)/(1000-AH73*DF73))/(100*CY73)</f>
        <v>0</v>
      </c>
      <c r="L73">
        <f>DD73 - IF(AH73&gt;1, K73*CY73*100.0/(AJ73), 0)</f>
        <v>0</v>
      </c>
      <c r="M73">
        <f>((S73-I73/2)*L73-K73)/(S73+I73/2)</f>
        <v>0</v>
      </c>
      <c r="N73">
        <f>M73*(DK73+DL73)/1000.0</f>
        <v>0</v>
      </c>
      <c r="O73">
        <f>(DD73 - IF(AH73&gt;1, K73*CY73*100.0/(AJ73), 0))*(DK73+DL73)/1000.0</f>
        <v>0</v>
      </c>
      <c r="P73">
        <f>2.0/((1/R73-1/Q73)+SIGN(R73)*SQRT((1/R73-1/Q73)*(1/R73-1/Q73) + 4*CZ73/((CZ73+1)*(CZ73+1))*(2*1/R73*1/Q73-1/Q73*1/Q73)))</f>
        <v>0</v>
      </c>
      <c r="Q73">
        <f>IF(LEFT(DA73,1)&lt;&gt;"0",IF(LEFT(DA73,1)="1",3.0,DB73),$D$5+$E$5*(DR73*DK73/($K$5*1000))+$F$5*(DR73*DK73/($K$5*1000))*MAX(MIN(CY73,$J$5),$I$5)*MAX(MIN(CY73,$J$5),$I$5)+$G$5*MAX(MIN(CY73,$J$5),$I$5)*(DR73*DK73/($K$5*1000))+$H$5*(DR73*DK73/($K$5*1000))*(DR73*DK73/($K$5*1000)))</f>
        <v>0</v>
      </c>
      <c r="R73">
        <f>I73*(1000-(1000*0.61365*exp(17.502*V73/(240.97+V73))/(DK73+DL73)+DF73)/2)/(1000*0.61365*exp(17.502*V73/(240.97+V73))/(DK73+DL73)-DF73)</f>
        <v>0</v>
      </c>
      <c r="S73">
        <f>1/((CZ73+1)/(P73/1.6)+1/(Q73/1.37)) + CZ73/((CZ73+1)/(P73/1.6) + CZ73/(Q73/1.37))</f>
        <v>0</v>
      </c>
      <c r="T73">
        <f>(CU73*CX73)</f>
        <v>0</v>
      </c>
      <c r="U73">
        <f>(DM73+(T73+2*0.95*5.67E-8*(((DM73+$B$9)+273)^4-(DM73+273)^4)-44100*I73)/(1.84*29.3*Q73+8*0.95*5.67E-8*(DM73+273)^3))</f>
        <v>0</v>
      </c>
      <c r="V73">
        <f>($C$9*DN73+$D$9*DO73+$E$9*U73)</f>
        <v>0</v>
      </c>
      <c r="W73">
        <f>0.61365*exp(17.502*V73/(240.97+V73))</f>
        <v>0</v>
      </c>
      <c r="X73">
        <f>(Y73/Z73*100)</f>
        <v>0</v>
      </c>
      <c r="Y73">
        <f>DF73*(DK73+DL73)/1000</f>
        <v>0</v>
      </c>
      <c r="Z73">
        <f>0.61365*exp(17.502*DM73/(240.97+DM73))</f>
        <v>0</v>
      </c>
      <c r="AA73">
        <f>(W73-DF73*(DK73+DL73)/1000)</f>
        <v>0</v>
      </c>
      <c r="AB73">
        <f>(-I73*44100)</f>
        <v>0</v>
      </c>
      <c r="AC73">
        <f>2*29.3*Q73*0.92*(DM73-V73)</f>
        <v>0</v>
      </c>
      <c r="AD73">
        <f>2*0.95*5.67E-8*(((DM73+$B$9)+273)^4-(V73+273)^4)</f>
        <v>0</v>
      </c>
      <c r="AE73">
        <f>T73+AD73+AB73+AC73</f>
        <v>0</v>
      </c>
      <c r="AF73">
        <v>0</v>
      </c>
      <c r="AG73">
        <v>0</v>
      </c>
      <c r="AH73">
        <f>IF(AF73*$H$15&gt;=AJ73,1.0,(AJ73/(AJ73-AF73*$H$15)))</f>
        <v>0</v>
      </c>
      <c r="AI73">
        <f>(AH73-1)*100</f>
        <v>0</v>
      </c>
      <c r="AJ73">
        <f>MAX(0,($B$15+$C$15*DR73)/(1+$D$15*DR73)*DK73/(DM73+273)*$E$15)</f>
        <v>0</v>
      </c>
      <c r="AK73" t="s">
        <v>420</v>
      </c>
      <c r="AL73" t="s">
        <v>420</v>
      </c>
      <c r="AM73">
        <v>0</v>
      </c>
      <c r="AN73">
        <v>0</v>
      </c>
      <c r="AO73">
        <f>1-AM73/AN73</f>
        <v>0</v>
      </c>
      <c r="AP73">
        <v>0</v>
      </c>
      <c r="AQ73" t="s">
        <v>420</v>
      </c>
      <c r="AR73" t="s">
        <v>420</v>
      </c>
      <c r="AS73">
        <v>0</v>
      </c>
      <c r="AT73">
        <v>0</v>
      </c>
      <c r="AU73">
        <f>1-AS73/AT73</f>
        <v>0</v>
      </c>
      <c r="AV73">
        <v>0.5</v>
      </c>
      <c r="AW73">
        <f>CV73</f>
        <v>0</v>
      </c>
      <c r="AX73">
        <f>K73</f>
        <v>0</v>
      </c>
      <c r="AY73">
        <f>AU73*AV73*AW73</f>
        <v>0</v>
      </c>
      <c r="AZ73">
        <f>(AX73-AP73)/AW73</f>
        <v>0</v>
      </c>
      <c r="BA73">
        <f>(AN73-AT73)/AT73</f>
        <v>0</v>
      </c>
      <c r="BB73">
        <f>AM73/(AO73+AM73/AT73)</f>
        <v>0</v>
      </c>
      <c r="BC73" t="s">
        <v>420</v>
      </c>
      <c r="BD73">
        <v>0</v>
      </c>
      <c r="BE73">
        <f>IF(BD73&lt;&gt;0, BD73, BB73)</f>
        <v>0</v>
      </c>
      <c r="BF73">
        <f>1-BE73/AT73</f>
        <v>0</v>
      </c>
      <c r="BG73">
        <f>(AT73-AS73)/(AT73-BE73)</f>
        <v>0</v>
      </c>
      <c r="BH73">
        <f>(AN73-AT73)/(AN73-BE73)</f>
        <v>0</v>
      </c>
      <c r="BI73">
        <f>(AT73-AS73)/(AT73-AM73)</f>
        <v>0</v>
      </c>
      <c r="BJ73">
        <f>(AN73-AT73)/(AN73-AM73)</f>
        <v>0</v>
      </c>
      <c r="BK73">
        <f>(BG73*BE73/AS73)</f>
        <v>0</v>
      </c>
      <c r="BL73">
        <f>(1-BK73)</f>
        <v>0</v>
      </c>
      <c r="CU73">
        <f>$B$13*DS73+$C$13*DT73+$F$13*EE73*(1-EH73)</f>
        <v>0</v>
      </c>
      <c r="CV73">
        <f>CU73*CW73</f>
        <v>0</v>
      </c>
      <c r="CW73">
        <f>($B$13*$D$11+$C$13*$D$11+$F$13*((ER73+EJ73)/MAX(ER73+EJ73+ES73, 0.1)*$I$11+ES73/MAX(ER73+EJ73+ES73, 0.1)*$J$11))/($B$13+$C$13+$F$13)</f>
        <v>0</v>
      </c>
      <c r="CX73">
        <f>($B$13*$K$11+$C$13*$K$11+$F$13*((ER73+EJ73)/MAX(ER73+EJ73+ES73, 0.1)*$P$11+ES73/MAX(ER73+EJ73+ES73, 0.1)*$Q$11))/($B$13+$C$13+$F$13)</f>
        <v>0</v>
      </c>
      <c r="CY73">
        <v>4.16</v>
      </c>
      <c r="CZ73">
        <v>0.5</v>
      </c>
      <c r="DA73" t="s">
        <v>421</v>
      </c>
      <c r="DB73">
        <v>2</v>
      </c>
      <c r="DC73">
        <v>1761018353</v>
      </c>
      <c r="DD73">
        <v>420.5987777777778</v>
      </c>
      <c r="DE73">
        <v>419.9765555555555</v>
      </c>
      <c r="DF73">
        <v>23.95214444444444</v>
      </c>
      <c r="DG73">
        <v>23.96472222222222</v>
      </c>
      <c r="DH73">
        <v>421.4225555555556</v>
      </c>
      <c r="DI73">
        <v>23.75048888888889</v>
      </c>
      <c r="DJ73">
        <v>500.0065555555556</v>
      </c>
      <c r="DK73">
        <v>90.78821111111111</v>
      </c>
      <c r="DL73">
        <v>0.0344454</v>
      </c>
      <c r="DM73">
        <v>30.37703333333333</v>
      </c>
      <c r="DN73">
        <v>30.0605</v>
      </c>
      <c r="DO73">
        <v>999.9000000000001</v>
      </c>
      <c r="DP73">
        <v>0</v>
      </c>
      <c r="DQ73">
        <v>0</v>
      </c>
      <c r="DR73">
        <v>9997.70888888889</v>
      </c>
      <c r="DS73">
        <v>0</v>
      </c>
      <c r="DT73">
        <v>0.242856</v>
      </c>
      <c r="DU73">
        <v>0.6222162222222222</v>
      </c>
      <c r="DV73">
        <v>430.9203333333333</v>
      </c>
      <c r="DW73">
        <v>430.2885555555555</v>
      </c>
      <c r="DX73">
        <v>-0.0125785495</v>
      </c>
      <c r="DY73">
        <v>419.9765555555555</v>
      </c>
      <c r="DZ73">
        <v>23.96472222222222</v>
      </c>
      <c r="EA73">
        <v>2.174572222222222</v>
      </c>
      <c r="EB73">
        <v>2.175715555555556</v>
      </c>
      <c r="EC73">
        <v>18.77621111111111</v>
      </c>
      <c r="ED73">
        <v>18.78462222222222</v>
      </c>
      <c r="EE73">
        <v>0.00500078</v>
      </c>
      <c r="EF73">
        <v>0</v>
      </c>
      <c r="EG73">
        <v>0</v>
      </c>
      <c r="EH73">
        <v>0</v>
      </c>
      <c r="EI73">
        <v>524.7444444444443</v>
      </c>
      <c r="EJ73">
        <v>0.00500078</v>
      </c>
      <c r="EK73">
        <v>-11.32222222222222</v>
      </c>
      <c r="EL73">
        <v>1.055555555555556</v>
      </c>
      <c r="EM73">
        <v>35.92322222222222</v>
      </c>
      <c r="EN73">
        <v>40.63877777777778</v>
      </c>
      <c r="EO73">
        <v>38.48566666666667</v>
      </c>
      <c r="EP73">
        <v>41.68022222222222</v>
      </c>
      <c r="EQ73">
        <v>39.06222222222222</v>
      </c>
      <c r="ER73">
        <v>0</v>
      </c>
      <c r="ES73">
        <v>0</v>
      </c>
      <c r="ET73">
        <v>0</v>
      </c>
      <c r="EU73">
        <v>1761018355.3</v>
      </c>
      <c r="EV73">
        <v>0</v>
      </c>
      <c r="EW73">
        <v>523.3560000000001</v>
      </c>
      <c r="EX73">
        <v>13.03846166818186</v>
      </c>
      <c r="EY73">
        <v>-4.753846731411628</v>
      </c>
      <c r="EZ73">
        <v>-11.356</v>
      </c>
      <c r="FA73">
        <v>15</v>
      </c>
      <c r="FB73">
        <v>1761018162.5</v>
      </c>
      <c r="FC73" t="s">
        <v>490</v>
      </c>
      <c r="FD73">
        <v>1761018155.5</v>
      </c>
      <c r="FE73">
        <v>1761018162.5</v>
      </c>
      <c r="FF73">
        <v>24</v>
      </c>
      <c r="FG73">
        <v>-0.207</v>
      </c>
      <c r="FH73">
        <v>-0.006</v>
      </c>
      <c r="FI73">
        <v>-0.825</v>
      </c>
      <c r="FJ73">
        <v>0.194</v>
      </c>
      <c r="FK73">
        <v>420</v>
      </c>
      <c r="FL73">
        <v>24</v>
      </c>
      <c r="FM73">
        <v>0.19</v>
      </c>
      <c r="FN73">
        <v>0.1</v>
      </c>
      <c r="FO73">
        <v>0.6542869250000001</v>
      </c>
      <c r="FP73">
        <v>-0.161084859287057</v>
      </c>
      <c r="FQ73">
        <v>0.02912647876021705</v>
      </c>
      <c r="FR73">
        <v>1</v>
      </c>
      <c r="FS73">
        <v>524.3676470588235</v>
      </c>
      <c r="FT73">
        <v>12.30710473818326</v>
      </c>
      <c r="FU73">
        <v>6.945447962863475</v>
      </c>
      <c r="FV73">
        <v>0</v>
      </c>
      <c r="FW73">
        <v>-0.000564200137499999</v>
      </c>
      <c r="FX73">
        <v>-0.3575069059305818</v>
      </c>
      <c r="FY73">
        <v>0.04902295740844312</v>
      </c>
      <c r="FZ73">
        <v>0</v>
      </c>
      <c r="GA73">
        <v>1</v>
      </c>
      <c r="GB73">
        <v>3</v>
      </c>
      <c r="GC73" t="s">
        <v>431</v>
      </c>
      <c r="GD73">
        <v>3.10973</v>
      </c>
      <c r="GE73">
        <v>2.72622</v>
      </c>
      <c r="GF73">
        <v>0.0887054</v>
      </c>
      <c r="GG73">
        <v>0.0885282</v>
      </c>
      <c r="GH73">
        <v>0.108687</v>
      </c>
      <c r="GI73">
        <v>0.10972</v>
      </c>
      <c r="GJ73">
        <v>23906.2</v>
      </c>
      <c r="GK73">
        <v>21677.3</v>
      </c>
      <c r="GL73">
        <v>26791.5</v>
      </c>
      <c r="GM73">
        <v>23989.9</v>
      </c>
      <c r="GN73">
        <v>38156</v>
      </c>
      <c r="GO73">
        <v>31510.4</v>
      </c>
      <c r="GP73">
        <v>46763</v>
      </c>
      <c r="GQ73">
        <v>37930.7</v>
      </c>
      <c r="GR73">
        <v>1.8898</v>
      </c>
      <c r="GS73">
        <v>1.88113</v>
      </c>
      <c r="GT73">
        <v>0.129681</v>
      </c>
      <c r="GU73">
        <v>0</v>
      </c>
      <c r="GV73">
        <v>27.9335</v>
      </c>
      <c r="GW73">
        <v>999.9</v>
      </c>
      <c r="GX73">
        <v>63.6</v>
      </c>
      <c r="GY73">
        <v>28.9</v>
      </c>
      <c r="GZ73">
        <v>28.0109</v>
      </c>
      <c r="HA73">
        <v>61.11</v>
      </c>
      <c r="HB73">
        <v>20.0521</v>
      </c>
      <c r="HC73">
        <v>1</v>
      </c>
      <c r="HD73">
        <v>0.0467327</v>
      </c>
      <c r="HE73">
        <v>-2.42219</v>
      </c>
      <c r="HF73">
        <v>20.3203</v>
      </c>
      <c r="HG73">
        <v>5.22193</v>
      </c>
      <c r="HH73">
        <v>11.98</v>
      </c>
      <c r="HI73">
        <v>4.96515</v>
      </c>
      <c r="HJ73">
        <v>3.27598</v>
      </c>
      <c r="HK73">
        <v>9999</v>
      </c>
      <c r="HL73">
        <v>9999</v>
      </c>
      <c r="HM73">
        <v>9999</v>
      </c>
      <c r="HN73">
        <v>999.9</v>
      </c>
      <c r="HO73">
        <v>1.86358</v>
      </c>
      <c r="HP73">
        <v>1.85974</v>
      </c>
      <c r="HQ73">
        <v>1.85801</v>
      </c>
      <c r="HR73">
        <v>1.8594</v>
      </c>
      <c r="HS73">
        <v>1.85959</v>
      </c>
      <c r="HT73">
        <v>1.85798</v>
      </c>
      <c r="HU73">
        <v>1.85702</v>
      </c>
      <c r="HV73">
        <v>1.85206</v>
      </c>
      <c r="HW73">
        <v>0</v>
      </c>
      <c r="HX73">
        <v>0</v>
      </c>
      <c r="HY73">
        <v>0</v>
      </c>
      <c r="HZ73">
        <v>0</v>
      </c>
      <c r="IA73" t="s">
        <v>424</v>
      </c>
      <c r="IB73" t="s">
        <v>425</v>
      </c>
      <c r="IC73" t="s">
        <v>426</v>
      </c>
      <c r="ID73" t="s">
        <v>426</v>
      </c>
      <c r="IE73" t="s">
        <v>426</v>
      </c>
      <c r="IF73" t="s">
        <v>426</v>
      </c>
      <c r="IG73">
        <v>0</v>
      </c>
      <c r="IH73">
        <v>100</v>
      </c>
      <c r="II73">
        <v>100</v>
      </c>
      <c r="IJ73">
        <v>-0.823</v>
      </c>
      <c r="IK73">
        <v>0.2024</v>
      </c>
      <c r="IL73">
        <v>-1.613291919289301</v>
      </c>
      <c r="IM73">
        <v>0.001328113201692861</v>
      </c>
      <c r="IN73">
        <v>1.538283238170363E-06</v>
      </c>
      <c r="IO73">
        <v>-5.795655626708063E-10</v>
      </c>
      <c r="IP73">
        <v>-0.05565860728478197</v>
      </c>
      <c r="IQ73">
        <v>-0.004593102289677449</v>
      </c>
      <c r="IR73">
        <v>0.0008253994458280543</v>
      </c>
      <c r="IS73">
        <v>-7.403632370499484E-06</v>
      </c>
      <c r="IT73">
        <v>2</v>
      </c>
      <c r="IU73">
        <v>1985</v>
      </c>
      <c r="IV73">
        <v>1</v>
      </c>
      <c r="IW73">
        <v>27</v>
      </c>
      <c r="IX73">
        <v>3.3</v>
      </c>
      <c r="IY73">
        <v>3.2</v>
      </c>
      <c r="IZ73">
        <v>1.12305</v>
      </c>
      <c r="JA73">
        <v>2.56226</v>
      </c>
      <c r="JB73">
        <v>1.49658</v>
      </c>
      <c r="JC73">
        <v>2.34253</v>
      </c>
      <c r="JD73">
        <v>1.54907</v>
      </c>
      <c r="JE73">
        <v>2.45605</v>
      </c>
      <c r="JF73">
        <v>31.8269</v>
      </c>
      <c r="JG73">
        <v>14.6224</v>
      </c>
      <c r="JH73">
        <v>18</v>
      </c>
      <c r="JI73">
        <v>483.198</v>
      </c>
      <c r="JJ73">
        <v>507.415</v>
      </c>
      <c r="JK73">
        <v>32.0506</v>
      </c>
      <c r="JL73">
        <v>27.857</v>
      </c>
      <c r="JM73">
        <v>29.9993</v>
      </c>
      <c r="JN73">
        <v>28.1837</v>
      </c>
      <c r="JO73">
        <v>28.193</v>
      </c>
      <c r="JP73">
        <v>22.5928</v>
      </c>
      <c r="JQ73">
        <v>18.4872</v>
      </c>
      <c r="JR73">
        <v>82.7188</v>
      </c>
      <c r="JS73">
        <v>31.962</v>
      </c>
      <c r="JT73">
        <v>420</v>
      </c>
      <c r="JU73">
        <v>23.8797</v>
      </c>
      <c r="JV73">
        <v>102.26</v>
      </c>
      <c r="JW73">
        <v>91.497</v>
      </c>
    </row>
    <row r="74" spans="1:283">
      <c r="A74">
        <v>56</v>
      </c>
      <c r="B74">
        <v>1761018358</v>
      </c>
      <c r="C74">
        <v>288.5</v>
      </c>
      <c r="D74" t="s">
        <v>539</v>
      </c>
      <c r="E74" t="s">
        <v>540</v>
      </c>
      <c r="F74">
        <v>5</v>
      </c>
      <c r="G74" t="s">
        <v>489</v>
      </c>
      <c r="H74">
        <v>1761018355</v>
      </c>
      <c r="I74">
        <f>(J74)/1000</f>
        <v>0</v>
      </c>
      <c r="J74">
        <f>1000*DJ74*AH74*(DF74-DG74)/(100*CY74*(1000-AH74*DF74))</f>
        <v>0</v>
      </c>
      <c r="K74">
        <f>DJ74*AH74*(DE74-DD74*(1000-AH74*DG74)/(1000-AH74*DF74))/(100*CY74)</f>
        <v>0</v>
      </c>
      <c r="L74">
        <f>DD74 - IF(AH74&gt;1, K74*CY74*100.0/(AJ74), 0)</f>
        <v>0</v>
      </c>
      <c r="M74">
        <f>((S74-I74/2)*L74-K74)/(S74+I74/2)</f>
        <v>0</v>
      </c>
      <c r="N74">
        <f>M74*(DK74+DL74)/1000.0</f>
        <v>0</v>
      </c>
      <c r="O74">
        <f>(DD74 - IF(AH74&gt;1, K74*CY74*100.0/(AJ74), 0))*(DK74+DL74)/1000.0</f>
        <v>0</v>
      </c>
      <c r="P74">
        <f>2.0/((1/R74-1/Q74)+SIGN(R74)*SQRT((1/R74-1/Q74)*(1/R74-1/Q74) + 4*CZ74/((CZ74+1)*(CZ74+1))*(2*1/R74*1/Q74-1/Q74*1/Q74)))</f>
        <v>0</v>
      </c>
      <c r="Q74">
        <f>IF(LEFT(DA74,1)&lt;&gt;"0",IF(LEFT(DA74,1)="1",3.0,DB74),$D$5+$E$5*(DR74*DK74/($K$5*1000))+$F$5*(DR74*DK74/($K$5*1000))*MAX(MIN(CY74,$J$5),$I$5)*MAX(MIN(CY74,$J$5),$I$5)+$G$5*MAX(MIN(CY74,$J$5),$I$5)*(DR74*DK74/($K$5*1000))+$H$5*(DR74*DK74/($K$5*1000))*(DR74*DK74/($K$5*1000)))</f>
        <v>0</v>
      </c>
      <c r="R74">
        <f>I74*(1000-(1000*0.61365*exp(17.502*V74/(240.97+V74))/(DK74+DL74)+DF74)/2)/(1000*0.61365*exp(17.502*V74/(240.97+V74))/(DK74+DL74)-DF74)</f>
        <v>0</v>
      </c>
      <c r="S74">
        <f>1/((CZ74+1)/(P74/1.6)+1/(Q74/1.37)) + CZ74/((CZ74+1)/(P74/1.6) + CZ74/(Q74/1.37))</f>
        <v>0</v>
      </c>
      <c r="T74">
        <f>(CU74*CX74)</f>
        <v>0</v>
      </c>
      <c r="U74">
        <f>(DM74+(T74+2*0.95*5.67E-8*(((DM74+$B$9)+273)^4-(DM74+273)^4)-44100*I74)/(1.84*29.3*Q74+8*0.95*5.67E-8*(DM74+273)^3))</f>
        <v>0</v>
      </c>
      <c r="V74">
        <f>($C$9*DN74+$D$9*DO74+$E$9*U74)</f>
        <v>0</v>
      </c>
      <c r="W74">
        <f>0.61365*exp(17.502*V74/(240.97+V74))</f>
        <v>0</v>
      </c>
      <c r="X74">
        <f>(Y74/Z74*100)</f>
        <v>0</v>
      </c>
      <c r="Y74">
        <f>DF74*(DK74+DL74)/1000</f>
        <v>0</v>
      </c>
      <c r="Z74">
        <f>0.61365*exp(17.502*DM74/(240.97+DM74))</f>
        <v>0</v>
      </c>
      <c r="AA74">
        <f>(W74-DF74*(DK74+DL74)/1000)</f>
        <v>0</v>
      </c>
      <c r="AB74">
        <f>(-I74*44100)</f>
        <v>0</v>
      </c>
      <c r="AC74">
        <f>2*29.3*Q74*0.92*(DM74-V74)</f>
        <v>0</v>
      </c>
      <c r="AD74">
        <f>2*0.95*5.67E-8*(((DM74+$B$9)+273)^4-(V74+273)^4)</f>
        <v>0</v>
      </c>
      <c r="AE74">
        <f>T74+AD74+AB74+AC74</f>
        <v>0</v>
      </c>
      <c r="AF74">
        <v>0</v>
      </c>
      <c r="AG74">
        <v>0</v>
      </c>
      <c r="AH74">
        <f>IF(AF74*$H$15&gt;=AJ74,1.0,(AJ74/(AJ74-AF74*$H$15)))</f>
        <v>0</v>
      </c>
      <c r="AI74">
        <f>(AH74-1)*100</f>
        <v>0</v>
      </c>
      <c r="AJ74">
        <f>MAX(0,($B$15+$C$15*DR74)/(1+$D$15*DR74)*DK74/(DM74+273)*$E$15)</f>
        <v>0</v>
      </c>
      <c r="AK74" t="s">
        <v>420</v>
      </c>
      <c r="AL74" t="s">
        <v>420</v>
      </c>
      <c r="AM74">
        <v>0</v>
      </c>
      <c r="AN74">
        <v>0</v>
      </c>
      <c r="AO74">
        <f>1-AM74/AN74</f>
        <v>0</v>
      </c>
      <c r="AP74">
        <v>0</v>
      </c>
      <c r="AQ74" t="s">
        <v>420</v>
      </c>
      <c r="AR74" t="s">
        <v>420</v>
      </c>
      <c r="AS74">
        <v>0</v>
      </c>
      <c r="AT74">
        <v>0</v>
      </c>
      <c r="AU74">
        <f>1-AS74/AT74</f>
        <v>0</v>
      </c>
      <c r="AV74">
        <v>0.5</v>
      </c>
      <c r="AW74">
        <f>CV74</f>
        <v>0</v>
      </c>
      <c r="AX74">
        <f>K74</f>
        <v>0</v>
      </c>
      <c r="AY74">
        <f>AU74*AV74*AW74</f>
        <v>0</v>
      </c>
      <c r="AZ74">
        <f>(AX74-AP74)/AW74</f>
        <v>0</v>
      </c>
      <c r="BA74">
        <f>(AN74-AT74)/AT74</f>
        <v>0</v>
      </c>
      <c r="BB74">
        <f>AM74/(AO74+AM74/AT74)</f>
        <v>0</v>
      </c>
      <c r="BC74" t="s">
        <v>420</v>
      </c>
      <c r="BD74">
        <v>0</v>
      </c>
      <c r="BE74">
        <f>IF(BD74&lt;&gt;0, BD74, BB74)</f>
        <v>0</v>
      </c>
      <c r="BF74">
        <f>1-BE74/AT74</f>
        <v>0</v>
      </c>
      <c r="BG74">
        <f>(AT74-AS74)/(AT74-BE74)</f>
        <v>0</v>
      </c>
      <c r="BH74">
        <f>(AN74-AT74)/(AN74-BE74)</f>
        <v>0</v>
      </c>
      <c r="BI74">
        <f>(AT74-AS74)/(AT74-AM74)</f>
        <v>0</v>
      </c>
      <c r="BJ74">
        <f>(AN74-AT74)/(AN74-AM74)</f>
        <v>0</v>
      </c>
      <c r="BK74">
        <f>(BG74*BE74/AS74)</f>
        <v>0</v>
      </c>
      <c r="BL74">
        <f>(1-BK74)</f>
        <v>0</v>
      </c>
      <c r="CU74">
        <f>$B$13*DS74+$C$13*DT74+$F$13*EE74*(1-EH74)</f>
        <v>0</v>
      </c>
      <c r="CV74">
        <f>CU74*CW74</f>
        <v>0</v>
      </c>
      <c r="CW74">
        <f>($B$13*$D$11+$C$13*$D$11+$F$13*((ER74+EJ74)/MAX(ER74+EJ74+ES74, 0.1)*$I$11+ES74/MAX(ER74+EJ74+ES74, 0.1)*$J$11))/($B$13+$C$13+$F$13)</f>
        <v>0</v>
      </c>
      <c r="CX74">
        <f>($B$13*$K$11+$C$13*$K$11+$F$13*((ER74+EJ74)/MAX(ER74+EJ74+ES74, 0.1)*$P$11+ES74/MAX(ER74+EJ74+ES74, 0.1)*$Q$11))/($B$13+$C$13+$F$13)</f>
        <v>0</v>
      </c>
      <c r="CY74">
        <v>4.16</v>
      </c>
      <c r="CZ74">
        <v>0.5</v>
      </c>
      <c r="DA74" t="s">
        <v>421</v>
      </c>
      <c r="DB74">
        <v>2</v>
      </c>
      <c r="DC74">
        <v>1761018355</v>
      </c>
      <c r="DD74">
        <v>420.6062222222222</v>
      </c>
      <c r="DE74">
        <v>419.9970000000001</v>
      </c>
      <c r="DF74">
        <v>23.97297777777778</v>
      </c>
      <c r="DG74">
        <v>23.97011111111111</v>
      </c>
      <c r="DH74">
        <v>421.4298888888889</v>
      </c>
      <c r="DI74">
        <v>23.77087777777778</v>
      </c>
      <c r="DJ74">
        <v>500.045888888889</v>
      </c>
      <c r="DK74">
        <v>90.78832222222223</v>
      </c>
      <c r="DL74">
        <v>0.03455788888888889</v>
      </c>
      <c r="DM74">
        <v>30.38893333333333</v>
      </c>
      <c r="DN74">
        <v>30.0549</v>
      </c>
      <c r="DO74">
        <v>999.9000000000001</v>
      </c>
      <c r="DP74">
        <v>0</v>
      </c>
      <c r="DQ74">
        <v>0</v>
      </c>
      <c r="DR74">
        <v>9994.581111111111</v>
      </c>
      <c r="DS74">
        <v>0</v>
      </c>
      <c r="DT74">
        <v>0.242856</v>
      </c>
      <c r="DU74">
        <v>0.6091004444444444</v>
      </c>
      <c r="DV74">
        <v>430.9371111111111</v>
      </c>
      <c r="DW74">
        <v>430.3117777777778</v>
      </c>
      <c r="DX74">
        <v>0.0028775505</v>
      </c>
      <c r="DY74">
        <v>419.9970000000001</v>
      </c>
      <c r="DZ74">
        <v>23.97011111111111</v>
      </c>
      <c r="EA74">
        <v>2.176466666666667</v>
      </c>
      <c r="EB74">
        <v>2.176205555555556</v>
      </c>
      <c r="EC74">
        <v>18.79014444444445</v>
      </c>
      <c r="ED74">
        <v>18.78821111111111</v>
      </c>
      <c r="EE74">
        <v>0.00500078</v>
      </c>
      <c r="EF74">
        <v>0</v>
      </c>
      <c r="EG74">
        <v>0</v>
      </c>
      <c r="EH74">
        <v>0</v>
      </c>
      <c r="EI74">
        <v>524.0888888888888</v>
      </c>
      <c r="EJ74">
        <v>0.00500078</v>
      </c>
      <c r="EK74">
        <v>-9.888888888888889</v>
      </c>
      <c r="EL74">
        <v>1.388888888888889</v>
      </c>
      <c r="EM74">
        <v>35.90944444444444</v>
      </c>
      <c r="EN74">
        <v>40.65944444444445</v>
      </c>
      <c r="EO74">
        <v>38.75655555555555</v>
      </c>
      <c r="EP74">
        <v>41.694</v>
      </c>
      <c r="EQ74">
        <v>39.06222222222222</v>
      </c>
      <c r="ER74">
        <v>0</v>
      </c>
      <c r="ES74">
        <v>0</v>
      </c>
      <c r="ET74">
        <v>0</v>
      </c>
      <c r="EU74">
        <v>1761018357.1</v>
      </c>
      <c r="EV74">
        <v>0</v>
      </c>
      <c r="EW74">
        <v>524.4576923076922</v>
      </c>
      <c r="EX74">
        <v>12.33162411320326</v>
      </c>
      <c r="EY74">
        <v>-16.12991488985712</v>
      </c>
      <c r="EZ74">
        <v>-12.16923076923077</v>
      </c>
      <c r="FA74">
        <v>15</v>
      </c>
      <c r="FB74">
        <v>1761018162.5</v>
      </c>
      <c r="FC74" t="s">
        <v>490</v>
      </c>
      <c r="FD74">
        <v>1761018155.5</v>
      </c>
      <c r="FE74">
        <v>1761018162.5</v>
      </c>
      <c r="FF74">
        <v>24</v>
      </c>
      <c r="FG74">
        <v>-0.207</v>
      </c>
      <c r="FH74">
        <v>-0.006</v>
      </c>
      <c r="FI74">
        <v>-0.825</v>
      </c>
      <c r="FJ74">
        <v>0.194</v>
      </c>
      <c r="FK74">
        <v>420</v>
      </c>
      <c r="FL74">
        <v>24</v>
      </c>
      <c r="FM74">
        <v>0.19</v>
      </c>
      <c r="FN74">
        <v>0.1</v>
      </c>
      <c r="FO74">
        <v>0.6423146097560976</v>
      </c>
      <c r="FP74">
        <v>-0.1802819372822287</v>
      </c>
      <c r="FQ74">
        <v>0.03295644925291413</v>
      </c>
      <c r="FR74">
        <v>1</v>
      </c>
      <c r="FS74">
        <v>523.9911764705881</v>
      </c>
      <c r="FT74">
        <v>9.758594378201046</v>
      </c>
      <c r="FU74">
        <v>7.488593979672532</v>
      </c>
      <c r="FV74">
        <v>0</v>
      </c>
      <c r="FW74">
        <v>-0.008919973548780488</v>
      </c>
      <c r="FX74">
        <v>-0.1054152963135889</v>
      </c>
      <c r="FY74">
        <v>0.03508782941191194</v>
      </c>
      <c r="FZ74">
        <v>0</v>
      </c>
      <c r="GA74">
        <v>1</v>
      </c>
      <c r="GB74">
        <v>3</v>
      </c>
      <c r="GC74" t="s">
        <v>431</v>
      </c>
      <c r="GD74">
        <v>3.10965</v>
      </c>
      <c r="GE74">
        <v>2.72624</v>
      </c>
      <c r="GF74">
        <v>0.08871039999999999</v>
      </c>
      <c r="GG74">
        <v>0.0885162</v>
      </c>
      <c r="GH74">
        <v>0.108737</v>
      </c>
      <c r="GI74">
        <v>0.109728</v>
      </c>
      <c r="GJ74">
        <v>23906.3</v>
      </c>
      <c r="GK74">
        <v>21677.6</v>
      </c>
      <c r="GL74">
        <v>26791.7</v>
      </c>
      <c r="GM74">
        <v>23989.9</v>
      </c>
      <c r="GN74">
        <v>38154.2</v>
      </c>
      <c r="GO74">
        <v>31510</v>
      </c>
      <c r="GP74">
        <v>46763.4</v>
      </c>
      <c r="GQ74">
        <v>37930.6</v>
      </c>
      <c r="GR74">
        <v>1.8899</v>
      </c>
      <c r="GS74">
        <v>1.88113</v>
      </c>
      <c r="GT74">
        <v>0.129241</v>
      </c>
      <c r="GU74">
        <v>0</v>
      </c>
      <c r="GV74">
        <v>27.9353</v>
      </c>
      <c r="GW74">
        <v>999.9</v>
      </c>
      <c r="GX74">
        <v>63.6</v>
      </c>
      <c r="GY74">
        <v>28.9</v>
      </c>
      <c r="GZ74">
        <v>28.0123</v>
      </c>
      <c r="HA74">
        <v>61.36</v>
      </c>
      <c r="HB74">
        <v>20.1763</v>
      </c>
      <c r="HC74">
        <v>1</v>
      </c>
      <c r="HD74">
        <v>0.0465574</v>
      </c>
      <c r="HE74">
        <v>-2.29881</v>
      </c>
      <c r="HF74">
        <v>20.322</v>
      </c>
      <c r="HG74">
        <v>5.22208</v>
      </c>
      <c r="HH74">
        <v>11.98</v>
      </c>
      <c r="HI74">
        <v>4.9654</v>
      </c>
      <c r="HJ74">
        <v>3.27598</v>
      </c>
      <c r="HK74">
        <v>9999</v>
      </c>
      <c r="HL74">
        <v>9999</v>
      </c>
      <c r="HM74">
        <v>9999</v>
      </c>
      <c r="HN74">
        <v>999.9</v>
      </c>
      <c r="HO74">
        <v>1.86357</v>
      </c>
      <c r="HP74">
        <v>1.85974</v>
      </c>
      <c r="HQ74">
        <v>1.85802</v>
      </c>
      <c r="HR74">
        <v>1.85939</v>
      </c>
      <c r="HS74">
        <v>1.85958</v>
      </c>
      <c r="HT74">
        <v>1.85803</v>
      </c>
      <c r="HU74">
        <v>1.85704</v>
      </c>
      <c r="HV74">
        <v>1.85209</v>
      </c>
      <c r="HW74">
        <v>0</v>
      </c>
      <c r="HX74">
        <v>0</v>
      </c>
      <c r="HY74">
        <v>0</v>
      </c>
      <c r="HZ74">
        <v>0</v>
      </c>
      <c r="IA74" t="s">
        <v>424</v>
      </c>
      <c r="IB74" t="s">
        <v>425</v>
      </c>
      <c r="IC74" t="s">
        <v>426</v>
      </c>
      <c r="ID74" t="s">
        <v>426</v>
      </c>
      <c r="IE74" t="s">
        <v>426</v>
      </c>
      <c r="IF74" t="s">
        <v>426</v>
      </c>
      <c r="IG74">
        <v>0</v>
      </c>
      <c r="IH74">
        <v>100</v>
      </c>
      <c r="II74">
        <v>100</v>
      </c>
      <c r="IJ74">
        <v>-0.823</v>
      </c>
      <c r="IK74">
        <v>0.2026</v>
      </c>
      <c r="IL74">
        <v>-1.613291919289301</v>
      </c>
      <c r="IM74">
        <v>0.001328113201692861</v>
      </c>
      <c r="IN74">
        <v>1.538283238170363E-06</v>
      </c>
      <c r="IO74">
        <v>-5.795655626708063E-10</v>
      </c>
      <c r="IP74">
        <v>-0.05565860728478197</v>
      </c>
      <c r="IQ74">
        <v>-0.004593102289677449</v>
      </c>
      <c r="IR74">
        <v>0.0008253994458280543</v>
      </c>
      <c r="IS74">
        <v>-7.403632370499484E-06</v>
      </c>
      <c r="IT74">
        <v>2</v>
      </c>
      <c r="IU74">
        <v>1985</v>
      </c>
      <c r="IV74">
        <v>1</v>
      </c>
      <c r="IW74">
        <v>27</v>
      </c>
      <c r="IX74">
        <v>3.4</v>
      </c>
      <c r="IY74">
        <v>3.3</v>
      </c>
      <c r="IZ74">
        <v>1.12427</v>
      </c>
      <c r="JA74">
        <v>2.57324</v>
      </c>
      <c r="JB74">
        <v>1.49658</v>
      </c>
      <c r="JC74">
        <v>2.34253</v>
      </c>
      <c r="JD74">
        <v>1.54907</v>
      </c>
      <c r="JE74">
        <v>2.4292</v>
      </c>
      <c r="JF74">
        <v>31.8269</v>
      </c>
      <c r="JG74">
        <v>14.6136</v>
      </c>
      <c r="JH74">
        <v>18</v>
      </c>
      <c r="JI74">
        <v>483.233</v>
      </c>
      <c r="JJ74">
        <v>507.387</v>
      </c>
      <c r="JK74">
        <v>32.0242</v>
      </c>
      <c r="JL74">
        <v>27.8541</v>
      </c>
      <c r="JM74">
        <v>29.9994</v>
      </c>
      <c r="JN74">
        <v>28.1806</v>
      </c>
      <c r="JO74">
        <v>28.1898</v>
      </c>
      <c r="JP74">
        <v>22.5959</v>
      </c>
      <c r="JQ74">
        <v>18.4872</v>
      </c>
      <c r="JR74">
        <v>82.7188</v>
      </c>
      <c r="JS74">
        <v>31.962</v>
      </c>
      <c r="JT74">
        <v>420</v>
      </c>
      <c r="JU74">
        <v>23.8652</v>
      </c>
      <c r="JV74">
        <v>102.261</v>
      </c>
      <c r="JW74">
        <v>91.49679999999999</v>
      </c>
    </row>
    <row r="75" spans="1:283">
      <c r="A75">
        <v>57</v>
      </c>
      <c r="B75">
        <v>1761018360</v>
      </c>
      <c r="C75">
        <v>290.5</v>
      </c>
      <c r="D75" t="s">
        <v>541</v>
      </c>
      <c r="E75" t="s">
        <v>542</v>
      </c>
      <c r="F75">
        <v>5</v>
      </c>
      <c r="G75" t="s">
        <v>489</v>
      </c>
      <c r="H75">
        <v>1761018357</v>
      </c>
      <c r="I75">
        <f>(J75)/1000</f>
        <v>0</v>
      </c>
      <c r="J75">
        <f>1000*DJ75*AH75*(DF75-DG75)/(100*CY75*(1000-AH75*DF75))</f>
        <v>0</v>
      </c>
      <c r="K75">
        <f>DJ75*AH75*(DE75-DD75*(1000-AH75*DG75)/(1000-AH75*DF75))/(100*CY75)</f>
        <v>0</v>
      </c>
      <c r="L75">
        <f>DD75 - IF(AH75&gt;1, K75*CY75*100.0/(AJ75), 0)</f>
        <v>0</v>
      </c>
      <c r="M75">
        <f>((S75-I75/2)*L75-K75)/(S75+I75/2)</f>
        <v>0</v>
      </c>
      <c r="N75">
        <f>M75*(DK75+DL75)/1000.0</f>
        <v>0</v>
      </c>
      <c r="O75">
        <f>(DD75 - IF(AH75&gt;1, K75*CY75*100.0/(AJ75), 0))*(DK75+DL75)/1000.0</f>
        <v>0</v>
      </c>
      <c r="P75">
        <f>2.0/((1/R75-1/Q75)+SIGN(R75)*SQRT((1/R75-1/Q75)*(1/R75-1/Q75) + 4*CZ75/((CZ75+1)*(CZ75+1))*(2*1/R75*1/Q75-1/Q75*1/Q75)))</f>
        <v>0</v>
      </c>
      <c r="Q75">
        <f>IF(LEFT(DA75,1)&lt;&gt;"0",IF(LEFT(DA75,1)="1",3.0,DB75),$D$5+$E$5*(DR75*DK75/($K$5*1000))+$F$5*(DR75*DK75/($K$5*1000))*MAX(MIN(CY75,$J$5),$I$5)*MAX(MIN(CY75,$J$5),$I$5)+$G$5*MAX(MIN(CY75,$J$5),$I$5)*(DR75*DK75/($K$5*1000))+$H$5*(DR75*DK75/($K$5*1000))*(DR75*DK75/($K$5*1000)))</f>
        <v>0</v>
      </c>
      <c r="R75">
        <f>I75*(1000-(1000*0.61365*exp(17.502*V75/(240.97+V75))/(DK75+DL75)+DF75)/2)/(1000*0.61365*exp(17.502*V75/(240.97+V75))/(DK75+DL75)-DF75)</f>
        <v>0</v>
      </c>
      <c r="S75">
        <f>1/((CZ75+1)/(P75/1.6)+1/(Q75/1.37)) + CZ75/((CZ75+1)/(P75/1.6) + CZ75/(Q75/1.37))</f>
        <v>0</v>
      </c>
      <c r="T75">
        <f>(CU75*CX75)</f>
        <v>0</v>
      </c>
      <c r="U75">
        <f>(DM75+(T75+2*0.95*5.67E-8*(((DM75+$B$9)+273)^4-(DM75+273)^4)-44100*I75)/(1.84*29.3*Q75+8*0.95*5.67E-8*(DM75+273)^3))</f>
        <v>0</v>
      </c>
      <c r="V75">
        <f>($C$9*DN75+$D$9*DO75+$E$9*U75)</f>
        <v>0</v>
      </c>
      <c r="W75">
        <f>0.61365*exp(17.502*V75/(240.97+V75))</f>
        <v>0</v>
      </c>
      <c r="X75">
        <f>(Y75/Z75*100)</f>
        <v>0</v>
      </c>
      <c r="Y75">
        <f>DF75*(DK75+DL75)/1000</f>
        <v>0</v>
      </c>
      <c r="Z75">
        <f>0.61365*exp(17.502*DM75/(240.97+DM75))</f>
        <v>0</v>
      </c>
      <c r="AA75">
        <f>(W75-DF75*(DK75+DL75)/1000)</f>
        <v>0</v>
      </c>
      <c r="AB75">
        <f>(-I75*44100)</f>
        <v>0</v>
      </c>
      <c r="AC75">
        <f>2*29.3*Q75*0.92*(DM75-V75)</f>
        <v>0</v>
      </c>
      <c r="AD75">
        <f>2*0.95*5.67E-8*(((DM75+$B$9)+273)^4-(V75+273)^4)</f>
        <v>0</v>
      </c>
      <c r="AE75">
        <f>T75+AD75+AB75+AC75</f>
        <v>0</v>
      </c>
      <c r="AF75">
        <v>0</v>
      </c>
      <c r="AG75">
        <v>0</v>
      </c>
      <c r="AH75">
        <f>IF(AF75*$H$15&gt;=AJ75,1.0,(AJ75/(AJ75-AF75*$H$15)))</f>
        <v>0</v>
      </c>
      <c r="AI75">
        <f>(AH75-1)*100</f>
        <v>0</v>
      </c>
      <c r="AJ75">
        <f>MAX(0,($B$15+$C$15*DR75)/(1+$D$15*DR75)*DK75/(DM75+273)*$E$15)</f>
        <v>0</v>
      </c>
      <c r="AK75" t="s">
        <v>420</v>
      </c>
      <c r="AL75" t="s">
        <v>420</v>
      </c>
      <c r="AM75">
        <v>0</v>
      </c>
      <c r="AN75">
        <v>0</v>
      </c>
      <c r="AO75">
        <f>1-AM75/AN75</f>
        <v>0</v>
      </c>
      <c r="AP75">
        <v>0</v>
      </c>
      <c r="AQ75" t="s">
        <v>420</v>
      </c>
      <c r="AR75" t="s">
        <v>420</v>
      </c>
      <c r="AS75">
        <v>0</v>
      </c>
      <c r="AT75">
        <v>0</v>
      </c>
      <c r="AU75">
        <f>1-AS75/AT75</f>
        <v>0</v>
      </c>
      <c r="AV75">
        <v>0.5</v>
      </c>
      <c r="AW75">
        <f>CV75</f>
        <v>0</v>
      </c>
      <c r="AX75">
        <f>K75</f>
        <v>0</v>
      </c>
      <c r="AY75">
        <f>AU75*AV75*AW75</f>
        <v>0</v>
      </c>
      <c r="AZ75">
        <f>(AX75-AP75)/AW75</f>
        <v>0</v>
      </c>
      <c r="BA75">
        <f>(AN75-AT75)/AT75</f>
        <v>0</v>
      </c>
      <c r="BB75">
        <f>AM75/(AO75+AM75/AT75)</f>
        <v>0</v>
      </c>
      <c r="BC75" t="s">
        <v>420</v>
      </c>
      <c r="BD75">
        <v>0</v>
      </c>
      <c r="BE75">
        <f>IF(BD75&lt;&gt;0, BD75, BB75)</f>
        <v>0</v>
      </c>
      <c r="BF75">
        <f>1-BE75/AT75</f>
        <v>0</v>
      </c>
      <c r="BG75">
        <f>(AT75-AS75)/(AT75-BE75)</f>
        <v>0</v>
      </c>
      <c r="BH75">
        <f>(AN75-AT75)/(AN75-BE75)</f>
        <v>0</v>
      </c>
      <c r="BI75">
        <f>(AT75-AS75)/(AT75-AM75)</f>
        <v>0</v>
      </c>
      <c r="BJ75">
        <f>(AN75-AT75)/(AN75-AM75)</f>
        <v>0</v>
      </c>
      <c r="BK75">
        <f>(BG75*BE75/AS75)</f>
        <v>0</v>
      </c>
      <c r="BL75">
        <f>(1-BK75)</f>
        <v>0</v>
      </c>
      <c r="CU75">
        <f>$B$13*DS75+$C$13*DT75+$F$13*EE75*(1-EH75)</f>
        <v>0</v>
      </c>
      <c r="CV75">
        <f>CU75*CW75</f>
        <v>0</v>
      </c>
      <c r="CW75">
        <f>($B$13*$D$11+$C$13*$D$11+$F$13*((ER75+EJ75)/MAX(ER75+EJ75+ES75, 0.1)*$I$11+ES75/MAX(ER75+EJ75+ES75, 0.1)*$J$11))/($B$13+$C$13+$F$13)</f>
        <v>0</v>
      </c>
      <c r="CX75">
        <f>($B$13*$K$11+$C$13*$K$11+$F$13*((ER75+EJ75)/MAX(ER75+EJ75+ES75, 0.1)*$P$11+ES75/MAX(ER75+EJ75+ES75, 0.1)*$Q$11))/($B$13+$C$13+$F$13)</f>
        <v>0</v>
      </c>
      <c r="CY75">
        <v>4.16</v>
      </c>
      <c r="CZ75">
        <v>0.5</v>
      </c>
      <c r="DA75" t="s">
        <v>421</v>
      </c>
      <c r="DB75">
        <v>2</v>
      </c>
      <c r="DC75">
        <v>1761018357</v>
      </c>
      <c r="DD75">
        <v>420.6135555555555</v>
      </c>
      <c r="DE75">
        <v>419.9775555555555</v>
      </c>
      <c r="DF75">
        <v>23.99038888888889</v>
      </c>
      <c r="DG75">
        <v>23.9733</v>
      </c>
      <c r="DH75">
        <v>421.4373333333334</v>
      </c>
      <c r="DI75">
        <v>23.78791111111111</v>
      </c>
      <c r="DJ75">
        <v>500.0416666666667</v>
      </c>
      <c r="DK75">
        <v>90.7881888888889</v>
      </c>
      <c r="DL75">
        <v>0.03462188888888888</v>
      </c>
      <c r="DM75">
        <v>30.40144444444444</v>
      </c>
      <c r="DN75">
        <v>30.04688888888889</v>
      </c>
      <c r="DO75">
        <v>999.9000000000001</v>
      </c>
      <c r="DP75">
        <v>0</v>
      </c>
      <c r="DQ75">
        <v>0</v>
      </c>
      <c r="DR75">
        <v>9993.123333333331</v>
      </c>
      <c r="DS75">
        <v>0</v>
      </c>
      <c r="DT75">
        <v>0.242856</v>
      </c>
      <c r="DU75">
        <v>0.6360712222222221</v>
      </c>
      <c r="DV75">
        <v>430.9524444444444</v>
      </c>
      <c r="DW75">
        <v>430.2933333333334</v>
      </c>
      <c r="DX75">
        <v>0.01709513383333333</v>
      </c>
      <c r="DY75">
        <v>419.9775555555555</v>
      </c>
      <c r="DZ75">
        <v>23.9733</v>
      </c>
      <c r="EA75">
        <v>2.178043333333333</v>
      </c>
      <c r="EB75">
        <v>2.176491111111111</v>
      </c>
      <c r="EC75">
        <v>18.80173333333333</v>
      </c>
      <c r="ED75">
        <v>18.79031111111111</v>
      </c>
      <c r="EE75">
        <v>0.00500078</v>
      </c>
      <c r="EF75">
        <v>0</v>
      </c>
      <c r="EG75">
        <v>0</v>
      </c>
      <c r="EH75">
        <v>0</v>
      </c>
      <c r="EI75">
        <v>520.6444444444445</v>
      </c>
      <c r="EJ75">
        <v>0.00500078</v>
      </c>
      <c r="EK75">
        <v>-9.455555555555556</v>
      </c>
      <c r="EL75">
        <v>0.8888888888888888</v>
      </c>
      <c r="EM75">
        <v>35.94422222222222</v>
      </c>
      <c r="EN75">
        <v>40.67322222222222</v>
      </c>
      <c r="EO75">
        <v>38.70099999999999</v>
      </c>
      <c r="EP75">
        <v>41.70099999999999</v>
      </c>
      <c r="EQ75">
        <v>39.09</v>
      </c>
      <c r="ER75">
        <v>0</v>
      </c>
      <c r="ES75">
        <v>0</v>
      </c>
      <c r="ET75">
        <v>0</v>
      </c>
      <c r="EU75">
        <v>1761018358.9</v>
      </c>
      <c r="EV75">
        <v>0</v>
      </c>
      <c r="EW75">
        <v>523.944</v>
      </c>
      <c r="EX75">
        <v>2.815384817076373</v>
      </c>
      <c r="EY75">
        <v>0.007692216580635842</v>
      </c>
      <c r="EZ75">
        <v>-11.508</v>
      </c>
      <c r="FA75">
        <v>15</v>
      </c>
      <c r="FB75">
        <v>1761018162.5</v>
      </c>
      <c r="FC75" t="s">
        <v>490</v>
      </c>
      <c r="FD75">
        <v>1761018155.5</v>
      </c>
      <c r="FE75">
        <v>1761018162.5</v>
      </c>
      <c r="FF75">
        <v>24</v>
      </c>
      <c r="FG75">
        <v>-0.207</v>
      </c>
      <c r="FH75">
        <v>-0.006</v>
      </c>
      <c r="FI75">
        <v>-0.825</v>
      </c>
      <c r="FJ75">
        <v>0.194</v>
      </c>
      <c r="FK75">
        <v>420</v>
      </c>
      <c r="FL75">
        <v>24</v>
      </c>
      <c r="FM75">
        <v>0.19</v>
      </c>
      <c r="FN75">
        <v>0.1</v>
      </c>
      <c r="FO75">
        <v>0.645910625</v>
      </c>
      <c r="FP75">
        <v>-0.1130367467167002</v>
      </c>
      <c r="FQ75">
        <v>0.03682490446334349</v>
      </c>
      <c r="FR75">
        <v>1</v>
      </c>
      <c r="FS75">
        <v>524.1382352941176</v>
      </c>
      <c r="FT75">
        <v>-7.063407075473509</v>
      </c>
      <c r="FU75">
        <v>7.858753632130171</v>
      </c>
      <c r="FV75">
        <v>0</v>
      </c>
      <c r="FW75">
        <v>-0.0136712103875</v>
      </c>
      <c r="FX75">
        <v>0.08137601757410881</v>
      </c>
      <c r="FY75">
        <v>0.02767942587519831</v>
      </c>
      <c r="FZ75">
        <v>1</v>
      </c>
      <c r="GA75">
        <v>2</v>
      </c>
      <c r="GB75">
        <v>3</v>
      </c>
      <c r="GC75" t="s">
        <v>434</v>
      </c>
      <c r="GD75">
        <v>3.10968</v>
      </c>
      <c r="GE75">
        <v>2.72631</v>
      </c>
      <c r="GF75">
        <v>0.0887119</v>
      </c>
      <c r="GG75">
        <v>0.08849949999999999</v>
      </c>
      <c r="GH75">
        <v>0.108773</v>
      </c>
      <c r="GI75">
        <v>0.109736</v>
      </c>
      <c r="GJ75">
        <v>23906.4</v>
      </c>
      <c r="GK75">
        <v>21677.8</v>
      </c>
      <c r="GL75">
        <v>26791.9</v>
      </c>
      <c r="GM75">
        <v>23989.6</v>
      </c>
      <c r="GN75">
        <v>38152.9</v>
      </c>
      <c r="GO75">
        <v>31509.6</v>
      </c>
      <c r="GP75">
        <v>46763.8</v>
      </c>
      <c r="GQ75">
        <v>37930.5</v>
      </c>
      <c r="GR75">
        <v>1.89005</v>
      </c>
      <c r="GS75">
        <v>1.88118</v>
      </c>
      <c r="GT75">
        <v>0.129167</v>
      </c>
      <c r="GU75">
        <v>0</v>
      </c>
      <c r="GV75">
        <v>27.9383</v>
      </c>
      <c r="GW75">
        <v>999.9</v>
      </c>
      <c r="GX75">
        <v>63.6</v>
      </c>
      <c r="GY75">
        <v>28.9</v>
      </c>
      <c r="GZ75">
        <v>28.0118</v>
      </c>
      <c r="HA75">
        <v>61.46</v>
      </c>
      <c r="HB75">
        <v>19.972</v>
      </c>
      <c r="HC75">
        <v>1</v>
      </c>
      <c r="HD75">
        <v>0.0463491</v>
      </c>
      <c r="HE75">
        <v>-2.29294</v>
      </c>
      <c r="HF75">
        <v>20.3225</v>
      </c>
      <c r="HG75">
        <v>5.22193</v>
      </c>
      <c r="HH75">
        <v>11.98</v>
      </c>
      <c r="HI75">
        <v>4.96545</v>
      </c>
      <c r="HJ75">
        <v>3.27598</v>
      </c>
      <c r="HK75">
        <v>9999</v>
      </c>
      <c r="HL75">
        <v>9999</v>
      </c>
      <c r="HM75">
        <v>9999</v>
      </c>
      <c r="HN75">
        <v>999.9</v>
      </c>
      <c r="HO75">
        <v>1.86359</v>
      </c>
      <c r="HP75">
        <v>1.85974</v>
      </c>
      <c r="HQ75">
        <v>1.85802</v>
      </c>
      <c r="HR75">
        <v>1.85938</v>
      </c>
      <c r="HS75">
        <v>1.85958</v>
      </c>
      <c r="HT75">
        <v>1.85804</v>
      </c>
      <c r="HU75">
        <v>1.85707</v>
      </c>
      <c r="HV75">
        <v>1.8521</v>
      </c>
      <c r="HW75">
        <v>0</v>
      </c>
      <c r="HX75">
        <v>0</v>
      </c>
      <c r="HY75">
        <v>0</v>
      </c>
      <c r="HZ75">
        <v>0</v>
      </c>
      <c r="IA75" t="s">
        <v>424</v>
      </c>
      <c r="IB75" t="s">
        <v>425</v>
      </c>
      <c r="IC75" t="s">
        <v>426</v>
      </c>
      <c r="ID75" t="s">
        <v>426</v>
      </c>
      <c r="IE75" t="s">
        <v>426</v>
      </c>
      <c r="IF75" t="s">
        <v>426</v>
      </c>
      <c r="IG75">
        <v>0</v>
      </c>
      <c r="IH75">
        <v>100</v>
      </c>
      <c r="II75">
        <v>100</v>
      </c>
      <c r="IJ75">
        <v>-0.823</v>
      </c>
      <c r="IK75">
        <v>0.2029</v>
      </c>
      <c r="IL75">
        <v>-1.613291919289301</v>
      </c>
      <c r="IM75">
        <v>0.001328113201692861</v>
      </c>
      <c r="IN75">
        <v>1.538283238170363E-06</v>
      </c>
      <c r="IO75">
        <v>-5.795655626708063E-10</v>
      </c>
      <c r="IP75">
        <v>-0.05565860728478197</v>
      </c>
      <c r="IQ75">
        <v>-0.004593102289677449</v>
      </c>
      <c r="IR75">
        <v>0.0008253994458280543</v>
      </c>
      <c r="IS75">
        <v>-7.403632370499484E-06</v>
      </c>
      <c r="IT75">
        <v>2</v>
      </c>
      <c r="IU75">
        <v>1985</v>
      </c>
      <c r="IV75">
        <v>1</v>
      </c>
      <c r="IW75">
        <v>27</v>
      </c>
      <c r="IX75">
        <v>3.4</v>
      </c>
      <c r="IY75">
        <v>3.3</v>
      </c>
      <c r="IZ75">
        <v>1.12427</v>
      </c>
      <c r="JA75">
        <v>2.56958</v>
      </c>
      <c r="JB75">
        <v>1.49658</v>
      </c>
      <c r="JC75">
        <v>2.34253</v>
      </c>
      <c r="JD75">
        <v>1.54907</v>
      </c>
      <c r="JE75">
        <v>2.40234</v>
      </c>
      <c r="JF75">
        <v>31.8269</v>
      </c>
      <c r="JG75">
        <v>14.6136</v>
      </c>
      <c r="JH75">
        <v>18</v>
      </c>
      <c r="JI75">
        <v>483.293</v>
      </c>
      <c r="JJ75">
        <v>507.391</v>
      </c>
      <c r="JK75">
        <v>31.9941</v>
      </c>
      <c r="JL75">
        <v>27.851</v>
      </c>
      <c r="JM75">
        <v>29.9995</v>
      </c>
      <c r="JN75">
        <v>28.1771</v>
      </c>
      <c r="JO75">
        <v>28.1864</v>
      </c>
      <c r="JP75">
        <v>22.5997</v>
      </c>
      <c r="JQ75">
        <v>18.4872</v>
      </c>
      <c r="JR75">
        <v>82.7188</v>
      </c>
      <c r="JS75">
        <v>31.9152</v>
      </c>
      <c r="JT75">
        <v>420</v>
      </c>
      <c r="JU75">
        <v>23.8536</v>
      </c>
      <c r="JV75">
        <v>102.262</v>
      </c>
      <c r="JW75">
        <v>91.4962</v>
      </c>
    </row>
    <row r="76" spans="1:283">
      <c r="A76">
        <v>58</v>
      </c>
      <c r="B76">
        <v>1761018362</v>
      </c>
      <c r="C76">
        <v>292.5</v>
      </c>
      <c r="D76" t="s">
        <v>543</v>
      </c>
      <c r="E76" t="s">
        <v>544</v>
      </c>
      <c r="F76">
        <v>5</v>
      </c>
      <c r="G76" t="s">
        <v>489</v>
      </c>
      <c r="H76">
        <v>1761018359</v>
      </c>
      <c r="I76">
        <f>(J76)/1000</f>
        <v>0</v>
      </c>
      <c r="J76">
        <f>1000*DJ76*AH76*(DF76-DG76)/(100*CY76*(1000-AH76*DF76))</f>
        <v>0</v>
      </c>
      <c r="K76">
        <f>DJ76*AH76*(DE76-DD76*(1000-AH76*DG76)/(1000-AH76*DF76))/(100*CY76)</f>
        <v>0</v>
      </c>
      <c r="L76">
        <f>DD76 - IF(AH76&gt;1, K76*CY76*100.0/(AJ76), 0)</f>
        <v>0</v>
      </c>
      <c r="M76">
        <f>((S76-I76/2)*L76-K76)/(S76+I76/2)</f>
        <v>0</v>
      </c>
      <c r="N76">
        <f>M76*(DK76+DL76)/1000.0</f>
        <v>0</v>
      </c>
      <c r="O76">
        <f>(DD76 - IF(AH76&gt;1, K76*CY76*100.0/(AJ76), 0))*(DK76+DL76)/1000.0</f>
        <v>0</v>
      </c>
      <c r="P76">
        <f>2.0/((1/R76-1/Q76)+SIGN(R76)*SQRT((1/R76-1/Q76)*(1/R76-1/Q76) + 4*CZ76/((CZ76+1)*(CZ76+1))*(2*1/R76*1/Q76-1/Q76*1/Q76)))</f>
        <v>0</v>
      </c>
      <c r="Q76">
        <f>IF(LEFT(DA76,1)&lt;&gt;"0",IF(LEFT(DA76,1)="1",3.0,DB76),$D$5+$E$5*(DR76*DK76/($K$5*1000))+$F$5*(DR76*DK76/($K$5*1000))*MAX(MIN(CY76,$J$5),$I$5)*MAX(MIN(CY76,$J$5),$I$5)+$G$5*MAX(MIN(CY76,$J$5),$I$5)*(DR76*DK76/($K$5*1000))+$H$5*(DR76*DK76/($K$5*1000))*(DR76*DK76/($K$5*1000)))</f>
        <v>0</v>
      </c>
      <c r="R76">
        <f>I76*(1000-(1000*0.61365*exp(17.502*V76/(240.97+V76))/(DK76+DL76)+DF76)/2)/(1000*0.61365*exp(17.502*V76/(240.97+V76))/(DK76+DL76)-DF76)</f>
        <v>0</v>
      </c>
      <c r="S76">
        <f>1/((CZ76+1)/(P76/1.6)+1/(Q76/1.37)) + CZ76/((CZ76+1)/(P76/1.6) + CZ76/(Q76/1.37))</f>
        <v>0</v>
      </c>
      <c r="T76">
        <f>(CU76*CX76)</f>
        <v>0</v>
      </c>
      <c r="U76">
        <f>(DM76+(T76+2*0.95*5.67E-8*(((DM76+$B$9)+273)^4-(DM76+273)^4)-44100*I76)/(1.84*29.3*Q76+8*0.95*5.67E-8*(DM76+273)^3))</f>
        <v>0</v>
      </c>
      <c r="V76">
        <f>($C$9*DN76+$D$9*DO76+$E$9*U76)</f>
        <v>0</v>
      </c>
      <c r="W76">
        <f>0.61365*exp(17.502*V76/(240.97+V76))</f>
        <v>0</v>
      </c>
      <c r="X76">
        <f>(Y76/Z76*100)</f>
        <v>0</v>
      </c>
      <c r="Y76">
        <f>DF76*(DK76+DL76)/1000</f>
        <v>0</v>
      </c>
      <c r="Z76">
        <f>0.61365*exp(17.502*DM76/(240.97+DM76))</f>
        <v>0</v>
      </c>
      <c r="AA76">
        <f>(W76-DF76*(DK76+DL76)/1000)</f>
        <v>0</v>
      </c>
      <c r="AB76">
        <f>(-I76*44100)</f>
        <v>0</v>
      </c>
      <c r="AC76">
        <f>2*29.3*Q76*0.92*(DM76-V76)</f>
        <v>0</v>
      </c>
      <c r="AD76">
        <f>2*0.95*5.67E-8*(((DM76+$B$9)+273)^4-(V76+273)^4)</f>
        <v>0</v>
      </c>
      <c r="AE76">
        <f>T76+AD76+AB76+AC76</f>
        <v>0</v>
      </c>
      <c r="AF76">
        <v>0</v>
      </c>
      <c r="AG76">
        <v>0</v>
      </c>
      <c r="AH76">
        <f>IF(AF76*$H$15&gt;=AJ76,1.0,(AJ76/(AJ76-AF76*$H$15)))</f>
        <v>0</v>
      </c>
      <c r="AI76">
        <f>(AH76-1)*100</f>
        <v>0</v>
      </c>
      <c r="AJ76">
        <f>MAX(0,($B$15+$C$15*DR76)/(1+$D$15*DR76)*DK76/(DM76+273)*$E$15)</f>
        <v>0</v>
      </c>
      <c r="AK76" t="s">
        <v>420</v>
      </c>
      <c r="AL76" t="s">
        <v>420</v>
      </c>
      <c r="AM76">
        <v>0</v>
      </c>
      <c r="AN76">
        <v>0</v>
      </c>
      <c r="AO76">
        <f>1-AM76/AN76</f>
        <v>0</v>
      </c>
      <c r="AP76">
        <v>0</v>
      </c>
      <c r="AQ76" t="s">
        <v>420</v>
      </c>
      <c r="AR76" t="s">
        <v>420</v>
      </c>
      <c r="AS76">
        <v>0</v>
      </c>
      <c r="AT76">
        <v>0</v>
      </c>
      <c r="AU76">
        <f>1-AS76/AT76</f>
        <v>0</v>
      </c>
      <c r="AV76">
        <v>0.5</v>
      </c>
      <c r="AW76">
        <f>CV76</f>
        <v>0</v>
      </c>
      <c r="AX76">
        <f>K76</f>
        <v>0</v>
      </c>
      <c r="AY76">
        <f>AU76*AV76*AW76</f>
        <v>0</v>
      </c>
      <c r="AZ76">
        <f>(AX76-AP76)/AW76</f>
        <v>0</v>
      </c>
      <c r="BA76">
        <f>(AN76-AT76)/AT76</f>
        <v>0</v>
      </c>
      <c r="BB76">
        <f>AM76/(AO76+AM76/AT76)</f>
        <v>0</v>
      </c>
      <c r="BC76" t="s">
        <v>420</v>
      </c>
      <c r="BD76">
        <v>0</v>
      </c>
      <c r="BE76">
        <f>IF(BD76&lt;&gt;0, BD76, BB76)</f>
        <v>0</v>
      </c>
      <c r="BF76">
        <f>1-BE76/AT76</f>
        <v>0</v>
      </c>
      <c r="BG76">
        <f>(AT76-AS76)/(AT76-BE76)</f>
        <v>0</v>
      </c>
      <c r="BH76">
        <f>(AN76-AT76)/(AN76-BE76)</f>
        <v>0</v>
      </c>
      <c r="BI76">
        <f>(AT76-AS76)/(AT76-AM76)</f>
        <v>0</v>
      </c>
      <c r="BJ76">
        <f>(AN76-AT76)/(AN76-AM76)</f>
        <v>0</v>
      </c>
      <c r="BK76">
        <f>(BG76*BE76/AS76)</f>
        <v>0</v>
      </c>
      <c r="BL76">
        <f>(1-BK76)</f>
        <v>0</v>
      </c>
      <c r="CU76">
        <f>$B$13*DS76+$C$13*DT76+$F$13*EE76*(1-EH76)</f>
        <v>0</v>
      </c>
      <c r="CV76">
        <f>CU76*CW76</f>
        <v>0</v>
      </c>
      <c r="CW76">
        <f>($B$13*$D$11+$C$13*$D$11+$F$13*((ER76+EJ76)/MAX(ER76+EJ76+ES76, 0.1)*$I$11+ES76/MAX(ER76+EJ76+ES76, 0.1)*$J$11))/($B$13+$C$13+$F$13)</f>
        <v>0</v>
      </c>
      <c r="CX76">
        <f>($B$13*$K$11+$C$13*$K$11+$F$13*((ER76+EJ76)/MAX(ER76+EJ76+ES76, 0.1)*$P$11+ES76/MAX(ER76+EJ76+ES76, 0.1)*$Q$11))/($B$13+$C$13+$F$13)</f>
        <v>0</v>
      </c>
      <c r="CY76">
        <v>4.16</v>
      </c>
      <c r="CZ76">
        <v>0.5</v>
      </c>
      <c r="DA76" t="s">
        <v>421</v>
      </c>
      <c r="DB76">
        <v>2</v>
      </c>
      <c r="DC76">
        <v>1761018359</v>
      </c>
      <c r="DD76">
        <v>420.6254444444445</v>
      </c>
      <c r="DE76">
        <v>419.916</v>
      </c>
      <c r="DF76">
        <v>24.00385555555556</v>
      </c>
      <c r="DG76">
        <v>23.97528888888889</v>
      </c>
      <c r="DH76">
        <v>421.4491111111111</v>
      </c>
      <c r="DI76">
        <v>23.8011</v>
      </c>
      <c r="DJ76">
        <v>500.0004444444444</v>
      </c>
      <c r="DK76">
        <v>90.78758888888888</v>
      </c>
      <c r="DL76">
        <v>0.03469868888888888</v>
      </c>
      <c r="DM76">
        <v>30.41021111111111</v>
      </c>
      <c r="DN76">
        <v>30.04405555555556</v>
      </c>
      <c r="DO76">
        <v>999.9000000000001</v>
      </c>
      <c r="DP76">
        <v>0</v>
      </c>
      <c r="DQ76">
        <v>0</v>
      </c>
      <c r="DR76">
        <v>9993.264444444445</v>
      </c>
      <c r="DS76">
        <v>0</v>
      </c>
      <c r="DT76">
        <v>0.242856</v>
      </c>
      <c r="DU76">
        <v>0.7094286666666667</v>
      </c>
      <c r="DV76">
        <v>430.9703333333333</v>
      </c>
      <c r="DW76">
        <v>430.231</v>
      </c>
      <c r="DX76">
        <v>0.02857228888888889</v>
      </c>
      <c r="DY76">
        <v>419.916</v>
      </c>
      <c r="DZ76">
        <v>23.97528888888889</v>
      </c>
      <c r="EA76">
        <v>2.179251111111111</v>
      </c>
      <c r="EB76">
        <v>2.176657777777778</v>
      </c>
      <c r="EC76">
        <v>18.8106</v>
      </c>
      <c r="ED76">
        <v>18.79153333333333</v>
      </c>
      <c r="EE76">
        <v>0.00500078</v>
      </c>
      <c r="EF76">
        <v>0</v>
      </c>
      <c r="EG76">
        <v>0</v>
      </c>
      <c r="EH76">
        <v>0</v>
      </c>
      <c r="EI76">
        <v>518.7222222222222</v>
      </c>
      <c r="EJ76">
        <v>0.00500078</v>
      </c>
      <c r="EK76">
        <v>-8.199999999999999</v>
      </c>
      <c r="EL76">
        <v>0.9555555555555555</v>
      </c>
      <c r="EM76">
        <v>35.95122222222223</v>
      </c>
      <c r="EN76">
        <v>40.694</v>
      </c>
      <c r="EO76">
        <v>38.79822222222222</v>
      </c>
      <c r="EP76">
        <v>41.715</v>
      </c>
      <c r="EQ76">
        <v>39.19433333333333</v>
      </c>
      <c r="ER76">
        <v>0</v>
      </c>
      <c r="ES76">
        <v>0</v>
      </c>
      <c r="ET76">
        <v>0</v>
      </c>
      <c r="EU76">
        <v>1761018361.3</v>
      </c>
      <c r="EV76">
        <v>0</v>
      </c>
      <c r="EW76">
        <v>523.572</v>
      </c>
      <c r="EX76">
        <v>-18.92307694484938</v>
      </c>
      <c r="EY76">
        <v>29.09230790044196</v>
      </c>
      <c r="EZ76">
        <v>-11.128</v>
      </c>
      <c r="FA76">
        <v>15</v>
      </c>
      <c r="FB76">
        <v>1761018162.5</v>
      </c>
      <c r="FC76" t="s">
        <v>490</v>
      </c>
      <c r="FD76">
        <v>1761018155.5</v>
      </c>
      <c r="FE76">
        <v>1761018162.5</v>
      </c>
      <c r="FF76">
        <v>24</v>
      </c>
      <c r="FG76">
        <v>-0.207</v>
      </c>
      <c r="FH76">
        <v>-0.006</v>
      </c>
      <c r="FI76">
        <v>-0.825</v>
      </c>
      <c r="FJ76">
        <v>0.194</v>
      </c>
      <c r="FK76">
        <v>420</v>
      </c>
      <c r="FL76">
        <v>24</v>
      </c>
      <c r="FM76">
        <v>0.19</v>
      </c>
      <c r="FN76">
        <v>0.1</v>
      </c>
      <c r="FO76">
        <v>0.6615273414634145</v>
      </c>
      <c r="FP76">
        <v>0.1782031777003473</v>
      </c>
      <c r="FQ76">
        <v>0.05835050095114227</v>
      </c>
      <c r="FR76">
        <v>1</v>
      </c>
      <c r="FS76">
        <v>523.0470588235295</v>
      </c>
      <c r="FT76">
        <v>-2.001527745085985</v>
      </c>
      <c r="FU76">
        <v>7.811049311679007</v>
      </c>
      <c r="FV76">
        <v>0</v>
      </c>
      <c r="FW76">
        <v>-0.01142958330487805</v>
      </c>
      <c r="FX76">
        <v>0.2437361188222996</v>
      </c>
      <c r="FY76">
        <v>0.02972760469062153</v>
      </c>
      <c r="FZ76">
        <v>0</v>
      </c>
      <c r="GA76">
        <v>1</v>
      </c>
      <c r="GB76">
        <v>3</v>
      </c>
      <c r="GC76" t="s">
        <v>431</v>
      </c>
      <c r="GD76">
        <v>3.10962</v>
      </c>
      <c r="GE76">
        <v>2.72649</v>
      </c>
      <c r="GF76">
        <v>0.0887101</v>
      </c>
      <c r="GG76">
        <v>0.0884992</v>
      </c>
      <c r="GH76">
        <v>0.108795</v>
      </c>
      <c r="GI76">
        <v>0.109736</v>
      </c>
      <c r="GJ76">
        <v>23906.5</v>
      </c>
      <c r="GK76">
        <v>21677.6</v>
      </c>
      <c r="GL76">
        <v>26791.9</v>
      </c>
      <c r="GM76">
        <v>23989.5</v>
      </c>
      <c r="GN76">
        <v>38152</v>
      </c>
      <c r="GO76">
        <v>31509.4</v>
      </c>
      <c r="GP76">
        <v>46763.8</v>
      </c>
      <c r="GQ76">
        <v>37930.2</v>
      </c>
      <c r="GR76">
        <v>1.89</v>
      </c>
      <c r="GS76">
        <v>1.88137</v>
      </c>
      <c r="GT76">
        <v>0.129186</v>
      </c>
      <c r="GU76">
        <v>0</v>
      </c>
      <c r="GV76">
        <v>27.9413</v>
      </c>
      <c r="GW76">
        <v>999.9</v>
      </c>
      <c r="GX76">
        <v>63.6</v>
      </c>
      <c r="GY76">
        <v>28.9</v>
      </c>
      <c r="GZ76">
        <v>28.0097</v>
      </c>
      <c r="HA76">
        <v>61.38</v>
      </c>
      <c r="HB76">
        <v>20.2364</v>
      </c>
      <c r="HC76">
        <v>1</v>
      </c>
      <c r="HD76">
        <v>0.0461179</v>
      </c>
      <c r="HE76">
        <v>-2.23358</v>
      </c>
      <c r="HF76">
        <v>20.3233</v>
      </c>
      <c r="HG76">
        <v>5.22163</v>
      </c>
      <c r="HH76">
        <v>11.98</v>
      </c>
      <c r="HI76">
        <v>4.9653</v>
      </c>
      <c r="HJ76">
        <v>3.27595</v>
      </c>
      <c r="HK76">
        <v>9999</v>
      </c>
      <c r="HL76">
        <v>9999</v>
      </c>
      <c r="HM76">
        <v>9999</v>
      </c>
      <c r="HN76">
        <v>999.9</v>
      </c>
      <c r="HO76">
        <v>1.86359</v>
      </c>
      <c r="HP76">
        <v>1.85974</v>
      </c>
      <c r="HQ76">
        <v>1.85799</v>
      </c>
      <c r="HR76">
        <v>1.85942</v>
      </c>
      <c r="HS76">
        <v>1.85958</v>
      </c>
      <c r="HT76">
        <v>1.85803</v>
      </c>
      <c r="HU76">
        <v>1.8571</v>
      </c>
      <c r="HV76">
        <v>1.85208</v>
      </c>
      <c r="HW76">
        <v>0</v>
      </c>
      <c r="HX76">
        <v>0</v>
      </c>
      <c r="HY76">
        <v>0</v>
      </c>
      <c r="HZ76">
        <v>0</v>
      </c>
      <c r="IA76" t="s">
        <v>424</v>
      </c>
      <c r="IB76" t="s">
        <v>425</v>
      </c>
      <c r="IC76" t="s">
        <v>426</v>
      </c>
      <c r="ID76" t="s">
        <v>426</v>
      </c>
      <c r="IE76" t="s">
        <v>426</v>
      </c>
      <c r="IF76" t="s">
        <v>426</v>
      </c>
      <c r="IG76">
        <v>0</v>
      </c>
      <c r="IH76">
        <v>100</v>
      </c>
      <c r="II76">
        <v>100</v>
      </c>
      <c r="IJ76">
        <v>-0.824</v>
      </c>
      <c r="IK76">
        <v>0.2031</v>
      </c>
      <c r="IL76">
        <v>-1.613291919289301</v>
      </c>
      <c r="IM76">
        <v>0.001328113201692861</v>
      </c>
      <c r="IN76">
        <v>1.538283238170363E-06</v>
      </c>
      <c r="IO76">
        <v>-5.795655626708063E-10</v>
      </c>
      <c r="IP76">
        <v>-0.05565860728478197</v>
      </c>
      <c r="IQ76">
        <v>-0.004593102289677449</v>
      </c>
      <c r="IR76">
        <v>0.0008253994458280543</v>
      </c>
      <c r="IS76">
        <v>-7.403632370499484E-06</v>
      </c>
      <c r="IT76">
        <v>2</v>
      </c>
      <c r="IU76">
        <v>1985</v>
      </c>
      <c r="IV76">
        <v>1</v>
      </c>
      <c r="IW76">
        <v>27</v>
      </c>
      <c r="IX76">
        <v>3.4</v>
      </c>
      <c r="IY76">
        <v>3.3</v>
      </c>
      <c r="IZ76">
        <v>1.12427</v>
      </c>
      <c r="JA76">
        <v>2.57202</v>
      </c>
      <c r="JB76">
        <v>1.49658</v>
      </c>
      <c r="JC76">
        <v>2.34253</v>
      </c>
      <c r="JD76">
        <v>1.54907</v>
      </c>
      <c r="JE76">
        <v>2.44995</v>
      </c>
      <c r="JF76">
        <v>31.8269</v>
      </c>
      <c r="JG76">
        <v>14.6136</v>
      </c>
      <c r="JH76">
        <v>18</v>
      </c>
      <c r="JI76">
        <v>483.241</v>
      </c>
      <c r="JJ76">
        <v>507.5</v>
      </c>
      <c r="JK76">
        <v>31.9673</v>
      </c>
      <c r="JL76">
        <v>27.8475</v>
      </c>
      <c r="JM76">
        <v>29.9995</v>
      </c>
      <c r="JN76">
        <v>28.1742</v>
      </c>
      <c r="JO76">
        <v>28.1834</v>
      </c>
      <c r="JP76">
        <v>22.6012</v>
      </c>
      <c r="JQ76">
        <v>18.7764</v>
      </c>
      <c r="JR76">
        <v>82.7188</v>
      </c>
      <c r="JS76">
        <v>31.9152</v>
      </c>
      <c r="JT76">
        <v>420</v>
      </c>
      <c r="JU76">
        <v>23.8425</v>
      </c>
      <c r="JV76">
        <v>102.262</v>
      </c>
      <c r="JW76">
        <v>91.4957</v>
      </c>
    </row>
    <row r="77" spans="1:283">
      <c r="A77">
        <v>59</v>
      </c>
      <c r="B77">
        <v>1761018364</v>
      </c>
      <c r="C77">
        <v>294.5</v>
      </c>
      <c r="D77" t="s">
        <v>545</v>
      </c>
      <c r="E77" t="s">
        <v>546</v>
      </c>
      <c r="F77">
        <v>5</v>
      </c>
      <c r="G77" t="s">
        <v>489</v>
      </c>
      <c r="H77">
        <v>1761018361</v>
      </c>
      <c r="I77">
        <f>(J77)/1000</f>
        <v>0</v>
      </c>
      <c r="J77">
        <f>1000*DJ77*AH77*(DF77-DG77)/(100*CY77*(1000-AH77*DF77))</f>
        <v>0</v>
      </c>
      <c r="K77">
        <f>DJ77*AH77*(DE77-DD77*(1000-AH77*DG77)/(1000-AH77*DF77))/(100*CY77)</f>
        <v>0</v>
      </c>
      <c r="L77">
        <f>DD77 - IF(AH77&gt;1, K77*CY77*100.0/(AJ77), 0)</f>
        <v>0</v>
      </c>
      <c r="M77">
        <f>((S77-I77/2)*L77-K77)/(S77+I77/2)</f>
        <v>0</v>
      </c>
      <c r="N77">
        <f>M77*(DK77+DL77)/1000.0</f>
        <v>0</v>
      </c>
      <c r="O77">
        <f>(DD77 - IF(AH77&gt;1, K77*CY77*100.0/(AJ77), 0))*(DK77+DL77)/1000.0</f>
        <v>0</v>
      </c>
      <c r="P77">
        <f>2.0/((1/R77-1/Q77)+SIGN(R77)*SQRT((1/R77-1/Q77)*(1/R77-1/Q77) + 4*CZ77/((CZ77+1)*(CZ77+1))*(2*1/R77*1/Q77-1/Q77*1/Q77)))</f>
        <v>0</v>
      </c>
      <c r="Q77">
        <f>IF(LEFT(DA77,1)&lt;&gt;"0",IF(LEFT(DA77,1)="1",3.0,DB77),$D$5+$E$5*(DR77*DK77/($K$5*1000))+$F$5*(DR77*DK77/($K$5*1000))*MAX(MIN(CY77,$J$5),$I$5)*MAX(MIN(CY77,$J$5),$I$5)+$G$5*MAX(MIN(CY77,$J$5),$I$5)*(DR77*DK77/($K$5*1000))+$H$5*(DR77*DK77/($K$5*1000))*(DR77*DK77/($K$5*1000)))</f>
        <v>0</v>
      </c>
      <c r="R77">
        <f>I77*(1000-(1000*0.61365*exp(17.502*V77/(240.97+V77))/(DK77+DL77)+DF77)/2)/(1000*0.61365*exp(17.502*V77/(240.97+V77))/(DK77+DL77)-DF77)</f>
        <v>0</v>
      </c>
      <c r="S77">
        <f>1/((CZ77+1)/(P77/1.6)+1/(Q77/1.37)) + CZ77/((CZ77+1)/(P77/1.6) + CZ77/(Q77/1.37))</f>
        <v>0</v>
      </c>
      <c r="T77">
        <f>(CU77*CX77)</f>
        <v>0</v>
      </c>
      <c r="U77">
        <f>(DM77+(T77+2*0.95*5.67E-8*(((DM77+$B$9)+273)^4-(DM77+273)^4)-44100*I77)/(1.84*29.3*Q77+8*0.95*5.67E-8*(DM77+273)^3))</f>
        <v>0</v>
      </c>
      <c r="V77">
        <f>($C$9*DN77+$D$9*DO77+$E$9*U77)</f>
        <v>0</v>
      </c>
      <c r="W77">
        <f>0.61365*exp(17.502*V77/(240.97+V77))</f>
        <v>0</v>
      </c>
      <c r="X77">
        <f>(Y77/Z77*100)</f>
        <v>0</v>
      </c>
      <c r="Y77">
        <f>DF77*(DK77+DL77)/1000</f>
        <v>0</v>
      </c>
      <c r="Z77">
        <f>0.61365*exp(17.502*DM77/(240.97+DM77))</f>
        <v>0</v>
      </c>
      <c r="AA77">
        <f>(W77-DF77*(DK77+DL77)/1000)</f>
        <v>0</v>
      </c>
      <c r="AB77">
        <f>(-I77*44100)</f>
        <v>0</v>
      </c>
      <c r="AC77">
        <f>2*29.3*Q77*0.92*(DM77-V77)</f>
        <v>0</v>
      </c>
      <c r="AD77">
        <f>2*0.95*5.67E-8*(((DM77+$B$9)+273)^4-(V77+273)^4)</f>
        <v>0</v>
      </c>
      <c r="AE77">
        <f>T77+AD77+AB77+AC77</f>
        <v>0</v>
      </c>
      <c r="AF77">
        <v>0</v>
      </c>
      <c r="AG77">
        <v>0</v>
      </c>
      <c r="AH77">
        <f>IF(AF77*$H$15&gt;=AJ77,1.0,(AJ77/(AJ77-AF77*$H$15)))</f>
        <v>0</v>
      </c>
      <c r="AI77">
        <f>(AH77-1)*100</f>
        <v>0</v>
      </c>
      <c r="AJ77">
        <f>MAX(0,($B$15+$C$15*DR77)/(1+$D$15*DR77)*DK77/(DM77+273)*$E$15)</f>
        <v>0</v>
      </c>
      <c r="AK77" t="s">
        <v>420</v>
      </c>
      <c r="AL77" t="s">
        <v>420</v>
      </c>
      <c r="AM77">
        <v>0</v>
      </c>
      <c r="AN77">
        <v>0</v>
      </c>
      <c r="AO77">
        <f>1-AM77/AN77</f>
        <v>0</v>
      </c>
      <c r="AP77">
        <v>0</v>
      </c>
      <c r="AQ77" t="s">
        <v>420</v>
      </c>
      <c r="AR77" t="s">
        <v>420</v>
      </c>
      <c r="AS77">
        <v>0</v>
      </c>
      <c r="AT77">
        <v>0</v>
      </c>
      <c r="AU77">
        <f>1-AS77/AT77</f>
        <v>0</v>
      </c>
      <c r="AV77">
        <v>0.5</v>
      </c>
      <c r="AW77">
        <f>CV77</f>
        <v>0</v>
      </c>
      <c r="AX77">
        <f>K77</f>
        <v>0</v>
      </c>
      <c r="AY77">
        <f>AU77*AV77*AW77</f>
        <v>0</v>
      </c>
      <c r="AZ77">
        <f>(AX77-AP77)/AW77</f>
        <v>0</v>
      </c>
      <c r="BA77">
        <f>(AN77-AT77)/AT77</f>
        <v>0</v>
      </c>
      <c r="BB77">
        <f>AM77/(AO77+AM77/AT77)</f>
        <v>0</v>
      </c>
      <c r="BC77" t="s">
        <v>420</v>
      </c>
      <c r="BD77">
        <v>0</v>
      </c>
      <c r="BE77">
        <f>IF(BD77&lt;&gt;0, BD77, BB77)</f>
        <v>0</v>
      </c>
      <c r="BF77">
        <f>1-BE77/AT77</f>
        <v>0</v>
      </c>
      <c r="BG77">
        <f>(AT77-AS77)/(AT77-BE77)</f>
        <v>0</v>
      </c>
      <c r="BH77">
        <f>(AN77-AT77)/(AN77-BE77)</f>
        <v>0</v>
      </c>
      <c r="BI77">
        <f>(AT77-AS77)/(AT77-AM77)</f>
        <v>0</v>
      </c>
      <c r="BJ77">
        <f>(AN77-AT77)/(AN77-AM77)</f>
        <v>0</v>
      </c>
      <c r="BK77">
        <f>(BG77*BE77/AS77)</f>
        <v>0</v>
      </c>
      <c r="BL77">
        <f>(1-BK77)</f>
        <v>0</v>
      </c>
      <c r="CU77">
        <f>$B$13*DS77+$C$13*DT77+$F$13*EE77*(1-EH77)</f>
        <v>0</v>
      </c>
      <c r="CV77">
        <f>CU77*CW77</f>
        <v>0</v>
      </c>
      <c r="CW77">
        <f>($B$13*$D$11+$C$13*$D$11+$F$13*((ER77+EJ77)/MAX(ER77+EJ77+ES77, 0.1)*$I$11+ES77/MAX(ER77+EJ77+ES77, 0.1)*$J$11))/($B$13+$C$13+$F$13)</f>
        <v>0</v>
      </c>
      <c r="CX77">
        <f>($B$13*$K$11+$C$13*$K$11+$F$13*((ER77+EJ77)/MAX(ER77+EJ77+ES77, 0.1)*$P$11+ES77/MAX(ER77+EJ77+ES77, 0.1)*$Q$11))/($B$13+$C$13+$F$13)</f>
        <v>0</v>
      </c>
      <c r="CY77">
        <v>4.16</v>
      </c>
      <c r="CZ77">
        <v>0.5</v>
      </c>
      <c r="DA77" t="s">
        <v>421</v>
      </c>
      <c r="DB77">
        <v>2</v>
      </c>
      <c r="DC77">
        <v>1761018361</v>
      </c>
      <c r="DD77">
        <v>420.6354444444444</v>
      </c>
      <c r="DE77">
        <v>419.8851111111111</v>
      </c>
      <c r="DF77">
        <v>24.01343333333334</v>
      </c>
      <c r="DG77">
        <v>23.97618888888889</v>
      </c>
      <c r="DH77">
        <v>421.4592222222223</v>
      </c>
      <c r="DI77">
        <v>23.81045555555556</v>
      </c>
      <c r="DJ77">
        <v>499.9743333333333</v>
      </c>
      <c r="DK77">
        <v>90.78722222222221</v>
      </c>
      <c r="DL77">
        <v>0.03479122222222222</v>
      </c>
      <c r="DM77">
        <v>30.41461111111111</v>
      </c>
      <c r="DN77">
        <v>30.04545555555555</v>
      </c>
      <c r="DO77">
        <v>999.9000000000001</v>
      </c>
      <c r="DP77">
        <v>0</v>
      </c>
      <c r="DQ77">
        <v>0</v>
      </c>
      <c r="DR77">
        <v>9992.638888888891</v>
      </c>
      <c r="DS77">
        <v>0</v>
      </c>
      <c r="DT77">
        <v>0.242856</v>
      </c>
      <c r="DU77">
        <v>0.750407</v>
      </c>
      <c r="DV77">
        <v>430.9847777777778</v>
      </c>
      <c r="DW77">
        <v>430.1996666666666</v>
      </c>
      <c r="DX77">
        <v>0.03723271111111112</v>
      </c>
      <c r="DY77">
        <v>419.8851111111111</v>
      </c>
      <c r="DZ77">
        <v>23.97618888888889</v>
      </c>
      <c r="EA77">
        <v>2.180111111111111</v>
      </c>
      <c r="EB77">
        <v>2.176733333333333</v>
      </c>
      <c r="EC77">
        <v>18.81691111111111</v>
      </c>
      <c r="ED77">
        <v>18.79208888888889</v>
      </c>
      <c r="EE77">
        <v>0.00500078</v>
      </c>
      <c r="EF77">
        <v>0</v>
      </c>
      <c r="EG77">
        <v>0</v>
      </c>
      <c r="EH77">
        <v>0</v>
      </c>
      <c r="EI77">
        <v>515.9111111111112</v>
      </c>
      <c r="EJ77">
        <v>0.00500078</v>
      </c>
      <c r="EK77">
        <v>-5.3</v>
      </c>
      <c r="EL77">
        <v>0.9888888888888889</v>
      </c>
      <c r="EM77">
        <v>35.972</v>
      </c>
      <c r="EN77">
        <v>40.70099999999999</v>
      </c>
      <c r="EO77">
        <v>38.86077777777777</v>
      </c>
      <c r="EP77">
        <v>41.74288888888889</v>
      </c>
      <c r="EQ77">
        <v>39.20833333333334</v>
      </c>
      <c r="ER77">
        <v>0</v>
      </c>
      <c r="ES77">
        <v>0</v>
      </c>
      <c r="ET77">
        <v>0</v>
      </c>
      <c r="EU77">
        <v>1761018363.1</v>
      </c>
      <c r="EV77">
        <v>0</v>
      </c>
      <c r="EW77">
        <v>523.2423076923077</v>
      </c>
      <c r="EX77">
        <v>-40.41367526266681</v>
      </c>
      <c r="EY77">
        <v>26.67008577322141</v>
      </c>
      <c r="EZ77">
        <v>-10.95769230769231</v>
      </c>
      <c r="FA77">
        <v>15</v>
      </c>
      <c r="FB77">
        <v>1761018162.5</v>
      </c>
      <c r="FC77" t="s">
        <v>490</v>
      </c>
      <c r="FD77">
        <v>1761018155.5</v>
      </c>
      <c r="FE77">
        <v>1761018162.5</v>
      </c>
      <c r="FF77">
        <v>24</v>
      </c>
      <c r="FG77">
        <v>-0.207</v>
      </c>
      <c r="FH77">
        <v>-0.006</v>
      </c>
      <c r="FI77">
        <v>-0.825</v>
      </c>
      <c r="FJ77">
        <v>0.194</v>
      </c>
      <c r="FK77">
        <v>420</v>
      </c>
      <c r="FL77">
        <v>24</v>
      </c>
      <c r="FM77">
        <v>0.19</v>
      </c>
      <c r="FN77">
        <v>0.1</v>
      </c>
      <c r="FO77">
        <v>0.668729425</v>
      </c>
      <c r="FP77">
        <v>0.2929825553470919</v>
      </c>
      <c r="FQ77">
        <v>0.06351854217663039</v>
      </c>
      <c r="FR77">
        <v>1</v>
      </c>
      <c r="FS77">
        <v>523.1529411764706</v>
      </c>
      <c r="FT77">
        <v>-12.57753999158756</v>
      </c>
      <c r="FU77">
        <v>7.84621434736365</v>
      </c>
      <c r="FV77">
        <v>0</v>
      </c>
      <c r="FW77">
        <v>-0.007419495387500001</v>
      </c>
      <c r="FX77">
        <v>0.3314453993527207</v>
      </c>
      <c r="FY77">
        <v>0.03316513240642764</v>
      </c>
      <c r="FZ77">
        <v>0</v>
      </c>
      <c r="GA77">
        <v>1</v>
      </c>
      <c r="GB77">
        <v>3</v>
      </c>
      <c r="GC77" t="s">
        <v>431</v>
      </c>
      <c r="GD77">
        <v>3.10952</v>
      </c>
      <c r="GE77">
        <v>2.72647</v>
      </c>
      <c r="GF77">
        <v>0.0887125</v>
      </c>
      <c r="GG77">
        <v>0.088521</v>
      </c>
      <c r="GH77">
        <v>0.108812</v>
      </c>
      <c r="GI77">
        <v>0.109734</v>
      </c>
      <c r="GJ77">
        <v>23906.6</v>
      </c>
      <c r="GK77">
        <v>21677.3</v>
      </c>
      <c r="GL77">
        <v>26792.1</v>
      </c>
      <c r="GM77">
        <v>23989.6</v>
      </c>
      <c r="GN77">
        <v>38151.4</v>
      </c>
      <c r="GO77">
        <v>31509.3</v>
      </c>
      <c r="GP77">
        <v>46764.1</v>
      </c>
      <c r="GQ77">
        <v>37930</v>
      </c>
      <c r="GR77">
        <v>1.88958</v>
      </c>
      <c r="GS77">
        <v>1.88153</v>
      </c>
      <c r="GT77">
        <v>0.129122</v>
      </c>
      <c r="GU77">
        <v>0</v>
      </c>
      <c r="GV77">
        <v>27.9441</v>
      </c>
      <c r="GW77">
        <v>999.9</v>
      </c>
      <c r="GX77">
        <v>63.6</v>
      </c>
      <c r="GY77">
        <v>28.9</v>
      </c>
      <c r="GZ77">
        <v>28.0121</v>
      </c>
      <c r="HA77">
        <v>61.42</v>
      </c>
      <c r="HB77">
        <v>20.0321</v>
      </c>
      <c r="HC77">
        <v>1</v>
      </c>
      <c r="HD77">
        <v>0.0458994</v>
      </c>
      <c r="HE77">
        <v>-2.25504</v>
      </c>
      <c r="HF77">
        <v>20.323</v>
      </c>
      <c r="HG77">
        <v>5.22163</v>
      </c>
      <c r="HH77">
        <v>11.98</v>
      </c>
      <c r="HI77">
        <v>4.9654</v>
      </c>
      <c r="HJ77">
        <v>3.27593</v>
      </c>
      <c r="HK77">
        <v>9999</v>
      </c>
      <c r="HL77">
        <v>9999</v>
      </c>
      <c r="HM77">
        <v>9999</v>
      </c>
      <c r="HN77">
        <v>999.9</v>
      </c>
      <c r="HO77">
        <v>1.86358</v>
      </c>
      <c r="HP77">
        <v>1.85974</v>
      </c>
      <c r="HQ77">
        <v>1.85799</v>
      </c>
      <c r="HR77">
        <v>1.8594</v>
      </c>
      <c r="HS77">
        <v>1.85959</v>
      </c>
      <c r="HT77">
        <v>1.85802</v>
      </c>
      <c r="HU77">
        <v>1.8571</v>
      </c>
      <c r="HV77">
        <v>1.85208</v>
      </c>
      <c r="HW77">
        <v>0</v>
      </c>
      <c r="HX77">
        <v>0</v>
      </c>
      <c r="HY77">
        <v>0</v>
      </c>
      <c r="HZ77">
        <v>0</v>
      </c>
      <c r="IA77" t="s">
        <v>424</v>
      </c>
      <c r="IB77" t="s">
        <v>425</v>
      </c>
      <c r="IC77" t="s">
        <v>426</v>
      </c>
      <c r="ID77" t="s">
        <v>426</v>
      </c>
      <c r="IE77" t="s">
        <v>426</v>
      </c>
      <c r="IF77" t="s">
        <v>426</v>
      </c>
      <c r="IG77">
        <v>0</v>
      </c>
      <c r="IH77">
        <v>100</v>
      </c>
      <c r="II77">
        <v>100</v>
      </c>
      <c r="IJ77">
        <v>-0.824</v>
      </c>
      <c r="IK77">
        <v>0.2032</v>
      </c>
      <c r="IL77">
        <v>-1.613291919289301</v>
      </c>
      <c r="IM77">
        <v>0.001328113201692861</v>
      </c>
      <c r="IN77">
        <v>1.538283238170363E-06</v>
      </c>
      <c r="IO77">
        <v>-5.795655626708063E-10</v>
      </c>
      <c r="IP77">
        <v>-0.05565860728478197</v>
      </c>
      <c r="IQ77">
        <v>-0.004593102289677449</v>
      </c>
      <c r="IR77">
        <v>0.0008253994458280543</v>
      </c>
      <c r="IS77">
        <v>-7.403632370499484E-06</v>
      </c>
      <c r="IT77">
        <v>2</v>
      </c>
      <c r="IU77">
        <v>1985</v>
      </c>
      <c r="IV77">
        <v>1</v>
      </c>
      <c r="IW77">
        <v>27</v>
      </c>
      <c r="IX77">
        <v>3.5</v>
      </c>
      <c r="IY77">
        <v>3.4</v>
      </c>
      <c r="IZ77">
        <v>1.12427</v>
      </c>
      <c r="JA77">
        <v>2.57324</v>
      </c>
      <c r="JB77">
        <v>1.49658</v>
      </c>
      <c r="JC77">
        <v>2.34253</v>
      </c>
      <c r="JD77">
        <v>1.54907</v>
      </c>
      <c r="JE77">
        <v>2.32544</v>
      </c>
      <c r="JF77">
        <v>31.8488</v>
      </c>
      <c r="JG77">
        <v>14.6049</v>
      </c>
      <c r="JH77">
        <v>18</v>
      </c>
      <c r="JI77">
        <v>482.976</v>
      </c>
      <c r="JJ77">
        <v>507.578</v>
      </c>
      <c r="JK77">
        <v>31.937</v>
      </c>
      <c r="JL77">
        <v>27.8446</v>
      </c>
      <c r="JM77">
        <v>29.9995</v>
      </c>
      <c r="JN77">
        <v>28.1717</v>
      </c>
      <c r="JO77">
        <v>28.1809</v>
      </c>
      <c r="JP77">
        <v>22.5964</v>
      </c>
      <c r="JQ77">
        <v>18.7764</v>
      </c>
      <c r="JR77">
        <v>82.7188</v>
      </c>
      <c r="JS77">
        <v>31.869</v>
      </c>
      <c r="JT77">
        <v>420</v>
      </c>
      <c r="JU77">
        <v>23.832</v>
      </c>
      <c r="JV77">
        <v>102.262</v>
      </c>
      <c r="JW77">
        <v>91.4956</v>
      </c>
    </row>
    <row r="78" spans="1:283">
      <c r="A78">
        <v>60</v>
      </c>
      <c r="B78">
        <v>1761018366</v>
      </c>
      <c r="C78">
        <v>296.5</v>
      </c>
      <c r="D78" t="s">
        <v>547</v>
      </c>
      <c r="E78" t="s">
        <v>548</v>
      </c>
      <c r="F78">
        <v>5</v>
      </c>
      <c r="G78" t="s">
        <v>489</v>
      </c>
      <c r="H78">
        <v>1761018363</v>
      </c>
      <c r="I78">
        <f>(J78)/1000</f>
        <v>0</v>
      </c>
      <c r="J78">
        <f>1000*DJ78*AH78*(DF78-DG78)/(100*CY78*(1000-AH78*DF78))</f>
        <v>0</v>
      </c>
      <c r="K78">
        <f>DJ78*AH78*(DE78-DD78*(1000-AH78*DG78)/(1000-AH78*DF78))/(100*CY78)</f>
        <v>0</v>
      </c>
      <c r="L78">
        <f>DD78 - IF(AH78&gt;1, K78*CY78*100.0/(AJ78), 0)</f>
        <v>0</v>
      </c>
      <c r="M78">
        <f>((S78-I78/2)*L78-K78)/(S78+I78/2)</f>
        <v>0</v>
      </c>
      <c r="N78">
        <f>M78*(DK78+DL78)/1000.0</f>
        <v>0</v>
      </c>
      <c r="O78">
        <f>(DD78 - IF(AH78&gt;1, K78*CY78*100.0/(AJ78), 0))*(DK78+DL78)/1000.0</f>
        <v>0</v>
      </c>
      <c r="P78">
        <f>2.0/((1/R78-1/Q78)+SIGN(R78)*SQRT((1/R78-1/Q78)*(1/R78-1/Q78) + 4*CZ78/((CZ78+1)*(CZ78+1))*(2*1/R78*1/Q78-1/Q78*1/Q78)))</f>
        <v>0</v>
      </c>
      <c r="Q78">
        <f>IF(LEFT(DA78,1)&lt;&gt;"0",IF(LEFT(DA78,1)="1",3.0,DB78),$D$5+$E$5*(DR78*DK78/($K$5*1000))+$F$5*(DR78*DK78/($K$5*1000))*MAX(MIN(CY78,$J$5),$I$5)*MAX(MIN(CY78,$J$5),$I$5)+$G$5*MAX(MIN(CY78,$J$5),$I$5)*(DR78*DK78/($K$5*1000))+$H$5*(DR78*DK78/($K$5*1000))*(DR78*DK78/($K$5*1000)))</f>
        <v>0</v>
      </c>
      <c r="R78">
        <f>I78*(1000-(1000*0.61365*exp(17.502*V78/(240.97+V78))/(DK78+DL78)+DF78)/2)/(1000*0.61365*exp(17.502*V78/(240.97+V78))/(DK78+DL78)-DF78)</f>
        <v>0</v>
      </c>
      <c r="S78">
        <f>1/((CZ78+1)/(P78/1.6)+1/(Q78/1.37)) + CZ78/((CZ78+1)/(P78/1.6) + CZ78/(Q78/1.37))</f>
        <v>0</v>
      </c>
      <c r="T78">
        <f>(CU78*CX78)</f>
        <v>0</v>
      </c>
      <c r="U78">
        <f>(DM78+(T78+2*0.95*5.67E-8*(((DM78+$B$9)+273)^4-(DM78+273)^4)-44100*I78)/(1.84*29.3*Q78+8*0.95*5.67E-8*(DM78+273)^3))</f>
        <v>0</v>
      </c>
      <c r="V78">
        <f>($C$9*DN78+$D$9*DO78+$E$9*U78)</f>
        <v>0</v>
      </c>
      <c r="W78">
        <f>0.61365*exp(17.502*V78/(240.97+V78))</f>
        <v>0</v>
      </c>
      <c r="X78">
        <f>(Y78/Z78*100)</f>
        <v>0</v>
      </c>
      <c r="Y78">
        <f>DF78*(DK78+DL78)/1000</f>
        <v>0</v>
      </c>
      <c r="Z78">
        <f>0.61365*exp(17.502*DM78/(240.97+DM78))</f>
        <v>0</v>
      </c>
      <c r="AA78">
        <f>(W78-DF78*(DK78+DL78)/1000)</f>
        <v>0</v>
      </c>
      <c r="AB78">
        <f>(-I78*44100)</f>
        <v>0</v>
      </c>
      <c r="AC78">
        <f>2*29.3*Q78*0.92*(DM78-V78)</f>
        <v>0</v>
      </c>
      <c r="AD78">
        <f>2*0.95*5.67E-8*(((DM78+$B$9)+273)^4-(V78+273)^4)</f>
        <v>0</v>
      </c>
      <c r="AE78">
        <f>T78+AD78+AB78+AC78</f>
        <v>0</v>
      </c>
      <c r="AF78">
        <v>0</v>
      </c>
      <c r="AG78">
        <v>0</v>
      </c>
      <c r="AH78">
        <f>IF(AF78*$H$15&gt;=AJ78,1.0,(AJ78/(AJ78-AF78*$H$15)))</f>
        <v>0</v>
      </c>
      <c r="AI78">
        <f>(AH78-1)*100</f>
        <v>0</v>
      </c>
      <c r="AJ78">
        <f>MAX(0,($B$15+$C$15*DR78)/(1+$D$15*DR78)*DK78/(DM78+273)*$E$15)</f>
        <v>0</v>
      </c>
      <c r="AK78" t="s">
        <v>420</v>
      </c>
      <c r="AL78" t="s">
        <v>420</v>
      </c>
      <c r="AM78">
        <v>0</v>
      </c>
      <c r="AN78">
        <v>0</v>
      </c>
      <c r="AO78">
        <f>1-AM78/AN78</f>
        <v>0</v>
      </c>
      <c r="AP78">
        <v>0</v>
      </c>
      <c r="AQ78" t="s">
        <v>420</v>
      </c>
      <c r="AR78" t="s">
        <v>420</v>
      </c>
      <c r="AS78">
        <v>0</v>
      </c>
      <c r="AT78">
        <v>0</v>
      </c>
      <c r="AU78">
        <f>1-AS78/AT78</f>
        <v>0</v>
      </c>
      <c r="AV78">
        <v>0.5</v>
      </c>
      <c r="AW78">
        <f>CV78</f>
        <v>0</v>
      </c>
      <c r="AX78">
        <f>K78</f>
        <v>0</v>
      </c>
      <c r="AY78">
        <f>AU78*AV78*AW78</f>
        <v>0</v>
      </c>
      <c r="AZ78">
        <f>(AX78-AP78)/AW78</f>
        <v>0</v>
      </c>
      <c r="BA78">
        <f>(AN78-AT78)/AT78</f>
        <v>0</v>
      </c>
      <c r="BB78">
        <f>AM78/(AO78+AM78/AT78)</f>
        <v>0</v>
      </c>
      <c r="BC78" t="s">
        <v>420</v>
      </c>
      <c r="BD78">
        <v>0</v>
      </c>
      <c r="BE78">
        <f>IF(BD78&lt;&gt;0, BD78, BB78)</f>
        <v>0</v>
      </c>
      <c r="BF78">
        <f>1-BE78/AT78</f>
        <v>0</v>
      </c>
      <c r="BG78">
        <f>(AT78-AS78)/(AT78-BE78)</f>
        <v>0</v>
      </c>
      <c r="BH78">
        <f>(AN78-AT78)/(AN78-BE78)</f>
        <v>0</v>
      </c>
      <c r="BI78">
        <f>(AT78-AS78)/(AT78-AM78)</f>
        <v>0</v>
      </c>
      <c r="BJ78">
        <f>(AN78-AT78)/(AN78-AM78)</f>
        <v>0</v>
      </c>
      <c r="BK78">
        <f>(BG78*BE78/AS78)</f>
        <v>0</v>
      </c>
      <c r="BL78">
        <f>(1-BK78)</f>
        <v>0</v>
      </c>
      <c r="CU78">
        <f>$B$13*DS78+$C$13*DT78+$F$13*EE78*(1-EH78)</f>
        <v>0</v>
      </c>
      <c r="CV78">
        <f>CU78*CW78</f>
        <v>0</v>
      </c>
      <c r="CW78">
        <f>($B$13*$D$11+$C$13*$D$11+$F$13*((ER78+EJ78)/MAX(ER78+EJ78+ES78, 0.1)*$I$11+ES78/MAX(ER78+EJ78+ES78, 0.1)*$J$11))/($B$13+$C$13+$F$13)</f>
        <v>0</v>
      </c>
      <c r="CX78">
        <f>($B$13*$K$11+$C$13*$K$11+$F$13*((ER78+EJ78)/MAX(ER78+EJ78+ES78, 0.1)*$P$11+ES78/MAX(ER78+EJ78+ES78, 0.1)*$Q$11))/($B$13+$C$13+$F$13)</f>
        <v>0</v>
      </c>
      <c r="CY78">
        <v>4.16</v>
      </c>
      <c r="CZ78">
        <v>0.5</v>
      </c>
      <c r="DA78" t="s">
        <v>421</v>
      </c>
      <c r="DB78">
        <v>2</v>
      </c>
      <c r="DC78">
        <v>1761018363</v>
      </c>
      <c r="DD78">
        <v>420.6428888888889</v>
      </c>
      <c r="DE78">
        <v>419.9293333333333</v>
      </c>
      <c r="DF78">
        <v>24.01991111111111</v>
      </c>
      <c r="DG78">
        <v>23.97606666666666</v>
      </c>
      <c r="DH78">
        <v>421.4664444444445</v>
      </c>
      <c r="DI78">
        <v>23.81678888888889</v>
      </c>
      <c r="DJ78">
        <v>499.9277777777778</v>
      </c>
      <c r="DK78">
        <v>90.78767777777777</v>
      </c>
      <c r="DL78">
        <v>0.0347863</v>
      </c>
      <c r="DM78">
        <v>30.41585555555556</v>
      </c>
      <c r="DN78">
        <v>30.04907777777778</v>
      </c>
      <c r="DO78">
        <v>999.9000000000001</v>
      </c>
      <c r="DP78">
        <v>0</v>
      </c>
      <c r="DQ78">
        <v>0</v>
      </c>
      <c r="DR78">
        <v>10000.21333333333</v>
      </c>
      <c r="DS78">
        <v>0</v>
      </c>
      <c r="DT78">
        <v>0.242856</v>
      </c>
      <c r="DU78">
        <v>0.7134670000000001</v>
      </c>
      <c r="DV78">
        <v>430.9951111111111</v>
      </c>
      <c r="DW78">
        <v>430.2448888888889</v>
      </c>
      <c r="DX78">
        <v>0.04384824444444443</v>
      </c>
      <c r="DY78">
        <v>419.9293333333333</v>
      </c>
      <c r="DZ78">
        <v>23.97606666666666</v>
      </c>
      <c r="EA78">
        <v>2.180711111111111</v>
      </c>
      <c r="EB78">
        <v>2.176732222222222</v>
      </c>
      <c r="EC78">
        <v>18.82131111111111</v>
      </c>
      <c r="ED78">
        <v>18.79207777777778</v>
      </c>
      <c r="EE78">
        <v>0.00500078</v>
      </c>
      <c r="EF78">
        <v>0</v>
      </c>
      <c r="EG78">
        <v>0</v>
      </c>
      <c r="EH78">
        <v>0</v>
      </c>
      <c r="EI78">
        <v>521.1999999999999</v>
      </c>
      <c r="EJ78">
        <v>0.00500078</v>
      </c>
      <c r="EK78">
        <v>-8.088888888888889</v>
      </c>
      <c r="EL78">
        <v>1.122222222222222</v>
      </c>
      <c r="EM78">
        <v>35.972</v>
      </c>
      <c r="EN78">
        <v>40.708</v>
      </c>
      <c r="EO78">
        <v>38.90955555555556</v>
      </c>
      <c r="EP78">
        <v>41.76377777777778</v>
      </c>
      <c r="EQ78">
        <v>39.18744444444444</v>
      </c>
      <c r="ER78">
        <v>0</v>
      </c>
      <c r="ES78">
        <v>0</v>
      </c>
      <c r="ET78">
        <v>0</v>
      </c>
      <c r="EU78">
        <v>1761018364.9</v>
      </c>
      <c r="EV78">
        <v>0</v>
      </c>
      <c r="EW78">
        <v>523.204</v>
      </c>
      <c r="EX78">
        <v>-29.81538456826434</v>
      </c>
      <c r="EY78">
        <v>18.36923099673939</v>
      </c>
      <c r="EZ78">
        <v>-10.96</v>
      </c>
      <c r="FA78">
        <v>15</v>
      </c>
      <c r="FB78">
        <v>1761018162.5</v>
      </c>
      <c r="FC78" t="s">
        <v>490</v>
      </c>
      <c r="FD78">
        <v>1761018155.5</v>
      </c>
      <c r="FE78">
        <v>1761018162.5</v>
      </c>
      <c r="FF78">
        <v>24</v>
      </c>
      <c r="FG78">
        <v>-0.207</v>
      </c>
      <c r="FH78">
        <v>-0.006</v>
      </c>
      <c r="FI78">
        <v>-0.825</v>
      </c>
      <c r="FJ78">
        <v>0.194</v>
      </c>
      <c r="FK78">
        <v>420</v>
      </c>
      <c r="FL78">
        <v>24</v>
      </c>
      <c r="FM78">
        <v>0.19</v>
      </c>
      <c r="FN78">
        <v>0.1</v>
      </c>
      <c r="FO78">
        <v>0.6669386097560975</v>
      </c>
      <c r="FP78">
        <v>0.1778342299651563</v>
      </c>
      <c r="FQ78">
        <v>0.06421568960509157</v>
      </c>
      <c r="FR78">
        <v>1</v>
      </c>
      <c r="FS78">
        <v>523.0058823529411</v>
      </c>
      <c r="FT78">
        <v>-8.794499627714051</v>
      </c>
      <c r="FU78">
        <v>7.989513022650407</v>
      </c>
      <c r="FV78">
        <v>0</v>
      </c>
      <c r="FW78">
        <v>0.002317560597560976</v>
      </c>
      <c r="FX78">
        <v>0.356474458348432</v>
      </c>
      <c r="FY78">
        <v>0.03555648830460033</v>
      </c>
      <c r="FZ78">
        <v>0</v>
      </c>
      <c r="GA78">
        <v>1</v>
      </c>
      <c r="GB78">
        <v>3</v>
      </c>
      <c r="GC78" t="s">
        <v>431</v>
      </c>
      <c r="GD78">
        <v>3.10969</v>
      </c>
      <c r="GE78">
        <v>2.72634</v>
      </c>
      <c r="GF78">
        <v>0.08872149999999999</v>
      </c>
      <c r="GG78">
        <v>0.08853519999999999</v>
      </c>
      <c r="GH78">
        <v>0.108831</v>
      </c>
      <c r="GI78">
        <v>0.109732</v>
      </c>
      <c r="GJ78">
        <v>23906.6</v>
      </c>
      <c r="GK78">
        <v>21677</v>
      </c>
      <c r="GL78">
        <v>26792.3</v>
      </c>
      <c r="GM78">
        <v>23989.7</v>
      </c>
      <c r="GN78">
        <v>38151</v>
      </c>
      <c r="GO78">
        <v>31509.2</v>
      </c>
      <c r="GP78">
        <v>46764.6</v>
      </c>
      <c r="GQ78">
        <v>37929.9</v>
      </c>
      <c r="GR78">
        <v>1.88975</v>
      </c>
      <c r="GS78">
        <v>1.88137</v>
      </c>
      <c r="GT78">
        <v>0.129521</v>
      </c>
      <c r="GU78">
        <v>0</v>
      </c>
      <c r="GV78">
        <v>27.9471</v>
      </c>
      <c r="GW78">
        <v>999.9</v>
      </c>
      <c r="GX78">
        <v>63.6</v>
      </c>
      <c r="GY78">
        <v>28.9</v>
      </c>
      <c r="GZ78">
        <v>28.0138</v>
      </c>
      <c r="HA78">
        <v>61.28</v>
      </c>
      <c r="HB78">
        <v>20.1402</v>
      </c>
      <c r="HC78">
        <v>1</v>
      </c>
      <c r="HD78">
        <v>0.0455361</v>
      </c>
      <c r="HE78">
        <v>-2.21508</v>
      </c>
      <c r="HF78">
        <v>20.3235</v>
      </c>
      <c r="HG78">
        <v>5.22163</v>
      </c>
      <c r="HH78">
        <v>11.98</v>
      </c>
      <c r="HI78">
        <v>4.9654</v>
      </c>
      <c r="HJ78">
        <v>3.27595</v>
      </c>
      <c r="HK78">
        <v>9999</v>
      </c>
      <c r="HL78">
        <v>9999</v>
      </c>
      <c r="HM78">
        <v>9999</v>
      </c>
      <c r="HN78">
        <v>999.9</v>
      </c>
      <c r="HO78">
        <v>1.86358</v>
      </c>
      <c r="HP78">
        <v>1.85974</v>
      </c>
      <c r="HQ78">
        <v>1.858</v>
      </c>
      <c r="HR78">
        <v>1.85937</v>
      </c>
      <c r="HS78">
        <v>1.85959</v>
      </c>
      <c r="HT78">
        <v>1.85802</v>
      </c>
      <c r="HU78">
        <v>1.85709</v>
      </c>
      <c r="HV78">
        <v>1.85209</v>
      </c>
      <c r="HW78">
        <v>0</v>
      </c>
      <c r="HX78">
        <v>0</v>
      </c>
      <c r="HY78">
        <v>0</v>
      </c>
      <c r="HZ78">
        <v>0</v>
      </c>
      <c r="IA78" t="s">
        <v>424</v>
      </c>
      <c r="IB78" t="s">
        <v>425</v>
      </c>
      <c r="IC78" t="s">
        <v>426</v>
      </c>
      <c r="ID78" t="s">
        <v>426</v>
      </c>
      <c r="IE78" t="s">
        <v>426</v>
      </c>
      <c r="IF78" t="s">
        <v>426</v>
      </c>
      <c r="IG78">
        <v>0</v>
      </c>
      <c r="IH78">
        <v>100</v>
      </c>
      <c r="II78">
        <v>100</v>
      </c>
      <c r="IJ78">
        <v>-0.824</v>
      </c>
      <c r="IK78">
        <v>0.2033</v>
      </c>
      <c r="IL78">
        <v>-1.613291919289301</v>
      </c>
      <c r="IM78">
        <v>0.001328113201692861</v>
      </c>
      <c r="IN78">
        <v>1.538283238170363E-06</v>
      </c>
      <c r="IO78">
        <v>-5.795655626708063E-10</v>
      </c>
      <c r="IP78">
        <v>-0.05565860728478197</v>
      </c>
      <c r="IQ78">
        <v>-0.004593102289677449</v>
      </c>
      <c r="IR78">
        <v>0.0008253994458280543</v>
      </c>
      <c r="IS78">
        <v>-7.403632370499484E-06</v>
      </c>
      <c r="IT78">
        <v>2</v>
      </c>
      <c r="IU78">
        <v>1985</v>
      </c>
      <c r="IV78">
        <v>1</v>
      </c>
      <c r="IW78">
        <v>27</v>
      </c>
      <c r="IX78">
        <v>3.5</v>
      </c>
      <c r="IY78">
        <v>3.4</v>
      </c>
      <c r="IZ78">
        <v>1.12427</v>
      </c>
      <c r="JA78">
        <v>2.56714</v>
      </c>
      <c r="JB78">
        <v>1.49658</v>
      </c>
      <c r="JC78">
        <v>2.34253</v>
      </c>
      <c r="JD78">
        <v>1.54907</v>
      </c>
      <c r="JE78">
        <v>2.45605</v>
      </c>
      <c r="JF78">
        <v>31.8488</v>
      </c>
      <c r="JG78">
        <v>14.6224</v>
      </c>
      <c r="JH78">
        <v>18</v>
      </c>
      <c r="JI78">
        <v>483.055</v>
      </c>
      <c r="JJ78">
        <v>507.451</v>
      </c>
      <c r="JK78">
        <v>31.9145</v>
      </c>
      <c r="JL78">
        <v>27.8416</v>
      </c>
      <c r="JM78">
        <v>29.9994</v>
      </c>
      <c r="JN78">
        <v>28.1687</v>
      </c>
      <c r="JO78">
        <v>28.1779</v>
      </c>
      <c r="JP78">
        <v>22.5985</v>
      </c>
      <c r="JQ78">
        <v>19.0648</v>
      </c>
      <c r="JR78">
        <v>82.7188</v>
      </c>
      <c r="JS78">
        <v>31.869</v>
      </c>
      <c r="JT78">
        <v>420</v>
      </c>
      <c r="JU78">
        <v>23.8188</v>
      </c>
      <c r="JV78">
        <v>102.263</v>
      </c>
      <c r="JW78">
        <v>91.49550000000001</v>
      </c>
    </row>
    <row r="79" spans="1:283">
      <c r="A79">
        <v>61</v>
      </c>
      <c r="B79">
        <v>1761018573.6</v>
      </c>
      <c r="C79">
        <v>504.0999999046326</v>
      </c>
      <c r="D79" t="s">
        <v>549</v>
      </c>
      <c r="E79" t="s">
        <v>550</v>
      </c>
      <c r="F79">
        <v>5</v>
      </c>
      <c r="G79" t="s">
        <v>489</v>
      </c>
      <c r="H79">
        <v>1761018570.85</v>
      </c>
      <c r="I79">
        <f>(J79)/1000</f>
        <v>0</v>
      </c>
      <c r="J79">
        <f>1000*DJ79*AH79*(DF79-DG79)/(100*CY79*(1000-AH79*DF79))</f>
        <v>0</v>
      </c>
      <c r="K79">
        <f>DJ79*AH79*(DE79-DD79*(1000-AH79*DG79)/(1000-AH79*DF79))/(100*CY79)</f>
        <v>0</v>
      </c>
      <c r="L79">
        <f>DD79 - IF(AH79&gt;1, K79*CY79*100.0/(AJ79), 0)</f>
        <v>0</v>
      </c>
      <c r="M79">
        <f>((S79-I79/2)*L79-K79)/(S79+I79/2)</f>
        <v>0</v>
      </c>
      <c r="N79">
        <f>M79*(DK79+DL79)/1000.0</f>
        <v>0</v>
      </c>
      <c r="O79">
        <f>(DD79 - IF(AH79&gt;1, K79*CY79*100.0/(AJ79), 0))*(DK79+DL79)/1000.0</f>
        <v>0</v>
      </c>
      <c r="P79">
        <f>2.0/((1/R79-1/Q79)+SIGN(R79)*SQRT((1/R79-1/Q79)*(1/R79-1/Q79) + 4*CZ79/((CZ79+1)*(CZ79+1))*(2*1/R79*1/Q79-1/Q79*1/Q79)))</f>
        <v>0</v>
      </c>
      <c r="Q79">
        <f>IF(LEFT(DA79,1)&lt;&gt;"0",IF(LEFT(DA79,1)="1",3.0,DB79),$D$5+$E$5*(DR79*DK79/($K$5*1000))+$F$5*(DR79*DK79/($K$5*1000))*MAX(MIN(CY79,$J$5),$I$5)*MAX(MIN(CY79,$J$5),$I$5)+$G$5*MAX(MIN(CY79,$J$5),$I$5)*(DR79*DK79/($K$5*1000))+$H$5*(DR79*DK79/($K$5*1000))*(DR79*DK79/($K$5*1000)))</f>
        <v>0</v>
      </c>
      <c r="R79">
        <f>I79*(1000-(1000*0.61365*exp(17.502*V79/(240.97+V79))/(DK79+DL79)+DF79)/2)/(1000*0.61365*exp(17.502*V79/(240.97+V79))/(DK79+DL79)-DF79)</f>
        <v>0</v>
      </c>
      <c r="S79">
        <f>1/((CZ79+1)/(P79/1.6)+1/(Q79/1.37)) + CZ79/((CZ79+1)/(P79/1.6) + CZ79/(Q79/1.37))</f>
        <v>0</v>
      </c>
      <c r="T79">
        <f>(CU79*CX79)</f>
        <v>0</v>
      </c>
      <c r="U79">
        <f>(DM79+(T79+2*0.95*5.67E-8*(((DM79+$B$9)+273)^4-(DM79+273)^4)-44100*I79)/(1.84*29.3*Q79+8*0.95*5.67E-8*(DM79+273)^3))</f>
        <v>0</v>
      </c>
      <c r="V79">
        <f>($C$9*DN79+$D$9*DO79+$E$9*U79)</f>
        <v>0</v>
      </c>
      <c r="W79">
        <f>0.61365*exp(17.502*V79/(240.97+V79))</f>
        <v>0</v>
      </c>
      <c r="X79">
        <f>(Y79/Z79*100)</f>
        <v>0</v>
      </c>
      <c r="Y79">
        <f>DF79*(DK79+DL79)/1000</f>
        <v>0</v>
      </c>
      <c r="Z79">
        <f>0.61365*exp(17.502*DM79/(240.97+DM79))</f>
        <v>0</v>
      </c>
      <c r="AA79">
        <f>(W79-DF79*(DK79+DL79)/1000)</f>
        <v>0</v>
      </c>
      <c r="AB79">
        <f>(-I79*44100)</f>
        <v>0</v>
      </c>
      <c r="AC79">
        <f>2*29.3*Q79*0.92*(DM79-V79)</f>
        <v>0</v>
      </c>
      <c r="AD79">
        <f>2*0.95*5.67E-8*(((DM79+$B$9)+273)^4-(V79+273)^4)</f>
        <v>0</v>
      </c>
      <c r="AE79">
        <f>T79+AD79+AB79+AC79</f>
        <v>0</v>
      </c>
      <c r="AF79">
        <v>0</v>
      </c>
      <c r="AG79">
        <v>0</v>
      </c>
      <c r="AH79">
        <f>IF(AF79*$H$15&gt;=AJ79,1.0,(AJ79/(AJ79-AF79*$H$15)))</f>
        <v>0</v>
      </c>
      <c r="AI79">
        <f>(AH79-1)*100</f>
        <v>0</v>
      </c>
      <c r="AJ79">
        <f>MAX(0,($B$15+$C$15*DR79)/(1+$D$15*DR79)*DK79/(DM79+273)*$E$15)</f>
        <v>0</v>
      </c>
      <c r="AK79" t="s">
        <v>420</v>
      </c>
      <c r="AL79" t="s">
        <v>420</v>
      </c>
      <c r="AM79">
        <v>0</v>
      </c>
      <c r="AN79">
        <v>0</v>
      </c>
      <c r="AO79">
        <f>1-AM79/AN79</f>
        <v>0</v>
      </c>
      <c r="AP79">
        <v>0</v>
      </c>
      <c r="AQ79" t="s">
        <v>420</v>
      </c>
      <c r="AR79" t="s">
        <v>420</v>
      </c>
      <c r="AS79">
        <v>0</v>
      </c>
      <c r="AT79">
        <v>0</v>
      </c>
      <c r="AU79">
        <f>1-AS79/AT79</f>
        <v>0</v>
      </c>
      <c r="AV79">
        <v>0.5</v>
      </c>
      <c r="AW79">
        <f>CV79</f>
        <v>0</v>
      </c>
      <c r="AX79">
        <f>K79</f>
        <v>0</v>
      </c>
      <c r="AY79">
        <f>AU79*AV79*AW79</f>
        <v>0</v>
      </c>
      <c r="AZ79">
        <f>(AX79-AP79)/AW79</f>
        <v>0</v>
      </c>
      <c r="BA79">
        <f>(AN79-AT79)/AT79</f>
        <v>0</v>
      </c>
      <c r="BB79">
        <f>AM79/(AO79+AM79/AT79)</f>
        <v>0</v>
      </c>
      <c r="BC79" t="s">
        <v>420</v>
      </c>
      <c r="BD79">
        <v>0</v>
      </c>
      <c r="BE79">
        <f>IF(BD79&lt;&gt;0, BD79, BB79)</f>
        <v>0</v>
      </c>
      <c r="BF79">
        <f>1-BE79/AT79</f>
        <v>0</v>
      </c>
      <c r="BG79">
        <f>(AT79-AS79)/(AT79-BE79)</f>
        <v>0</v>
      </c>
      <c r="BH79">
        <f>(AN79-AT79)/(AN79-BE79)</f>
        <v>0</v>
      </c>
      <c r="BI79">
        <f>(AT79-AS79)/(AT79-AM79)</f>
        <v>0</v>
      </c>
      <c r="BJ79">
        <f>(AN79-AT79)/(AN79-AM79)</f>
        <v>0</v>
      </c>
      <c r="BK79">
        <f>(BG79*BE79/AS79)</f>
        <v>0</v>
      </c>
      <c r="BL79">
        <f>(1-BK79)</f>
        <v>0</v>
      </c>
      <c r="CU79">
        <f>$B$13*DS79+$C$13*DT79+$F$13*EE79*(1-EH79)</f>
        <v>0</v>
      </c>
      <c r="CV79">
        <f>CU79*CW79</f>
        <v>0</v>
      </c>
      <c r="CW79">
        <f>($B$13*$D$11+$C$13*$D$11+$F$13*((ER79+EJ79)/MAX(ER79+EJ79+ES79, 0.1)*$I$11+ES79/MAX(ER79+EJ79+ES79, 0.1)*$J$11))/($B$13+$C$13+$F$13)</f>
        <v>0</v>
      </c>
      <c r="CX79">
        <f>($B$13*$K$11+$C$13*$K$11+$F$13*((ER79+EJ79)/MAX(ER79+EJ79+ES79, 0.1)*$P$11+ES79/MAX(ER79+EJ79+ES79, 0.1)*$Q$11))/($B$13+$C$13+$F$13)</f>
        <v>0</v>
      </c>
      <c r="CY79">
        <v>1.37</v>
      </c>
      <c r="CZ79">
        <v>0.5</v>
      </c>
      <c r="DA79" t="s">
        <v>421</v>
      </c>
      <c r="DB79">
        <v>2</v>
      </c>
      <c r="DC79">
        <v>1761018570.85</v>
      </c>
      <c r="DD79">
        <v>420.2606</v>
      </c>
      <c r="DE79">
        <v>419.9383</v>
      </c>
      <c r="DF79">
        <v>23.06305</v>
      </c>
      <c r="DG79">
        <v>23.30879</v>
      </c>
      <c r="DH79">
        <v>421.6076</v>
      </c>
      <c r="DI79">
        <v>22.88507</v>
      </c>
      <c r="DJ79">
        <v>499.9968</v>
      </c>
      <c r="DK79">
        <v>90.79052</v>
      </c>
      <c r="DL79">
        <v>0.034248</v>
      </c>
      <c r="DM79">
        <v>29.7162</v>
      </c>
      <c r="DN79">
        <v>30.01586</v>
      </c>
      <c r="DO79">
        <v>999.9</v>
      </c>
      <c r="DP79">
        <v>0</v>
      </c>
      <c r="DQ79">
        <v>0</v>
      </c>
      <c r="DR79">
        <v>9999.761999999999</v>
      </c>
      <c r="DS79">
        <v>0</v>
      </c>
      <c r="DT79">
        <v>0.242856</v>
      </c>
      <c r="DU79">
        <v>0.3220338</v>
      </c>
      <c r="DV79">
        <v>430.1817</v>
      </c>
      <c r="DW79">
        <v>429.9603</v>
      </c>
      <c r="DX79">
        <v>-0.245762</v>
      </c>
      <c r="DY79">
        <v>419.9383</v>
      </c>
      <c r="DZ79">
        <v>23.30879</v>
      </c>
      <c r="EA79">
        <v>2.093904</v>
      </c>
      <c r="EB79">
        <v>2.116219</v>
      </c>
      <c r="EC79">
        <v>18.17288</v>
      </c>
      <c r="ED79">
        <v>18.34175</v>
      </c>
      <c r="EE79">
        <v>0.005000779999999999</v>
      </c>
      <c r="EF79">
        <v>0</v>
      </c>
      <c r="EG79">
        <v>0</v>
      </c>
      <c r="EH79">
        <v>0</v>
      </c>
      <c r="EI79">
        <v>79.66</v>
      </c>
      <c r="EJ79">
        <v>0.005000779999999999</v>
      </c>
      <c r="EK79">
        <v>-15.65</v>
      </c>
      <c r="EL79">
        <v>0.25</v>
      </c>
      <c r="EM79">
        <v>35.4312</v>
      </c>
      <c r="EN79">
        <v>39.6061</v>
      </c>
      <c r="EO79">
        <v>37.41240000000001</v>
      </c>
      <c r="EP79">
        <v>39.9935</v>
      </c>
      <c r="EQ79">
        <v>38.5249</v>
      </c>
      <c r="ER79">
        <v>0</v>
      </c>
      <c r="ES79">
        <v>0</v>
      </c>
      <c r="ET79">
        <v>0</v>
      </c>
      <c r="EU79">
        <v>1761018572.5</v>
      </c>
      <c r="EV79">
        <v>0</v>
      </c>
      <c r="EW79">
        <v>80.15600000000001</v>
      </c>
      <c r="EX79">
        <v>-5.699999834024077</v>
      </c>
      <c r="EY79">
        <v>12.69230780145366</v>
      </c>
      <c r="EZ79">
        <v>-16.808</v>
      </c>
      <c r="FA79">
        <v>15</v>
      </c>
      <c r="FB79">
        <v>1761018425</v>
      </c>
      <c r="FC79" t="s">
        <v>551</v>
      </c>
      <c r="FD79">
        <v>1761018422.5</v>
      </c>
      <c r="FE79">
        <v>1761018425</v>
      </c>
      <c r="FF79">
        <v>25</v>
      </c>
      <c r="FG79">
        <v>-0.524</v>
      </c>
      <c r="FH79">
        <v>-0.005</v>
      </c>
      <c r="FI79">
        <v>-1.348</v>
      </c>
      <c r="FJ79">
        <v>0.192</v>
      </c>
      <c r="FK79">
        <v>420</v>
      </c>
      <c r="FL79">
        <v>24</v>
      </c>
      <c r="FM79">
        <v>0.38</v>
      </c>
      <c r="FN79">
        <v>0.08</v>
      </c>
      <c r="FO79">
        <v>0.4055496250000001</v>
      </c>
      <c r="FP79">
        <v>-0.3803744127579758</v>
      </c>
      <c r="FQ79">
        <v>0.06233145525362276</v>
      </c>
      <c r="FR79">
        <v>1</v>
      </c>
      <c r="FS79">
        <v>80.39411764705882</v>
      </c>
      <c r="FT79">
        <v>-3.960275026112609</v>
      </c>
      <c r="FU79">
        <v>4.997466486158443</v>
      </c>
      <c r="FV79">
        <v>0</v>
      </c>
      <c r="FW79">
        <v>0.05550800574999999</v>
      </c>
      <c r="FX79">
        <v>-2.675054568517826</v>
      </c>
      <c r="FY79">
        <v>0.263326786059056</v>
      </c>
      <c r="FZ79">
        <v>0</v>
      </c>
      <c r="GA79">
        <v>1</v>
      </c>
      <c r="GB79">
        <v>3</v>
      </c>
      <c r="GC79" t="s">
        <v>431</v>
      </c>
      <c r="GD79">
        <v>3.10951</v>
      </c>
      <c r="GE79">
        <v>2.72612</v>
      </c>
      <c r="GF79">
        <v>0.0888017</v>
      </c>
      <c r="GG79">
        <v>0.08857660000000001</v>
      </c>
      <c r="GH79">
        <v>0.1061</v>
      </c>
      <c r="GI79">
        <v>0.107914</v>
      </c>
      <c r="GJ79">
        <v>23915</v>
      </c>
      <c r="GK79">
        <v>21673.9</v>
      </c>
      <c r="GL79">
        <v>26803.2</v>
      </c>
      <c r="GM79">
        <v>23986.3</v>
      </c>
      <c r="GN79">
        <v>38283.9</v>
      </c>
      <c r="GO79">
        <v>31564.5</v>
      </c>
      <c r="GP79">
        <v>46783.3</v>
      </c>
      <c r="GQ79">
        <v>37919</v>
      </c>
      <c r="GR79">
        <v>1.89328</v>
      </c>
      <c r="GS79">
        <v>1.88557</v>
      </c>
      <c r="GT79">
        <v>0.131223</v>
      </c>
      <c r="GU79">
        <v>0</v>
      </c>
      <c r="GV79">
        <v>27.8628</v>
      </c>
      <c r="GW79">
        <v>999.9</v>
      </c>
      <c r="GX79">
        <v>63.8</v>
      </c>
      <c r="GY79">
        <v>28.8</v>
      </c>
      <c r="GZ79">
        <v>27.9354</v>
      </c>
      <c r="HA79">
        <v>61.3673</v>
      </c>
      <c r="HB79">
        <v>20.0561</v>
      </c>
      <c r="HC79">
        <v>1</v>
      </c>
      <c r="HD79">
        <v>0.021814</v>
      </c>
      <c r="HE79">
        <v>-1.69221</v>
      </c>
      <c r="HF79">
        <v>20.3294</v>
      </c>
      <c r="HG79">
        <v>5.22088</v>
      </c>
      <c r="HH79">
        <v>11.9797</v>
      </c>
      <c r="HI79">
        <v>4.9657</v>
      </c>
      <c r="HJ79">
        <v>3.2759</v>
      </c>
      <c r="HK79">
        <v>9999</v>
      </c>
      <c r="HL79">
        <v>9999</v>
      </c>
      <c r="HM79">
        <v>9999</v>
      </c>
      <c r="HN79">
        <v>999.9</v>
      </c>
      <c r="HO79">
        <v>1.86358</v>
      </c>
      <c r="HP79">
        <v>1.85974</v>
      </c>
      <c r="HQ79">
        <v>1.85801</v>
      </c>
      <c r="HR79">
        <v>1.85938</v>
      </c>
      <c r="HS79">
        <v>1.85958</v>
      </c>
      <c r="HT79">
        <v>1.85802</v>
      </c>
      <c r="HU79">
        <v>1.85708</v>
      </c>
      <c r="HV79">
        <v>1.85207</v>
      </c>
      <c r="HW79">
        <v>0</v>
      </c>
      <c r="HX79">
        <v>0</v>
      </c>
      <c r="HY79">
        <v>0</v>
      </c>
      <c r="HZ79">
        <v>0</v>
      </c>
      <c r="IA79" t="s">
        <v>424</v>
      </c>
      <c r="IB79" t="s">
        <v>425</v>
      </c>
      <c r="IC79" t="s">
        <v>426</v>
      </c>
      <c r="ID79" t="s">
        <v>426</v>
      </c>
      <c r="IE79" t="s">
        <v>426</v>
      </c>
      <c r="IF79" t="s">
        <v>426</v>
      </c>
      <c r="IG79">
        <v>0</v>
      </c>
      <c r="IH79">
        <v>100</v>
      </c>
      <c r="II79">
        <v>100</v>
      </c>
      <c r="IJ79">
        <v>-1.347</v>
      </c>
      <c r="IK79">
        <v>0.1795</v>
      </c>
      <c r="IL79">
        <v>-2.136943090880341</v>
      </c>
      <c r="IM79">
        <v>0.001328113201692861</v>
      </c>
      <c r="IN79">
        <v>1.538283238170363E-06</v>
      </c>
      <c r="IO79">
        <v>-5.795655626708063E-10</v>
      </c>
      <c r="IP79">
        <v>-0.06045740820250394</v>
      </c>
      <c r="IQ79">
        <v>-0.004593102289677449</v>
      </c>
      <c r="IR79">
        <v>0.0008253994458280543</v>
      </c>
      <c r="IS79">
        <v>-7.403632370499484E-06</v>
      </c>
      <c r="IT79">
        <v>2</v>
      </c>
      <c r="IU79">
        <v>1985</v>
      </c>
      <c r="IV79">
        <v>1</v>
      </c>
      <c r="IW79">
        <v>27</v>
      </c>
      <c r="IX79">
        <v>2.5</v>
      </c>
      <c r="IY79">
        <v>2.5</v>
      </c>
      <c r="IZ79">
        <v>1.12549</v>
      </c>
      <c r="JA79">
        <v>2.58667</v>
      </c>
      <c r="JB79">
        <v>1.49658</v>
      </c>
      <c r="JC79">
        <v>2.34253</v>
      </c>
      <c r="JD79">
        <v>1.54907</v>
      </c>
      <c r="JE79">
        <v>2.35596</v>
      </c>
      <c r="JF79">
        <v>31.8707</v>
      </c>
      <c r="JG79">
        <v>14.5873</v>
      </c>
      <c r="JH79">
        <v>18</v>
      </c>
      <c r="JI79">
        <v>482.835</v>
      </c>
      <c r="JJ79">
        <v>507.696</v>
      </c>
      <c r="JK79">
        <v>30.5601</v>
      </c>
      <c r="JL79">
        <v>27.5544</v>
      </c>
      <c r="JM79">
        <v>29.9997</v>
      </c>
      <c r="JN79">
        <v>27.8739</v>
      </c>
      <c r="JO79">
        <v>27.8846</v>
      </c>
      <c r="JP79">
        <v>22.6276</v>
      </c>
      <c r="JQ79">
        <v>20.0228</v>
      </c>
      <c r="JR79">
        <v>83.46729999999999</v>
      </c>
      <c r="JS79">
        <v>30.5668</v>
      </c>
      <c r="JT79">
        <v>420</v>
      </c>
      <c r="JU79">
        <v>23.2235</v>
      </c>
      <c r="JV79">
        <v>102.305</v>
      </c>
      <c r="JW79">
        <v>91.4743</v>
      </c>
    </row>
    <row r="80" spans="1:283">
      <c r="A80">
        <v>62</v>
      </c>
      <c r="B80">
        <v>1761018575.6</v>
      </c>
      <c r="C80">
        <v>506.0999999046326</v>
      </c>
      <c r="D80" t="s">
        <v>552</v>
      </c>
      <c r="E80" t="s">
        <v>553</v>
      </c>
      <c r="F80">
        <v>5</v>
      </c>
      <c r="G80" t="s">
        <v>489</v>
      </c>
      <c r="H80">
        <v>1761018572.766667</v>
      </c>
      <c r="I80">
        <f>(J80)/1000</f>
        <v>0</v>
      </c>
      <c r="J80">
        <f>1000*DJ80*AH80*(DF80-DG80)/(100*CY80*(1000-AH80*DF80))</f>
        <v>0</v>
      </c>
      <c r="K80">
        <f>DJ80*AH80*(DE80-DD80*(1000-AH80*DG80)/(1000-AH80*DF80))/(100*CY80)</f>
        <v>0</v>
      </c>
      <c r="L80">
        <f>DD80 - IF(AH80&gt;1, K80*CY80*100.0/(AJ80), 0)</f>
        <v>0</v>
      </c>
      <c r="M80">
        <f>((S80-I80/2)*L80-K80)/(S80+I80/2)</f>
        <v>0</v>
      </c>
      <c r="N80">
        <f>M80*(DK80+DL80)/1000.0</f>
        <v>0</v>
      </c>
      <c r="O80">
        <f>(DD80 - IF(AH80&gt;1, K80*CY80*100.0/(AJ80), 0))*(DK80+DL80)/1000.0</f>
        <v>0</v>
      </c>
      <c r="P80">
        <f>2.0/((1/R80-1/Q80)+SIGN(R80)*SQRT((1/R80-1/Q80)*(1/R80-1/Q80) + 4*CZ80/((CZ80+1)*(CZ80+1))*(2*1/R80*1/Q80-1/Q80*1/Q80)))</f>
        <v>0</v>
      </c>
      <c r="Q80">
        <f>IF(LEFT(DA80,1)&lt;&gt;"0",IF(LEFT(DA80,1)="1",3.0,DB80),$D$5+$E$5*(DR80*DK80/($K$5*1000))+$F$5*(DR80*DK80/($K$5*1000))*MAX(MIN(CY80,$J$5),$I$5)*MAX(MIN(CY80,$J$5),$I$5)+$G$5*MAX(MIN(CY80,$J$5),$I$5)*(DR80*DK80/($K$5*1000))+$H$5*(DR80*DK80/($K$5*1000))*(DR80*DK80/($K$5*1000)))</f>
        <v>0</v>
      </c>
      <c r="R80">
        <f>I80*(1000-(1000*0.61365*exp(17.502*V80/(240.97+V80))/(DK80+DL80)+DF80)/2)/(1000*0.61365*exp(17.502*V80/(240.97+V80))/(DK80+DL80)-DF80)</f>
        <v>0</v>
      </c>
      <c r="S80">
        <f>1/((CZ80+1)/(P80/1.6)+1/(Q80/1.37)) + CZ80/((CZ80+1)/(P80/1.6) + CZ80/(Q80/1.37))</f>
        <v>0</v>
      </c>
      <c r="T80">
        <f>(CU80*CX80)</f>
        <v>0</v>
      </c>
      <c r="U80">
        <f>(DM80+(T80+2*0.95*5.67E-8*(((DM80+$B$9)+273)^4-(DM80+273)^4)-44100*I80)/(1.84*29.3*Q80+8*0.95*5.67E-8*(DM80+273)^3))</f>
        <v>0</v>
      </c>
      <c r="V80">
        <f>($C$9*DN80+$D$9*DO80+$E$9*U80)</f>
        <v>0</v>
      </c>
      <c r="W80">
        <f>0.61365*exp(17.502*V80/(240.97+V80))</f>
        <v>0</v>
      </c>
      <c r="X80">
        <f>(Y80/Z80*100)</f>
        <v>0</v>
      </c>
      <c r="Y80">
        <f>DF80*(DK80+DL80)/1000</f>
        <v>0</v>
      </c>
      <c r="Z80">
        <f>0.61365*exp(17.502*DM80/(240.97+DM80))</f>
        <v>0</v>
      </c>
      <c r="AA80">
        <f>(W80-DF80*(DK80+DL80)/1000)</f>
        <v>0</v>
      </c>
      <c r="AB80">
        <f>(-I80*44100)</f>
        <v>0</v>
      </c>
      <c r="AC80">
        <f>2*29.3*Q80*0.92*(DM80-V80)</f>
        <v>0</v>
      </c>
      <c r="AD80">
        <f>2*0.95*5.67E-8*(((DM80+$B$9)+273)^4-(V80+273)^4)</f>
        <v>0</v>
      </c>
      <c r="AE80">
        <f>T80+AD80+AB80+AC80</f>
        <v>0</v>
      </c>
      <c r="AF80">
        <v>0</v>
      </c>
      <c r="AG80">
        <v>0</v>
      </c>
      <c r="AH80">
        <f>IF(AF80*$H$15&gt;=AJ80,1.0,(AJ80/(AJ80-AF80*$H$15)))</f>
        <v>0</v>
      </c>
      <c r="AI80">
        <f>(AH80-1)*100</f>
        <v>0</v>
      </c>
      <c r="AJ80">
        <f>MAX(0,($B$15+$C$15*DR80)/(1+$D$15*DR80)*DK80/(DM80+273)*$E$15)</f>
        <v>0</v>
      </c>
      <c r="AK80" t="s">
        <v>420</v>
      </c>
      <c r="AL80" t="s">
        <v>420</v>
      </c>
      <c r="AM80">
        <v>0</v>
      </c>
      <c r="AN80">
        <v>0</v>
      </c>
      <c r="AO80">
        <f>1-AM80/AN80</f>
        <v>0</v>
      </c>
      <c r="AP80">
        <v>0</v>
      </c>
      <c r="AQ80" t="s">
        <v>420</v>
      </c>
      <c r="AR80" t="s">
        <v>420</v>
      </c>
      <c r="AS80">
        <v>0</v>
      </c>
      <c r="AT80">
        <v>0</v>
      </c>
      <c r="AU80">
        <f>1-AS80/AT80</f>
        <v>0</v>
      </c>
      <c r="AV80">
        <v>0.5</v>
      </c>
      <c r="AW80">
        <f>CV80</f>
        <v>0</v>
      </c>
      <c r="AX80">
        <f>K80</f>
        <v>0</v>
      </c>
      <c r="AY80">
        <f>AU80*AV80*AW80</f>
        <v>0</v>
      </c>
      <c r="AZ80">
        <f>(AX80-AP80)/AW80</f>
        <v>0</v>
      </c>
      <c r="BA80">
        <f>(AN80-AT80)/AT80</f>
        <v>0</v>
      </c>
      <c r="BB80">
        <f>AM80/(AO80+AM80/AT80)</f>
        <v>0</v>
      </c>
      <c r="BC80" t="s">
        <v>420</v>
      </c>
      <c r="BD80">
        <v>0</v>
      </c>
      <c r="BE80">
        <f>IF(BD80&lt;&gt;0, BD80, BB80)</f>
        <v>0</v>
      </c>
      <c r="BF80">
        <f>1-BE80/AT80</f>
        <v>0</v>
      </c>
      <c r="BG80">
        <f>(AT80-AS80)/(AT80-BE80)</f>
        <v>0</v>
      </c>
      <c r="BH80">
        <f>(AN80-AT80)/(AN80-BE80)</f>
        <v>0</v>
      </c>
      <c r="BI80">
        <f>(AT80-AS80)/(AT80-AM80)</f>
        <v>0</v>
      </c>
      <c r="BJ80">
        <f>(AN80-AT80)/(AN80-AM80)</f>
        <v>0</v>
      </c>
      <c r="BK80">
        <f>(BG80*BE80/AS80)</f>
        <v>0</v>
      </c>
      <c r="BL80">
        <f>(1-BK80)</f>
        <v>0</v>
      </c>
      <c r="CU80">
        <f>$B$13*DS80+$C$13*DT80+$F$13*EE80*(1-EH80)</f>
        <v>0</v>
      </c>
      <c r="CV80">
        <f>CU80*CW80</f>
        <v>0</v>
      </c>
      <c r="CW80">
        <f>($B$13*$D$11+$C$13*$D$11+$F$13*((ER80+EJ80)/MAX(ER80+EJ80+ES80, 0.1)*$I$11+ES80/MAX(ER80+EJ80+ES80, 0.1)*$J$11))/($B$13+$C$13+$F$13)</f>
        <v>0</v>
      </c>
      <c r="CX80">
        <f>($B$13*$K$11+$C$13*$K$11+$F$13*((ER80+EJ80)/MAX(ER80+EJ80+ES80, 0.1)*$P$11+ES80/MAX(ER80+EJ80+ES80, 0.1)*$Q$11))/($B$13+$C$13+$F$13)</f>
        <v>0</v>
      </c>
      <c r="CY80">
        <v>1.37</v>
      </c>
      <c r="CZ80">
        <v>0.5</v>
      </c>
      <c r="DA80" t="s">
        <v>421</v>
      </c>
      <c r="DB80">
        <v>2</v>
      </c>
      <c r="DC80">
        <v>1761018572.766667</v>
      </c>
      <c r="DD80">
        <v>420.2746666666667</v>
      </c>
      <c r="DE80">
        <v>419.9512222222222</v>
      </c>
      <c r="DF80">
        <v>23.11168888888889</v>
      </c>
      <c r="DG80">
        <v>23.35976666666667</v>
      </c>
      <c r="DH80">
        <v>421.6216666666667</v>
      </c>
      <c r="DI80">
        <v>22.9327</v>
      </c>
      <c r="DJ80">
        <v>499.9967777777778</v>
      </c>
      <c r="DK80">
        <v>90.79021111111111</v>
      </c>
      <c r="DL80">
        <v>0.03439254444444445</v>
      </c>
      <c r="DM80">
        <v>29.71013333333333</v>
      </c>
      <c r="DN80">
        <v>30.00744444444445</v>
      </c>
      <c r="DO80">
        <v>999.9000000000001</v>
      </c>
      <c r="DP80">
        <v>0</v>
      </c>
      <c r="DQ80">
        <v>0</v>
      </c>
      <c r="DR80">
        <v>9995.22111111111</v>
      </c>
      <c r="DS80">
        <v>0</v>
      </c>
      <c r="DT80">
        <v>0.242856</v>
      </c>
      <c r="DU80">
        <v>0.3232998888888889</v>
      </c>
      <c r="DV80">
        <v>430.2176666666667</v>
      </c>
      <c r="DW80">
        <v>429.996</v>
      </c>
      <c r="DX80">
        <v>-0.2480885555555556</v>
      </c>
      <c r="DY80">
        <v>419.9512222222222</v>
      </c>
      <c r="DZ80">
        <v>23.35976666666667</v>
      </c>
      <c r="EA80">
        <v>2.098313333333333</v>
      </c>
      <c r="EB80">
        <v>2.120838888888889</v>
      </c>
      <c r="EC80">
        <v>18.20636666666667</v>
      </c>
      <c r="ED80">
        <v>18.37655555555556</v>
      </c>
      <c r="EE80">
        <v>0.00500078</v>
      </c>
      <c r="EF80">
        <v>0</v>
      </c>
      <c r="EG80">
        <v>0</v>
      </c>
      <c r="EH80">
        <v>0</v>
      </c>
      <c r="EI80">
        <v>79.44444444444444</v>
      </c>
      <c r="EJ80">
        <v>0.00500078</v>
      </c>
      <c r="EK80">
        <v>-17.42222222222222</v>
      </c>
      <c r="EL80">
        <v>-0.611111111111111</v>
      </c>
      <c r="EM80">
        <v>35.45133333333334</v>
      </c>
      <c r="EN80">
        <v>39.63877777777778</v>
      </c>
      <c r="EO80">
        <v>37.43055555555556</v>
      </c>
      <c r="EP80">
        <v>40.03444444444445</v>
      </c>
      <c r="EQ80">
        <v>38.472</v>
      </c>
      <c r="ER80">
        <v>0</v>
      </c>
      <c r="ES80">
        <v>0</v>
      </c>
      <c r="ET80">
        <v>0</v>
      </c>
      <c r="EU80">
        <v>1761018574.9</v>
      </c>
      <c r="EV80">
        <v>0</v>
      </c>
      <c r="EW80">
        <v>80.312</v>
      </c>
      <c r="EX80">
        <v>0.330769631401884</v>
      </c>
      <c r="EY80">
        <v>-16.67692325580759</v>
      </c>
      <c r="EZ80">
        <v>-17.148</v>
      </c>
      <c r="FA80">
        <v>15</v>
      </c>
      <c r="FB80">
        <v>1761018425</v>
      </c>
      <c r="FC80" t="s">
        <v>551</v>
      </c>
      <c r="FD80">
        <v>1761018422.5</v>
      </c>
      <c r="FE80">
        <v>1761018425</v>
      </c>
      <c r="FF80">
        <v>25</v>
      </c>
      <c r="FG80">
        <v>-0.524</v>
      </c>
      <c r="FH80">
        <v>-0.005</v>
      </c>
      <c r="FI80">
        <v>-1.348</v>
      </c>
      <c r="FJ80">
        <v>0.192</v>
      </c>
      <c r="FK80">
        <v>420</v>
      </c>
      <c r="FL80">
        <v>24</v>
      </c>
      <c r="FM80">
        <v>0.38</v>
      </c>
      <c r="FN80">
        <v>0.08</v>
      </c>
      <c r="FO80">
        <v>0.402803756097561</v>
      </c>
      <c r="FP80">
        <v>-0.4165698397212546</v>
      </c>
      <c r="FQ80">
        <v>0.06271010987337494</v>
      </c>
      <c r="FR80">
        <v>1</v>
      </c>
      <c r="FS80">
        <v>80.28823529411765</v>
      </c>
      <c r="FT80">
        <v>-8.369747875403094</v>
      </c>
      <c r="FU80">
        <v>5.19823299762312</v>
      </c>
      <c r="FV80">
        <v>0</v>
      </c>
      <c r="FW80">
        <v>0.01594693243902438</v>
      </c>
      <c r="FX80">
        <v>-2.512546111358885</v>
      </c>
      <c r="FY80">
        <v>0.2571931448090035</v>
      </c>
      <c r="FZ80">
        <v>0</v>
      </c>
      <c r="GA80">
        <v>1</v>
      </c>
      <c r="GB80">
        <v>3</v>
      </c>
      <c r="GC80" t="s">
        <v>431</v>
      </c>
      <c r="GD80">
        <v>3.10951</v>
      </c>
      <c r="GE80">
        <v>2.72614</v>
      </c>
      <c r="GF80">
        <v>0.08880680000000001</v>
      </c>
      <c r="GG80">
        <v>0.08857710000000001</v>
      </c>
      <c r="GH80">
        <v>0.106258</v>
      </c>
      <c r="GI80">
        <v>0.108002</v>
      </c>
      <c r="GJ80">
        <v>23915</v>
      </c>
      <c r="GK80">
        <v>21673.7</v>
      </c>
      <c r="GL80">
        <v>26803.3</v>
      </c>
      <c r="GM80">
        <v>23986.1</v>
      </c>
      <c r="GN80">
        <v>38277.1</v>
      </c>
      <c r="GO80">
        <v>31561.2</v>
      </c>
      <c r="GP80">
        <v>46783.3</v>
      </c>
      <c r="GQ80">
        <v>37918.8</v>
      </c>
      <c r="GR80">
        <v>1.89315</v>
      </c>
      <c r="GS80">
        <v>1.88557</v>
      </c>
      <c r="GT80">
        <v>0.131074</v>
      </c>
      <c r="GU80">
        <v>0</v>
      </c>
      <c r="GV80">
        <v>27.8604</v>
      </c>
      <c r="GW80">
        <v>999.9</v>
      </c>
      <c r="GX80">
        <v>63.8</v>
      </c>
      <c r="GY80">
        <v>28.8</v>
      </c>
      <c r="GZ80">
        <v>27.9342</v>
      </c>
      <c r="HA80">
        <v>61.3473</v>
      </c>
      <c r="HB80">
        <v>20.2364</v>
      </c>
      <c r="HC80">
        <v>1</v>
      </c>
      <c r="HD80">
        <v>0.0217632</v>
      </c>
      <c r="HE80">
        <v>-1.73416</v>
      </c>
      <c r="HF80">
        <v>20.3291</v>
      </c>
      <c r="HG80">
        <v>5.21984</v>
      </c>
      <c r="HH80">
        <v>11.9798</v>
      </c>
      <c r="HI80">
        <v>4.9657</v>
      </c>
      <c r="HJ80">
        <v>3.27593</v>
      </c>
      <c r="HK80">
        <v>9999</v>
      </c>
      <c r="HL80">
        <v>9999</v>
      </c>
      <c r="HM80">
        <v>9999</v>
      </c>
      <c r="HN80">
        <v>999.9</v>
      </c>
      <c r="HO80">
        <v>1.86357</v>
      </c>
      <c r="HP80">
        <v>1.85974</v>
      </c>
      <c r="HQ80">
        <v>1.85802</v>
      </c>
      <c r="HR80">
        <v>1.85938</v>
      </c>
      <c r="HS80">
        <v>1.85958</v>
      </c>
      <c r="HT80">
        <v>1.85805</v>
      </c>
      <c r="HU80">
        <v>1.85708</v>
      </c>
      <c r="HV80">
        <v>1.85207</v>
      </c>
      <c r="HW80">
        <v>0</v>
      </c>
      <c r="HX80">
        <v>0</v>
      </c>
      <c r="HY80">
        <v>0</v>
      </c>
      <c r="HZ80">
        <v>0</v>
      </c>
      <c r="IA80" t="s">
        <v>424</v>
      </c>
      <c r="IB80" t="s">
        <v>425</v>
      </c>
      <c r="IC80" t="s">
        <v>426</v>
      </c>
      <c r="ID80" t="s">
        <v>426</v>
      </c>
      <c r="IE80" t="s">
        <v>426</v>
      </c>
      <c r="IF80" t="s">
        <v>426</v>
      </c>
      <c r="IG80">
        <v>0</v>
      </c>
      <c r="IH80">
        <v>100</v>
      </c>
      <c r="II80">
        <v>100</v>
      </c>
      <c r="IJ80">
        <v>-1.347</v>
      </c>
      <c r="IK80">
        <v>0.1806</v>
      </c>
      <c r="IL80">
        <v>-2.136943090880341</v>
      </c>
      <c r="IM80">
        <v>0.001328113201692861</v>
      </c>
      <c r="IN80">
        <v>1.538283238170363E-06</v>
      </c>
      <c r="IO80">
        <v>-5.795655626708063E-10</v>
      </c>
      <c r="IP80">
        <v>-0.06045740820250394</v>
      </c>
      <c r="IQ80">
        <v>-0.004593102289677449</v>
      </c>
      <c r="IR80">
        <v>0.0008253994458280543</v>
      </c>
      <c r="IS80">
        <v>-7.403632370499484E-06</v>
      </c>
      <c r="IT80">
        <v>2</v>
      </c>
      <c r="IU80">
        <v>1985</v>
      </c>
      <c r="IV80">
        <v>1</v>
      </c>
      <c r="IW80">
        <v>27</v>
      </c>
      <c r="IX80">
        <v>2.6</v>
      </c>
      <c r="IY80">
        <v>2.5</v>
      </c>
      <c r="IZ80">
        <v>1.12549</v>
      </c>
      <c r="JA80">
        <v>2.57446</v>
      </c>
      <c r="JB80">
        <v>1.49658</v>
      </c>
      <c r="JC80">
        <v>2.34253</v>
      </c>
      <c r="JD80">
        <v>1.54907</v>
      </c>
      <c r="JE80">
        <v>2.45239</v>
      </c>
      <c r="JF80">
        <v>31.8707</v>
      </c>
      <c r="JG80">
        <v>14.5961</v>
      </c>
      <c r="JH80">
        <v>18</v>
      </c>
      <c r="JI80">
        <v>482.74</v>
      </c>
      <c r="JJ80">
        <v>507.676</v>
      </c>
      <c r="JK80">
        <v>30.5507</v>
      </c>
      <c r="JL80">
        <v>27.5517</v>
      </c>
      <c r="JM80">
        <v>29.9997</v>
      </c>
      <c r="JN80">
        <v>27.871</v>
      </c>
      <c r="JO80">
        <v>27.8823</v>
      </c>
      <c r="JP80">
        <v>22.6271</v>
      </c>
      <c r="JQ80">
        <v>20.3187</v>
      </c>
      <c r="JR80">
        <v>83.46729999999999</v>
      </c>
      <c r="JS80">
        <v>30.5552</v>
      </c>
      <c r="JT80">
        <v>420</v>
      </c>
      <c r="JU80">
        <v>23.1872</v>
      </c>
      <c r="JV80">
        <v>102.305</v>
      </c>
      <c r="JW80">
        <v>91.4738</v>
      </c>
    </row>
    <row r="81" spans="1:283">
      <c r="A81">
        <v>63</v>
      </c>
      <c r="B81">
        <v>1761018577.6</v>
      </c>
      <c r="C81">
        <v>508.0999999046326</v>
      </c>
      <c r="D81" t="s">
        <v>554</v>
      </c>
      <c r="E81" t="s">
        <v>555</v>
      </c>
      <c r="F81">
        <v>5</v>
      </c>
      <c r="G81" t="s">
        <v>489</v>
      </c>
      <c r="H81">
        <v>1761018574.9125</v>
      </c>
      <c r="I81">
        <f>(J81)/1000</f>
        <v>0</v>
      </c>
      <c r="J81">
        <f>1000*DJ81*AH81*(DF81-DG81)/(100*CY81*(1000-AH81*DF81))</f>
        <v>0</v>
      </c>
      <c r="K81">
        <f>DJ81*AH81*(DE81-DD81*(1000-AH81*DG81)/(1000-AH81*DF81))/(100*CY81)</f>
        <v>0</v>
      </c>
      <c r="L81">
        <f>DD81 - IF(AH81&gt;1, K81*CY81*100.0/(AJ81), 0)</f>
        <v>0</v>
      </c>
      <c r="M81">
        <f>((S81-I81/2)*L81-K81)/(S81+I81/2)</f>
        <v>0</v>
      </c>
      <c r="N81">
        <f>M81*(DK81+DL81)/1000.0</f>
        <v>0</v>
      </c>
      <c r="O81">
        <f>(DD81 - IF(AH81&gt;1, K81*CY81*100.0/(AJ81), 0))*(DK81+DL81)/1000.0</f>
        <v>0</v>
      </c>
      <c r="P81">
        <f>2.0/((1/R81-1/Q81)+SIGN(R81)*SQRT((1/R81-1/Q81)*(1/R81-1/Q81) + 4*CZ81/((CZ81+1)*(CZ81+1))*(2*1/R81*1/Q81-1/Q81*1/Q81)))</f>
        <v>0</v>
      </c>
      <c r="Q81">
        <f>IF(LEFT(DA81,1)&lt;&gt;"0",IF(LEFT(DA81,1)="1",3.0,DB81),$D$5+$E$5*(DR81*DK81/($K$5*1000))+$F$5*(DR81*DK81/($K$5*1000))*MAX(MIN(CY81,$J$5),$I$5)*MAX(MIN(CY81,$J$5),$I$5)+$G$5*MAX(MIN(CY81,$J$5),$I$5)*(DR81*DK81/($K$5*1000))+$H$5*(DR81*DK81/($K$5*1000))*(DR81*DK81/($K$5*1000)))</f>
        <v>0</v>
      </c>
      <c r="R81">
        <f>I81*(1000-(1000*0.61365*exp(17.502*V81/(240.97+V81))/(DK81+DL81)+DF81)/2)/(1000*0.61365*exp(17.502*V81/(240.97+V81))/(DK81+DL81)-DF81)</f>
        <v>0</v>
      </c>
      <c r="S81">
        <f>1/((CZ81+1)/(P81/1.6)+1/(Q81/1.37)) + CZ81/((CZ81+1)/(P81/1.6) + CZ81/(Q81/1.37))</f>
        <v>0</v>
      </c>
      <c r="T81">
        <f>(CU81*CX81)</f>
        <v>0</v>
      </c>
      <c r="U81">
        <f>(DM81+(T81+2*0.95*5.67E-8*(((DM81+$B$9)+273)^4-(DM81+273)^4)-44100*I81)/(1.84*29.3*Q81+8*0.95*5.67E-8*(DM81+273)^3))</f>
        <v>0</v>
      </c>
      <c r="V81">
        <f>($C$9*DN81+$D$9*DO81+$E$9*U81)</f>
        <v>0</v>
      </c>
      <c r="W81">
        <f>0.61365*exp(17.502*V81/(240.97+V81))</f>
        <v>0</v>
      </c>
      <c r="X81">
        <f>(Y81/Z81*100)</f>
        <v>0</v>
      </c>
      <c r="Y81">
        <f>DF81*(DK81+DL81)/1000</f>
        <v>0</v>
      </c>
      <c r="Z81">
        <f>0.61365*exp(17.502*DM81/(240.97+DM81))</f>
        <v>0</v>
      </c>
      <c r="AA81">
        <f>(W81-DF81*(DK81+DL81)/1000)</f>
        <v>0</v>
      </c>
      <c r="AB81">
        <f>(-I81*44100)</f>
        <v>0</v>
      </c>
      <c r="AC81">
        <f>2*29.3*Q81*0.92*(DM81-V81)</f>
        <v>0</v>
      </c>
      <c r="AD81">
        <f>2*0.95*5.67E-8*(((DM81+$B$9)+273)^4-(V81+273)^4)</f>
        <v>0</v>
      </c>
      <c r="AE81">
        <f>T81+AD81+AB81+AC81</f>
        <v>0</v>
      </c>
      <c r="AF81">
        <v>0</v>
      </c>
      <c r="AG81">
        <v>0</v>
      </c>
      <c r="AH81">
        <f>IF(AF81*$H$15&gt;=AJ81,1.0,(AJ81/(AJ81-AF81*$H$15)))</f>
        <v>0</v>
      </c>
      <c r="AI81">
        <f>(AH81-1)*100</f>
        <v>0</v>
      </c>
      <c r="AJ81">
        <f>MAX(0,($B$15+$C$15*DR81)/(1+$D$15*DR81)*DK81/(DM81+273)*$E$15)</f>
        <v>0</v>
      </c>
      <c r="AK81" t="s">
        <v>420</v>
      </c>
      <c r="AL81" t="s">
        <v>420</v>
      </c>
      <c r="AM81">
        <v>0</v>
      </c>
      <c r="AN81">
        <v>0</v>
      </c>
      <c r="AO81">
        <f>1-AM81/AN81</f>
        <v>0</v>
      </c>
      <c r="AP81">
        <v>0</v>
      </c>
      <c r="AQ81" t="s">
        <v>420</v>
      </c>
      <c r="AR81" t="s">
        <v>420</v>
      </c>
      <c r="AS81">
        <v>0</v>
      </c>
      <c r="AT81">
        <v>0</v>
      </c>
      <c r="AU81">
        <f>1-AS81/AT81</f>
        <v>0</v>
      </c>
      <c r="AV81">
        <v>0.5</v>
      </c>
      <c r="AW81">
        <f>CV81</f>
        <v>0</v>
      </c>
      <c r="AX81">
        <f>K81</f>
        <v>0</v>
      </c>
      <c r="AY81">
        <f>AU81*AV81*AW81</f>
        <v>0</v>
      </c>
      <c r="AZ81">
        <f>(AX81-AP81)/AW81</f>
        <v>0</v>
      </c>
      <c r="BA81">
        <f>(AN81-AT81)/AT81</f>
        <v>0</v>
      </c>
      <c r="BB81">
        <f>AM81/(AO81+AM81/AT81)</f>
        <v>0</v>
      </c>
      <c r="BC81" t="s">
        <v>420</v>
      </c>
      <c r="BD81">
        <v>0</v>
      </c>
      <c r="BE81">
        <f>IF(BD81&lt;&gt;0, BD81, BB81)</f>
        <v>0</v>
      </c>
      <c r="BF81">
        <f>1-BE81/AT81</f>
        <v>0</v>
      </c>
      <c r="BG81">
        <f>(AT81-AS81)/(AT81-BE81)</f>
        <v>0</v>
      </c>
      <c r="BH81">
        <f>(AN81-AT81)/(AN81-BE81)</f>
        <v>0</v>
      </c>
      <c r="BI81">
        <f>(AT81-AS81)/(AT81-AM81)</f>
        <v>0</v>
      </c>
      <c r="BJ81">
        <f>(AN81-AT81)/(AN81-AM81)</f>
        <v>0</v>
      </c>
      <c r="BK81">
        <f>(BG81*BE81/AS81)</f>
        <v>0</v>
      </c>
      <c r="BL81">
        <f>(1-BK81)</f>
        <v>0</v>
      </c>
      <c r="CU81">
        <f>$B$13*DS81+$C$13*DT81+$F$13*EE81*(1-EH81)</f>
        <v>0</v>
      </c>
      <c r="CV81">
        <f>CU81*CW81</f>
        <v>0</v>
      </c>
      <c r="CW81">
        <f>($B$13*$D$11+$C$13*$D$11+$F$13*((ER81+EJ81)/MAX(ER81+EJ81+ES81, 0.1)*$I$11+ES81/MAX(ER81+EJ81+ES81, 0.1)*$J$11))/($B$13+$C$13+$F$13)</f>
        <v>0</v>
      </c>
      <c r="CX81">
        <f>($B$13*$K$11+$C$13*$K$11+$F$13*((ER81+EJ81)/MAX(ER81+EJ81+ES81, 0.1)*$P$11+ES81/MAX(ER81+EJ81+ES81, 0.1)*$Q$11))/($B$13+$C$13+$F$13)</f>
        <v>0</v>
      </c>
      <c r="CY81">
        <v>1.37</v>
      </c>
      <c r="CZ81">
        <v>0.5</v>
      </c>
      <c r="DA81" t="s">
        <v>421</v>
      </c>
      <c r="DB81">
        <v>2</v>
      </c>
      <c r="DC81">
        <v>1761018574.9125</v>
      </c>
      <c r="DD81">
        <v>420.30075</v>
      </c>
      <c r="DE81">
        <v>419.958125</v>
      </c>
      <c r="DF81">
        <v>23.16545</v>
      </c>
      <c r="DG81">
        <v>23.396975</v>
      </c>
      <c r="DH81">
        <v>421.64775</v>
      </c>
      <c r="DI81">
        <v>22.985325</v>
      </c>
      <c r="DJ81">
        <v>499.971125</v>
      </c>
      <c r="DK81">
        <v>90.7900625</v>
      </c>
      <c r="DL81">
        <v>0.034523375</v>
      </c>
      <c r="DM81">
        <v>29.702675</v>
      </c>
      <c r="DN81">
        <v>29.9991875</v>
      </c>
      <c r="DO81">
        <v>999.9</v>
      </c>
      <c r="DP81">
        <v>0</v>
      </c>
      <c r="DQ81">
        <v>0</v>
      </c>
      <c r="DR81">
        <v>9989.373749999999</v>
      </c>
      <c r="DS81">
        <v>0</v>
      </c>
      <c r="DT81">
        <v>0.242856</v>
      </c>
      <c r="DU81">
        <v>0.342697125</v>
      </c>
      <c r="DV81">
        <v>430.268125</v>
      </c>
      <c r="DW81">
        <v>430.01925</v>
      </c>
      <c r="DX81">
        <v>-0.231547375</v>
      </c>
      <c r="DY81">
        <v>419.958125</v>
      </c>
      <c r="DZ81">
        <v>23.396975</v>
      </c>
      <c r="EA81">
        <v>2.10319125</v>
      </c>
      <c r="EB81">
        <v>2.12421375</v>
      </c>
      <c r="EC81">
        <v>18.2433625</v>
      </c>
      <c r="ED81">
        <v>18.401925</v>
      </c>
      <c r="EE81">
        <v>0.00500078</v>
      </c>
      <c r="EF81">
        <v>0</v>
      </c>
      <c r="EG81">
        <v>0</v>
      </c>
      <c r="EH81">
        <v>0</v>
      </c>
      <c r="EI81">
        <v>79.55</v>
      </c>
      <c r="EJ81">
        <v>0.00500078</v>
      </c>
      <c r="EK81">
        <v>-18.0125</v>
      </c>
      <c r="EL81">
        <v>-0.6499999999999999</v>
      </c>
      <c r="EM81">
        <v>35.468625</v>
      </c>
      <c r="EN81">
        <v>39.66374999999999</v>
      </c>
      <c r="EO81">
        <v>37.359375</v>
      </c>
      <c r="EP81">
        <v>40.0855</v>
      </c>
      <c r="EQ81">
        <v>38.320125</v>
      </c>
      <c r="ER81">
        <v>0</v>
      </c>
      <c r="ES81">
        <v>0</v>
      </c>
      <c r="ET81">
        <v>0</v>
      </c>
      <c r="EU81">
        <v>1761018576.7</v>
      </c>
      <c r="EV81">
        <v>0</v>
      </c>
      <c r="EW81">
        <v>79.36538461538461</v>
      </c>
      <c r="EX81">
        <v>-12.0239311521011</v>
      </c>
      <c r="EY81">
        <v>-0.7555558867836235</v>
      </c>
      <c r="EZ81">
        <v>-16.93461538461538</v>
      </c>
      <c r="FA81">
        <v>15</v>
      </c>
      <c r="FB81">
        <v>1761018425</v>
      </c>
      <c r="FC81" t="s">
        <v>551</v>
      </c>
      <c r="FD81">
        <v>1761018422.5</v>
      </c>
      <c r="FE81">
        <v>1761018425</v>
      </c>
      <c r="FF81">
        <v>25</v>
      </c>
      <c r="FG81">
        <v>-0.524</v>
      </c>
      <c r="FH81">
        <v>-0.005</v>
      </c>
      <c r="FI81">
        <v>-1.348</v>
      </c>
      <c r="FJ81">
        <v>0.192</v>
      </c>
      <c r="FK81">
        <v>420</v>
      </c>
      <c r="FL81">
        <v>24</v>
      </c>
      <c r="FM81">
        <v>0.38</v>
      </c>
      <c r="FN81">
        <v>0.08</v>
      </c>
      <c r="FO81">
        <v>0.393531</v>
      </c>
      <c r="FP81">
        <v>-0.502660885553472</v>
      </c>
      <c r="FQ81">
        <v>0.06572672675555966</v>
      </c>
      <c r="FR81">
        <v>0</v>
      </c>
      <c r="FS81">
        <v>80.03823529411765</v>
      </c>
      <c r="FT81">
        <v>-10.46142084002545</v>
      </c>
      <c r="FU81">
        <v>5.564964706081324</v>
      </c>
      <c r="FV81">
        <v>0</v>
      </c>
      <c r="FW81">
        <v>-0.07383211925000001</v>
      </c>
      <c r="FX81">
        <v>-1.91023198705441</v>
      </c>
      <c r="FY81">
        <v>0.2054293772358585</v>
      </c>
      <c r="FZ81">
        <v>0</v>
      </c>
      <c r="GA81">
        <v>0</v>
      </c>
      <c r="GB81">
        <v>3</v>
      </c>
      <c r="GC81" t="s">
        <v>423</v>
      </c>
      <c r="GD81">
        <v>3.10949</v>
      </c>
      <c r="GE81">
        <v>2.72609</v>
      </c>
      <c r="GF81">
        <v>0.08880589999999999</v>
      </c>
      <c r="GG81">
        <v>0.0885836</v>
      </c>
      <c r="GH81">
        <v>0.106393</v>
      </c>
      <c r="GI81">
        <v>0.108039</v>
      </c>
      <c r="GJ81">
        <v>23915</v>
      </c>
      <c r="GK81">
        <v>21673.6</v>
      </c>
      <c r="GL81">
        <v>26803.3</v>
      </c>
      <c r="GM81">
        <v>23986.1</v>
      </c>
      <c r="GN81">
        <v>38271.1</v>
      </c>
      <c r="GO81">
        <v>31559.9</v>
      </c>
      <c r="GP81">
        <v>46783.2</v>
      </c>
      <c r="GQ81">
        <v>37918.7</v>
      </c>
      <c r="GR81">
        <v>1.89305</v>
      </c>
      <c r="GS81">
        <v>1.88565</v>
      </c>
      <c r="GT81">
        <v>0.131074</v>
      </c>
      <c r="GU81">
        <v>0</v>
      </c>
      <c r="GV81">
        <v>27.8581</v>
      </c>
      <c r="GW81">
        <v>999.9</v>
      </c>
      <c r="GX81">
        <v>63.8</v>
      </c>
      <c r="GY81">
        <v>28.8</v>
      </c>
      <c r="GZ81">
        <v>27.9351</v>
      </c>
      <c r="HA81">
        <v>61.5073</v>
      </c>
      <c r="HB81">
        <v>20.02</v>
      </c>
      <c r="HC81">
        <v>1</v>
      </c>
      <c r="HD81">
        <v>0.0216997</v>
      </c>
      <c r="HE81">
        <v>-1.75006</v>
      </c>
      <c r="HF81">
        <v>20.3289</v>
      </c>
      <c r="HG81">
        <v>5.21924</v>
      </c>
      <c r="HH81">
        <v>11.9798</v>
      </c>
      <c r="HI81">
        <v>4.9655</v>
      </c>
      <c r="HJ81">
        <v>3.27595</v>
      </c>
      <c r="HK81">
        <v>9999</v>
      </c>
      <c r="HL81">
        <v>9999</v>
      </c>
      <c r="HM81">
        <v>9999</v>
      </c>
      <c r="HN81">
        <v>999.9</v>
      </c>
      <c r="HO81">
        <v>1.86357</v>
      </c>
      <c r="HP81">
        <v>1.85974</v>
      </c>
      <c r="HQ81">
        <v>1.85802</v>
      </c>
      <c r="HR81">
        <v>1.8594</v>
      </c>
      <c r="HS81">
        <v>1.85958</v>
      </c>
      <c r="HT81">
        <v>1.85805</v>
      </c>
      <c r="HU81">
        <v>1.85709</v>
      </c>
      <c r="HV81">
        <v>1.85207</v>
      </c>
      <c r="HW81">
        <v>0</v>
      </c>
      <c r="HX81">
        <v>0</v>
      </c>
      <c r="HY81">
        <v>0</v>
      </c>
      <c r="HZ81">
        <v>0</v>
      </c>
      <c r="IA81" t="s">
        <v>424</v>
      </c>
      <c r="IB81" t="s">
        <v>425</v>
      </c>
      <c r="IC81" t="s">
        <v>426</v>
      </c>
      <c r="ID81" t="s">
        <v>426</v>
      </c>
      <c r="IE81" t="s">
        <v>426</v>
      </c>
      <c r="IF81" t="s">
        <v>426</v>
      </c>
      <c r="IG81">
        <v>0</v>
      </c>
      <c r="IH81">
        <v>100</v>
      </c>
      <c r="II81">
        <v>100</v>
      </c>
      <c r="IJ81">
        <v>-1.347</v>
      </c>
      <c r="IK81">
        <v>0.1814</v>
      </c>
      <c r="IL81">
        <v>-2.136943090880341</v>
      </c>
      <c r="IM81">
        <v>0.001328113201692861</v>
      </c>
      <c r="IN81">
        <v>1.538283238170363E-06</v>
      </c>
      <c r="IO81">
        <v>-5.795655626708063E-10</v>
      </c>
      <c r="IP81">
        <v>-0.06045740820250394</v>
      </c>
      <c r="IQ81">
        <v>-0.004593102289677449</v>
      </c>
      <c r="IR81">
        <v>0.0008253994458280543</v>
      </c>
      <c r="IS81">
        <v>-7.403632370499484E-06</v>
      </c>
      <c r="IT81">
        <v>2</v>
      </c>
      <c r="IU81">
        <v>1985</v>
      </c>
      <c r="IV81">
        <v>1</v>
      </c>
      <c r="IW81">
        <v>27</v>
      </c>
      <c r="IX81">
        <v>2.6</v>
      </c>
      <c r="IY81">
        <v>2.5</v>
      </c>
      <c r="IZ81">
        <v>1.12549</v>
      </c>
      <c r="JA81">
        <v>2.5769</v>
      </c>
      <c r="JB81">
        <v>1.49658</v>
      </c>
      <c r="JC81">
        <v>2.34253</v>
      </c>
      <c r="JD81">
        <v>1.54907</v>
      </c>
      <c r="JE81">
        <v>2.45483</v>
      </c>
      <c r="JF81">
        <v>31.8707</v>
      </c>
      <c r="JG81">
        <v>14.6049</v>
      </c>
      <c r="JH81">
        <v>18</v>
      </c>
      <c r="JI81">
        <v>482.661</v>
      </c>
      <c r="JJ81">
        <v>507.704</v>
      </c>
      <c r="JK81">
        <v>30.5459</v>
      </c>
      <c r="JL81">
        <v>27.5488</v>
      </c>
      <c r="JM81">
        <v>29.9997</v>
      </c>
      <c r="JN81">
        <v>27.8683</v>
      </c>
      <c r="JO81">
        <v>27.8798</v>
      </c>
      <c r="JP81">
        <v>22.6303</v>
      </c>
      <c r="JQ81">
        <v>20.6468</v>
      </c>
      <c r="JR81">
        <v>83.46729999999999</v>
      </c>
      <c r="JS81">
        <v>30.5552</v>
      </c>
      <c r="JT81">
        <v>420</v>
      </c>
      <c r="JU81">
        <v>23.1495</v>
      </c>
      <c r="JV81">
        <v>102.305</v>
      </c>
      <c r="JW81">
        <v>91.47369999999999</v>
      </c>
    </row>
    <row r="82" spans="1:283">
      <c r="A82">
        <v>64</v>
      </c>
      <c r="B82">
        <v>1761018579.6</v>
      </c>
      <c r="C82">
        <v>510.0999999046326</v>
      </c>
      <c r="D82" t="s">
        <v>556</v>
      </c>
      <c r="E82" t="s">
        <v>557</v>
      </c>
      <c r="F82">
        <v>5</v>
      </c>
      <c r="G82" t="s">
        <v>489</v>
      </c>
      <c r="H82">
        <v>1761018576.6</v>
      </c>
      <c r="I82">
        <f>(J82)/1000</f>
        <v>0</v>
      </c>
      <c r="J82">
        <f>1000*DJ82*AH82*(DF82-DG82)/(100*CY82*(1000-AH82*DF82))</f>
        <v>0</v>
      </c>
      <c r="K82">
        <f>DJ82*AH82*(DE82-DD82*(1000-AH82*DG82)/(1000-AH82*DF82))/(100*CY82)</f>
        <v>0</v>
      </c>
      <c r="L82">
        <f>DD82 - IF(AH82&gt;1, K82*CY82*100.0/(AJ82), 0)</f>
        <v>0</v>
      </c>
      <c r="M82">
        <f>((S82-I82/2)*L82-K82)/(S82+I82/2)</f>
        <v>0</v>
      </c>
      <c r="N82">
        <f>M82*(DK82+DL82)/1000.0</f>
        <v>0</v>
      </c>
      <c r="O82">
        <f>(DD82 - IF(AH82&gt;1, K82*CY82*100.0/(AJ82), 0))*(DK82+DL82)/1000.0</f>
        <v>0</v>
      </c>
      <c r="P82">
        <f>2.0/((1/R82-1/Q82)+SIGN(R82)*SQRT((1/R82-1/Q82)*(1/R82-1/Q82) + 4*CZ82/((CZ82+1)*(CZ82+1))*(2*1/R82*1/Q82-1/Q82*1/Q82)))</f>
        <v>0</v>
      </c>
      <c r="Q82">
        <f>IF(LEFT(DA82,1)&lt;&gt;"0",IF(LEFT(DA82,1)="1",3.0,DB82),$D$5+$E$5*(DR82*DK82/($K$5*1000))+$F$5*(DR82*DK82/($K$5*1000))*MAX(MIN(CY82,$J$5),$I$5)*MAX(MIN(CY82,$J$5),$I$5)+$G$5*MAX(MIN(CY82,$J$5),$I$5)*(DR82*DK82/($K$5*1000))+$H$5*(DR82*DK82/($K$5*1000))*(DR82*DK82/($K$5*1000)))</f>
        <v>0</v>
      </c>
      <c r="R82">
        <f>I82*(1000-(1000*0.61365*exp(17.502*V82/(240.97+V82))/(DK82+DL82)+DF82)/2)/(1000*0.61365*exp(17.502*V82/(240.97+V82))/(DK82+DL82)-DF82)</f>
        <v>0</v>
      </c>
      <c r="S82">
        <f>1/((CZ82+1)/(P82/1.6)+1/(Q82/1.37)) + CZ82/((CZ82+1)/(P82/1.6) + CZ82/(Q82/1.37))</f>
        <v>0</v>
      </c>
      <c r="T82">
        <f>(CU82*CX82)</f>
        <v>0</v>
      </c>
      <c r="U82">
        <f>(DM82+(T82+2*0.95*5.67E-8*(((DM82+$B$9)+273)^4-(DM82+273)^4)-44100*I82)/(1.84*29.3*Q82+8*0.95*5.67E-8*(DM82+273)^3))</f>
        <v>0</v>
      </c>
      <c r="V82">
        <f>($C$9*DN82+$D$9*DO82+$E$9*U82)</f>
        <v>0</v>
      </c>
      <c r="W82">
        <f>0.61365*exp(17.502*V82/(240.97+V82))</f>
        <v>0</v>
      </c>
      <c r="X82">
        <f>(Y82/Z82*100)</f>
        <v>0</v>
      </c>
      <c r="Y82">
        <f>DF82*(DK82+DL82)/1000</f>
        <v>0</v>
      </c>
      <c r="Z82">
        <f>0.61365*exp(17.502*DM82/(240.97+DM82))</f>
        <v>0</v>
      </c>
      <c r="AA82">
        <f>(W82-DF82*(DK82+DL82)/1000)</f>
        <v>0</v>
      </c>
      <c r="AB82">
        <f>(-I82*44100)</f>
        <v>0</v>
      </c>
      <c r="AC82">
        <f>2*29.3*Q82*0.92*(DM82-V82)</f>
        <v>0</v>
      </c>
      <c r="AD82">
        <f>2*0.95*5.67E-8*(((DM82+$B$9)+273)^4-(V82+273)^4)</f>
        <v>0</v>
      </c>
      <c r="AE82">
        <f>T82+AD82+AB82+AC82</f>
        <v>0</v>
      </c>
      <c r="AF82">
        <v>0</v>
      </c>
      <c r="AG82">
        <v>0</v>
      </c>
      <c r="AH82">
        <f>IF(AF82*$H$15&gt;=AJ82,1.0,(AJ82/(AJ82-AF82*$H$15)))</f>
        <v>0</v>
      </c>
      <c r="AI82">
        <f>(AH82-1)*100</f>
        <v>0</v>
      </c>
      <c r="AJ82">
        <f>MAX(0,($B$15+$C$15*DR82)/(1+$D$15*DR82)*DK82/(DM82+273)*$E$15)</f>
        <v>0</v>
      </c>
      <c r="AK82" t="s">
        <v>420</v>
      </c>
      <c r="AL82" t="s">
        <v>420</v>
      </c>
      <c r="AM82">
        <v>0</v>
      </c>
      <c r="AN82">
        <v>0</v>
      </c>
      <c r="AO82">
        <f>1-AM82/AN82</f>
        <v>0</v>
      </c>
      <c r="AP82">
        <v>0</v>
      </c>
      <c r="AQ82" t="s">
        <v>420</v>
      </c>
      <c r="AR82" t="s">
        <v>420</v>
      </c>
      <c r="AS82">
        <v>0</v>
      </c>
      <c r="AT82">
        <v>0</v>
      </c>
      <c r="AU82">
        <f>1-AS82/AT82</f>
        <v>0</v>
      </c>
      <c r="AV82">
        <v>0.5</v>
      </c>
      <c r="AW82">
        <f>CV82</f>
        <v>0</v>
      </c>
      <c r="AX82">
        <f>K82</f>
        <v>0</v>
      </c>
      <c r="AY82">
        <f>AU82*AV82*AW82</f>
        <v>0</v>
      </c>
      <c r="AZ82">
        <f>(AX82-AP82)/AW82</f>
        <v>0</v>
      </c>
      <c r="BA82">
        <f>(AN82-AT82)/AT82</f>
        <v>0</v>
      </c>
      <c r="BB82">
        <f>AM82/(AO82+AM82/AT82)</f>
        <v>0</v>
      </c>
      <c r="BC82" t="s">
        <v>420</v>
      </c>
      <c r="BD82">
        <v>0</v>
      </c>
      <c r="BE82">
        <f>IF(BD82&lt;&gt;0, BD82, BB82)</f>
        <v>0</v>
      </c>
      <c r="BF82">
        <f>1-BE82/AT82</f>
        <v>0</v>
      </c>
      <c r="BG82">
        <f>(AT82-AS82)/(AT82-BE82)</f>
        <v>0</v>
      </c>
      <c r="BH82">
        <f>(AN82-AT82)/(AN82-BE82)</f>
        <v>0</v>
      </c>
      <c r="BI82">
        <f>(AT82-AS82)/(AT82-AM82)</f>
        <v>0</v>
      </c>
      <c r="BJ82">
        <f>(AN82-AT82)/(AN82-AM82)</f>
        <v>0</v>
      </c>
      <c r="BK82">
        <f>(BG82*BE82/AS82)</f>
        <v>0</v>
      </c>
      <c r="BL82">
        <f>(1-BK82)</f>
        <v>0</v>
      </c>
      <c r="CU82">
        <f>$B$13*DS82+$C$13*DT82+$F$13*EE82*(1-EH82)</f>
        <v>0</v>
      </c>
      <c r="CV82">
        <f>CU82*CW82</f>
        <v>0</v>
      </c>
      <c r="CW82">
        <f>($B$13*$D$11+$C$13*$D$11+$F$13*((ER82+EJ82)/MAX(ER82+EJ82+ES82, 0.1)*$I$11+ES82/MAX(ER82+EJ82+ES82, 0.1)*$J$11))/($B$13+$C$13+$F$13)</f>
        <v>0</v>
      </c>
      <c r="CX82">
        <f>($B$13*$K$11+$C$13*$K$11+$F$13*((ER82+EJ82)/MAX(ER82+EJ82+ES82, 0.1)*$P$11+ES82/MAX(ER82+EJ82+ES82, 0.1)*$Q$11))/($B$13+$C$13+$F$13)</f>
        <v>0</v>
      </c>
      <c r="CY82">
        <v>1.37</v>
      </c>
      <c r="CZ82">
        <v>0.5</v>
      </c>
      <c r="DA82" t="s">
        <v>421</v>
      </c>
      <c r="DB82">
        <v>2</v>
      </c>
      <c r="DC82">
        <v>1761018576.6</v>
      </c>
      <c r="DD82">
        <v>420.3021111111111</v>
      </c>
      <c r="DE82">
        <v>419.9642222222222</v>
      </c>
      <c r="DF82">
        <v>23.20317777777778</v>
      </c>
      <c r="DG82">
        <v>23.41092222222222</v>
      </c>
      <c r="DH82">
        <v>421.6491111111111</v>
      </c>
      <c r="DI82">
        <v>23.02225555555556</v>
      </c>
      <c r="DJ82">
        <v>499.9705555555555</v>
      </c>
      <c r="DK82">
        <v>90.7898888888889</v>
      </c>
      <c r="DL82">
        <v>0.03443167777777777</v>
      </c>
      <c r="DM82">
        <v>29.69763333333334</v>
      </c>
      <c r="DN82">
        <v>29.99681111111111</v>
      </c>
      <c r="DO82">
        <v>999.9000000000001</v>
      </c>
      <c r="DP82">
        <v>0</v>
      </c>
      <c r="DQ82">
        <v>0</v>
      </c>
      <c r="DR82">
        <v>9996.673333333332</v>
      </c>
      <c r="DS82">
        <v>0</v>
      </c>
      <c r="DT82">
        <v>0.242856</v>
      </c>
      <c r="DU82">
        <v>0.3379515555555556</v>
      </c>
      <c r="DV82">
        <v>430.2862222222222</v>
      </c>
      <c r="DW82">
        <v>430.0316666666667</v>
      </c>
      <c r="DX82">
        <v>-0.2077566666666667</v>
      </c>
      <c r="DY82">
        <v>419.9642222222222</v>
      </c>
      <c r="DZ82">
        <v>23.41092222222222</v>
      </c>
      <c r="EA82">
        <v>2.106613333333334</v>
      </c>
      <c r="EB82">
        <v>2.125474444444444</v>
      </c>
      <c r="EC82">
        <v>18.26926666666667</v>
      </c>
      <c r="ED82">
        <v>18.41138888888889</v>
      </c>
      <c r="EE82">
        <v>0.00500078</v>
      </c>
      <c r="EF82">
        <v>0</v>
      </c>
      <c r="EG82">
        <v>0</v>
      </c>
      <c r="EH82">
        <v>0</v>
      </c>
      <c r="EI82">
        <v>76.01111111111112</v>
      </c>
      <c r="EJ82">
        <v>0.00500078</v>
      </c>
      <c r="EK82">
        <v>-16.23333333333333</v>
      </c>
      <c r="EL82">
        <v>-0.4888888888888888</v>
      </c>
      <c r="EM82">
        <v>35.47900000000001</v>
      </c>
      <c r="EN82">
        <v>39.68011111111111</v>
      </c>
      <c r="EO82">
        <v>37.52777777777778</v>
      </c>
      <c r="EP82">
        <v>40.09677777777777</v>
      </c>
      <c r="EQ82">
        <v>38.44422222222222</v>
      </c>
      <c r="ER82">
        <v>0</v>
      </c>
      <c r="ES82">
        <v>0</v>
      </c>
      <c r="ET82">
        <v>0</v>
      </c>
      <c r="EU82">
        <v>1761018578.5</v>
      </c>
      <c r="EV82">
        <v>0</v>
      </c>
      <c r="EW82">
        <v>78.59599999999999</v>
      </c>
      <c r="EX82">
        <v>-25.95384555243909</v>
      </c>
      <c r="EY82">
        <v>-1.776923320302773</v>
      </c>
      <c r="EZ82">
        <v>-16.804</v>
      </c>
      <c r="FA82">
        <v>15</v>
      </c>
      <c r="FB82">
        <v>1761018425</v>
      </c>
      <c r="FC82" t="s">
        <v>551</v>
      </c>
      <c r="FD82">
        <v>1761018422.5</v>
      </c>
      <c r="FE82">
        <v>1761018425</v>
      </c>
      <c r="FF82">
        <v>25</v>
      </c>
      <c r="FG82">
        <v>-0.524</v>
      </c>
      <c r="FH82">
        <v>-0.005</v>
      </c>
      <c r="FI82">
        <v>-1.348</v>
      </c>
      <c r="FJ82">
        <v>0.192</v>
      </c>
      <c r="FK82">
        <v>420</v>
      </c>
      <c r="FL82">
        <v>24</v>
      </c>
      <c r="FM82">
        <v>0.38</v>
      </c>
      <c r="FN82">
        <v>0.08</v>
      </c>
      <c r="FO82">
        <v>0.3859699268292683</v>
      </c>
      <c r="FP82">
        <v>-0.5353491637630658</v>
      </c>
      <c r="FQ82">
        <v>0.06794567080786849</v>
      </c>
      <c r="FR82">
        <v>0</v>
      </c>
      <c r="FS82">
        <v>79.18529411764705</v>
      </c>
      <c r="FT82">
        <v>-16.80213889667324</v>
      </c>
      <c r="FU82">
        <v>5.387410834689526</v>
      </c>
      <c r="FV82">
        <v>0</v>
      </c>
      <c r="FW82">
        <v>-0.1033391895121951</v>
      </c>
      <c r="FX82">
        <v>-1.510222421602786</v>
      </c>
      <c r="FY82">
        <v>0.1783016714156248</v>
      </c>
      <c r="FZ82">
        <v>0</v>
      </c>
      <c r="GA82">
        <v>0</v>
      </c>
      <c r="GB82">
        <v>3</v>
      </c>
      <c r="GC82" t="s">
        <v>423</v>
      </c>
      <c r="GD82">
        <v>3.1095</v>
      </c>
      <c r="GE82">
        <v>2.72584</v>
      </c>
      <c r="GF82">
        <v>0.0888056</v>
      </c>
      <c r="GG82">
        <v>0.0885816</v>
      </c>
      <c r="GH82">
        <v>0.106506</v>
      </c>
      <c r="GI82">
        <v>0.108013</v>
      </c>
      <c r="GJ82">
        <v>23915</v>
      </c>
      <c r="GK82">
        <v>21673.6</v>
      </c>
      <c r="GL82">
        <v>26803.3</v>
      </c>
      <c r="GM82">
        <v>23986.1</v>
      </c>
      <c r="GN82">
        <v>38266.4</v>
      </c>
      <c r="GO82">
        <v>31560.7</v>
      </c>
      <c r="GP82">
        <v>46783.4</v>
      </c>
      <c r="GQ82">
        <v>37918.6</v>
      </c>
      <c r="GR82">
        <v>1.89307</v>
      </c>
      <c r="GS82">
        <v>1.8857</v>
      </c>
      <c r="GT82">
        <v>0.131391</v>
      </c>
      <c r="GU82">
        <v>0</v>
      </c>
      <c r="GV82">
        <v>27.8551</v>
      </c>
      <c r="GW82">
        <v>999.9</v>
      </c>
      <c r="GX82">
        <v>63.8</v>
      </c>
      <c r="GY82">
        <v>28.8</v>
      </c>
      <c r="GZ82">
        <v>27.9362</v>
      </c>
      <c r="HA82">
        <v>61.1573</v>
      </c>
      <c r="HB82">
        <v>20.1883</v>
      </c>
      <c r="HC82">
        <v>1</v>
      </c>
      <c r="HD82">
        <v>0.021405</v>
      </c>
      <c r="HE82">
        <v>-1.97543</v>
      </c>
      <c r="HF82">
        <v>20.3254</v>
      </c>
      <c r="HG82">
        <v>5.21849</v>
      </c>
      <c r="HH82">
        <v>11.98</v>
      </c>
      <c r="HI82">
        <v>4.9655</v>
      </c>
      <c r="HJ82">
        <v>3.27598</v>
      </c>
      <c r="HK82">
        <v>9999</v>
      </c>
      <c r="HL82">
        <v>9999</v>
      </c>
      <c r="HM82">
        <v>9999</v>
      </c>
      <c r="HN82">
        <v>999.9</v>
      </c>
      <c r="HO82">
        <v>1.86359</v>
      </c>
      <c r="HP82">
        <v>1.85974</v>
      </c>
      <c r="HQ82">
        <v>1.85799</v>
      </c>
      <c r="HR82">
        <v>1.85939</v>
      </c>
      <c r="HS82">
        <v>1.85958</v>
      </c>
      <c r="HT82">
        <v>1.85804</v>
      </c>
      <c r="HU82">
        <v>1.85709</v>
      </c>
      <c r="HV82">
        <v>1.85207</v>
      </c>
      <c r="HW82">
        <v>0</v>
      </c>
      <c r="HX82">
        <v>0</v>
      </c>
      <c r="HY82">
        <v>0</v>
      </c>
      <c r="HZ82">
        <v>0</v>
      </c>
      <c r="IA82" t="s">
        <v>424</v>
      </c>
      <c r="IB82" t="s">
        <v>425</v>
      </c>
      <c r="IC82" t="s">
        <v>426</v>
      </c>
      <c r="ID82" t="s">
        <v>426</v>
      </c>
      <c r="IE82" t="s">
        <v>426</v>
      </c>
      <c r="IF82" t="s">
        <v>426</v>
      </c>
      <c r="IG82">
        <v>0</v>
      </c>
      <c r="IH82">
        <v>100</v>
      </c>
      <c r="II82">
        <v>100</v>
      </c>
      <c r="IJ82">
        <v>-1.347</v>
      </c>
      <c r="IK82">
        <v>0.1822</v>
      </c>
      <c r="IL82">
        <v>-2.136943090880341</v>
      </c>
      <c r="IM82">
        <v>0.001328113201692861</v>
      </c>
      <c r="IN82">
        <v>1.538283238170363E-06</v>
      </c>
      <c r="IO82">
        <v>-5.795655626708063E-10</v>
      </c>
      <c r="IP82">
        <v>-0.06045740820250394</v>
      </c>
      <c r="IQ82">
        <v>-0.004593102289677449</v>
      </c>
      <c r="IR82">
        <v>0.0008253994458280543</v>
      </c>
      <c r="IS82">
        <v>-7.403632370499484E-06</v>
      </c>
      <c r="IT82">
        <v>2</v>
      </c>
      <c r="IU82">
        <v>1985</v>
      </c>
      <c r="IV82">
        <v>1</v>
      </c>
      <c r="IW82">
        <v>27</v>
      </c>
      <c r="IX82">
        <v>2.6</v>
      </c>
      <c r="IY82">
        <v>2.6</v>
      </c>
      <c r="IZ82">
        <v>1.12549</v>
      </c>
      <c r="JA82">
        <v>2.57935</v>
      </c>
      <c r="JB82">
        <v>1.49658</v>
      </c>
      <c r="JC82">
        <v>2.34253</v>
      </c>
      <c r="JD82">
        <v>1.54907</v>
      </c>
      <c r="JE82">
        <v>2.39014</v>
      </c>
      <c r="JF82">
        <v>31.8707</v>
      </c>
      <c r="JG82">
        <v>14.5611</v>
      </c>
      <c r="JH82">
        <v>18</v>
      </c>
      <c r="JI82">
        <v>482.657</v>
      </c>
      <c r="JJ82">
        <v>507.712</v>
      </c>
      <c r="JK82">
        <v>30.5421</v>
      </c>
      <c r="JL82">
        <v>27.5462</v>
      </c>
      <c r="JM82">
        <v>29.9997</v>
      </c>
      <c r="JN82">
        <v>27.866</v>
      </c>
      <c r="JO82">
        <v>27.8768</v>
      </c>
      <c r="JP82">
        <v>22.6293</v>
      </c>
      <c r="JQ82">
        <v>20.9848</v>
      </c>
      <c r="JR82">
        <v>83.46729999999999</v>
      </c>
      <c r="JS82">
        <v>30.8977</v>
      </c>
      <c r="JT82">
        <v>420</v>
      </c>
      <c r="JU82">
        <v>23.119</v>
      </c>
      <c r="JV82">
        <v>102.305</v>
      </c>
      <c r="JW82">
        <v>91.4734</v>
      </c>
    </row>
    <row r="83" spans="1:283">
      <c r="A83">
        <v>65</v>
      </c>
      <c r="B83">
        <v>1761018581.6</v>
      </c>
      <c r="C83">
        <v>512.0999999046326</v>
      </c>
      <c r="D83" t="s">
        <v>558</v>
      </c>
      <c r="E83" t="s">
        <v>559</v>
      </c>
      <c r="F83">
        <v>5</v>
      </c>
      <c r="G83" t="s">
        <v>489</v>
      </c>
      <c r="H83">
        <v>1761018578.6</v>
      </c>
      <c r="I83">
        <f>(J83)/1000</f>
        <v>0</v>
      </c>
      <c r="J83">
        <f>1000*DJ83*AH83*(DF83-DG83)/(100*CY83*(1000-AH83*DF83))</f>
        <v>0</v>
      </c>
      <c r="K83">
        <f>DJ83*AH83*(DE83-DD83*(1000-AH83*DG83)/(1000-AH83*DF83))/(100*CY83)</f>
        <v>0</v>
      </c>
      <c r="L83">
        <f>DD83 - IF(AH83&gt;1, K83*CY83*100.0/(AJ83), 0)</f>
        <v>0</v>
      </c>
      <c r="M83">
        <f>((S83-I83/2)*L83-K83)/(S83+I83/2)</f>
        <v>0</v>
      </c>
      <c r="N83">
        <f>M83*(DK83+DL83)/1000.0</f>
        <v>0</v>
      </c>
      <c r="O83">
        <f>(DD83 - IF(AH83&gt;1, K83*CY83*100.0/(AJ83), 0))*(DK83+DL83)/1000.0</f>
        <v>0</v>
      </c>
      <c r="P83">
        <f>2.0/((1/R83-1/Q83)+SIGN(R83)*SQRT((1/R83-1/Q83)*(1/R83-1/Q83) + 4*CZ83/((CZ83+1)*(CZ83+1))*(2*1/R83*1/Q83-1/Q83*1/Q83)))</f>
        <v>0</v>
      </c>
      <c r="Q83">
        <f>IF(LEFT(DA83,1)&lt;&gt;"0",IF(LEFT(DA83,1)="1",3.0,DB83),$D$5+$E$5*(DR83*DK83/($K$5*1000))+$F$5*(DR83*DK83/($K$5*1000))*MAX(MIN(CY83,$J$5),$I$5)*MAX(MIN(CY83,$J$5),$I$5)+$G$5*MAX(MIN(CY83,$J$5),$I$5)*(DR83*DK83/($K$5*1000))+$H$5*(DR83*DK83/($K$5*1000))*(DR83*DK83/($K$5*1000)))</f>
        <v>0</v>
      </c>
      <c r="R83">
        <f>I83*(1000-(1000*0.61365*exp(17.502*V83/(240.97+V83))/(DK83+DL83)+DF83)/2)/(1000*0.61365*exp(17.502*V83/(240.97+V83))/(DK83+DL83)-DF83)</f>
        <v>0</v>
      </c>
      <c r="S83">
        <f>1/((CZ83+1)/(P83/1.6)+1/(Q83/1.37)) + CZ83/((CZ83+1)/(P83/1.6) + CZ83/(Q83/1.37))</f>
        <v>0</v>
      </c>
      <c r="T83">
        <f>(CU83*CX83)</f>
        <v>0</v>
      </c>
      <c r="U83">
        <f>(DM83+(T83+2*0.95*5.67E-8*(((DM83+$B$9)+273)^4-(DM83+273)^4)-44100*I83)/(1.84*29.3*Q83+8*0.95*5.67E-8*(DM83+273)^3))</f>
        <v>0</v>
      </c>
      <c r="V83">
        <f>($C$9*DN83+$D$9*DO83+$E$9*U83)</f>
        <v>0</v>
      </c>
      <c r="W83">
        <f>0.61365*exp(17.502*V83/(240.97+V83))</f>
        <v>0</v>
      </c>
      <c r="X83">
        <f>(Y83/Z83*100)</f>
        <v>0</v>
      </c>
      <c r="Y83">
        <f>DF83*(DK83+DL83)/1000</f>
        <v>0</v>
      </c>
      <c r="Z83">
        <f>0.61365*exp(17.502*DM83/(240.97+DM83))</f>
        <v>0</v>
      </c>
      <c r="AA83">
        <f>(W83-DF83*(DK83+DL83)/1000)</f>
        <v>0</v>
      </c>
      <c r="AB83">
        <f>(-I83*44100)</f>
        <v>0</v>
      </c>
      <c r="AC83">
        <f>2*29.3*Q83*0.92*(DM83-V83)</f>
        <v>0</v>
      </c>
      <c r="AD83">
        <f>2*0.95*5.67E-8*(((DM83+$B$9)+273)^4-(V83+273)^4)</f>
        <v>0</v>
      </c>
      <c r="AE83">
        <f>T83+AD83+AB83+AC83</f>
        <v>0</v>
      </c>
      <c r="AF83">
        <v>0</v>
      </c>
      <c r="AG83">
        <v>0</v>
      </c>
      <c r="AH83">
        <f>IF(AF83*$H$15&gt;=AJ83,1.0,(AJ83/(AJ83-AF83*$H$15)))</f>
        <v>0</v>
      </c>
      <c r="AI83">
        <f>(AH83-1)*100</f>
        <v>0</v>
      </c>
      <c r="AJ83">
        <f>MAX(0,($B$15+$C$15*DR83)/(1+$D$15*DR83)*DK83/(DM83+273)*$E$15)</f>
        <v>0</v>
      </c>
      <c r="AK83" t="s">
        <v>420</v>
      </c>
      <c r="AL83" t="s">
        <v>420</v>
      </c>
      <c r="AM83">
        <v>0</v>
      </c>
      <c r="AN83">
        <v>0</v>
      </c>
      <c r="AO83">
        <f>1-AM83/AN83</f>
        <v>0</v>
      </c>
      <c r="AP83">
        <v>0</v>
      </c>
      <c r="AQ83" t="s">
        <v>420</v>
      </c>
      <c r="AR83" t="s">
        <v>420</v>
      </c>
      <c r="AS83">
        <v>0</v>
      </c>
      <c r="AT83">
        <v>0</v>
      </c>
      <c r="AU83">
        <f>1-AS83/AT83</f>
        <v>0</v>
      </c>
      <c r="AV83">
        <v>0.5</v>
      </c>
      <c r="AW83">
        <f>CV83</f>
        <v>0</v>
      </c>
      <c r="AX83">
        <f>K83</f>
        <v>0</v>
      </c>
      <c r="AY83">
        <f>AU83*AV83*AW83</f>
        <v>0</v>
      </c>
      <c r="AZ83">
        <f>(AX83-AP83)/AW83</f>
        <v>0</v>
      </c>
      <c r="BA83">
        <f>(AN83-AT83)/AT83</f>
        <v>0</v>
      </c>
      <c r="BB83">
        <f>AM83/(AO83+AM83/AT83)</f>
        <v>0</v>
      </c>
      <c r="BC83" t="s">
        <v>420</v>
      </c>
      <c r="BD83">
        <v>0</v>
      </c>
      <c r="BE83">
        <f>IF(BD83&lt;&gt;0, BD83, BB83)</f>
        <v>0</v>
      </c>
      <c r="BF83">
        <f>1-BE83/AT83</f>
        <v>0</v>
      </c>
      <c r="BG83">
        <f>(AT83-AS83)/(AT83-BE83)</f>
        <v>0</v>
      </c>
      <c r="BH83">
        <f>(AN83-AT83)/(AN83-BE83)</f>
        <v>0</v>
      </c>
      <c r="BI83">
        <f>(AT83-AS83)/(AT83-AM83)</f>
        <v>0</v>
      </c>
      <c r="BJ83">
        <f>(AN83-AT83)/(AN83-AM83)</f>
        <v>0</v>
      </c>
      <c r="BK83">
        <f>(BG83*BE83/AS83)</f>
        <v>0</v>
      </c>
      <c r="BL83">
        <f>(1-BK83)</f>
        <v>0</v>
      </c>
      <c r="CU83">
        <f>$B$13*DS83+$C$13*DT83+$F$13*EE83*(1-EH83)</f>
        <v>0</v>
      </c>
      <c r="CV83">
        <f>CU83*CW83</f>
        <v>0</v>
      </c>
      <c r="CW83">
        <f>($B$13*$D$11+$C$13*$D$11+$F$13*((ER83+EJ83)/MAX(ER83+EJ83+ES83, 0.1)*$I$11+ES83/MAX(ER83+EJ83+ES83, 0.1)*$J$11))/($B$13+$C$13+$F$13)</f>
        <v>0</v>
      </c>
      <c r="CX83">
        <f>($B$13*$K$11+$C$13*$K$11+$F$13*((ER83+EJ83)/MAX(ER83+EJ83+ES83, 0.1)*$P$11+ES83/MAX(ER83+EJ83+ES83, 0.1)*$Q$11))/($B$13+$C$13+$F$13)</f>
        <v>0</v>
      </c>
      <c r="CY83">
        <v>1.37</v>
      </c>
      <c r="CZ83">
        <v>0.5</v>
      </c>
      <c r="DA83" t="s">
        <v>421</v>
      </c>
      <c r="DB83">
        <v>2</v>
      </c>
      <c r="DC83">
        <v>1761018578.6</v>
      </c>
      <c r="DD83">
        <v>420.3068888888889</v>
      </c>
      <c r="DE83">
        <v>419.9656666666667</v>
      </c>
      <c r="DF83">
        <v>23.24202222222222</v>
      </c>
      <c r="DG83">
        <v>23.41054444444445</v>
      </c>
      <c r="DH83">
        <v>421.6538888888888</v>
      </c>
      <c r="DI83">
        <v>23.06026666666666</v>
      </c>
      <c r="DJ83">
        <v>500.0063333333333</v>
      </c>
      <c r="DK83">
        <v>90.7897111111111</v>
      </c>
      <c r="DL83">
        <v>0.03417587777777778</v>
      </c>
      <c r="DM83">
        <v>29.69272222222223</v>
      </c>
      <c r="DN83">
        <v>29.99642222222222</v>
      </c>
      <c r="DO83">
        <v>999.9000000000001</v>
      </c>
      <c r="DP83">
        <v>0</v>
      </c>
      <c r="DQ83">
        <v>0</v>
      </c>
      <c r="DR83">
        <v>10009.79111111111</v>
      </c>
      <c r="DS83">
        <v>0</v>
      </c>
      <c r="DT83">
        <v>0.242856</v>
      </c>
      <c r="DU83">
        <v>0.3411831111111112</v>
      </c>
      <c r="DV83">
        <v>430.3082222222222</v>
      </c>
      <c r="DW83">
        <v>430.033</v>
      </c>
      <c r="DX83">
        <v>-0.1685361111111111</v>
      </c>
      <c r="DY83">
        <v>419.9656666666667</v>
      </c>
      <c r="DZ83">
        <v>23.41054444444445</v>
      </c>
      <c r="EA83">
        <v>2.110136666666667</v>
      </c>
      <c r="EB83">
        <v>2.125435555555556</v>
      </c>
      <c r="EC83">
        <v>18.2959</v>
      </c>
      <c r="ED83">
        <v>18.41108888888889</v>
      </c>
      <c r="EE83">
        <v>0.00500078</v>
      </c>
      <c r="EF83">
        <v>0</v>
      </c>
      <c r="EG83">
        <v>0</v>
      </c>
      <c r="EH83">
        <v>0</v>
      </c>
      <c r="EI83">
        <v>75.62222222222222</v>
      </c>
      <c r="EJ83">
        <v>0.00500078</v>
      </c>
      <c r="EK83">
        <v>-13.43333333333333</v>
      </c>
      <c r="EL83">
        <v>0.05555555555555558</v>
      </c>
      <c r="EM83">
        <v>35.486</v>
      </c>
      <c r="EN83">
        <v>39.708</v>
      </c>
      <c r="EO83">
        <v>37.43055555555556</v>
      </c>
      <c r="EP83">
        <v>40.13155555555555</v>
      </c>
      <c r="EQ83">
        <v>38.24288888888889</v>
      </c>
      <c r="ER83">
        <v>0</v>
      </c>
      <c r="ES83">
        <v>0</v>
      </c>
      <c r="ET83">
        <v>0</v>
      </c>
      <c r="EU83">
        <v>1761018580.9</v>
      </c>
      <c r="EV83">
        <v>0</v>
      </c>
      <c r="EW83">
        <v>78.084</v>
      </c>
      <c r="EX83">
        <v>-16.74615351681133</v>
      </c>
      <c r="EY83">
        <v>5.192307776694697</v>
      </c>
      <c r="EZ83">
        <v>-15.544</v>
      </c>
      <c r="FA83">
        <v>15</v>
      </c>
      <c r="FB83">
        <v>1761018425</v>
      </c>
      <c r="FC83" t="s">
        <v>551</v>
      </c>
      <c r="FD83">
        <v>1761018422.5</v>
      </c>
      <c r="FE83">
        <v>1761018425</v>
      </c>
      <c r="FF83">
        <v>25</v>
      </c>
      <c r="FG83">
        <v>-0.524</v>
      </c>
      <c r="FH83">
        <v>-0.005</v>
      </c>
      <c r="FI83">
        <v>-1.348</v>
      </c>
      <c r="FJ83">
        <v>0.192</v>
      </c>
      <c r="FK83">
        <v>420</v>
      </c>
      <c r="FL83">
        <v>24</v>
      </c>
      <c r="FM83">
        <v>0.38</v>
      </c>
      <c r="FN83">
        <v>0.08</v>
      </c>
      <c r="FO83">
        <v>0.374623825</v>
      </c>
      <c r="FP83">
        <v>-0.455106923076924</v>
      </c>
      <c r="FQ83">
        <v>0.06405693861085132</v>
      </c>
      <c r="FR83">
        <v>1</v>
      </c>
      <c r="FS83">
        <v>78.95882352941175</v>
      </c>
      <c r="FT83">
        <v>-15.92971721831405</v>
      </c>
      <c r="FU83">
        <v>5.287283170192354</v>
      </c>
      <c r="FV83">
        <v>0</v>
      </c>
      <c r="FW83">
        <v>-0.16037639425</v>
      </c>
      <c r="FX83">
        <v>-0.5710216832645402</v>
      </c>
      <c r="FY83">
        <v>0.1010986699588696</v>
      </c>
      <c r="FZ83">
        <v>0</v>
      </c>
      <c r="GA83">
        <v>1</v>
      </c>
      <c r="GB83">
        <v>3</v>
      </c>
      <c r="GC83" t="s">
        <v>431</v>
      </c>
      <c r="GD83">
        <v>3.10956</v>
      </c>
      <c r="GE83">
        <v>2.72554</v>
      </c>
      <c r="GF83">
        <v>0.088813</v>
      </c>
      <c r="GG83">
        <v>0.08857950000000001</v>
      </c>
      <c r="GH83">
        <v>0.106587</v>
      </c>
      <c r="GI83">
        <v>0.107892</v>
      </c>
      <c r="GJ83">
        <v>23915</v>
      </c>
      <c r="GK83">
        <v>21673.5</v>
      </c>
      <c r="GL83">
        <v>26803.5</v>
      </c>
      <c r="GM83">
        <v>23985.9</v>
      </c>
      <c r="GN83">
        <v>38263</v>
      </c>
      <c r="GO83">
        <v>31564.7</v>
      </c>
      <c r="GP83">
        <v>46783.7</v>
      </c>
      <c r="GQ83">
        <v>37918.3</v>
      </c>
      <c r="GR83">
        <v>1.89338</v>
      </c>
      <c r="GS83">
        <v>1.88555</v>
      </c>
      <c r="GT83">
        <v>0.131279</v>
      </c>
      <c r="GU83">
        <v>0</v>
      </c>
      <c r="GV83">
        <v>27.8521</v>
      </c>
      <c r="GW83">
        <v>999.9</v>
      </c>
      <c r="GX83">
        <v>63.8</v>
      </c>
      <c r="GY83">
        <v>28.8</v>
      </c>
      <c r="GZ83">
        <v>27.9362</v>
      </c>
      <c r="HA83">
        <v>61.3473</v>
      </c>
      <c r="HB83">
        <v>20.1242</v>
      </c>
      <c r="HC83">
        <v>1</v>
      </c>
      <c r="HD83">
        <v>0.0214355</v>
      </c>
      <c r="HE83">
        <v>-2.72122</v>
      </c>
      <c r="HF83">
        <v>20.3133</v>
      </c>
      <c r="HG83">
        <v>5.21804</v>
      </c>
      <c r="HH83">
        <v>11.98</v>
      </c>
      <c r="HI83">
        <v>4.9656</v>
      </c>
      <c r="HJ83">
        <v>3.276</v>
      </c>
      <c r="HK83">
        <v>9999</v>
      </c>
      <c r="HL83">
        <v>9999</v>
      </c>
      <c r="HM83">
        <v>9999</v>
      </c>
      <c r="HN83">
        <v>999.9</v>
      </c>
      <c r="HO83">
        <v>1.86359</v>
      </c>
      <c r="HP83">
        <v>1.85974</v>
      </c>
      <c r="HQ83">
        <v>1.85799</v>
      </c>
      <c r="HR83">
        <v>1.8594</v>
      </c>
      <c r="HS83">
        <v>1.85959</v>
      </c>
      <c r="HT83">
        <v>1.85803</v>
      </c>
      <c r="HU83">
        <v>1.85707</v>
      </c>
      <c r="HV83">
        <v>1.85207</v>
      </c>
      <c r="HW83">
        <v>0</v>
      </c>
      <c r="HX83">
        <v>0</v>
      </c>
      <c r="HY83">
        <v>0</v>
      </c>
      <c r="HZ83">
        <v>0</v>
      </c>
      <c r="IA83" t="s">
        <v>424</v>
      </c>
      <c r="IB83" t="s">
        <v>425</v>
      </c>
      <c r="IC83" t="s">
        <v>426</v>
      </c>
      <c r="ID83" t="s">
        <v>426</v>
      </c>
      <c r="IE83" t="s">
        <v>426</v>
      </c>
      <c r="IF83" t="s">
        <v>426</v>
      </c>
      <c r="IG83">
        <v>0</v>
      </c>
      <c r="IH83">
        <v>100</v>
      </c>
      <c r="II83">
        <v>100</v>
      </c>
      <c r="IJ83">
        <v>-1.347</v>
      </c>
      <c r="IK83">
        <v>0.1827</v>
      </c>
      <c r="IL83">
        <v>-2.136943090880341</v>
      </c>
      <c r="IM83">
        <v>0.001328113201692861</v>
      </c>
      <c r="IN83">
        <v>1.538283238170363E-06</v>
      </c>
      <c r="IO83">
        <v>-5.795655626708063E-10</v>
      </c>
      <c r="IP83">
        <v>-0.06045740820250394</v>
      </c>
      <c r="IQ83">
        <v>-0.004593102289677449</v>
      </c>
      <c r="IR83">
        <v>0.0008253994458280543</v>
      </c>
      <c r="IS83">
        <v>-7.403632370499484E-06</v>
      </c>
      <c r="IT83">
        <v>2</v>
      </c>
      <c r="IU83">
        <v>1985</v>
      </c>
      <c r="IV83">
        <v>1</v>
      </c>
      <c r="IW83">
        <v>27</v>
      </c>
      <c r="IX83">
        <v>2.7</v>
      </c>
      <c r="IY83">
        <v>2.6</v>
      </c>
      <c r="IZ83">
        <v>1.12549</v>
      </c>
      <c r="JA83">
        <v>2.58057</v>
      </c>
      <c r="JB83">
        <v>1.49658</v>
      </c>
      <c r="JC83">
        <v>2.34131</v>
      </c>
      <c r="JD83">
        <v>1.54907</v>
      </c>
      <c r="JE83">
        <v>2.45117</v>
      </c>
      <c r="JF83">
        <v>31.8707</v>
      </c>
      <c r="JG83">
        <v>14.5698</v>
      </c>
      <c r="JH83">
        <v>18</v>
      </c>
      <c r="JI83">
        <v>482.813</v>
      </c>
      <c r="JJ83">
        <v>507.581</v>
      </c>
      <c r="JK83">
        <v>30.5961</v>
      </c>
      <c r="JL83">
        <v>27.5438</v>
      </c>
      <c r="JM83">
        <v>29.9999</v>
      </c>
      <c r="JN83">
        <v>27.8636</v>
      </c>
      <c r="JO83">
        <v>27.8735</v>
      </c>
      <c r="JP83">
        <v>22.6303</v>
      </c>
      <c r="JQ83">
        <v>21.3098</v>
      </c>
      <c r="JR83">
        <v>83.46729999999999</v>
      </c>
      <c r="JS83">
        <v>30.8977</v>
      </c>
      <c r="JT83">
        <v>420</v>
      </c>
      <c r="JU83">
        <v>23.0877</v>
      </c>
      <c r="JV83">
        <v>102.306</v>
      </c>
      <c r="JW83">
        <v>91.4727</v>
      </c>
    </row>
    <row r="84" spans="1:283">
      <c r="A84">
        <v>66</v>
      </c>
      <c r="B84">
        <v>1761018583.6</v>
      </c>
      <c r="C84">
        <v>514.0999999046326</v>
      </c>
      <c r="D84" t="s">
        <v>560</v>
      </c>
      <c r="E84" t="s">
        <v>561</v>
      </c>
      <c r="F84">
        <v>5</v>
      </c>
      <c r="G84" t="s">
        <v>489</v>
      </c>
      <c r="H84">
        <v>1761018580.6</v>
      </c>
      <c r="I84">
        <f>(J84)/1000</f>
        <v>0</v>
      </c>
      <c r="J84">
        <f>1000*DJ84*AH84*(DF84-DG84)/(100*CY84*(1000-AH84*DF84))</f>
        <v>0</v>
      </c>
      <c r="K84">
        <f>DJ84*AH84*(DE84-DD84*(1000-AH84*DG84)/(1000-AH84*DF84))/(100*CY84)</f>
        <v>0</v>
      </c>
      <c r="L84">
        <f>DD84 - IF(AH84&gt;1, K84*CY84*100.0/(AJ84), 0)</f>
        <v>0</v>
      </c>
      <c r="M84">
        <f>((S84-I84/2)*L84-K84)/(S84+I84/2)</f>
        <v>0</v>
      </c>
      <c r="N84">
        <f>M84*(DK84+DL84)/1000.0</f>
        <v>0</v>
      </c>
      <c r="O84">
        <f>(DD84 - IF(AH84&gt;1, K84*CY84*100.0/(AJ84), 0))*(DK84+DL84)/1000.0</f>
        <v>0</v>
      </c>
      <c r="P84">
        <f>2.0/((1/R84-1/Q84)+SIGN(R84)*SQRT((1/R84-1/Q84)*(1/R84-1/Q84) + 4*CZ84/((CZ84+1)*(CZ84+1))*(2*1/R84*1/Q84-1/Q84*1/Q84)))</f>
        <v>0</v>
      </c>
      <c r="Q84">
        <f>IF(LEFT(DA84,1)&lt;&gt;"0",IF(LEFT(DA84,1)="1",3.0,DB84),$D$5+$E$5*(DR84*DK84/($K$5*1000))+$F$5*(DR84*DK84/($K$5*1000))*MAX(MIN(CY84,$J$5),$I$5)*MAX(MIN(CY84,$J$5),$I$5)+$G$5*MAX(MIN(CY84,$J$5),$I$5)*(DR84*DK84/($K$5*1000))+$H$5*(DR84*DK84/($K$5*1000))*(DR84*DK84/($K$5*1000)))</f>
        <v>0</v>
      </c>
      <c r="R84">
        <f>I84*(1000-(1000*0.61365*exp(17.502*V84/(240.97+V84))/(DK84+DL84)+DF84)/2)/(1000*0.61365*exp(17.502*V84/(240.97+V84))/(DK84+DL84)-DF84)</f>
        <v>0</v>
      </c>
      <c r="S84">
        <f>1/((CZ84+1)/(P84/1.6)+1/(Q84/1.37)) + CZ84/((CZ84+1)/(P84/1.6) + CZ84/(Q84/1.37))</f>
        <v>0</v>
      </c>
      <c r="T84">
        <f>(CU84*CX84)</f>
        <v>0</v>
      </c>
      <c r="U84">
        <f>(DM84+(T84+2*0.95*5.67E-8*(((DM84+$B$9)+273)^4-(DM84+273)^4)-44100*I84)/(1.84*29.3*Q84+8*0.95*5.67E-8*(DM84+273)^3))</f>
        <v>0</v>
      </c>
      <c r="V84">
        <f>($C$9*DN84+$D$9*DO84+$E$9*U84)</f>
        <v>0</v>
      </c>
      <c r="W84">
        <f>0.61365*exp(17.502*V84/(240.97+V84))</f>
        <v>0</v>
      </c>
      <c r="X84">
        <f>(Y84/Z84*100)</f>
        <v>0</v>
      </c>
      <c r="Y84">
        <f>DF84*(DK84+DL84)/1000</f>
        <v>0</v>
      </c>
      <c r="Z84">
        <f>0.61365*exp(17.502*DM84/(240.97+DM84))</f>
        <v>0</v>
      </c>
      <c r="AA84">
        <f>(W84-DF84*(DK84+DL84)/1000)</f>
        <v>0</v>
      </c>
      <c r="AB84">
        <f>(-I84*44100)</f>
        <v>0</v>
      </c>
      <c r="AC84">
        <f>2*29.3*Q84*0.92*(DM84-V84)</f>
        <v>0</v>
      </c>
      <c r="AD84">
        <f>2*0.95*5.67E-8*(((DM84+$B$9)+273)^4-(V84+273)^4)</f>
        <v>0</v>
      </c>
      <c r="AE84">
        <f>T84+AD84+AB84+AC84</f>
        <v>0</v>
      </c>
      <c r="AF84">
        <v>0</v>
      </c>
      <c r="AG84">
        <v>0</v>
      </c>
      <c r="AH84">
        <f>IF(AF84*$H$15&gt;=AJ84,1.0,(AJ84/(AJ84-AF84*$H$15)))</f>
        <v>0</v>
      </c>
      <c r="AI84">
        <f>(AH84-1)*100</f>
        <v>0</v>
      </c>
      <c r="AJ84">
        <f>MAX(0,($B$15+$C$15*DR84)/(1+$D$15*DR84)*DK84/(DM84+273)*$E$15)</f>
        <v>0</v>
      </c>
      <c r="AK84" t="s">
        <v>420</v>
      </c>
      <c r="AL84" t="s">
        <v>420</v>
      </c>
      <c r="AM84">
        <v>0</v>
      </c>
      <c r="AN84">
        <v>0</v>
      </c>
      <c r="AO84">
        <f>1-AM84/AN84</f>
        <v>0</v>
      </c>
      <c r="AP84">
        <v>0</v>
      </c>
      <c r="AQ84" t="s">
        <v>420</v>
      </c>
      <c r="AR84" t="s">
        <v>420</v>
      </c>
      <c r="AS84">
        <v>0</v>
      </c>
      <c r="AT84">
        <v>0</v>
      </c>
      <c r="AU84">
        <f>1-AS84/AT84</f>
        <v>0</v>
      </c>
      <c r="AV84">
        <v>0.5</v>
      </c>
      <c r="AW84">
        <f>CV84</f>
        <v>0</v>
      </c>
      <c r="AX84">
        <f>K84</f>
        <v>0</v>
      </c>
      <c r="AY84">
        <f>AU84*AV84*AW84</f>
        <v>0</v>
      </c>
      <c r="AZ84">
        <f>(AX84-AP84)/AW84</f>
        <v>0</v>
      </c>
      <c r="BA84">
        <f>(AN84-AT84)/AT84</f>
        <v>0</v>
      </c>
      <c r="BB84">
        <f>AM84/(AO84+AM84/AT84)</f>
        <v>0</v>
      </c>
      <c r="BC84" t="s">
        <v>420</v>
      </c>
      <c r="BD84">
        <v>0</v>
      </c>
      <c r="BE84">
        <f>IF(BD84&lt;&gt;0, BD84, BB84)</f>
        <v>0</v>
      </c>
      <c r="BF84">
        <f>1-BE84/AT84</f>
        <v>0</v>
      </c>
      <c r="BG84">
        <f>(AT84-AS84)/(AT84-BE84)</f>
        <v>0</v>
      </c>
      <c r="BH84">
        <f>(AN84-AT84)/(AN84-BE84)</f>
        <v>0</v>
      </c>
      <c r="BI84">
        <f>(AT84-AS84)/(AT84-AM84)</f>
        <v>0</v>
      </c>
      <c r="BJ84">
        <f>(AN84-AT84)/(AN84-AM84)</f>
        <v>0</v>
      </c>
      <c r="BK84">
        <f>(BG84*BE84/AS84)</f>
        <v>0</v>
      </c>
      <c r="BL84">
        <f>(1-BK84)</f>
        <v>0</v>
      </c>
      <c r="CU84">
        <f>$B$13*DS84+$C$13*DT84+$F$13*EE84*(1-EH84)</f>
        <v>0</v>
      </c>
      <c r="CV84">
        <f>CU84*CW84</f>
        <v>0</v>
      </c>
      <c r="CW84">
        <f>($B$13*$D$11+$C$13*$D$11+$F$13*((ER84+EJ84)/MAX(ER84+EJ84+ES84, 0.1)*$I$11+ES84/MAX(ER84+EJ84+ES84, 0.1)*$J$11))/($B$13+$C$13+$F$13)</f>
        <v>0</v>
      </c>
      <c r="CX84">
        <f>($B$13*$K$11+$C$13*$K$11+$F$13*((ER84+EJ84)/MAX(ER84+EJ84+ES84, 0.1)*$P$11+ES84/MAX(ER84+EJ84+ES84, 0.1)*$Q$11))/($B$13+$C$13+$F$13)</f>
        <v>0</v>
      </c>
      <c r="CY84">
        <v>1.37</v>
      </c>
      <c r="CZ84">
        <v>0.5</v>
      </c>
      <c r="DA84" t="s">
        <v>421</v>
      </c>
      <c r="DB84">
        <v>2</v>
      </c>
      <c r="DC84">
        <v>1761018580.6</v>
      </c>
      <c r="DD84">
        <v>420.3171111111112</v>
      </c>
      <c r="DE84">
        <v>419.9551111111111</v>
      </c>
      <c r="DF84">
        <v>23.27154444444444</v>
      </c>
      <c r="DG84">
        <v>23.38618888888889</v>
      </c>
      <c r="DH84">
        <v>421.664</v>
      </c>
      <c r="DI84">
        <v>23.08916666666667</v>
      </c>
      <c r="DJ84">
        <v>500.0307777777778</v>
      </c>
      <c r="DK84">
        <v>90.78966666666666</v>
      </c>
      <c r="DL84">
        <v>0.03396847777777778</v>
      </c>
      <c r="DM84">
        <v>29.68908888888889</v>
      </c>
      <c r="DN84">
        <v>29.99274444444445</v>
      </c>
      <c r="DO84">
        <v>999.9000000000001</v>
      </c>
      <c r="DP84">
        <v>0</v>
      </c>
      <c r="DQ84">
        <v>0</v>
      </c>
      <c r="DR84">
        <v>10011.04111111111</v>
      </c>
      <c r="DS84">
        <v>0</v>
      </c>
      <c r="DT84">
        <v>0.242856</v>
      </c>
      <c r="DU84">
        <v>0.3618435555555555</v>
      </c>
      <c r="DV84">
        <v>430.3316666666667</v>
      </c>
      <c r="DW84">
        <v>430.0114444444445</v>
      </c>
      <c r="DX84">
        <v>-0.1146288444444444</v>
      </c>
      <c r="DY84">
        <v>419.9551111111111</v>
      </c>
      <c r="DZ84">
        <v>23.38618888888889</v>
      </c>
      <c r="EA84">
        <v>2.112816666666667</v>
      </c>
      <c r="EB84">
        <v>2.123222222222223</v>
      </c>
      <c r="EC84">
        <v>18.31613333333333</v>
      </c>
      <c r="ED84">
        <v>18.39445555555555</v>
      </c>
      <c r="EE84">
        <v>0.00500078</v>
      </c>
      <c r="EF84">
        <v>0</v>
      </c>
      <c r="EG84">
        <v>0</v>
      </c>
      <c r="EH84">
        <v>0</v>
      </c>
      <c r="EI84">
        <v>73.57777777777777</v>
      </c>
      <c r="EJ84">
        <v>0.00500078</v>
      </c>
      <c r="EK84">
        <v>-11.72222222222222</v>
      </c>
      <c r="EL84">
        <v>0.09999999999999999</v>
      </c>
      <c r="EM84">
        <v>35.47911111111111</v>
      </c>
      <c r="EN84">
        <v>39.729</v>
      </c>
      <c r="EO84">
        <v>37.52066666666667</v>
      </c>
      <c r="EP84">
        <v>40.15944444444445</v>
      </c>
      <c r="EQ84">
        <v>38.13866666666667</v>
      </c>
      <c r="ER84">
        <v>0</v>
      </c>
      <c r="ES84">
        <v>0</v>
      </c>
      <c r="ET84">
        <v>0</v>
      </c>
      <c r="EU84">
        <v>1761018582.7</v>
      </c>
      <c r="EV84">
        <v>0</v>
      </c>
      <c r="EW84">
        <v>76.76923076923077</v>
      </c>
      <c r="EX84">
        <v>-37.3128203073999</v>
      </c>
      <c r="EY84">
        <v>28.52307697200417</v>
      </c>
      <c r="EZ84">
        <v>-15.27307692307692</v>
      </c>
      <c r="FA84">
        <v>15</v>
      </c>
      <c r="FB84">
        <v>1761018425</v>
      </c>
      <c r="FC84" t="s">
        <v>551</v>
      </c>
      <c r="FD84">
        <v>1761018422.5</v>
      </c>
      <c r="FE84">
        <v>1761018425</v>
      </c>
      <c r="FF84">
        <v>25</v>
      </c>
      <c r="FG84">
        <v>-0.524</v>
      </c>
      <c r="FH84">
        <v>-0.005</v>
      </c>
      <c r="FI84">
        <v>-1.348</v>
      </c>
      <c r="FJ84">
        <v>0.192</v>
      </c>
      <c r="FK84">
        <v>420</v>
      </c>
      <c r="FL84">
        <v>24</v>
      </c>
      <c r="FM84">
        <v>0.38</v>
      </c>
      <c r="FN84">
        <v>0.08</v>
      </c>
      <c r="FO84">
        <v>0.3693214634146341</v>
      </c>
      <c r="FP84">
        <v>-0.2727230592334502</v>
      </c>
      <c r="FQ84">
        <v>0.05528052926624328</v>
      </c>
      <c r="FR84">
        <v>1</v>
      </c>
      <c r="FS84">
        <v>78.38823529411764</v>
      </c>
      <c r="FT84">
        <v>-18.71352160569277</v>
      </c>
      <c r="FU84">
        <v>5.250364956832125</v>
      </c>
      <c r="FV84">
        <v>0</v>
      </c>
      <c r="FW84">
        <v>-0.1669847748780488</v>
      </c>
      <c r="FX84">
        <v>-0.1742398482229965</v>
      </c>
      <c r="FY84">
        <v>0.08310238658192749</v>
      </c>
      <c r="FZ84">
        <v>0</v>
      </c>
      <c r="GA84">
        <v>1</v>
      </c>
      <c r="GB84">
        <v>3</v>
      </c>
      <c r="GC84" t="s">
        <v>431</v>
      </c>
      <c r="GD84">
        <v>3.10939</v>
      </c>
      <c r="GE84">
        <v>2.7256</v>
      </c>
      <c r="GF84">
        <v>0.08881500000000001</v>
      </c>
      <c r="GG84">
        <v>0.0885807</v>
      </c>
      <c r="GH84">
        <v>0.106624</v>
      </c>
      <c r="GI84">
        <v>0.107687</v>
      </c>
      <c r="GJ84">
        <v>23915</v>
      </c>
      <c r="GK84">
        <v>21673.5</v>
      </c>
      <c r="GL84">
        <v>26803.5</v>
      </c>
      <c r="GM84">
        <v>23985.9</v>
      </c>
      <c r="GN84">
        <v>38261.5</v>
      </c>
      <c r="GO84">
        <v>31571.9</v>
      </c>
      <c r="GP84">
        <v>46783.7</v>
      </c>
      <c r="GQ84">
        <v>37918.1</v>
      </c>
      <c r="GR84">
        <v>1.89328</v>
      </c>
      <c r="GS84">
        <v>1.88563</v>
      </c>
      <c r="GT84">
        <v>0.130888</v>
      </c>
      <c r="GU84">
        <v>0</v>
      </c>
      <c r="GV84">
        <v>27.8496</v>
      </c>
      <c r="GW84">
        <v>999.9</v>
      </c>
      <c r="GX84">
        <v>63.8</v>
      </c>
      <c r="GY84">
        <v>28.8</v>
      </c>
      <c r="GZ84">
        <v>27.9336</v>
      </c>
      <c r="HA84">
        <v>61.5073</v>
      </c>
      <c r="HB84">
        <v>20.0361</v>
      </c>
      <c r="HC84">
        <v>1</v>
      </c>
      <c r="HD84">
        <v>0.0216921</v>
      </c>
      <c r="HE84">
        <v>-2.97571</v>
      </c>
      <c r="HF84">
        <v>20.3099</v>
      </c>
      <c r="HG84">
        <v>5.21804</v>
      </c>
      <c r="HH84">
        <v>11.98</v>
      </c>
      <c r="HI84">
        <v>4.96555</v>
      </c>
      <c r="HJ84">
        <v>3.276</v>
      </c>
      <c r="HK84">
        <v>9999</v>
      </c>
      <c r="HL84">
        <v>9999</v>
      </c>
      <c r="HM84">
        <v>9999</v>
      </c>
      <c r="HN84">
        <v>999.9</v>
      </c>
      <c r="HO84">
        <v>1.86356</v>
      </c>
      <c r="HP84">
        <v>1.85974</v>
      </c>
      <c r="HQ84">
        <v>1.85798</v>
      </c>
      <c r="HR84">
        <v>1.85941</v>
      </c>
      <c r="HS84">
        <v>1.85959</v>
      </c>
      <c r="HT84">
        <v>1.85803</v>
      </c>
      <c r="HU84">
        <v>1.85707</v>
      </c>
      <c r="HV84">
        <v>1.85208</v>
      </c>
      <c r="HW84">
        <v>0</v>
      </c>
      <c r="HX84">
        <v>0</v>
      </c>
      <c r="HY84">
        <v>0</v>
      </c>
      <c r="HZ84">
        <v>0</v>
      </c>
      <c r="IA84" t="s">
        <v>424</v>
      </c>
      <c r="IB84" t="s">
        <v>425</v>
      </c>
      <c r="IC84" t="s">
        <v>426</v>
      </c>
      <c r="ID84" t="s">
        <v>426</v>
      </c>
      <c r="IE84" t="s">
        <v>426</v>
      </c>
      <c r="IF84" t="s">
        <v>426</v>
      </c>
      <c r="IG84">
        <v>0</v>
      </c>
      <c r="IH84">
        <v>100</v>
      </c>
      <c r="II84">
        <v>100</v>
      </c>
      <c r="IJ84">
        <v>-1.346</v>
      </c>
      <c r="IK84">
        <v>0.1829</v>
      </c>
      <c r="IL84">
        <v>-2.136943090880341</v>
      </c>
      <c r="IM84">
        <v>0.001328113201692861</v>
      </c>
      <c r="IN84">
        <v>1.538283238170363E-06</v>
      </c>
      <c r="IO84">
        <v>-5.795655626708063E-10</v>
      </c>
      <c r="IP84">
        <v>-0.06045740820250394</v>
      </c>
      <c r="IQ84">
        <v>-0.004593102289677449</v>
      </c>
      <c r="IR84">
        <v>0.0008253994458280543</v>
      </c>
      <c r="IS84">
        <v>-7.403632370499484E-06</v>
      </c>
      <c r="IT84">
        <v>2</v>
      </c>
      <c r="IU84">
        <v>1985</v>
      </c>
      <c r="IV84">
        <v>1</v>
      </c>
      <c r="IW84">
        <v>27</v>
      </c>
      <c r="IX84">
        <v>2.7</v>
      </c>
      <c r="IY84">
        <v>2.6</v>
      </c>
      <c r="IZ84">
        <v>1.12549</v>
      </c>
      <c r="JA84">
        <v>2.58667</v>
      </c>
      <c r="JB84">
        <v>1.49658</v>
      </c>
      <c r="JC84">
        <v>2.34253</v>
      </c>
      <c r="JD84">
        <v>1.54907</v>
      </c>
      <c r="JE84">
        <v>2.37427</v>
      </c>
      <c r="JF84">
        <v>31.8707</v>
      </c>
      <c r="JG84">
        <v>14.5698</v>
      </c>
      <c r="JH84">
        <v>18</v>
      </c>
      <c r="JI84">
        <v>482.732</v>
      </c>
      <c r="JJ84">
        <v>507.605</v>
      </c>
      <c r="JK84">
        <v>30.7423</v>
      </c>
      <c r="JL84">
        <v>27.5415</v>
      </c>
      <c r="JM84">
        <v>30.0002</v>
      </c>
      <c r="JN84">
        <v>27.8607</v>
      </c>
      <c r="JO84">
        <v>27.8704</v>
      </c>
      <c r="JP84">
        <v>22.6299</v>
      </c>
      <c r="JQ84">
        <v>21.5868</v>
      </c>
      <c r="JR84">
        <v>83.46729999999999</v>
      </c>
      <c r="JS84">
        <v>30.8977</v>
      </c>
      <c r="JT84">
        <v>420</v>
      </c>
      <c r="JU84">
        <v>23.0725</v>
      </c>
      <c r="JV84">
        <v>102.306</v>
      </c>
      <c r="JW84">
        <v>91.4725</v>
      </c>
    </row>
    <row r="85" spans="1:283">
      <c r="A85">
        <v>67</v>
      </c>
      <c r="B85">
        <v>1761018585.6</v>
      </c>
      <c r="C85">
        <v>516.0999999046326</v>
      </c>
      <c r="D85" t="s">
        <v>562</v>
      </c>
      <c r="E85" t="s">
        <v>563</v>
      </c>
      <c r="F85">
        <v>5</v>
      </c>
      <c r="G85" t="s">
        <v>489</v>
      </c>
      <c r="H85">
        <v>1761018582.6</v>
      </c>
      <c r="I85">
        <f>(J85)/1000</f>
        <v>0</v>
      </c>
      <c r="J85">
        <f>1000*DJ85*AH85*(DF85-DG85)/(100*CY85*(1000-AH85*DF85))</f>
        <v>0</v>
      </c>
      <c r="K85">
        <f>DJ85*AH85*(DE85-DD85*(1000-AH85*DG85)/(1000-AH85*DF85))/(100*CY85)</f>
        <v>0</v>
      </c>
      <c r="L85">
        <f>DD85 - IF(AH85&gt;1, K85*CY85*100.0/(AJ85), 0)</f>
        <v>0</v>
      </c>
      <c r="M85">
        <f>((S85-I85/2)*L85-K85)/(S85+I85/2)</f>
        <v>0</v>
      </c>
      <c r="N85">
        <f>M85*(DK85+DL85)/1000.0</f>
        <v>0</v>
      </c>
      <c r="O85">
        <f>(DD85 - IF(AH85&gt;1, K85*CY85*100.0/(AJ85), 0))*(DK85+DL85)/1000.0</f>
        <v>0</v>
      </c>
      <c r="P85">
        <f>2.0/((1/R85-1/Q85)+SIGN(R85)*SQRT((1/R85-1/Q85)*(1/R85-1/Q85) + 4*CZ85/((CZ85+1)*(CZ85+1))*(2*1/R85*1/Q85-1/Q85*1/Q85)))</f>
        <v>0</v>
      </c>
      <c r="Q85">
        <f>IF(LEFT(DA85,1)&lt;&gt;"0",IF(LEFT(DA85,1)="1",3.0,DB85),$D$5+$E$5*(DR85*DK85/($K$5*1000))+$F$5*(DR85*DK85/($K$5*1000))*MAX(MIN(CY85,$J$5),$I$5)*MAX(MIN(CY85,$J$5),$I$5)+$G$5*MAX(MIN(CY85,$J$5),$I$5)*(DR85*DK85/($K$5*1000))+$H$5*(DR85*DK85/($K$5*1000))*(DR85*DK85/($K$5*1000)))</f>
        <v>0</v>
      </c>
      <c r="R85">
        <f>I85*(1000-(1000*0.61365*exp(17.502*V85/(240.97+V85))/(DK85+DL85)+DF85)/2)/(1000*0.61365*exp(17.502*V85/(240.97+V85))/(DK85+DL85)-DF85)</f>
        <v>0</v>
      </c>
      <c r="S85">
        <f>1/((CZ85+1)/(P85/1.6)+1/(Q85/1.37)) + CZ85/((CZ85+1)/(P85/1.6) + CZ85/(Q85/1.37))</f>
        <v>0</v>
      </c>
      <c r="T85">
        <f>(CU85*CX85)</f>
        <v>0</v>
      </c>
      <c r="U85">
        <f>(DM85+(T85+2*0.95*5.67E-8*(((DM85+$B$9)+273)^4-(DM85+273)^4)-44100*I85)/(1.84*29.3*Q85+8*0.95*5.67E-8*(DM85+273)^3))</f>
        <v>0</v>
      </c>
      <c r="V85">
        <f>($C$9*DN85+$D$9*DO85+$E$9*U85)</f>
        <v>0</v>
      </c>
      <c r="W85">
        <f>0.61365*exp(17.502*V85/(240.97+V85))</f>
        <v>0</v>
      </c>
      <c r="X85">
        <f>(Y85/Z85*100)</f>
        <v>0</v>
      </c>
      <c r="Y85">
        <f>DF85*(DK85+DL85)/1000</f>
        <v>0</v>
      </c>
      <c r="Z85">
        <f>0.61365*exp(17.502*DM85/(240.97+DM85))</f>
        <v>0</v>
      </c>
      <c r="AA85">
        <f>(W85-DF85*(DK85+DL85)/1000)</f>
        <v>0</v>
      </c>
      <c r="AB85">
        <f>(-I85*44100)</f>
        <v>0</v>
      </c>
      <c r="AC85">
        <f>2*29.3*Q85*0.92*(DM85-V85)</f>
        <v>0</v>
      </c>
      <c r="AD85">
        <f>2*0.95*5.67E-8*(((DM85+$B$9)+273)^4-(V85+273)^4)</f>
        <v>0</v>
      </c>
      <c r="AE85">
        <f>T85+AD85+AB85+AC85</f>
        <v>0</v>
      </c>
      <c r="AF85">
        <v>0</v>
      </c>
      <c r="AG85">
        <v>0</v>
      </c>
      <c r="AH85">
        <f>IF(AF85*$H$15&gt;=AJ85,1.0,(AJ85/(AJ85-AF85*$H$15)))</f>
        <v>0</v>
      </c>
      <c r="AI85">
        <f>(AH85-1)*100</f>
        <v>0</v>
      </c>
      <c r="AJ85">
        <f>MAX(0,($B$15+$C$15*DR85)/(1+$D$15*DR85)*DK85/(DM85+273)*$E$15)</f>
        <v>0</v>
      </c>
      <c r="AK85" t="s">
        <v>420</v>
      </c>
      <c r="AL85" t="s">
        <v>420</v>
      </c>
      <c r="AM85">
        <v>0</v>
      </c>
      <c r="AN85">
        <v>0</v>
      </c>
      <c r="AO85">
        <f>1-AM85/AN85</f>
        <v>0</v>
      </c>
      <c r="AP85">
        <v>0</v>
      </c>
      <c r="AQ85" t="s">
        <v>420</v>
      </c>
      <c r="AR85" t="s">
        <v>420</v>
      </c>
      <c r="AS85">
        <v>0</v>
      </c>
      <c r="AT85">
        <v>0</v>
      </c>
      <c r="AU85">
        <f>1-AS85/AT85</f>
        <v>0</v>
      </c>
      <c r="AV85">
        <v>0.5</v>
      </c>
      <c r="AW85">
        <f>CV85</f>
        <v>0</v>
      </c>
      <c r="AX85">
        <f>K85</f>
        <v>0</v>
      </c>
      <c r="AY85">
        <f>AU85*AV85*AW85</f>
        <v>0</v>
      </c>
      <c r="AZ85">
        <f>(AX85-AP85)/AW85</f>
        <v>0</v>
      </c>
      <c r="BA85">
        <f>(AN85-AT85)/AT85</f>
        <v>0</v>
      </c>
      <c r="BB85">
        <f>AM85/(AO85+AM85/AT85)</f>
        <v>0</v>
      </c>
      <c r="BC85" t="s">
        <v>420</v>
      </c>
      <c r="BD85">
        <v>0</v>
      </c>
      <c r="BE85">
        <f>IF(BD85&lt;&gt;0, BD85, BB85)</f>
        <v>0</v>
      </c>
      <c r="BF85">
        <f>1-BE85/AT85</f>
        <v>0</v>
      </c>
      <c r="BG85">
        <f>(AT85-AS85)/(AT85-BE85)</f>
        <v>0</v>
      </c>
      <c r="BH85">
        <f>(AN85-AT85)/(AN85-BE85)</f>
        <v>0</v>
      </c>
      <c r="BI85">
        <f>(AT85-AS85)/(AT85-AM85)</f>
        <v>0</v>
      </c>
      <c r="BJ85">
        <f>(AN85-AT85)/(AN85-AM85)</f>
        <v>0</v>
      </c>
      <c r="BK85">
        <f>(BG85*BE85/AS85)</f>
        <v>0</v>
      </c>
      <c r="BL85">
        <f>(1-BK85)</f>
        <v>0</v>
      </c>
      <c r="CU85">
        <f>$B$13*DS85+$C$13*DT85+$F$13*EE85*(1-EH85)</f>
        <v>0</v>
      </c>
      <c r="CV85">
        <f>CU85*CW85</f>
        <v>0</v>
      </c>
      <c r="CW85">
        <f>($B$13*$D$11+$C$13*$D$11+$F$13*((ER85+EJ85)/MAX(ER85+EJ85+ES85, 0.1)*$I$11+ES85/MAX(ER85+EJ85+ES85, 0.1)*$J$11))/($B$13+$C$13+$F$13)</f>
        <v>0</v>
      </c>
      <c r="CX85">
        <f>($B$13*$K$11+$C$13*$K$11+$F$13*((ER85+EJ85)/MAX(ER85+EJ85+ES85, 0.1)*$P$11+ES85/MAX(ER85+EJ85+ES85, 0.1)*$Q$11))/($B$13+$C$13+$F$13)</f>
        <v>0</v>
      </c>
      <c r="CY85">
        <v>1.37</v>
      </c>
      <c r="CZ85">
        <v>0.5</v>
      </c>
      <c r="DA85" t="s">
        <v>421</v>
      </c>
      <c r="DB85">
        <v>2</v>
      </c>
      <c r="DC85">
        <v>1761018582.6</v>
      </c>
      <c r="DD85">
        <v>420.3347777777778</v>
      </c>
      <c r="DE85">
        <v>419.9525555555556</v>
      </c>
      <c r="DF85">
        <v>23.28895555555555</v>
      </c>
      <c r="DG85">
        <v>23.33731111111111</v>
      </c>
      <c r="DH85">
        <v>421.6816666666667</v>
      </c>
      <c r="DI85">
        <v>23.10621111111111</v>
      </c>
      <c r="DJ85">
        <v>499.9904444444444</v>
      </c>
      <c r="DK85">
        <v>90.79007777777777</v>
      </c>
      <c r="DL85">
        <v>0.03397456666666666</v>
      </c>
      <c r="DM85">
        <v>29.68685555555555</v>
      </c>
      <c r="DN85">
        <v>29.98844444444445</v>
      </c>
      <c r="DO85">
        <v>999.9000000000001</v>
      </c>
      <c r="DP85">
        <v>0</v>
      </c>
      <c r="DQ85">
        <v>0</v>
      </c>
      <c r="DR85">
        <v>10000.61666666667</v>
      </c>
      <c r="DS85">
        <v>0</v>
      </c>
      <c r="DT85">
        <v>0.242856</v>
      </c>
      <c r="DU85">
        <v>0.3820835555555556</v>
      </c>
      <c r="DV85">
        <v>430.3574444444444</v>
      </c>
      <c r="DW85">
        <v>429.9873333333333</v>
      </c>
      <c r="DX85">
        <v>-0.04832568888888889</v>
      </c>
      <c r="DY85">
        <v>419.9525555555556</v>
      </c>
      <c r="DZ85">
        <v>23.33731111111111</v>
      </c>
      <c r="EA85">
        <v>2.114408888888889</v>
      </c>
      <c r="EB85">
        <v>2.118795555555556</v>
      </c>
      <c r="EC85">
        <v>18.32814444444444</v>
      </c>
      <c r="ED85">
        <v>18.36115555555556</v>
      </c>
      <c r="EE85">
        <v>0.00500078</v>
      </c>
      <c r="EF85">
        <v>0</v>
      </c>
      <c r="EG85">
        <v>0</v>
      </c>
      <c r="EH85">
        <v>0</v>
      </c>
      <c r="EI85">
        <v>75.53333333333333</v>
      </c>
      <c r="EJ85">
        <v>0.00500078</v>
      </c>
      <c r="EK85">
        <v>-10.91111111111111</v>
      </c>
      <c r="EL85">
        <v>0.5555555555555556</v>
      </c>
      <c r="EM85">
        <v>35.48611111111111</v>
      </c>
      <c r="EN85">
        <v>39.75</v>
      </c>
      <c r="EO85">
        <v>37.36088888888889</v>
      </c>
      <c r="EP85">
        <v>40.2011111111111</v>
      </c>
      <c r="EQ85">
        <v>38.18033333333333</v>
      </c>
      <c r="ER85">
        <v>0</v>
      </c>
      <c r="ES85">
        <v>0</v>
      </c>
      <c r="ET85">
        <v>0</v>
      </c>
      <c r="EU85">
        <v>1761018584.5</v>
      </c>
      <c r="EV85">
        <v>0</v>
      </c>
      <c r="EW85">
        <v>76.28400000000001</v>
      </c>
      <c r="EX85">
        <v>-24.70769205610692</v>
      </c>
      <c r="EY85">
        <v>40.83076919338414</v>
      </c>
      <c r="EZ85">
        <v>-14.496</v>
      </c>
      <c r="FA85">
        <v>15</v>
      </c>
      <c r="FB85">
        <v>1761018425</v>
      </c>
      <c r="FC85" t="s">
        <v>551</v>
      </c>
      <c r="FD85">
        <v>1761018422.5</v>
      </c>
      <c r="FE85">
        <v>1761018425</v>
      </c>
      <c r="FF85">
        <v>25</v>
      </c>
      <c r="FG85">
        <v>-0.524</v>
      </c>
      <c r="FH85">
        <v>-0.005</v>
      </c>
      <c r="FI85">
        <v>-1.348</v>
      </c>
      <c r="FJ85">
        <v>0.192</v>
      </c>
      <c r="FK85">
        <v>420</v>
      </c>
      <c r="FL85">
        <v>24</v>
      </c>
      <c r="FM85">
        <v>0.38</v>
      </c>
      <c r="FN85">
        <v>0.08</v>
      </c>
      <c r="FO85">
        <v>0.35587845</v>
      </c>
      <c r="FP85">
        <v>0.04755800375234499</v>
      </c>
      <c r="FQ85">
        <v>0.0357838681097712</v>
      </c>
      <c r="FR85">
        <v>1</v>
      </c>
      <c r="FS85">
        <v>77.44999999999999</v>
      </c>
      <c r="FT85">
        <v>-25.5141327391453</v>
      </c>
      <c r="FU85">
        <v>5.759506208409353</v>
      </c>
      <c r="FV85">
        <v>0</v>
      </c>
      <c r="FW85">
        <v>-0.167265735</v>
      </c>
      <c r="FX85">
        <v>0.6241163166979369</v>
      </c>
      <c r="FY85">
        <v>0.08536851911001371</v>
      </c>
      <c r="FZ85">
        <v>0</v>
      </c>
      <c r="GA85">
        <v>1</v>
      </c>
      <c r="GB85">
        <v>3</v>
      </c>
      <c r="GC85" t="s">
        <v>431</v>
      </c>
      <c r="GD85">
        <v>3.1092</v>
      </c>
      <c r="GE85">
        <v>2.72587</v>
      </c>
      <c r="GF85">
        <v>0.0888191</v>
      </c>
      <c r="GG85">
        <v>0.0885958</v>
      </c>
      <c r="GH85">
        <v>0.106611</v>
      </c>
      <c r="GI85">
        <v>0.107444</v>
      </c>
      <c r="GJ85">
        <v>23914.9</v>
      </c>
      <c r="GK85">
        <v>21673.3</v>
      </c>
      <c r="GL85">
        <v>26803.6</v>
      </c>
      <c r="GM85">
        <v>23986.1</v>
      </c>
      <c r="GN85">
        <v>38262.1</v>
      </c>
      <c r="GO85">
        <v>31580.8</v>
      </c>
      <c r="GP85">
        <v>46783.8</v>
      </c>
      <c r="GQ85">
        <v>37918.3</v>
      </c>
      <c r="GR85">
        <v>1.8932</v>
      </c>
      <c r="GS85">
        <v>1.8857</v>
      </c>
      <c r="GT85">
        <v>0.131018</v>
      </c>
      <c r="GU85">
        <v>0</v>
      </c>
      <c r="GV85">
        <v>27.8468</v>
      </c>
      <c r="GW85">
        <v>999.9</v>
      </c>
      <c r="GX85">
        <v>63.8</v>
      </c>
      <c r="GY85">
        <v>28.8</v>
      </c>
      <c r="GZ85">
        <v>27.9348</v>
      </c>
      <c r="HA85">
        <v>61.3973</v>
      </c>
      <c r="HB85">
        <v>20.3245</v>
      </c>
      <c r="HC85">
        <v>1</v>
      </c>
      <c r="HD85">
        <v>0.0215396</v>
      </c>
      <c r="HE85">
        <v>-2.60253</v>
      </c>
      <c r="HF85">
        <v>20.3169</v>
      </c>
      <c r="HG85">
        <v>5.21789</v>
      </c>
      <c r="HH85">
        <v>11.9798</v>
      </c>
      <c r="HI85">
        <v>4.96555</v>
      </c>
      <c r="HJ85">
        <v>3.276</v>
      </c>
      <c r="HK85">
        <v>9999</v>
      </c>
      <c r="HL85">
        <v>9999</v>
      </c>
      <c r="HM85">
        <v>9999</v>
      </c>
      <c r="HN85">
        <v>999.9</v>
      </c>
      <c r="HO85">
        <v>1.86356</v>
      </c>
      <c r="HP85">
        <v>1.85974</v>
      </c>
      <c r="HQ85">
        <v>1.85798</v>
      </c>
      <c r="HR85">
        <v>1.8594</v>
      </c>
      <c r="HS85">
        <v>1.85958</v>
      </c>
      <c r="HT85">
        <v>1.85803</v>
      </c>
      <c r="HU85">
        <v>1.85709</v>
      </c>
      <c r="HV85">
        <v>1.85207</v>
      </c>
      <c r="HW85">
        <v>0</v>
      </c>
      <c r="HX85">
        <v>0</v>
      </c>
      <c r="HY85">
        <v>0</v>
      </c>
      <c r="HZ85">
        <v>0</v>
      </c>
      <c r="IA85" t="s">
        <v>424</v>
      </c>
      <c r="IB85" t="s">
        <v>425</v>
      </c>
      <c r="IC85" t="s">
        <v>426</v>
      </c>
      <c r="ID85" t="s">
        <v>426</v>
      </c>
      <c r="IE85" t="s">
        <v>426</v>
      </c>
      <c r="IF85" t="s">
        <v>426</v>
      </c>
      <c r="IG85">
        <v>0</v>
      </c>
      <c r="IH85">
        <v>100</v>
      </c>
      <c r="II85">
        <v>100</v>
      </c>
      <c r="IJ85">
        <v>-1.347</v>
      </c>
      <c r="IK85">
        <v>0.1829</v>
      </c>
      <c r="IL85">
        <v>-2.136943090880341</v>
      </c>
      <c r="IM85">
        <v>0.001328113201692861</v>
      </c>
      <c r="IN85">
        <v>1.538283238170363E-06</v>
      </c>
      <c r="IO85">
        <v>-5.795655626708063E-10</v>
      </c>
      <c r="IP85">
        <v>-0.06045740820250394</v>
      </c>
      <c r="IQ85">
        <v>-0.004593102289677449</v>
      </c>
      <c r="IR85">
        <v>0.0008253994458280543</v>
      </c>
      <c r="IS85">
        <v>-7.403632370499484E-06</v>
      </c>
      <c r="IT85">
        <v>2</v>
      </c>
      <c r="IU85">
        <v>1985</v>
      </c>
      <c r="IV85">
        <v>1</v>
      </c>
      <c r="IW85">
        <v>27</v>
      </c>
      <c r="IX85">
        <v>2.7</v>
      </c>
      <c r="IY85">
        <v>2.7</v>
      </c>
      <c r="IZ85">
        <v>1.12549</v>
      </c>
      <c r="JA85">
        <v>2.57202</v>
      </c>
      <c r="JB85">
        <v>1.49658</v>
      </c>
      <c r="JC85">
        <v>2.34253</v>
      </c>
      <c r="JD85">
        <v>1.54907</v>
      </c>
      <c r="JE85">
        <v>2.43286</v>
      </c>
      <c r="JF85">
        <v>31.8707</v>
      </c>
      <c r="JG85">
        <v>14.5873</v>
      </c>
      <c r="JH85">
        <v>18</v>
      </c>
      <c r="JI85">
        <v>482.666</v>
      </c>
      <c r="JJ85">
        <v>507.629</v>
      </c>
      <c r="JK85">
        <v>30.863</v>
      </c>
      <c r="JL85">
        <v>27.5386</v>
      </c>
      <c r="JM85">
        <v>30.0001</v>
      </c>
      <c r="JN85">
        <v>27.8577</v>
      </c>
      <c r="JO85">
        <v>27.8674</v>
      </c>
      <c r="JP85">
        <v>22.6282</v>
      </c>
      <c r="JQ85">
        <v>21.5868</v>
      </c>
      <c r="JR85">
        <v>83.46729999999999</v>
      </c>
      <c r="JS85">
        <v>30.9044</v>
      </c>
      <c r="JT85">
        <v>420</v>
      </c>
      <c r="JU85">
        <v>23.0652</v>
      </c>
      <c r="JV85">
        <v>102.306</v>
      </c>
      <c r="JW85">
        <v>91.4731</v>
      </c>
    </row>
    <row r="86" spans="1:283">
      <c r="A86">
        <v>68</v>
      </c>
      <c r="B86">
        <v>1761018587.6</v>
      </c>
      <c r="C86">
        <v>518.0999999046326</v>
      </c>
      <c r="D86" t="s">
        <v>564</v>
      </c>
      <c r="E86" t="s">
        <v>565</v>
      </c>
      <c r="F86">
        <v>5</v>
      </c>
      <c r="G86" t="s">
        <v>489</v>
      </c>
      <c r="H86">
        <v>1761018584.6</v>
      </c>
      <c r="I86">
        <f>(J86)/1000</f>
        <v>0</v>
      </c>
      <c r="J86">
        <f>1000*DJ86*AH86*(DF86-DG86)/(100*CY86*(1000-AH86*DF86))</f>
        <v>0</v>
      </c>
      <c r="K86">
        <f>DJ86*AH86*(DE86-DD86*(1000-AH86*DG86)/(1000-AH86*DF86))/(100*CY86)</f>
        <v>0</v>
      </c>
      <c r="L86">
        <f>DD86 - IF(AH86&gt;1, K86*CY86*100.0/(AJ86), 0)</f>
        <v>0</v>
      </c>
      <c r="M86">
        <f>((S86-I86/2)*L86-K86)/(S86+I86/2)</f>
        <v>0</v>
      </c>
      <c r="N86">
        <f>M86*(DK86+DL86)/1000.0</f>
        <v>0</v>
      </c>
      <c r="O86">
        <f>(DD86 - IF(AH86&gt;1, K86*CY86*100.0/(AJ86), 0))*(DK86+DL86)/1000.0</f>
        <v>0</v>
      </c>
      <c r="P86">
        <f>2.0/((1/R86-1/Q86)+SIGN(R86)*SQRT((1/R86-1/Q86)*(1/R86-1/Q86) + 4*CZ86/((CZ86+1)*(CZ86+1))*(2*1/R86*1/Q86-1/Q86*1/Q86)))</f>
        <v>0</v>
      </c>
      <c r="Q86">
        <f>IF(LEFT(DA86,1)&lt;&gt;"0",IF(LEFT(DA86,1)="1",3.0,DB86),$D$5+$E$5*(DR86*DK86/($K$5*1000))+$F$5*(DR86*DK86/($K$5*1000))*MAX(MIN(CY86,$J$5),$I$5)*MAX(MIN(CY86,$J$5),$I$5)+$G$5*MAX(MIN(CY86,$J$5),$I$5)*(DR86*DK86/($K$5*1000))+$H$5*(DR86*DK86/($K$5*1000))*(DR86*DK86/($K$5*1000)))</f>
        <v>0</v>
      </c>
      <c r="R86">
        <f>I86*(1000-(1000*0.61365*exp(17.502*V86/(240.97+V86))/(DK86+DL86)+DF86)/2)/(1000*0.61365*exp(17.502*V86/(240.97+V86))/(DK86+DL86)-DF86)</f>
        <v>0</v>
      </c>
      <c r="S86">
        <f>1/((CZ86+1)/(P86/1.6)+1/(Q86/1.37)) + CZ86/((CZ86+1)/(P86/1.6) + CZ86/(Q86/1.37))</f>
        <v>0</v>
      </c>
      <c r="T86">
        <f>(CU86*CX86)</f>
        <v>0</v>
      </c>
      <c r="U86">
        <f>(DM86+(T86+2*0.95*5.67E-8*(((DM86+$B$9)+273)^4-(DM86+273)^4)-44100*I86)/(1.84*29.3*Q86+8*0.95*5.67E-8*(DM86+273)^3))</f>
        <v>0</v>
      </c>
      <c r="V86">
        <f>($C$9*DN86+$D$9*DO86+$E$9*U86)</f>
        <v>0</v>
      </c>
      <c r="W86">
        <f>0.61365*exp(17.502*V86/(240.97+V86))</f>
        <v>0</v>
      </c>
      <c r="X86">
        <f>(Y86/Z86*100)</f>
        <v>0</v>
      </c>
      <c r="Y86">
        <f>DF86*(DK86+DL86)/1000</f>
        <v>0</v>
      </c>
      <c r="Z86">
        <f>0.61365*exp(17.502*DM86/(240.97+DM86))</f>
        <v>0</v>
      </c>
      <c r="AA86">
        <f>(W86-DF86*(DK86+DL86)/1000)</f>
        <v>0</v>
      </c>
      <c r="AB86">
        <f>(-I86*44100)</f>
        <v>0</v>
      </c>
      <c r="AC86">
        <f>2*29.3*Q86*0.92*(DM86-V86)</f>
        <v>0</v>
      </c>
      <c r="AD86">
        <f>2*0.95*5.67E-8*(((DM86+$B$9)+273)^4-(V86+273)^4)</f>
        <v>0</v>
      </c>
      <c r="AE86">
        <f>T86+AD86+AB86+AC86</f>
        <v>0</v>
      </c>
      <c r="AF86">
        <v>0</v>
      </c>
      <c r="AG86">
        <v>0</v>
      </c>
      <c r="AH86">
        <f>IF(AF86*$H$15&gt;=AJ86,1.0,(AJ86/(AJ86-AF86*$H$15)))</f>
        <v>0</v>
      </c>
      <c r="AI86">
        <f>(AH86-1)*100</f>
        <v>0</v>
      </c>
      <c r="AJ86">
        <f>MAX(0,($B$15+$C$15*DR86)/(1+$D$15*DR86)*DK86/(DM86+273)*$E$15)</f>
        <v>0</v>
      </c>
      <c r="AK86" t="s">
        <v>420</v>
      </c>
      <c r="AL86" t="s">
        <v>420</v>
      </c>
      <c r="AM86">
        <v>0</v>
      </c>
      <c r="AN86">
        <v>0</v>
      </c>
      <c r="AO86">
        <f>1-AM86/AN86</f>
        <v>0</v>
      </c>
      <c r="AP86">
        <v>0</v>
      </c>
      <c r="AQ86" t="s">
        <v>420</v>
      </c>
      <c r="AR86" t="s">
        <v>420</v>
      </c>
      <c r="AS86">
        <v>0</v>
      </c>
      <c r="AT86">
        <v>0</v>
      </c>
      <c r="AU86">
        <f>1-AS86/AT86</f>
        <v>0</v>
      </c>
      <c r="AV86">
        <v>0.5</v>
      </c>
      <c r="AW86">
        <f>CV86</f>
        <v>0</v>
      </c>
      <c r="AX86">
        <f>K86</f>
        <v>0</v>
      </c>
      <c r="AY86">
        <f>AU86*AV86*AW86</f>
        <v>0</v>
      </c>
      <c r="AZ86">
        <f>(AX86-AP86)/AW86</f>
        <v>0</v>
      </c>
      <c r="BA86">
        <f>(AN86-AT86)/AT86</f>
        <v>0</v>
      </c>
      <c r="BB86">
        <f>AM86/(AO86+AM86/AT86)</f>
        <v>0</v>
      </c>
      <c r="BC86" t="s">
        <v>420</v>
      </c>
      <c r="BD86">
        <v>0</v>
      </c>
      <c r="BE86">
        <f>IF(BD86&lt;&gt;0, BD86, BB86)</f>
        <v>0</v>
      </c>
      <c r="BF86">
        <f>1-BE86/AT86</f>
        <v>0</v>
      </c>
      <c r="BG86">
        <f>(AT86-AS86)/(AT86-BE86)</f>
        <v>0</v>
      </c>
      <c r="BH86">
        <f>(AN86-AT86)/(AN86-BE86)</f>
        <v>0</v>
      </c>
      <c r="BI86">
        <f>(AT86-AS86)/(AT86-AM86)</f>
        <v>0</v>
      </c>
      <c r="BJ86">
        <f>(AN86-AT86)/(AN86-AM86)</f>
        <v>0</v>
      </c>
      <c r="BK86">
        <f>(BG86*BE86/AS86)</f>
        <v>0</v>
      </c>
      <c r="BL86">
        <f>(1-BK86)</f>
        <v>0</v>
      </c>
      <c r="CU86">
        <f>$B$13*DS86+$C$13*DT86+$F$13*EE86*(1-EH86)</f>
        <v>0</v>
      </c>
      <c r="CV86">
        <f>CU86*CW86</f>
        <v>0</v>
      </c>
      <c r="CW86">
        <f>($B$13*$D$11+$C$13*$D$11+$F$13*((ER86+EJ86)/MAX(ER86+EJ86+ES86, 0.1)*$I$11+ES86/MAX(ER86+EJ86+ES86, 0.1)*$J$11))/($B$13+$C$13+$F$13)</f>
        <v>0</v>
      </c>
      <c r="CX86">
        <f>($B$13*$K$11+$C$13*$K$11+$F$13*((ER86+EJ86)/MAX(ER86+EJ86+ES86, 0.1)*$P$11+ES86/MAX(ER86+EJ86+ES86, 0.1)*$Q$11))/($B$13+$C$13+$F$13)</f>
        <v>0</v>
      </c>
      <c r="CY86">
        <v>1.37</v>
      </c>
      <c r="CZ86">
        <v>0.5</v>
      </c>
      <c r="DA86" t="s">
        <v>421</v>
      </c>
      <c r="DB86">
        <v>2</v>
      </c>
      <c r="DC86">
        <v>1761018584.6</v>
      </c>
      <c r="DD86">
        <v>420.3442222222222</v>
      </c>
      <c r="DE86">
        <v>419.9918888888889</v>
      </c>
      <c r="DF86">
        <v>23.29233333333333</v>
      </c>
      <c r="DG86">
        <v>23.27021111111111</v>
      </c>
      <c r="DH86">
        <v>421.691</v>
      </c>
      <c r="DI86">
        <v>23.10952222222222</v>
      </c>
      <c r="DJ86">
        <v>499.9286666666667</v>
      </c>
      <c r="DK86">
        <v>90.7906111111111</v>
      </c>
      <c r="DL86">
        <v>0.03411928888888889</v>
      </c>
      <c r="DM86">
        <v>29.68632222222222</v>
      </c>
      <c r="DN86">
        <v>29.98403333333334</v>
      </c>
      <c r="DO86">
        <v>999.9000000000001</v>
      </c>
      <c r="DP86">
        <v>0</v>
      </c>
      <c r="DQ86">
        <v>0</v>
      </c>
      <c r="DR86">
        <v>9986.25</v>
      </c>
      <c r="DS86">
        <v>0</v>
      </c>
      <c r="DT86">
        <v>0.242856</v>
      </c>
      <c r="DU86">
        <v>0.3523221111111111</v>
      </c>
      <c r="DV86">
        <v>430.3685555555555</v>
      </c>
      <c r="DW86">
        <v>429.998</v>
      </c>
      <c r="DX86">
        <v>0.02215642222222222</v>
      </c>
      <c r="DY86">
        <v>419.9918888888889</v>
      </c>
      <c r="DZ86">
        <v>23.27021111111111</v>
      </c>
      <c r="EA86">
        <v>2.114727777777778</v>
      </c>
      <c r="EB86">
        <v>2.112715555555555</v>
      </c>
      <c r="EC86">
        <v>18.33054444444444</v>
      </c>
      <c r="ED86">
        <v>18.31532222222222</v>
      </c>
      <c r="EE86">
        <v>0.00500078</v>
      </c>
      <c r="EF86">
        <v>0</v>
      </c>
      <c r="EG86">
        <v>0</v>
      </c>
      <c r="EH86">
        <v>0</v>
      </c>
      <c r="EI86">
        <v>73.15555555555555</v>
      </c>
      <c r="EJ86">
        <v>0.00500078</v>
      </c>
      <c r="EK86">
        <v>-13.75555555555555</v>
      </c>
      <c r="EL86">
        <v>-0.2444444444444445</v>
      </c>
      <c r="EM86">
        <v>35.50677777777778</v>
      </c>
      <c r="EN86">
        <v>39.77066666666667</v>
      </c>
      <c r="EO86">
        <v>37.37477777777778</v>
      </c>
      <c r="EP86">
        <v>40.22900000000001</v>
      </c>
      <c r="EQ86">
        <v>38.18733333333333</v>
      </c>
      <c r="ER86">
        <v>0</v>
      </c>
      <c r="ES86">
        <v>0</v>
      </c>
      <c r="ET86">
        <v>0</v>
      </c>
      <c r="EU86">
        <v>1761018586.9</v>
      </c>
      <c r="EV86">
        <v>0</v>
      </c>
      <c r="EW86">
        <v>75.94800000000001</v>
      </c>
      <c r="EX86">
        <v>-21.46923052387595</v>
      </c>
      <c r="EY86">
        <v>22.7615387263617</v>
      </c>
      <c r="EZ86">
        <v>-15.06</v>
      </c>
      <c r="FA86">
        <v>15</v>
      </c>
      <c r="FB86">
        <v>1761018425</v>
      </c>
      <c r="FC86" t="s">
        <v>551</v>
      </c>
      <c r="FD86">
        <v>1761018422.5</v>
      </c>
      <c r="FE86">
        <v>1761018425</v>
      </c>
      <c r="FF86">
        <v>25</v>
      </c>
      <c r="FG86">
        <v>-0.524</v>
      </c>
      <c r="FH86">
        <v>-0.005</v>
      </c>
      <c r="FI86">
        <v>-1.348</v>
      </c>
      <c r="FJ86">
        <v>0.192</v>
      </c>
      <c r="FK86">
        <v>420</v>
      </c>
      <c r="FL86">
        <v>24</v>
      </c>
      <c r="FM86">
        <v>0.38</v>
      </c>
      <c r="FN86">
        <v>0.08</v>
      </c>
      <c r="FO86">
        <v>0.3508241707317074</v>
      </c>
      <c r="FP86">
        <v>0.01452817421602776</v>
      </c>
      <c r="FQ86">
        <v>0.03679714930229961</v>
      </c>
      <c r="FR86">
        <v>1</v>
      </c>
      <c r="FS86">
        <v>76.82058823529411</v>
      </c>
      <c r="FT86">
        <v>-32.98548495345266</v>
      </c>
      <c r="FU86">
        <v>6.156573694351366</v>
      </c>
      <c r="FV86">
        <v>0</v>
      </c>
      <c r="FW86">
        <v>-0.1512085487804878</v>
      </c>
      <c r="FX86">
        <v>0.9018170717770031</v>
      </c>
      <c r="FY86">
        <v>0.1054484158297366</v>
      </c>
      <c r="FZ86">
        <v>0</v>
      </c>
      <c r="GA86">
        <v>1</v>
      </c>
      <c r="GB86">
        <v>3</v>
      </c>
      <c r="GC86" t="s">
        <v>431</v>
      </c>
      <c r="GD86">
        <v>3.10938</v>
      </c>
      <c r="GE86">
        <v>2.72578</v>
      </c>
      <c r="GF86">
        <v>0.0888169</v>
      </c>
      <c r="GG86">
        <v>0.0886078</v>
      </c>
      <c r="GH86">
        <v>0.106553</v>
      </c>
      <c r="GI86">
        <v>0.107185</v>
      </c>
      <c r="GJ86">
        <v>23915</v>
      </c>
      <c r="GK86">
        <v>21673</v>
      </c>
      <c r="GL86">
        <v>26803.6</v>
      </c>
      <c r="GM86">
        <v>23986.1</v>
      </c>
      <c r="GN86">
        <v>38264.8</v>
      </c>
      <c r="GO86">
        <v>31590.1</v>
      </c>
      <c r="GP86">
        <v>46784</v>
      </c>
      <c r="GQ86">
        <v>37918.5</v>
      </c>
      <c r="GR86">
        <v>1.89363</v>
      </c>
      <c r="GS86">
        <v>1.88552</v>
      </c>
      <c r="GT86">
        <v>0.131074</v>
      </c>
      <c r="GU86">
        <v>0</v>
      </c>
      <c r="GV86">
        <v>27.8446</v>
      </c>
      <c r="GW86">
        <v>999.9</v>
      </c>
      <c r="GX86">
        <v>63.8</v>
      </c>
      <c r="GY86">
        <v>28.8</v>
      </c>
      <c r="GZ86">
        <v>27.9378</v>
      </c>
      <c r="HA86">
        <v>61.6773</v>
      </c>
      <c r="HB86">
        <v>20.1162</v>
      </c>
      <c r="HC86">
        <v>1</v>
      </c>
      <c r="HD86">
        <v>0.0213135</v>
      </c>
      <c r="HE86">
        <v>-2.45295</v>
      </c>
      <c r="HF86">
        <v>20.3194</v>
      </c>
      <c r="HG86">
        <v>5.21804</v>
      </c>
      <c r="HH86">
        <v>11.9798</v>
      </c>
      <c r="HI86">
        <v>4.96565</v>
      </c>
      <c r="HJ86">
        <v>3.276</v>
      </c>
      <c r="HK86">
        <v>9999</v>
      </c>
      <c r="HL86">
        <v>9999</v>
      </c>
      <c r="HM86">
        <v>9999</v>
      </c>
      <c r="HN86">
        <v>999.9</v>
      </c>
      <c r="HO86">
        <v>1.86357</v>
      </c>
      <c r="HP86">
        <v>1.85974</v>
      </c>
      <c r="HQ86">
        <v>1.85802</v>
      </c>
      <c r="HR86">
        <v>1.85941</v>
      </c>
      <c r="HS86">
        <v>1.85959</v>
      </c>
      <c r="HT86">
        <v>1.85801</v>
      </c>
      <c r="HU86">
        <v>1.85709</v>
      </c>
      <c r="HV86">
        <v>1.85208</v>
      </c>
      <c r="HW86">
        <v>0</v>
      </c>
      <c r="HX86">
        <v>0</v>
      </c>
      <c r="HY86">
        <v>0</v>
      </c>
      <c r="HZ86">
        <v>0</v>
      </c>
      <c r="IA86" t="s">
        <v>424</v>
      </c>
      <c r="IB86" t="s">
        <v>425</v>
      </c>
      <c r="IC86" t="s">
        <v>426</v>
      </c>
      <c r="ID86" t="s">
        <v>426</v>
      </c>
      <c r="IE86" t="s">
        <v>426</v>
      </c>
      <c r="IF86" t="s">
        <v>426</v>
      </c>
      <c r="IG86">
        <v>0</v>
      </c>
      <c r="IH86">
        <v>100</v>
      </c>
      <c r="II86">
        <v>100</v>
      </c>
      <c r="IJ86">
        <v>-1.346</v>
      </c>
      <c r="IK86">
        <v>0.1825</v>
      </c>
      <c r="IL86">
        <v>-2.136943090880341</v>
      </c>
      <c r="IM86">
        <v>0.001328113201692861</v>
      </c>
      <c r="IN86">
        <v>1.538283238170363E-06</v>
      </c>
      <c r="IO86">
        <v>-5.795655626708063E-10</v>
      </c>
      <c r="IP86">
        <v>-0.06045740820250394</v>
      </c>
      <c r="IQ86">
        <v>-0.004593102289677449</v>
      </c>
      <c r="IR86">
        <v>0.0008253994458280543</v>
      </c>
      <c r="IS86">
        <v>-7.403632370499484E-06</v>
      </c>
      <c r="IT86">
        <v>2</v>
      </c>
      <c r="IU86">
        <v>1985</v>
      </c>
      <c r="IV86">
        <v>1</v>
      </c>
      <c r="IW86">
        <v>27</v>
      </c>
      <c r="IX86">
        <v>2.8</v>
      </c>
      <c r="IY86">
        <v>2.7</v>
      </c>
      <c r="IZ86">
        <v>1.12549</v>
      </c>
      <c r="JA86">
        <v>2.57812</v>
      </c>
      <c r="JB86">
        <v>1.49658</v>
      </c>
      <c r="JC86">
        <v>2.34253</v>
      </c>
      <c r="JD86">
        <v>1.54907</v>
      </c>
      <c r="JE86">
        <v>2.44873</v>
      </c>
      <c r="JF86">
        <v>31.8707</v>
      </c>
      <c r="JG86">
        <v>14.5786</v>
      </c>
      <c r="JH86">
        <v>18</v>
      </c>
      <c r="JI86">
        <v>482.892</v>
      </c>
      <c r="JJ86">
        <v>507.487</v>
      </c>
      <c r="JK86">
        <v>30.9054</v>
      </c>
      <c r="JL86">
        <v>27.5357</v>
      </c>
      <c r="JM86">
        <v>29.9999</v>
      </c>
      <c r="JN86">
        <v>27.8551</v>
      </c>
      <c r="JO86">
        <v>27.8647</v>
      </c>
      <c r="JP86">
        <v>22.6265</v>
      </c>
      <c r="JQ86">
        <v>21.5868</v>
      </c>
      <c r="JR86">
        <v>83.46729999999999</v>
      </c>
      <c r="JS86">
        <v>30.9044</v>
      </c>
      <c r="JT86">
        <v>420</v>
      </c>
      <c r="JU86">
        <v>23.0728</v>
      </c>
      <c r="JV86">
        <v>102.306</v>
      </c>
      <c r="JW86">
        <v>91.47329999999999</v>
      </c>
    </row>
    <row r="87" spans="1:283">
      <c r="A87">
        <v>69</v>
      </c>
      <c r="B87">
        <v>1761018589.6</v>
      </c>
      <c r="C87">
        <v>520.0999999046326</v>
      </c>
      <c r="D87" t="s">
        <v>566</v>
      </c>
      <c r="E87" t="s">
        <v>567</v>
      </c>
      <c r="F87">
        <v>5</v>
      </c>
      <c r="G87" t="s">
        <v>489</v>
      </c>
      <c r="H87">
        <v>1761018586.6</v>
      </c>
      <c r="I87">
        <f>(J87)/1000</f>
        <v>0</v>
      </c>
      <c r="J87">
        <f>1000*DJ87*AH87*(DF87-DG87)/(100*CY87*(1000-AH87*DF87))</f>
        <v>0</v>
      </c>
      <c r="K87">
        <f>DJ87*AH87*(DE87-DD87*(1000-AH87*DG87)/(1000-AH87*DF87))/(100*CY87)</f>
        <v>0</v>
      </c>
      <c r="L87">
        <f>DD87 - IF(AH87&gt;1, K87*CY87*100.0/(AJ87), 0)</f>
        <v>0</v>
      </c>
      <c r="M87">
        <f>((S87-I87/2)*L87-K87)/(S87+I87/2)</f>
        <v>0</v>
      </c>
      <c r="N87">
        <f>M87*(DK87+DL87)/1000.0</f>
        <v>0</v>
      </c>
      <c r="O87">
        <f>(DD87 - IF(AH87&gt;1, K87*CY87*100.0/(AJ87), 0))*(DK87+DL87)/1000.0</f>
        <v>0</v>
      </c>
      <c r="P87">
        <f>2.0/((1/R87-1/Q87)+SIGN(R87)*SQRT((1/R87-1/Q87)*(1/R87-1/Q87) + 4*CZ87/((CZ87+1)*(CZ87+1))*(2*1/R87*1/Q87-1/Q87*1/Q87)))</f>
        <v>0</v>
      </c>
      <c r="Q87">
        <f>IF(LEFT(DA87,1)&lt;&gt;"0",IF(LEFT(DA87,1)="1",3.0,DB87),$D$5+$E$5*(DR87*DK87/($K$5*1000))+$F$5*(DR87*DK87/($K$5*1000))*MAX(MIN(CY87,$J$5),$I$5)*MAX(MIN(CY87,$J$5),$I$5)+$G$5*MAX(MIN(CY87,$J$5),$I$5)*(DR87*DK87/($K$5*1000))+$H$5*(DR87*DK87/($K$5*1000))*(DR87*DK87/($K$5*1000)))</f>
        <v>0</v>
      </c>
      <c r="R87">
        <f>I87*(1000-(1000*0.61365*exp(17.502*V87/(240.97+V87))/(DK87+DL87)+DF87)/2)/(1000*0.61365*exp(17.502*V87/(240.97+V87))/(DK87+DL87)-DF87)</f>
        <v>0</v>
      </c>
      <c r="S87">
        <f>1/((CZ87+1)/(P87/1.6)+1/(Q87/1.37)) + CZ87/((CZ87+1)/(P87/1.6) + CZ87/(Q87/1.37))</f>
        <v>0</v>
      </c>
      <c r="T87">
        <f>(CU87*CX87)</f>
        <v>0</v>
      </c>
      <c r="U87">
        <f>(DM87+(T87+2*0.95*5.67E-8*(((DM87+$B$9)+273)^4-(DM87+273)^4)-44100*I87)/(1.84*29.3*Q87+8*0.95*5.67E-8*(DM87+273)^3))</f>
        <v>0</v>
      </c>
      <c r="V87">
        <f>($C$9*DN87+$D$9*DO87+$E$9*U87)</f>
        <v>0</v>
      </c>
      <c r="W87">
        <f>0.61365*exp(17.502*V87/(240.97+V87))</f>
        <v>0</v>
      </c>
      <c r="X87">
        <f>(Y87/Z87*100)</f>
        <v>0</v>
      </c>
      <c r="Y87">
        <f>DF87*(DK87+DL87)/1000</f>
        <v>0</v>
      </c>
      <c r="Z87">
        <f>0.61365*exp(17.502*DM87/(240.97+DM87))</f>
        <v>0</v>
      </c>
      <c r="AA87">
        <f>(W87-DF87*(DK87+DL87)/1000)</f>
        <v>0</v>
      </c>
      <c r="AB87">
        <f>(-I87*44100)</f>
        <v>0</v>
      </c>
      <c r="AC87">
        <f>2*29.3*Q87*0.92*(DM87-V87)</f>
        <v>0</v>
      </c>
      <c r="AD87">
        <f>2*0.95*5.67E-8*(((DM87+$B$9)+273)^4-(V87+273)^4)</f>
        <v>0</v>
      </c>
      <c r="AE87">
        <f>T87+AD87+AB87+AC87</f>
        <v>0</v>
      </c>
      <c r="AF87">
        <v>0</v>
      </c>
      <c r="AG87">
        <v>0</v>
      </c>
      <c r="AH87">
        <f>IF(AF87*$H$15&gt;=AJ87,1.0,(AJ87/(AJ87-AF87*$H$15)))</f>
        <v>0</v>
      </c>
      <c r="AI87">
        <f>(AH87-1)*100</f>
        <v>0</v>
      </c>
      <c r="AJ87">
        <f>MAX(0,($B$15+$C$15*DR87)/(1+$D$15*DR87)*DK87/(DM87+273)*$E$15)</f>
        <v>0</v>
      </c>
      <c r="AK87" t="s">
        <v>420</v>
      </c>
      <c r="AL87" t="s">
        <v>420</v>
      </c>
      <c r="AM87">
        <v>0</v>
      </c>
      <c r="AN87">
        <v>0</v>
      </c>
      <c r="AO87">
        <f>1-AM87/AN87</f>
        <v>0</v>
      </c>
      <c r="AP87">
        <v>0</v>
      </c>
      <c r="AQ87" t="s">
        <v>420</v>
      </c>
      <c r="AR87" t="s">
        <v>420</v>
      </c>
      <c r="AS87">
        <v>0</v>
      </c>
      <c r="AT87">
        <v>0</v>
      </c>
      <c r="AU87">
        <f>1-AS87/AT87</f>
        <v>0</v>
      </c>
      <c r="AV87">
        <v>0.5</v>
      </c>
      <c r="AW87">
        <f>CV87</f>
        <v>0</v>
      </c>
      <c r="AX87">
        <f>K87</f>
        <v>0</v>
      </c>
      <c r="AY87">
        <f>AU87*AV87*AW87</f>
        <v>0</v>
      </c>
      <c r="AZ87">
        <f>(AX87-AP87)/AW87</f>
        <v>0</v>
      </c>
      <c r="BA87">
        <f>(AN87-AT87)/AT87</f>
        <v>0</v>
      </c>
      <c r="BB87">
        <f>AM87/(AO87+AM87/AT87)</f>
        <v>0</v>
      </c>
      <c r="BC87" t="s">
        <v>420</v>
      </c>
      <c r="BD87">
        <v>0</v>
      </c>
      <c r="BE87">
        <f>IF(BD87&lt;&gt;0, BD87, BB87)</f>
        <v>0</v>
      </c>
      <c r="BF87">
        <f>1-BE87/AT87</f>
        <v>0</v>
      </c>
      <c r="BG87">
        <f>(AT87-AS87)/(AT87-BE87)</f>
        <v>0</v>
      </c>
      <c r="BH87">
        <f>(AN87-AT87)/(AN87-BE87)</f>
        <v>0</v>
      </c>
      <c r="BI87">
        <f>(AT87-AS87)/(AT87-AM87)</f>
        <v>0</v>
      </c>
      <c r="BJ87">
        <f>(AN87-AT87)/(AN87-AM87)</f>
        <v>0</v>
      </c>
      <c r="BK87">
        <f>(BG87*BE87/AS87)</f>
        <v>0</v>
      </c>
      <c r="BL87">
        <f>(1-BK87)</f>
        <v>0</v>
      </c>
      <c r="CU87">
        <f>$B$13*DS87+$C$13*DT87+$F$13*EE87*(1-EH87)</f>
        <v>0</v>
      </c>
      <c r="CV87">
        <f>CU87*CW87</f>
        <v>0</v>
      </c>
      <c r="CW87">
        <f>($B$13*$D$11+$C$13*$D$11+$F$13*((ER87+EJ87)/MAX(ER87+EJ87+ES87, 0.1)*$I$11+ES87/MAX(ER87+EJ87+ES87, 0.1)*$J$11))/($B$13+$C$13+$F$13)</f>
        <v>0</v>
      </c>
      <c r="CX87">
        <f>($B$13*$K$11+$C$13*$K$11+$F$13*((ER87+EJ87)/MAX(ER87+EJ87+ES87, 0.1)*$P$11+ES87/MAX(ER87+EJ87+ES87, 0.1)*$Q$11))/($B$13+$C$13+$F$13)</f>
        <v>0</v>
      </c>
      <c r="CY87">
        <v>1.37</v>
      </c>
      <c r="CZ87">
        <v>0.5</v>
      </c>
      <c r="DA87" t="s">
        <v>421</v>
      </c>
      <c r="DB87">
        <v>2</v>
      </c>
      <c r="DC87">
        <v>1761018586.6</v>
      </c>
      <c r="DD87">
        <v>420.3481111111112</v>
      </c>
      <c r="DE87">
        <v>420.0502222222222</v>
      </c>
      <c r="DF87">
        <v>23.28135555555555</v>
      </c>
      <c r="DG87">
        <v>23.19295555555555</v>
      </c>
      <c r="DH87">
        <v>421.6947777777777</v>
      </c>
      <c r="DI87">
        <v>23.09878888888889</v>
      </c>
      <c r="DJ87">
        <v>499.8972222222222</v>
      </c>
      <c r="DK87">
        <v>90.79059999999998</v>
      </c>
      <c r="DL87">
        <v>0.03415729999999999</v>
      </c>
      <c r="DM87">
        <v>29.68706666666666</v>
      </c>
      <c r="DN87">
        <v>29.98216666666666</v>
      </c>
      <c r="DO87">
        <v>999.9000000000001</v>
      </c>
      <c r="DP87">
        <v>0</v>
      </c>
      <c r="DQ87">
        <v>0</v>
      </c>
      <c r="DR87">
        <v>9992.292222222221</v>
      </c>
      <c r="DS87">
        <v>0</v>
      </c>
      <c r="DT87">
        <v>0.242856</v>
      </c>
      <c r="DU87">
        <v>0.2977837777777778</v>
      </c>
      <c r="DV87">
        <v>430.3676666666667</v>
      </c>
      <c r="DW87">
        <v>430.0237777777778</v>
      </c>
      <c r="DX87">
        <v>0.08842637777777779</v>
      </c>
      <c r="DY87">
        <v>420.0502222222222</v>
      </c>
      <c r="DZ87">
        <v>23.19295555555555</v>
      </c>
      <c r="EA87">
        <v>2.113729999999999</v>
      </c>
      <c r="EB87">
        <v>2.105701111111111</v>
      </c>
      <c r="EC87">
        <v>18.32302222222222</v>
      </c>
      <c r="ED87">
        <v>18.26232222222222</v>
      </c>
      <c r="EE87">
        <v>0.00500078</v>
      </c>
      <c r="EF87">
        <v>0</v>
      </c>
      <c r="EG87">
        <v>0</v>
      </c>
      <c r="EH87">
        <v>0</v>
      </c>
      <c r="EI87">
        <v>74.85555555555555</v>
      </c>
      <c r="EJ87">
        <v>0.00500078</v>
      </c>
      <c r="EK87">
        <v>-15.72222222222222</v>
      </c>
      <c r="EL87">
        <v>-0.7111111111111111</v>
      </c>
      <c r="EM87">
        <v>35.53444444444445</v>
      </c>
      <c r="EN87">
        <v>39.79133333333333</v>
      </c>
      <c r="EO87">
        <v>37.38188888888889</v>
      </c>
      <c r="EP87">
        <v>40.26377777777778</v>
      </c>
      <c r="EQ87">
        <v>38.15255555555555</v>
      </c>
      <c r="ER87">
        <v>0</v>
      </c>
      <c r="ES87">
        <v>0</v>
      </c>
      <c r="ET87">
        <v>0</v>
      </c>
      <c r="EU87">
        <v>1761018588.7</v>
      </c>
      <c r="EV87">
        <v>0</v>
      </c>
      <c r="EW87">
        <v>75.33076923076922</v>
      </c>
      <c r="EX87">
        <v>-23.82905962358781</v>
      </c>
      <c r="EY87">
        <v>13.47692345906158</v>
      </c>
      <c r="EZ87">
        <v>-15.45384615384615</v>
      </c>
      <c r="FA87">
        <v>15</v>
      </c>
      <c r="FB87">
        <v>1761018425</v>
      </c>
      <c r="FC87" t="s">
        <v>551</v>
      </c>
      <c r="FD87">
        <v>1761018422.5</v>
      </c>
      <c r="FE87">
        <v>1761018425</v>
      </c>
      <c r="FF87">
        <v>25</v>
      </c>
      <c r="FG87">
        <v>-0.524</v>
      </c>
      <c r="FH87">
        <v>-0.005</v>
      </c>
      <c r="FI87">
        <v>-1.348</v>
      </c>
      <c r="FJ87">
        <v>0.192</v>
      </c>
      <c r="FK87">
        <v>420</v>
      </c>
      <c r="FL87">
        <v>24</v>
      </c>
      <c r="FM87">
        <v>0.38</v>
      </c>
      <c r="FN87">
        <v>0.08</v>
      </c>
      <c r="FO87">
        <v>0.3320084</v>
      </c>
      <c r="FP87">
        <v>-0.1073452232645408</v>
      </c>
      <c r="FQ87">
        <v>0.04952168402467751</v>
      </c>
      <c r="FR87">
        <v>1</v>
      </c>
      <c r="FS87">
        <v>76.06470588235294</v>
      </c>
      <c r="FT87">
        <v>-20.33613428585756</v>
      </c>
      <c r="FU87">
        <v>6.006363407593904</v>
      </c>
      <c r="FV87">
        <v>0</v>
      </c>
      <c r="FW87">
        <v>-0.1080995625</v>
      </c>
      <c r="FX87">
        <v>1.392008630769232</v>
      </c>
      <c r="FY87">
        <v>0.1392531916445485</v>
      </c>
      <c r="FZ87">
        <v>0</v>
      </c>
      <c r="GA87">
        <v>1</v>
      </c>
      <c r="GB87">
        <v>3</v>
      </c>
      <c r="GC87" t="s">
        <v>431</v>
      </c>
      <c r="GD87">
        <v>3.10941</v>
      </c>
      <c r="GE87">
        <v>2.72578</v>
      </c>
      <c r="GF87">
        <v>0.0888162</v>
      </c>
      <c r="GG87">
        <v>0.0886094</v>
      </c>
      <c r="GH87">
        <v>0.106455</v>
      </c>
      <c r="GI87">
        <v>0.106916</v>
      </c>
      <c r="GJ87">
        <v>23915</v>
      </c>
      <c r="GK87">
        <v>21672.9</v>
      </c>
      <c r="GL87">
        <v>26803.5</v>
      </c>
      <c r="GM87">
        <v>23986</v>
      </c>
      <c r="GN87">
        <v>38269</v>
      </c>
      <c r="GO87">
        <v>31599.6</v>
      </c>
      <c r="GP87">
        <v>46784</v>
      </c>
      <c r="GQ87">
        <v>37918.3</v>
      </c>
      <c r="GR87">
        <v>1.89363</v>
      </c>
      <c r="GS87">
        <v>1.8856</v>
      </c>
      <c r="GT87">
        <v>0.131112</v>
      </c>
      <c r="GU87">
        <v>0</v>
      </c>
      <c r="GV87">
        <v>27.8427</v>
      </c>
      <c r="GW87">
        <v>999.9</v>
      </c>
      <c r="GX87">
        <v>63.8</v>
      </c>
      <c r="GY87">
        <v>28.8</v>
      </c>
      <c r="GZ87">
        <v>27.9358</v>
      </c>
      <c r="HA87">
        <v>60.9973</v>
      </c>
      <c r="HB87">
        <v>20.2123</v>
      </c>
      <c r="HC87">
        <v>1</v>
      </c>
      <c r="HD87">
        <v>0.0211509</v>
      </c>
      <c r="HE87">
        <v>-2.34858</v>
      </c>
      <c r="HF87">
        <v>20.3211</v>
      </c>
      <c r="HG87">
        <v>5.21834</v>
      </c>
      <c r="HH87">
        <v>11.9798</v>
      </c>
      <c r="HI87">
        <v>4.9658</v>
      </c>
      <c r="HJ87">
        <v>3.276</v>
      </c>
      <c r="HK87">
        <v>9999</v>
      </c>
      <c r="HL87">
        <v>9999</v>
      </c>
      <c r="HM87">
        <v>9999</v>
      </c>
      <c r="HN87">
        <v>999.9</v>
      </c>
      <c r="HO87">
        <v>1.86357</v>
      </c>
      <c r="HP87">
        <v>1.85974</v>
      </c>
      <c r="HQ87">
        <v>1.85803</v>
      </c>
      <c r="HR87">
        <v>1.85942</v>
      </c>
      <c r="HS87">
        <v>1.85959</v>
      </c>
      <c r="HT87">
        <v>1.85802</v>
      </c>
      <c r="HU87">
        <v>1.85709</v>
      </c>
      <c r="HV87">
        <v>1.85209</v>
      </c>
      <c r="HW87">
        <v>0</v>
      </c>
      <c r="HX87">
        <v>0</v>
      </c>
      <c r="HY87">
        <v>0</v>
      </c>
      <c r="HZ87">
        <v>0</v>
      </c>
      <c r="IA87" t="s">
        <v>424</v>
      </c>
      <c r="IB87" t="s">
        <v>425</v>
      </c>
      <c r="IC87" t="s">
        <v>426</v>
      </c>
      <c r="ID87" t="s">
        <v>426</v>
      </c>
      <c r="IE87" t="s">
        <v>426</v>
      </c>
      <c r="IF87" t="s">
        <v>426</v>
      </c>
      <c r="IG87">
        <v>0</v>
      </c>
      <c r="IH87">
        <v>100</v>
      </c>
      <c r="II87">
        <v>100</v>
      </c>
      <c r="IJ87">
        <v>-1.346</v>
      </c>
      <c r="IK87">
        <v>0.1818</v>
      </c>
      <c r="IL87">
        <v>-2.136943090880341</v>
      </c>
      <c r="IM87">
        <v>0.001328113201692861</v>
      </c>
      <c r="IN87">
        <v>1.538283238170363E-06</v>
      </c>
      <c r="IO87">
        <v>-5.795655626708063E-10</v>
      </c>
      <c r="IP87">
        <v>-0.06045740820250394</v>
      </c>
      <c r="IQ87">
        <v>-0.004593102289677449</v>
      </c>
      <c r="IR87">
        <v>0.0008253994458280543</v>
      </c>
      <c r="IS87">
        <v>-7.403632370499484E-06</v>
      </c>
      <c r="IT87">
        <v>2</v>
      </c>
      <c r="IU87">
        <v>1985</v>
      </c>
      <c r="IV87">
        <v>1</v>
      </c>
      <c r="IW87">
        <v>27</v>
      </c>
      <c r="IX87">
        <v>2.8</v>
      </c>
      <c r="IY87">
        <v>2.7</v>
      </c>
      <c r="IZ87">
        <v>1.12549</v>
      </c>
      <c r="JA87">
        <v>2.58179</v>
      </c>
      <c r="JB87">
        <v>1.49658</v>
      </c>
      <c r="JC87">
        <v>2.34253</v>
      </c>
      <c r="JD87">
        <v>1.54907</v>
      </c>
      <c r="JE87">
        <v>2.44141</v>
      </c>
      <c r="JF87">
        <v>31.8707</v>
      </c>
      <c r="JG87">
        <v>14.5873</v>
      </c>
      <c r="JH87">
        <v>18</v>
      </c>
      <c r="JI87">
        <v>482.869</v>
      </c>
      <c r="JJ87">
        <v>507.511</v>
      </c>
      <c r="JK87">
        <v>30.9262</v>
      </c>
      <c r="JL87">
        <v>27.5333</v>
      </c>
      <c r="JM87">
        <v>29.9997</v>
      </c>
      <c r="JN87">
        <v>27.8521</v>
      </c>
      <c r="JO87">
        <v>27.8617</v>
      </c>
      <c r="JP87">
        <v>22.6248</v>
      </c>
      <c r="JQ87">
        <v>21.5868</v>
      </c>
      <c r="JR87">
        <v>83.46729999999999</v>
      </c>
      <c r="JS87">
        <v>30.917</v>
      </c>
      <c r="JT87">
        <v>420</v>
      </c>
      <c r="JU87">
        <v>23.091</v>
      </c>
      <c r="JV87">
        <v>102.306</v>
      </c>
      <c r="JW87">
        <v>91.4729</v>
      </c>
    </row>
    <row r="88" spans="1:283">
      <c r="A88">
        <v>70</v>
      </c>
      <c r="B88">
        <v>1761018591.6</v>
      </c>
      <c r="C88">
        <v>522.0999999046326</v>
      </c>
      <c r="D88" t="s">
        <v>568</v>
      </c>
      <c r="E88" t="s">
        <v>569</v>
      </c>
      <c r="F88">
        <v>5</v>
      </c>
      <c r="G88" t="s">
        <v>489</v>
      </c>
      <c r="H88">
        <v>1761018588.6</v>
      </c>
      <c r="I88">
        <f>(J88)/1000</f>
        <v>0</v>
      </c>
      <c r="J88">
        <f>1000*DJ88*AH88*(DF88-DG88)/(100*CY88*(1000-AH88*DF88))</f>
        <v>0</v>
      </c>
      <c r="K88">
        <f>DJ88*AH88*(DE88-DD88*(1000-AH88*DG88)/(1000-AH88*DF88))/(100*CY88)</f>
        <v>0</v>
      </c>
      <c r="L88">
        <f>DD88 - IF(AH88&gt;1, K88*CY88*100.0/(AJ88), 0)</f>
        <v>0</v>
      </c>
      <c r="M88">
        <f>((S88-I88/2)*L88-K88)/(S88+I88/2)</f>
        <v>0</v>
      </c>
      <c r="N88">
        <f>M88*(DK88+DL88)/1000.0</f>
        <v>0</v>
      </c>
      <c r="O88">
        <f>(DD88 - IF(AH88&gt;1, K88*CY88*100.0/(AJ88), 0))*(DK88+DL88)/1000.0</f>
        <v>0</v>
      </c>
      <c r="P88">
        <f>2.0/((1/R88-1/Q88)+SIGN(R88)*SQRT((1/R88-1/Q88)*(1/R88-1/Q88) + 4*CZ88/((CZ88+1)*(CZ88+1))*(2*1/R88*1/Q88-1/Q88*1/Q88)))</f>
        <v>0</v>
      </c>
      <c r="Q88">
        <f>IF(LEFT(DA88,1)&lt;&gt;"0",IF(LEFT(DA88,1)="1",3.0,DB88),$D$5+$E$5*(DR88*DK88/($K$5*1000))+$F$5*(DR88*DK88/($K$5*1000))*MAX(MIN(CY88,$J$5),$I$5)*MAX(MIN(CY88,$J$5),$I$5)+$G$5*MAX(MIN(CY88,$J$5),$I$5)*(DR88*DK88/($K$5*1000))+$H$5*(DR88*DK88/($K$5*1000))*(DR88*DK88/($K$5*1000)))</f>
        <v>0</v>
      </c>
      <c r="R88">
        <f>I88*(1000-(1000*0.61365*exp(17.502*V88/(240.97+V88))/(DK88+DL88)+DF88)/2)/(1000*0.61365*exp(17.502*V88/(240.97+V88))/(DK88+DL88)-DF88)</f>
        <v>0</v>
      </c>
      <c r="S88">
        <f>1/((CZ88+1)/(P88/1.6)+1/(Q88/1.37)) + CZ88/((CZ88+1)/(P88/1.6) + CZ88/(Q88/1.37))</f>
        <v>0</v>
      </c>
      <c r="T88">
        <f>(CU88*CX88)</f>
        <v>0</v>
      </c>
      <c r="U88">
        <f>(DM88+(T88+2*0.95*5.67E-8*(((DM88+$B$9)+273)^4-(DM88+273)^4)-44100*I88)/(1.84*29.3*Q88+8*0.95*5.67E-8*(DM88+273)^3))</f>
        <v>0</v>
      </c>
      <c r="V88">
        <f>($C$9*DN88+$D$9*DO88+$E$9*U88)</f>
        <v>0</v>
      </c>
      <c r="W88">
        <f>0.61365*exp(17.502*V88/(240.97+V88))</f>
        <v>0</v>
      </c>
      <c r="X88">
        <f>(Y88/Z88*100)</f>
        <v>0</v>
      </c>
      <c r="Y88">
        <f>DF88*(DK88+DL88)/1000</f>
        <v>0</v>
      </c>
      <c r="Z88">
        <f>0.61365*exp(17.502*DM88/(240.97+DM88))</f>
        <v>0</v>
      </c>
      <c r="AA88">
        <f>(W88-DF88*(DK88+DL88)/1000)</f>
        <v>0</v>
      </c>
      <c r="AB88">
        <f>(-I88*44100)</f>
        <v>0</v>
      </c>
      <c r="AC88">
        <f>2*29.3*Q88*0.92*(DM88-V88)</f>
        <v>0</v>
      </c>
      <c r="AD88">
        <f>2*0.95*5.67E-8*(((DM88+$B$9)+273)^4-(V88+273)^4)</f>
        <v>0</v>
      </c>
      <c r="AE88">
        <f>T88+AD88+AB88+AC88</f>
        <v>0</v>
      </c>
      <c r="AF88">
        <v>0</v>
      </c>
      <c r="AG88">
        <v>0</v>
      </c>
      <c r="AH88">
        <f>IF(AF88*$H$15&gt;=AJ88,1.0,(AJ88/(AJ88-AF88*$H$15)))</f>
        <v>0</v>
      </c>
      <c r="AI88">
        <f>(AH88-1)*100</f>
        <v>0</v>
      </c>
      <c r="AJ88">
        <f>MAX(0,($B$15+$C$15*DR88)/(1+$D$15*DR88)*DK88/(DM88+273)*$E$15)</f>
        <v>0</v>
      </c>
      <c r="AK88" t="s">
        <v>420</v>
      </c>
      <c r="AL88" t="s">
        <v>420</v>
      </c>
      <c r="AM88">
        <v>0</v>
      </c>
      <c r="AN88">
        <v>0</v>
      </c>
      <c r="AO88">
        <f>1-AM88/AN88</f>
        <v>0</v>
      </c>
      <c r="AP88">
        <v>0</v>
      </c>
      <c r="AQ88" t="s">
        <v>420</v>
      </c>
      <c r="AR88" t="s">
        <v>420</v>
      </c>
      <c r="AS88">
        <v>0</v>
      </c>
      <c r="AT88">
        <v>0</v>
      </c>
      <c r="AU88">
        <f>1-AS88/AT88</f>
        <v>0</v>
      </c>
      <c r="AV88">
        <v>0.5</v>
      </c>
      <c r="AW88">
        <f>CV88</f>
        <v>0</v>
      </c>
      <c r="AX88">
        <f>K88</f>
        <v>0</v>
      </c>
      <c r="AY88">
        <f>AU88*AV88*AW88</f>
        <v>0</v>
      </c>
      <c r="AZ88">
        <f>(AX88-AP88)/AW88</f>
        <v>0</v>
      </c>
      <c r="BA88">
        <f>(AN88-AT88)/AT88</f>
        <v>0</v>
      </c>
      <c r="BB88">
        <f>AM88/(AO88+AM88/AT88)</f>
        <v>0</v>
      </c>
      <c r="BC88" t="s">
        <v>420</v>
      </c>
      <c r="BD88">
        <v>0</v>
      </c>
      <c r="BE88">
        <f>IF(BD88&lt;&gt;0, BD88, BB88)</f>
        <v>0</v>
      </c>
      <c r="BF88">
        <f>1-BE88/AT88</f>
        <v>0</v>
      </c>
      <c r="BG88">
        <f>(AT88-AS88)/(AT88-BE88)</f>
        <v>0</v>
      </c>
      <c r="BH88">
        <f>(AN88-AT88)/(AN88-BE88)</f>
        <v>0</v>
      </c>
      <c r="BI88">
        <f>(AT88-AS88)/(AT88-AM88)</f>
        <v>0</v>
      </c>
      <c r="BJ88">
        <f>(AN88-AT88)/(AN88-AM88)</f>
        <v>0</v>
      </c>
      <c r="BK88">
        <f>(BG88*BE88/AS88)</f>
        <v>0</v>
      </c>
      <c r="BL88">
        <f>(1-BK88)</f>
        <v>0</v>
      </c>
      <c r="CU88">
        <f>$B$13*DS88+$C$13*DT88+$F$13*EE88*(1-EH88)</f>
        <v>0</v>
      </c>
      <c r="CV88">
        <f>CU88*CW88</f>
        <v>0</v>
      </c>
      <c r="CW88">
        <f>($B$13*$D$11+$C$13*$D$11+$F$13*((ER88+EJ88)/MAX(ER88+EJ88+ES88, 0.1)*$I$11+ES88/MAX(ER88+EJ88+ES88, 0.1)*$J$11))/($B$13+$C$13+$F$13)</f>
        <v>0</v>
      </c>
      <c r="CX88">
        <f>($B$13*$K$11+$C$13*$K$11+$F$13*((ER88+EJ88)/MAX(ER88+EJ88+ES88, 0.1)*$P$11+ES88/MAX(ER88+EJ88+ES88, 0.1)*$Q$11))/($B$13+$C$13+$F$13)</f>
        <v>0</v>
      </c>
      <c r="CY88">
        <v>1.37</v>
      </c>
      <c r="CZ88">
        <v>0.5</v>
      </c>
      <c r="DA88" t="s">
        <v>421</v>
      </c>
      <c r="DB88">
        <v>2</v>
      </c>
      <c r="DC88">
        <v>1761018588.6</v>
      </c>
      <c r="DD88">
        <v>420.357888888889</v>
      </c>
      <c r="DE88">
        <v>420.0984444444445</v>
      </c>
      <c r="DF88">
        <v>23.25731111111111</v>
      </c>
      <c r="DG88">
        <v>23.1126</v>
      </c>
      <c r="DH88">
        <v>421.7045555555555</v>
      </c>
      <c r="DI88">
        <v>23.07524444444445</v>
      </c>
      <c r="DJ88">
        <v>499.9709999999999</v>
      </c>
      <c r="DK88">
        <v>90.79038888888888</v>
      </c>
      <c r="DL88">
        <v>0.03409243333333333</v>
      </c>
      <c r="DM88">
        <v>29.68843333333333</v>
      </c>
      <c r="DN88">
        <v>29.98241111111111</v>
      </c>
      <c r="DO88">
        <v>999.9000000000001</v>
      </c>
      <c r="DP88">
        <v>0</v>
      </c>
      <c r="DQ88">
        <v>0</v>
      </c>
      <c r="DR88">
        <v>10001.25</v>
      </c>
      <c r="DS88">
        <v>0</v>
      </c>
      <c r="DT88">
        <v>0.242856</v>
      </c>
      <c r="DU88">
        <v>0.2594232222222222</v>
      </c>
      <c r="DV88">
        <v>430.367</v>
      </c>
      <c r="DW88">
        <v>430.0377777777778</v>
      </c>
      <c r="DX88">
        <v>0.1447217777777778</v>
      </c>
      <c r="DY88">
        <v>420.0984444444445</v>
      </c>
      <c r="DZ88">
        <v>23.1126</v>
      </c>
      <c r="EA88">
        <v>2.11154</v>
      </c>
      <c r="EB88">
        <v>2.0984</v>
      </c>
      <c r="EC88">
        <v>18.3065</v>
      </c>
      <c r="ED88">
        <v>18.20698888888889</v>
      </c>
      <c r="EE88">
        <v>0.00500078</v>
      </c>
      <c r="EF88">
        <v>0</v>
      </c>
      <c r="EG88">
        <v>0</v>
      </c>
      <c r="EH88">
        <v>0</v>
      </c>
      <c r="EI88">
        <v>74.45555555555556</v>
      </c>
      <c r="EJ88">
        <v>0.00500078</v>
      </c>
      <c r="EK88">
        <v>-19.42222222222222</v>
      </c>
      <c r="EL88">
        <v>-2.033333333333333</v>
      </c>
      <c r="EM88">
        <v>35.55511111111111</v>
      </c>
      <c r="EN88">
        <v>39.82599999999999</v>
      </c>
      <c r="EO88">
        <v>37.40277777777778</v>
      </c>
      <c r="EP88">
        <v>40.31944444444444</v>
      </c>
      <c r="EQ88">
        <v>37.75666666666667</v>
      </c>
      <c r="ER88">
        <v>0</v>
      </c>
      <c r="ES88">
        <v>0</v>
      </c>
      <c r="ET88">
        <v>0</v>
      </c>
      <c r="EU88">
        <v>1761018590.5</v>
      </c>
      <c r="EV88">
        <v>0</v>
      </c>
      <c r="EW88">
        <v>74.488</v>
      </c>
      <c r="EX88">
        <v>-1.23076912124755</v>
      </c>
      <c r="EY88">
        <v>-19.23076877217787</v>
      </c>
      <c r="EZ88">
        <v>-14.736</v>
      </c>
      <c r="FA88">
        <v>15</v>
      </c>
      <c r="FB88">
        <v>1761018425</v>
      </c>
      <c r="FC88" t="s">
        <v>551</v>
      </c>
      <c r="FD88">
        <v>1761018422.5</v>
      </c>
      <c r="FE88">
        <v>1761018425</v>
      </c>
      <c r="FF88">
        <v>25</v>
      </c>
      <c r="FG88">
        <v>-0.524</v>
      </c>
      <c r="FH88">
        <v>-0.005</v>
      </c>
      <c r="FI88">
        <v>-1.348</v>
      </c>
      <c r="FJ88">
        <v>0.192</v>
      </c>
      <c r="FK88">
        <v>420</v>
      </c>
      <c r="FL88">
        <v>24</v>
      </c>
      <c r="FM88">
        <v>0.38</v>
      </c>
      <c r="FN88">
        <v>0.08</v>
      </c>
      <c r="FO88">
        <v>0.324519512195122</v>
      </c>
      <c r="FP88">
        <v>-0.1936130592334492</v>
      </c>
      <c r="FQ88">
        <v>0.05448262007691052</v>
      </c>
      <c r="FR88">
        <v>1</v>
      </c>
      <c r="FS88">
        <v>75.83823529411765</v>
      </c>
      <c r="FT88">
        <v>-14.72116101737085</v>
      </c>
      <c r="FU88">
        <v>5.956904777891953</v>
      </c>
      <c r="FV88">
        <v>0</v>
      </c>
      <c r="FW88">
        <v>-0.08013813414634147</v>
      </c>
      <c r="FX88">
        <v>1.52080736445993</v>
      </c>
      <c r="FY88">
        <v>0.1533648529218726</v>
      </c>
      <c r="FZ88">
        <v>0</v>
      </c>
      <c r="GA88">
        <v>1</v>
      </c>
      <c r="GB88">
        <v>3</v>
      </c>
      <c r="GC88" t="s">
        <v>431</v>
      </c>
      <c r="GD88">
        <v>3.10935</v>
      </c>
      <c r="GE88">
        <v>2.7258</v>
      </c>
      <c r="GF88">
        <v>0.088822</v>
      </c>
      <c r="GG88">
        <v>0.0886026</v>
      </c>
      <c r="GH88">
        <v>0.106329</v>
      </c>
      <c r="GI88">
        <v>0.106677</v>
      </c>
      <c r="GJ88">
        <v>23915</v>
      </c>
      <c r="GK88">
        <v>21673.1</v>
      </c>
      <c r="GL88">
        <v>26803.7</v>
      </c>
      <c r="GM88">
        <v>23986.1</v>
      </c>
      <c r="GN88">
        <v>38274.6</v>
      </c>
      <c r="GO88">
        <v>31608</v>
      </c>
      <c r="GP88">
        <v>46784.1</v>
      </c>
      <c r="GQ88">
        <v>37918.1</v>
      </c>
      <c r="GR88">
        <v>1.89365</v>
      </c>
      <c r="GS88">
        <v>1.8856</v>
      </c>
      <c r="GT88">
        <v>0.131689</v>
      </c>
      <c r="GU88">
        <v>0</v>
      </c>
      <c r="GV88">
        <v>27.8403</v>
      </c>
      <c r="GW88">
        <v>999.9</v>
      </c>
      <c r="GX88">
        <v>63.8</v>
      </c>
      <c r="GY88">
        <v>28.8</v>
      </c>
      <c r="GZ88">
        <v>27.9346</v>
      </c>
      <c r="HA88">
        <v>61.7873</v>
      </c>
      <c r="HB88">
        <v>20.2764</v>
      </c>
      <c r="HC88">
        <v>1</v>
      </c>
      <c r="HD88">
        <v>0.020874</v>
      </c>
      <c r="HE88">
        <v>-2.27972</v>
      </c>
      <c r="HF88">
        <v>20.3221</v>
      </c>
      <c r="HG88">
        <v>5.21834</v>
      </c>
      <c r="HH88">
        <v>11.9798</v>
      </c>
      <c r="HI88">
        <v>4.9657</v>
      </c>
      <c r="HJ88">
        <v>3.276</v>
      </c>
      <c r="HK88">
        <v>9999</v>
      </c>
      <c r="HL88">
        <v>9999</v>
      </c>
      <c r="HM88">
        <v>9999</v>
      </c>
      <c r="HN88">
        <v>999.9</v>
      </c>
      <c r="HO88">
        <v>1.86357</v>
      </c>
      <c r="HP88">
        <v>1.85974</v>
      </c>
      <c r="HQ88">
        <v>1.85802</v>
      </c>
      <c r="HR88">
        <v>1.85941</v>
      </c>
      <c r="HS88">
        <v>1.85959</v>
      </c>
      <c r="HT88">
        <v>1.85801</v>
      </c>
      <c r="HU88">
        <v>1.85708</v>
      </c>
      <c r="HV88">
        <v>1.8521</v>
      </c>
      <c r="HW88">
        <v>0</v>
      </c>
      <c r="HX88">
        <v>0</v>
      </c>
      <c r="HY88">
        <v>0</v>
      </c>
      <c r="HZ88">
        <v>0</v>
      </c>
      <c r="IA88" t="s">
        <v>424</v>
      </c>
      <c r="IB88" t="s">
        <v>425</v>
      </c>
      <c r="IC88" t="s">
        <v>426</v>
      </c>
      <c r="ID88" t="s">
        <v>426</v>
      </c>
      <c r="IE88" t="s">
        <v>426</v>
      </c>
      <c r="IF88" t="s">
        <v>426</v>
      </c>
      <c r="IG88">
        <v>0</v>
      </c>
      <c r="IH88">
        <v>100</v>
      </c>
      <c r="II88">
        <v>100</v>
      </c>
      <c r="IJ88">
        <v>-1.347</v>
      </c>
      <c r="IK88">
        <v>0.181</v>
      </c>
      <c r="IL88">
        <v>-2.136943090880341</v>
      </c>
      <c r="IM88">
        <v>0.001328113201692861</v>
      </c>
      <c r="IN88">
        <v>1.538283238170363E-06</v>
      </c>
      <c r="IO88">
        <v>-5.795655626708063E-10</v>
      </c>
      <c r="IP88">
        <v>-0.06045740820250394</v>
      </c>
      <c r="IQ88">
        <v>-0.004593102289677449</v>
      </c>
      <c r="IR88">
        <v>0.0008253994458280543</v>
      </c>
      <c r="IS88">
        <v>-7.403632370499484E-06</v>
      </c>
      <c r="IT88">
        <v>2</v>
      </c>
      <c r="IU88">
        <v>1985</v>
      </c>
      <c r="IV88">
        <v>1</v>
      </c>
      <c r="IW88">
        <v>27</v>
      </c>
      <c r="IX88">
        <v>2.8</v>
      </c>
      <c r="IY88">
        <v>2.8</v>
      </c>
      <c r="IZ88">
        <v>1.12549</v>
      </c>
      <c r="JA88">
        <v>2.57812</v>
      </c>
      <c r="JB88">
        <v>1.49658</v>
      </c>
      <c r="JC88">
        <v>2.34253</v>
      </c>
      <c r="JD88">
        <v>1.54907</v>
      </c>
      <c r="JE88">
        <v>2.46094</v>
      </c>
      <c r="JF88">
        <v>31.8927</v>
      </c>
      <c r="JG88">
        <v>14.5873</v>
      </c>
      <c r="JH88">
        <v>18</v>
      </c>
      <c r="JI88">
        <v>482.863</v>
      </c>
      <c r="JJ88">
        <v>507.485</v>
      </c>
      <c r="JK88">
        <v>30.9384</v>
      </c>
      <c r="JL88">
        <v>27.5307</v>
      </c>
      <c r="JM88">
        <v>29.9996</v>
      </c>
      <c r="JN88">
        <v>27.8495</v>
      </c>
      <c r="JO88">
        <v>27.8586</v>
      </c>
      <c r="JP88">
        <v>22.6226</v>
      </c>
      <c r="JQ88">
        <v>21.2483</v>
      </c>
      <c r="JR88">
        <v>83.46729999999999</v>
      </c>
      <c r="JS88">
        <v>30.917</v>
      </c>
      <c r="JT88">
        <v>420</v>
      </c>
      <c r="JU88">
        <v>23.1224</v>
      </c>
      <c r="JV88">
        <v>102.306</v>
      </c>
      <c r="JW88">
        <v>91.4727</v>
      </c>
    </row>
    <row r="89" spans="1:283">
      <c r="A89">
        <v>71</v>
      </c>
      <c r="B89">
        <v>1761018593.6</v>
      </c>
      <c r="C89">
        <v>524.0999999046326</v>
      </c>
      <c r="D89" t="s">
        <v>570</v>
      </c>
      <c r="E89" t="s">
        <v>571</v>
      </c>
      <c r="F89">
        <v>5</v>
      </c>
      <c r="G89" t="s">
        <v>489</v>
      </c>
      <c r="H89">
        <v>1761018590.6</v>
      </c>
      <c r="I89">
        <f>(J89)/1000</f>
        <v>0</v>
      </c>
      <c r="J89">
        <f>1000*DJ89*AH89*(DF89-DG89)/(100*CY89*(1000-AH89*DF89))</f>
        <v>0</v>
      </c>
      <c r="K89">
        <f>DJ89*AH89*(DE89-DD89*(1000-AH89*DG89)/(1000-AH89*DF89))/(100*CY89)</f>
        <v>0</v>
      </c>
      <c r="L89">
        <f>DD89 - IF(AH89&gt;1, K89*CY89*100.0/(AJ89), 0)</f>
        <v>0</v>
      </c>
      <c r="M89">
        <f>((S89-I89/2)*L89-K89)/(S89+I89/2)</f>
        <v>0</v>
      </c>
      <c r="N89">
        <f>M89*(DK89+DL89)/1000.0</f>
        <v>0</v>
      </c>
      <c r="O89">
        <f>(DD89 - IF(AH89&gt;1, K89*CY89*100.0/(AJ89), 0))*(DK89+DL89)/1000.0</f>
        <v>0</v>
      </c>
      <c r="P89">
        <f>2.0/((1/R89-1/Q89)+SIGN(R89)*SQRT((1/R89-1/Q89)*(1/R89-1/Q89) + 4*CZ89/((CZ89+1)*(CZ89+1))*(2*1/R89*1/Q89-1/Q89*1/Q89)))</f>
        <v>0</v>
      </c>
      <c r="Q89">
        <f>IF(LEFT(DA89,1)&lt;&gt;"0",IF(LEFT(DA89,1)="1",3.0,DB89),$D$5+$E$5*(DR89*DK89/($K$5*1000))+$F$5*(DR89*DK89/($K$5*1000))*MAX(MIN(CY89,$J$5),$I$5)*MAX(MIN(CY89,$J$5),$I$5)+$G$5*MAX(MIN(CY89,$J$5),$I$5)*(DR89*DK89/($K$5*1000))+$H$5*(DR89*DK89/($K$5*1000))*(DR89*DK89/($K$5*1000)))</f>
        <v>0</v>
      </c>
      <c r="R89">
        <f>I89*(1000-(1000*0.61365*exp(17.502*V89/(240.97+V89))/(DK89+DL89)+DF89)/2)/(1000*0.61365*exp(17.502*V89/(240.97+V89))/(DK89+DL89)-DF89)</f>
        <v>0</v>
      </c>
      <c r="S89">
        <f>1/((CZ89+1)/(P89/1.6)+1/(Q89/1.37)) + CZ89/((CZ89+1)/(P89/1.6) + CZ89/(Q89/1.37))</f>
        <v>0</v>
      </c>
      <c r="T89">
        <f>(CU89*CX89)</f>
        <v>0</v>
      </c>
      <c r="U89">
        <f>(DM89+(T89+2*0.95*5.67E-8*(((DM89+$B$9)+273)^4-(DM89+273)^4)-44100*I89)/(1.84*29.3*Q89+8*0.95*5.67E-8*(DM89+273)^3))</f>
        <v>0</v>
      </c>
      <c r="V89">
        <f>($C$9*DN89+$D$9*DO89+$E$9*U89)</f>
        <v>0</v>
      </c>
      <c r="W89">
        <f>0.61365*exp(17.502*V89/(240.97+V89))</f>
        <v>0</v>
      </c>
      <c r="X89">
        <f>(Y89/Z89*100)</f>
        <v>0</v>
      </c>
      <c r="Y89">
        <f>DF89*(DK89+DL89)/1000</f>
        <v>0</v>
      </c>
      <c r="Z89">
        <f>0.61365*exp(17.502*DM89/(240.97+DM89))</f>
        <v>0</v>
      </c>
      <c r="AA89">
        <f>(W89-DF89*(DK89+DL89)/1000)</f>
        <v>0</v>
      </c>
      <c r="AB89">
        <f>(-I89*44100)</f>
        <v>0</v>
      </c>
      <c r="AC89">
        <f>2*29.3*Q89*0.92*(DM89-V89)</f>
        <v>0</v>
      </c>
      <c r="AD89">
        <f>2*0.95*5.67E-8*(((DM89+$B$9)+273)^4-(V89+273)^4)</f>
        <v>0</v>
      </c>
      <c r="AE89">
        <f>T89+AD89+AB89+AC89</f>
        <v>0</v>
      </c>
      <c r="AF89">
        <v>0</v>
      </c>
      <c r="AG89">
        <v>0</v>
      </c>
      <c r="AH89">
        <f>IF(AF89*$H$15&gt;=AJ89,1.0,(AJ89/(AJ89-AF89*$H$15)))</f>
        <v>0</v>
      </c>
      <c r="AI89">
        <f>(AH89-1)*100</f>
        <v>0</v>
      </c>
      <c r="AJ89">
        <f>MAX(0,($B$15+$C$15*DR89)/(1+$D$15*DR89)*DK89/(DM89+273)*$E$15)</f>
        <v>0</v>
      </c>
      <c r="AK89" t="s">
        <v>420</v>
      </c>
      <c r="AL89" t="s">
        <v>420</v>
      </c>
      <c r="AM89">
        <v>0</v>
      </c>
      <c r="AN89">
        <v>0</v>
      </c>
      <c r="AO89">
        <f>1-AM89/AN89</f>
        <v>0</v>
      </c>
      <c r="AP89">
        <v>0</v>
      </c>
      <c r="AQ89" t="s">
        <v>420</v>
      </c>
      <c r="AR89" t="s">
        <v>420</v>
      </c>
      <c r="AS89">
        <v>0</v>
      </c>
      <c r="AT89">
        <v>0</v>
      </c>
      <c r="AU89">
        <f>1-AS89/AT89</f>
        <v>0</v>
      </c>
      <c r="AV89">
        <v>0.5</v>
      </c>
      <c r="AW89">
        <f>CV89</f>
        <v>0</v>
      </c>
      <c r="AX89">
        <f>K89</f>
        <v>0</v>
      </c>
      <c r="AY89">
        <f>AU89*AV89*AW89</f>
        <v>0</v>
      </c>
      <c r="AZ89">
        <f>(AX89-AP89)/AW89</f>
        <v>0</v>
      </c>
      <c r="BA89">
        <f>(AN89-AT89)/AT89</f>
        <v>0</v>
      </c>
      <c r="BB89">
        <f>AM89/(AO89+AM89/AT89)</f>
        <v>0</v>
      </c>
      <c r="BC89" t="s">
        <v>420</v>
      </c>
      <c r="BD89">
        <v>0</v>
      </c>
      <c r="BE89">
        <f>IF(BD89&lt;&gt;0, BD89, BB89)</f>
        <v>0</v>
      </c>
      <c r="BF89">
        <f>1-BE89/AT89</f>
        <v>0</v>
      </c>
      <c r="BG89">
        <f>(AT89-AS89)/(AT89-BE89)</f>
        <v>0</v>
      </c>
      <c r="BH89">
        <f>(AN89-AT89)/(AN89-BE89)</f>
        <v>0</v>
      </c>
      <c r="BI89">
        <f>(AT89-AS89)/(AT89-AM89)</f>
        <v>0</v>
      </c>
      <c r="BJ89">
        <f>(AN89-AT89)/(AN89-AM89)</f>
        <v>0</v>
      </c>
      <c r="BK89">
        <f>(BG89*BE89/AS89)</f>
        <v>0</v>
      </c>
      <c r="BL89">
        <f>(1-BK89)</f>
        <v>0</v>
      </c>
      <c r="CU89">
        <f>$B$13*DS89+$C$13*DT89+$F$13*EE89*(1-EH89)</f>
        <v>0</v>
      </c>
      <c r="CV89">
        <f>CU89*CW89</f>
        <v>0</v>
      </c>
      <c r="CW89">
        <f>($B$13*$D$11+$C$13*$D$11+$F$13*((ER89+EJ89)/MAX(ER89+EJ89+ES89, 0.1)*$I$11+ES89/MAX(ER89+EJ89+ES89, 0.1)*$J$11))/($B$13+$C$13+$F$13)</f>
        <v>0</v>
      </c>
      <c r="CX89">
        <f>($B$13*$K$11+$C$13*$K$11+$F$13*((ER89+EJ89)/MAX(ER89+EJ89+ES89, 0.1)*$P$11+ES89/MAX(ER89+EJ89+ES89, 0.1)*$Q$11))/($B$13+$C$13+$F$13)</f>
        <v>0</v>
      </c>
      <c r="CY89">
        <v>1.37</v>
      </c>
      <c r="CZ89">
        <v>0.5</v>
      </c>
      <c r="DA89" t="s">
        <v>421</v>
      </c>
      <c r="DB89">
        <v>2</v>
      </c>
      <c r="DC89">
        <v>1761018590.6</v>
      </c>
      <c r="DD89">
        <v>420.359</v>
      </c>
      <c r="DE89">
        <v>420.1047777777778</v>
      </c>
      <c r="DF89">
        <v>23.22235555555556</v>
      </c>
      <c r="DG89">
        <v>23.037</v>
      </c>
      <c r="DH89">
        <v>421.7057777777778</v>
      </c>
      <c r="DI89">
        <v>23.04103333333333</v>
      </c>
      <c r="DJ89">
        <v>500.008</v>
      </c>
      <c r="DK89">
        <v>90.79058888888888</v>
      </c>
      <c r="DL89">
        <v>0.03409292222222222</v>
      </c>
      <c r="DM89">
        <v>29.69004444444444</v>
      </c>
      <c r="DN89">
        <v>29.98375555555556</v>
      </c>
      <c r="DO89">
        <v>999.9000000000001</v>
      </c>
      <c r="DP89">
        <v>0</v>
      </c>
      <c r="DQ89">
        <v>0</v>
      </c>
      <c r="DR89">
        <v>10001.25</v>
      </c>
      <c r="DS89">
        <v>0</v>
      </c>
      <c r="DT89">
        <v>0.242856</v>
      </c>
      <c r="DU89">
        <v>0.254198</v>
      </c>
      <c r="DV89">
        <v>430.3528888888889</v>
      </c>
      <c r="DW89">
        <v>430.0111111111111</v>
      </c>
      <c r="DX89">
        <v>0.185372</v>
      </c>
      <c r="DY89">
        <v>420.1047777777778</v>
      </c>
      <c r="DZ89">
        <v>23.037</v>
      </c>
      <c r="EA89">
        <v>2.108371111111111</v>
      </c>
      <c r="EB89">
        <v>2.091542222222222</v>
      </c>
      <c r="EC89">
        <v>18.28256666666667</v>
      </c>
      <c r="ED89">
        <v>18.15487777777778</v>
      </c>
      <c r="EE89">
        <v>0.00500078</v>
      </c>
      <c r="EF89">
        <v>0</v>
      </c>
      <c r="EG89">
        <v>0</v>
      </c>
      <c r="EH89">
        <v>0</v>
      </c>
      <c r="EI89">
        <v>76.88888888888889</v>
      </c>
      <c r="EJ89">
        <v>0.00500078</v>
      </c>
      <c r="EK89">
        <v>-16.12222222222222</v>
      </c>
      <c r="EL89">
        <v>-1.222222222222222</v>
      </c>
      <c r="EM89">
        <v>35.55511111111111</v>
      </c>
      <c r="EN89">
        <v>39.847</v>
      </c>
      <c r="EO89">
        <v>37.51388888888889</v>
      </c>
      <c r="EP89">
        <v>40.36788888888889</v>
      </c>
      <c r="EQ89">
        <v>37.82599999999999</v>
      </c>
      <c r="ER89">
        <v>0</v>
      </c>
      <c r="ES89">
        <v>0</v>
      </c>
      <c r="ET89">
        <v>0</v>
      </c>
      <c r="EU89">
        <v>1761018592.9</v>
      </c>
      <c r="EV89">
        <v>0</v>
      </c>
      <c r="EW89">
        <v>75.42</v>
      </c>
      <c r="EX89">
        <v>10.76923094110878</v>
      </c>
      <c r="EY89">
        <v>-11.49999962128129</v>
      </c>
      <c r="EZ89">
        <v>-14.352</v>
      </c>
      <c r="FA89">
        <v>15</v>
      </c>
      <c r="FB89">
        <v>1761018425</v>
      </c>
      <c r="FC89" t="s">
        <v>551</v>
      </c>
      <c r="FD89">
        <v>1761018422.5</v>
      </c>
      <c r="FE89">
        <v>1761018425</v>
      </c>
      <c r="FF89">
        <v>25</v>
      </c>
      <c r="FG89">
        <v>-0.524</v>
      </c>
      <c r="FH89">
        <v>-0.005</v>
      </c>
      <c r="FI89">
        <v>-1.348</v>
      </c>
      <c r="FJ89">
        <v>0.192</v>
      </c>
      <c r="FK89">
        <v>420</v>
      </c>
      <c r="FL89">
        <v>24</v>
      </c>
      <c r="FM89">
        <v>0.38</v>
      </c>
      <c r="FN89">
        <v>0.08</v>
      </c>
      <c r="FO89">
        <v>0.32219395</v>
      </c>
      <c r="FP89">
        <v>-0.3804616660412772</v>
      </c>
      <c r="FQ89">
        <v>0.05653572798458954</v>
      </c>
      <c r="FR89">
        <v>1</v>
      </c>
      <c r="FS89">
        <v>75.81176470588235</v>
      </c>
      <c r="FT89">
        <v>-8.69671494031649</v>
      </c>
      <c r="FU89">
        <v>5.942507131124052</v>
      </c>
      <c r="FV89">
        <v>0</v>
      </c>
      <c r="FW89">
        <v>-0.0178301375</v>
      </c>
      <c r="FX89">
        <v>1.672367884052533</v>
      </c>
      <c r="FY89">
        <v>0.1620907846131014</v>
      </c>
      <c r="FZ89">
        <v>0</v>
      </c>
      <c r="GA89">
        <v>1</v>
      </c>
      <c r="GB89">
        <v>3</v>
      </c>
      <c r="GC89" t="s">
        <v>431</v>
      </c>
      <c r="GD89">
        <v>3.10942</v>
      </c>
      <c r="GE89">
        <v>2.7259</v>
      </c>
      <c r="GF89">
        <v>0.08881790000000001</v>
      </c>
      <c r="GG89">
        <v>0.08859889999999999</v>
      </c>
      <c r="GH89">
        <v>0.106185</v>
      </c>
      <c r="GI89">
        <v>0.106519</v>
      </c>
      <c r="GJ89">
        <v>23915.2</v>
      </c>
      <c r="GK89">
        <v>21673.3</v>
      </c>
      <c r="GL89">
        <v>26803.8</v>
      </c>
      <c r="GM89">
        <v>23986.1</v>
      </c>
      <c r="GN89">
        <v>38281</v>
      </c>
      <c r="GO89">
        <v>31613.6</v>
      </c>
      <c r="GP89">
        <v>46784.3</v>
      </c>
      <c r="GQ89">
        <v>37918.1</v>
      </c>
      <c r="GR89">
        <v>1.89358</v>
      </c>
      <c r="GS89">
        <v>1.88557</v>
      </c>
      <c r="GT89">
        <v>0.131894</v>
      </c>
      <c r="GU89">
        <v>0</v>
      </c>
      <c r="GV89">
        <v>27.8385</v>
      </c>
      <c r="GW89">
        <v>999.9</v>
      </c>
      <c r="GX89">
        <v>63.8</v>
      </c>
      <c r="GY89">
        <v>28.8</v>
      </c>
      <c r="GZ89">
        <v>27.9376</v>
      </c>
      <c r="HA89">
        <v>61.7973</v>
      </c>
      <c r="HB89">
        <v>20.1002</v>
      </c>
      <c r="HC89">
        <v>1</v>
      </c>
      <c r="HD89">
        <v>0.0206021</v>
      </c>
      <c r="HE89">
        <v>-2.2192</v>
      </c>
      <c r="HF89">
        <v>20.323</v>
      </c>
      <c r="HG89">
        <v>5.21789</v>
      </c>
      <c r="HH89">
        <v>11.9798</v>
      </c>
      <c r="HI89">
        <v>4.9655</v>
      </c>
      <c r="HJ89">
        <v>3.27598</v>
      </c>
      <c r="HK89">
        <v>9999</v>
      </c>
      <c r="HL89">
        <v>9999</v>
      </c>
      <c r="HM89">
        <v>9999</v>
      </c>
      <c r="HN89">
        <v>999.9</v>
      </c>
      <c r="HO89">
        <v>1.86356</v>
      </c>
      <c r="HP89">
        <v>1.85974</v>
      </c>
      <c r="HQ89">
        <v>1.85802</v>
      </c>
      <c r="HR89">
        <v>1.8594</v>
      </c>
      <c r="HS89">
        <v>1.85959</v>
      </c>
      <c r="HT89">
        <v>1.85802</v>
      </c>
      <c r="HU89">
        <v>1.85709</v>
      </c>
      <c r="HV89">
        <v>1.85211</v>
      </c>
      <c r="HW89">
        <v>0</v>
      </c>
      <c r="HX89">
        <v>0</v>
      </c>
      <c r="HY89">
        <v>0</v>
      </c>
      <c r="HZ89">
        <v>0</v>
      </c>
      <c r="IA89" t="s">
        <v>424</v>
      </c>
      <c r="IB89" t="s">
        <v>425</v>
      </c>
      <c r="IC89" t="s">
        <v>426</v>
      </c>
      <c r="ID89" t="s">
        <v>426</v>
      </c>
      <c r="IE89" t="s">
        <v>426</v>
      </c>
      <c r="IF89" t="s">
        <v>426</v>
      </c>
      <c r="IG89">
        <v>0</v>
      </c>
      <c r="IH89">
        <v>100</v>
      </c>
      <c r="II89">
        <v>100</v>
      </c>
      <c r="IJ89">
        <v>-1.346</v>
      </c>
      <c r="IK89">
        <v>0.18</v>
      </c>
      <c r="IL89">
        <v>-2.136943090880341</v>
      </c>
      <c r="IM89">
        <v>0.001328113201692861</v>
      </c>
      <c r="IN89">
        <v>1.538283238170363E-06</v>
      </c>
      <c r="IO89">
        <v>-5.795655626708063E-10</v>
      </c>
      <c r="IP89">
        <v>-0.06045740820250394</v>
      </c>
      <c r="IQ89">
        <v>-0.004593102289677449</v>
      </c>
      <c r="IR89">
        <v>0.0008253994458280543</v>
      </c>
      <c r="IS89">
        <v>-7.403632370499484E-06</v>
      </c>
      <c r="IT89">
        <v>2</v>
      </c>
      <c r="IU89">
        <v>1985</v>
      </c>
      <c r="IV89">
        <v>1</v>
      </c>
      <c r="IW89">
        <v>27</v>
      </c>
      <c r="IX89">
        <v>2.9</v>
      </c>
      <c r="IY89">
        <v>2.8</v>
      </c>
      <c r="IZ89">
        <v>1.12549</v>
      </c>
      <c r="JA89">
        <v>2.58545</v>
      </c>
      <c r="JB89">
        <v>1.49658</v>
      </c>
      <c r="JC89">
        <v>2.34131</v>
      </c>
      <c r="JD89">
        <v>1.54907</v>
      </c>
      <c r="JE89">
        <v>2.33276</v>
      </c>
      <c r="JF89">
        <v>31.8707</v>
      </c>
      <c r="JG89">
        <v>14.5611</v>
      </c>
      <c r="JH89">
        <v>18</v>
      </c>
      <c r="JI89">
        <v>482.797</v>
      </c>
      <c r="JJ89">
        <v>507.442</v>
      </c>
      <c r="JK89">
        <v>30.9458</v>
      </c>
      <c r="JL89">
        <v>27.5278</v>
      </c>
      <c r="JM89">
        <v>29.9996</v>
      </c>
      <c r="JN89">
        <v>27.8465</v>
      </c>
      <c r="JO89">
        <v>27.8557</v>
      </c>
      <c r="JP89">
        <v>22.6224</v>
      </c>
      <c r="JQ89">
        <v>21.2483</v>
      </c>
      <c r="JR89">
        <v>83.46729999999999</v>
      </c>
      <c r="JS89">
        <v>30.917</v>
      </c>
      <c r="JT89">
        <v>420</v>
      </c>
      <c r="JU89">
        <v>23.1227</v>
      </c>
      <c r="JV89">
        <v>102.307</v>
      </c>
      <c r="JW89">
        <v>91.4729</v>
      </c>
    </row>
    <row r="90" spans="1:283">
      <c r="A90">
        <v>72</v>
      </c>
      <c r="B90">
        <v>1761018595.6</v>
      </c>
      <c r="C90">
        <v>526.0999999046326</v>
      </c>
      <c r="D90" t="s">
        <v>572</v>
      </c>
      <c r="E90" t="s">
        <v>573</v>
      </c>
      <c r="F90">
        <v>5</v>
      </c>
      <c r="G90" t="s">
        <v>489</v>
      </c>
      <c r="H90">
        <v>1761018592.6</v>
      </c>
      <c r="I90">
        <f>(J90)/1000</f>
        <v>0</v>
      </c>
      <c r="J90">
        <f>1000*DJ90*AH90*(DF90-DG90)/(100*CY90*(1000-AH90*DF90))</f>
        <v>0</v>
      </c>
      <c r="K90">
        <f>DJ90*AH90*(DE90-DD90*(1000-AH90*DG90)/(1000-AH90*DF90))/(100*CY90)</f>
        <v>0</v>
      </c>
      <c r="L90">
        <f>DD90 - IF(AH90&gt;1, K90*CY90*100.0/(AJ90), 0)</f>
        <v>0</v>
      </c>
      <c r="M90">
        <f>((S90-I90/2)*L90-K90)/(S90+I90/2)</f>
        <v>0</v>
      </c>
      <c r="N90">
        <f>M90*(DK90+DL90)/1000.0</f>
        <v>0</v>
      </c>
      <c r="O90">
        <f>(DD90 - IF(AH90&gt;1, K90*CY90*100.0/(AJ90), 0))*(DK90+DL90)/1000.0</f>
        <v>0</v>
      </c>
      <c r="P90">
        <f>2.0/((1/R90-1/Q90)+SIGN(R90)*SQRT((1/R90-1/Q90)*(1/R90-1/Q90) + 4*CZ90/((CZ90+1)*(CZ90+1))*(2*1/R90*1/Q90-1/Q90*1/Q90)))</f>
        <v>0</v>
      </c>
      <c r="Q90">
        <f>IF(LEFT(DA90,1)&lt;&gt;"0",IF(LEFT(DA90,1)="1",3.0,DB90),$D$5+$E$5*(DR90*DK90/($K$5*1000))+$F$5*(DR90*DK90/($K$5*1000))*MAX(MIN(CY90,$J$5),$I$5)*MAX(MIN(CY90,$J$5),$I$5)+$G$5*MAX(MIN(CY90,$J$5),$I$5)*(DR90*DK90/($K$5*1000))+$H$5*(DR90*DK90/($K$5*1000))*(DR90*DK90/($K$5*1000)))</f>
        <v>0</v>
      </c>
      <c r="R90">
        <f>I90*(1000-(1000*0.61365*exp(17.502*V90/(240.97+V90))/(DK90+DL90)+DF90)/2)/(1000*0.61365*exp(17.502*V90/(240.97+V90))/(DK90+DL90)-DF90)</f>
        <v>0</v>
      </c>
      <c r="S90">
        <f>1/((CZ90+1)/(P90/1.6)+1/(Q90/1.37)) + CZ90/((CZ90+1)/(P90/1.6) + CZ90/(Q90/1.37))</f>
        <v>0</v>
      </c>
      <c r="T90">
        <f>(CU90*CX90)</f>
        <v>0</v>
      </c>
      <c r="U90">
        <f>(DM90+(T90+2*0.95*5.67E-8*(((DM90+$B$9)+273)^4-(DM90+273)^4)-44100*I90)/(1.84*29.3*Q90+8*0.95*5.67E-8*(DM90+273)^3))</f>
        <v>0</v>
      </c>
      <c r="V90">
        <f>($C$9*DN90+$D$9*DO90+$E$9*U90)</f>
        <v>0</v>
      </c>
      <c r="W90">
        <f>0.61365*exp(17.502*V90/(240.97+V90))</f>
        <v>0</v>
      </c>
      <c r="X90">
        <f>(Y90/Z90*100)</f>
        <v>0</v>
      </c>
      <c r="Y90">
        <f>DF90*(DK90+DL90)/1000</f>
        <v>0</v>
      </c>
      <c r="Z90">
        <f>0.61365*exp(17.502*DM90/(240.97+DM90))</f>
        <v>0</v>
      </c>
      <c r="AA90">
        <f>(W90-DF90*(DK90+DL90)/1000)</f>
        <v>0</v>
      </c>
      <c r="AB90">
        <f>(-I90*44100)</f>
        <v>0</v>
      </c>
      <c r="AC90">
        <f>2*29.3*Q90*0.92*(DM90-V90)</f>
        <v>0</v>
      </c>
      <c r="AD90">
        <f>2*0.95*5.67E-8*(((DM90+$B$9)+273)^4-(V90+273)^4)</f>
        <v>0</v>
      </c>
      <c r="AE90">
        <f>T90+AD90+AB90+AC90</f>
        <v>0</v>
      </c>
      <c r="AF90">
        <v>0</v>
      </c>
      <c r="AG90">
        <v>0</v>
      </c>
      <c r="AH90">
        <f>IF(AF90*$H$15&gt;=AJ90,1.0,(AJ90/(AJ90-AF90*$H$15)))</f>
        <v>0</v>
      </c>
      <c r="AI90">
        <f>(AH90-1)*100</f>
        <v>0</v>
      </c>
      <c r="AJ90">
        <f>MAX(0,($B$15+$C$15*DR90)/(1+$D$15*DR90)*DK90/(DM90+273)*$E$15)</f>
        <v>0</v>
      </c>
      <c r="AK90" t="s">
        <v>420</v>
      </c>
      <c r="AL90" t="s">
        <v>420</v>
      </c>
      <c r="AM90">
        <v>0</v>
      </c>
      <c r="AN90">
        <v>0</v>
      </c>
      <c r="AO90">
        <f>1-AM90/AN90</f>
        <v>0</v>
      </c>
      <c r="AP90">
        <v>0</v>
      </c>
      <c r="AQ90" t="s">
        <v>420</v>
      </c>
      <c r="AR90" t="s">
        <v>420</v>
      </c>
      <c r="AS90">
        <v>0</v>
      </c>
      <c r="AT90">
        <v>0</v>
      </c>
      <c r="AU90">
        <f>1-AS90/AT90</f>
        <v>0</v>
      </c>
      <c r="AV90">
        <v>0.5</v>
      </c>
      <c r="AW90">
        <f>CV90</f>
        <v>0</v>
      </c>
      <c r="AX90">
        <f>K90</f>
        <v>0</v>
      </c>
      <c r="AY90">
        <f>AU90*AV90*AW90</f>
        <v>0</v>
      </c>
      <c r="AZ90">
        <f>(AX90-AP90)/AW90</f>
        <v>0</v>
      </c>
      <c r="BA90">
        <f>(AN90-AT90)/AT90</f>
        <v>0</v>
      </c>
      <c r="BB90">
        <f>AM90/(AO90+AM90/AT90)</f>
        <v>0</v>
      </c>
      <c r="BC90" t="s">
        <v>420</v>
      </c>
      <c r="BD90">
        <v>0</v>
      </c>
      <c r="BE90">
        <f>IF(BD90&lt;&gt;0, BD90, BB90)</f>
        <v>0</v>
      </c>
      <c r="BF90">
        <f>1-BE90/AT90</f>
        <v>0</v>
      </c>
      <c r="BG90">
        <f>(AT90-AS90)/(AT90-BE90)</f>
        <v>0</v>
      </c>
      <c r="BH90">
        <f>(AN90-AT90)/(AN90-BE90)</f>
        <v>0</v>
      </c>
      <c r="BI90">
        <f>(AT90-AS90)/(AT90-AM90)</f>
        <v>0</v>
      </c>
      <c r="BJ90">
        <f>(AN90-AT90)/(AN90-AM90)</f>
        <v>0</v>
      </c>
      <c r="BK90">
        <f>(BG90*BE90/AS90)</f>
        <v>0</v>
      </c>
      <c r="BL90">
        <f>(1-BK90)</f>
        <v>0</v>
      </c>
      <c r="CU90">
        <f>$B$13*DS90+$C$13*DT90+$F$13*EE90*(1-EH90)</f>
        <v>0</v>
      </c>
      <c r="CV90">
        <f>CU90*CW90</f>
        <v>0</v>
      </c>
      <c r="CW90">
        <f>($B$13*$D$11+$C$13*$D$11+$F$13*((ER90+EJ90)/MAX(ER90+EJ90+ES90, 0.1)*$I$11+ES90/MAX(ER90+EJ90+ES90, 0.1)*$J$11))/($B$13+$C$13+$F$13)</f>
        <v>0</v>
      </c>
      <c r="CX90">
        <f>($B$13*$K$11+$C$13*$K$11+$F$13*((ER90+EJ90)/MAX(ER90+EJ90+ES90, 0.1)*$P$11+ES90/MAX(ER90+EJ90+ES90, 0.1)*$Q$11))/($B$13+$C$13+$F$13)</f>
        <v>0</v>
      </c>
      <c r="CY90">
        <v>1.37</v>
      </c>
      <c r="CZ90">
        <v>0.5</v>
      </c>
      <c r="DA90" t="s">
        <v>421</v>
      </c>
      <c r="DB90">
        <v>2</v>
      </c>
      <c r="DC90">
        <v>1761018592.6</v>
      </c>
      <c r="DD90">
        <v>420.3515555555555</v>
      </c>
      <c r="DE90">
        <v>420.07</v>
      </c>
      <c r="DF90">
        <v>23.18051111111111</v>
      </c>
      <c r="DG90">
        <v>22.97633333333333</v>
      </c>
      <c r="DH90">
        <v>421.6984444444445</v>
      </c>
      <c r="DI90">
        <v>23.00006666666667</v>
      </c>
      <c r="DJ90">
        <v>499.9605555555556</v>
      </c>
      <c r="DK90">
        <v>90.79136666666666</v>
      </c>
      <c r="DL90">
        <v>0.03432314444444444</v>
      </c>
      <c r="DM90">
        <v>29.6924</v>
      </c>
      <c r="DN90">
        <v>29.98661111111111</v>
      </c>
      <c r="DO90">
        <v>999.9000000000001</v>
      </c>
      <c r="DP90">
        <v>0</v>
      </c>
      <c r="DQ90">
        <v>0</v>
      </c>
      <c r="DR90">
        <v>9989.166666666666</v>
      </c>
      <c r="DS90">
        <v>0</v>
      </c>
      <c r="DT90">
        <v>0.242856</v>
      </c>
      <c r="DU90">
        <v>0.2816265555555556</v>
      </c>
      <c r="DV90">
        <v>430.3267777777778</v>
      </c>
      <c r="DW90">
        <v>429.9488888888889</v>
      </c>
      <c r="DX90">
        <v>0.2041856666666667</v>
      </c>
      <c r="DY90">
        <v>420.07</v>
      </c>
      <c r="DZ90">
        <v>22.97633333333333</v>
      </c>
      <c r="EA90">
        <v>2.10459</v>
      </c>
      <c r="EB90">
        <v>2.086052222222222</v>
      </c>
      <c r="EC90">
        <v>18.25395555555556</v>
      </c>
      <c r="ED90">
        <v>18.11306666666667</v>
      </c>
      <c r="EE90">
        <v>0.00500078</v>
      </c>
      <c r="EF90">
        <v>0</v>
      </c>
      <c r="EG90">
        <v>0</v>
      </c>
      <c r="EH90">
        <v>0</v>
      </c>
      <c r="EI90">
        <v>78.08888888888889</v>
      </c>
      <c r="EJ90">
        <v>0.00500078</v>
      </c>
      <c r="EK90">
        <v>-15.54444444444444</v>
      </c>
      <c r="EL90">
        <v>-0.7777777777777779</v>
      </c>
      <c r="EM90">
        <v>35.57599999999999</v>
      </c>
      <c r="EN90">
        <v>39.868</v>
      </c>
      <c r="EO90">
        <v>37.60411111111111</v>
      </c>
      <c r="EP90">
        <v>40.41644444444445</v>
      </c>
      <c r="EQ90">
        <v>37.93711111111111</v>
      </c>
      <c r="ER90">
        <v>0</v>
      </c>
      <c r="ES90">
        <v>0</v>
      </c>
      <c r="ET90">
        <v>0</v>
      </c>
      <c r="EU90">
        <v>1761018594.7</v>
      </c>
      <c r="EV90">
        <v>0</v>
      </c>
      <c r="EW90">
        <v>75.59999999999999</v>
      </c>
      <c r="EX90">
        <v>32.04102599592447</v>
      </c>
      <c r="EY90">
        <v>-20.52649547256344</v>
      </c>
      <c r="EZ90">
        <v>-13.86153846153846</v>
      </c>
      <c r="FA90">
        <v>15</v>
      </c>
      <c r="FB90">
        <v>1761018425</v>
      </c>
      <c r="FC90" t="s">
        <v>551</v>
      </c>
      <c r="FD90">
        <v>1761018422.5</v>
      </c>
      <c r="FE90">
        <v>1761018425</v>
      </c>
      <c r="FF90">
        <v>25</v>
      </c>
      <c r="FG90">
        <v>-0.524</v>
      </c>
      <c r="FH90">
        <v>-0.005</v>
      </c>
      <c r="FI90">
        <v>-1.348</v>
      </c>
      <c r="FJ90">
        <v>0.192</v>
      </c>
      <c r="FK90">
        <v>420</v>
      </c>
      <c r="FL90">
        <v>24</v>
      </c>
      <c r="FM90">
        <v>0.38</v>
      </c>
      <c r="FN90">
        <v>0.08</v>
      </c>
      <c r="FO90">
        <v>0.3194163658536586</v>
      </c>
      <c r="FP90">
        <v>-0.3468069825783958</v>
      </c>
      <c r="FQ90">
        <v>0.0556782287691172</v>
      </c>
      <c r="FR90">
        <v>1</v>
      </c>
      <c r="FS90">
        <v>75.97647058823529</v>
      </c>
      <c r="FT90">
        <v>-1.00534748078582</v>
      </c>
      <c r="FU90">
        <v>5.825757149657202</v>
      </c>
      <c r="FV90">
        <v>0</v>
      </c>
      <c r="FW90">
        <v>0.009904182926829267</v>
      </c>
      <c r="FX90">
        <v>1.619109775609755</v>
      </c>
      <c r="FY90">
        <v>0.1616161063879477</v>
      </c>
      <c r="FZ90">
        <v>0</v>
      </c>
      <c r="GA90">
        <v>1</v>
      </c>
      <c r="GB90">
        <v>3</v>
      </c>
      <c r="GC90" t="s">
        <v>431</v>
      </c>
      <c r="GD90">
        <v>3.10919</v>
      </c>
      <c r="GE90">
        <v>2.72631</v>
      </c>
      <c r="GF90">
        <v>0.0888167</v>
      </c>
      <c r="GG90">
        <v>0.0885871</v>
      </c>
      <c r="GH90">
        <v>0.106042</v>
      </c>
      <c r="GI90">
        <v>0.10644</v>
      </c>
      <c r="GJ90">
        <v>23915.3</v>
      </c>
      <c r="GK90">
        <v>21673.4</v>
      </c>
      <c r="GL90">
        <v>26803.9</v>
      </c>
      <c r="GM90">
        <v>23986</v>
      </c>
      <c r="GN90">
        <v>38287.3</v>
      </c>
      <c r="GO90">
        <v>31616.3</v>
      </c>
      <c r="GP90">
        <v>46784.4</v>
      </c>
      <c r="GQ90">
        <v>37918.1</v>
      </c>
      <c r="GR90">
        <v>1.89325</v>
      </c>
      <c r="GS90">
        <v>1.88592</v>
      </c>
      <c r="GT90">
        <v>0.132006</v>
      </c>
      <c r="GU90">
        <v>0</v>
      </c>
      <c r="GV90">
        <v>27.8369</v>
      </c>
      <c r="GW90">
        <v>999.9</v>
      </c>
      <c r="GX90">
        <v>63.8</v>
      </c>
      <c r="GY90">
        <v>28.8</v>
      </c>
      <c r="GZ90">
        <v>27.9342</v>
      </c>
      <c r="HA90">
        <v>61.4473</v>
      </c>
      <c r="HB90">
        <v>20.3646</v>
      </c>
      <c r="HC90">
        <v>1</v>
      </c>
      <c r="HD90">
        <v>0.0205335</v>
      </c>
      <c r="HE90">
        <v>-2.17409</v>
      </c>
      <c r="HF90">
        <v>20.3238</v>
      </c>
      <c r="HG90">
        <v>5.21774</v>
      </c>
      <c r="HH90">
        <v>11.9798</v>
      </c>
      <c r="HI90">
        <v>4.9655</v>
      </c>
      <c r="HJ90">
        <v>3.27598</v>
      </c>
      <c r="HK90">
        <v>9999</v>
      </c>
      <c r="HL90">
        <v>9999</v>
      </c>
      <c r="HM90">
        <v>9999</v>
      </c>
      <c r="HN90">
        <v>999.9</v>
      </c>
      <c r="HO90">
        <v>1.86357</v>
      </c>
      <c r="HP90">
        <v>1.85974</v>
      </c>
      <c r="HQ90">
        <v>1.85803</v>
      </c>
      <c r="HR90">
        <v>1.85941</v>
      </c>
      <c r="HS90">
        <v>1.85959</v>
      </c>
      <c r="HT90">
        <v>1.85804</v>
      </c>
      <c r="HU90">
        <v>1.85708</v>
      </c>
      <c r="HV90">
        <v>1.85211</v>
      </c>
      <c r="HW90">
        <v>0</v>
      </c>
      <c r="HX90">
        <v>0</v>
      </c>
      <c r="HY90">
        <v>0</v>
      </c>
      <c r="HZ90">
        <v>0</v>
      </c>
      <c r="IA90" t="s">
        <v>424</v>
      </c>
      <c r="IB90" t="s">
        <v>425</v>
      </c>
      <c r="IC90" t="s">
        <v>426</v>
      </c>
      <c r="ID90" t="s">
        <v>426</v>
      </c>
      <c r="IE90" t="s">
        <v>426</v>
      </c>
      <c r="IF90" t="s">
        <v>426</v>
      </c>
      <c r="IG90">
        <v>0</v>
      </c>
      <c r="IH90">
        <v>100</v>
      </c>
      <c r="II90">
        <v>100</v>
      </c>
      <c r="IJ90">
        <v>-1.347</v>
      </c>
      <c r="IK90">
        <v>0.179</v>
      </c>
      <c r="IL90">
        <v>-2.136943090880341</v>
      </c>
      <c r="IM90">
        <v>0.001328113201692861</v>
      </c>
      <c r="IN90">
        <v>1.538283238170363E-06</v>
      </c>
      <c r="IO90">
        <v>-5.795655626708063E-10</v>
      </c>
      <c r="IP90">
        <v>-0.06045740820250394</v>
      </c>
      <c r="IQ90">
        <v>-0.004593102289677449</v>
      </c>
      <c r="IR90">
        <v>0.0008253994458280543</v>
      </c>
      <c r="IS90">
        <v>-7.403632370499484E-06</v>
      </c>
      <c r="IT90">
        <v>2</v>
      </c>
      <c r="IU90">
        <v>1985</v>
      </c>
      <c r="IV90">
        <v>1</v>
      </c>
      <c r="IW90">
        <v>27</v>
      </c>
      <c r="IX90">
        <v>2.9</v>
      </c>
      <c r="IY90">
        <v>2.8</v>
      </c>
      <c r="IZ90">
        <v>1.12549</v>
      </c>
      <c r="JA90">
        <v>2.57568</v>
      </c>
      <c r="JB90">
        <v>1.49658</v>
      </c>
      <c r="JC90">
        <v>2.34253</v>
      </c>
      <c r="JD90">
        <v>1.54907</v>
      </c>
      <c r="JE90">
        <v>2.40112</v>
      </c>
      <c r="JF90">
        <v>31.8707</v>
      </c>
      <c r="JG90">
        <v>14.5873</v>
      </c>
      <c r="JH90">
        <v>18</v>
      </c>
      <c r="JI90">
        <v>482.586</v>
      </c>
      <c r="JJ90">
        <v>507.652</v>
      </c>
      <c r="JK90">
        <v>30.9479</v>
      </c>
      <c r="JL90">
        <v>27.5251</v>
      </c>
      <c r="JM90">
        <v>29.9997</v>
      </c>
      <c r="JN90">
        <v>27.8436</v>
      </c>
      <c r="JO90">
        <v>27.8529</v>
      </c>
      <c r="JP90">
        <v>22.6262</v>
      </c>
      <c r="JQ90">
        <v>20.9379</v>
      </c>
      <c r="JR90">
        <v>83.46729999999999</v>
      </c>
      <c r="JS90">
        <v>30.9268</v>
      </c>
      <c r="JT90">
        <v>420</v>
      </c>
      <c r="JU90">
        <v>23.1449</v>
      </c>
      <c r="JV90">
        <v>102.307</v>
      </c>
      <c r="JW90">
        <v>91.4725</v>
      </c>
    </row>
    <row r="91" spans="1:283">
      <c r="A91">
        <v>73</v>
      </c>
      <c r="B91">
        <v>1761018597.6</v>
      </c>
      <c r="C91">
        <v>528.0999999046326</v>
      </c>
      <c r="D91" t="s">
        <v>574</v>
      </c>
      <c r="E91" t="s">
        <v>575</v>
      </c>
      <c r="F91">
        <v>5</v>
      </c>
      <c r="G91" t="s">
        <v>489</v>
      </c>
      <c r="H91">
        <v>1761018594.6</v>
      </c>
      <c r="I91">
        <f>(J91)/1000</f>
        <v>0</v>
      </c>
      <c r="J91">
        <f>1000*DJ91*AH91*(DF91-DG91)/(100*CY91*(1000-AH91*DF91))</f>
        <v>0</v>
      </c>
      <c r="K91">
        <f>DJ91*AH91*(DE91-DD91*(1000-AH91*DG91)/(1000-AH91*DF91))/(100*CY91)</f>
        <v>0</v>
      </c>
      <c r="L91">
        <f>DD91 - IF(AH91&gt;1, K91*CY91*100.0/(AJ91), 0)</f>
        <v>0</v>
      </c>
      <c r="M91">
        <f>((S91-I91/2)*L91-K91)/(S91+I91/2)</f>
        <v>0</v>
      </c>
      <c r="N91">
        <f>M91*(DK91+DL91)/1000.0</f>
        <v>0</v>
      </c>
      <c r="O91">
        <f>(DD91 - IF(AH91&gt;1, K91*CY91*100.0/(AJ91), 0))*(DK91+DL91)/1000.0</f>
        <v>0</v>
      </c>
      <c r="P91">
        <f>2.0/((1/R91-1/Q91)+SIGN(R91)*SQRT((1/R91-1/Q91)*(1/R91-1/Q91) + 4*CZ91/((CZ91+1)*(CZ91+1))*(2*1/R91*1/Q91-1/Q91*1/Q91)))</f>
        <v>0</v>
      </c>
      <c r="Q91">
        <f>IF(LEFT(DA91,1)&lt;&gt;"0",IF(LEFT(DA91,1)="1",3.0,DB91),$D$5+$E$5*(DR91*DK91/($K$5*1000))+$F$5*(DR91*DK91/($K$5*1000))*MAX(MIN(CY91,$J$5),$I$5)*MAX(MIN(CY91,$J$5),$I$5)+$G$5*MAX(MIN(CY91,$J$5),$I$5)*(DR91*DK91/($K$5*1000))+$H$5*(DR91*DK91/($K$5*1000))*(DR91*DK91/($K$5*1000)))</f>
        <v>0</v>
      </c>
      <c r="R91">
        <f>I91*(1000-(1000*0.61365*exp(17.502*V91/(240.97+V91))/(DK91+DL91)+DF91)/2)/(1000*0.61365*exp(17.502*V91/(240.97+V91))/(DK91+DL91)-DF91)</f>
        <v>0</v>
      </c>
      <c r="S91">
        <f>1/((CZ91+1)/(P91/1.6)+1/(Q91/1.37)) + CZ91/((CZ91+1)/(P91/1.6) + CZ91/(Q91/1.37))</f>
        <v>0</v>
      </c>
      <c r="T91">
        <f>(CU91*CX91)</f>
        <v>0</v>
      </c>
      <c r="U91">
        <f>(DM91+(T91+2*0.95*5.67E-8*(((DM91+$B$9)+273)^4-(DM91+273)^4)-44100*I91)/(1.84*29.3*Q91+8*0.95*5.67E-8*(DM91+273)^3))</f>
        <v>0</v>
      </c>
      <c r="V91">
        <f>($C$9*DN91+$D$9*DO91+$E$9*U91)</f>
        <v>0</v>
      </c>
      <c r="W91">
        <f>0.61365*exp(17.502*V91/(240.97+V91))</f>
        <v>0</v>
      </c>
      <c r="X91">
        <f>(Y91/Z91*100)</f>
        <v>0</v>
      </c>
      <c r="Y91">
        <f>DF91*(DK91+DL91)/1000</f>
        <v>0</v>
      </c>
      <c r="Z91">
        <f>0.61365*exp(17.502*DM91/(240.97+DM91))</f>
        <v>0</v>
      </c>
      <c r="AA91">
        <f>(W91-DF91*(DK91+DL91)/1000)</f>
        <v>0</v>
      </c>
      <c r="AB91">
        <f>(-I91*44100)</f>
        <v>0</v>
      </c>
      <c r="AC91">
        <f>2*29.3*Q91*0.92*(DM91-V91)</f>
        <v>0</v>
      </c>
      <c r="AD91">
        <f>2*0.95*5.67E-8*(((DM91+$B$9)+273)^4-(V91+273)^4)</f>
        <v>0</v>
      </c>
      <c r="AE91">
        <f>T91+AD91+AB91+AC91</f>
        <v>0</v>
      </c>
      <c r="AF91">
        <v>0</v>
      </c>
      <c r="AG91">
        <v>0</v>
      </c>
      <c r="AH91">
        <f>IF(AF91*$H$15&gt;=AJ91,1.0,(AJ91/(AJ91-AF91*$H$15)))</f>
        <v>0</v>
      </c>
      <c r="AI91">
        <f>(AH91-1)*100</f>
        <v>0</v>
      </c>
      <c r="AJ91">
        <f>MAX(0,($B$15+$C$15*DR91)/(1+$D$15*DR91)*DK91/(DM91+273)*$E$15)</f>
        <v>0</v>
      </c>
      <c r="AK91" t="s">
        <v>420</v>
      </c>
      <c r="AL91" t="s">
        <v>420</v>
      </c>
      <c r="AM91">
        <v>0</v>
      </c>
      <c r="AN91">
        <v>0</v>
      </c>
      <c r="AO91">
        <f>1-AM91/AN91</f>
        <v>0</v>
      </c>
      <c r="AP91">
        <v>0</v>
      </c>
      <c r="AQ91" t="s">
        <v>420</v>
      </c>
      <c r="AR91" t="s">
        <v>420</v>
      </c>
      <c r="AS91">
        <v>0</v>
      </c>
      <c r="AT91">
        <v>0</v>
      </c>
      <c r="AU91">
        <f>1-AS91/AT91</f>
        <v>0</v>
      </c>
      <c r="AV91">
        <v>0.5</v>
      </c>
      <c r="AW91">
        <f>CV91</f>
        <v>0</v>
      </c>
      <c r="AX91">
        <f>K91</f>
        <v>0</v>
      </c>
      <c r="AY91">
        <f>AU91*AV91*AW91</f>
        <v>0</v>
      </c>
      <c r="AZ91">
        <f>(AX91-AP91)/AW91</f>
        <v>0</v>
      </c>
      <c r="BA91">
        <f>(AN91-AT91)/AT91</f>
        <v>0</v>
      </c>
      <c r="BB91">
        <f>AM91/(AO91+AM91/AT91)</f>
        <v>0</v>
      </c>
      <c r="BC91" t="s">
        <v>420</v>
      </c>
      <c r="BD91">
        <v>0</v>
      </c>
      <c r="BE91">
        <f>IF(BD91&lt;&gt;0, BD91, BB91)</f>
        <v>0</v>
      </c>
      <c r="BF91">
        <f>1-BE91/AT91</f>
        <v>0</v>
      </c>
      <c r="BG91">
        <f>(AT91-AS91)/(AT91-BE91)</f>
        <v>0</v>
      </c>
      <c r="BH91">
        <f>(AN91-AT91)/(AN91-BE91)</f>
        <v>0</v>
      </c>
      <c r="BI91">
        <f>(AT91-AS91)/(AT91-AM91)</f>
        <v>0</v>
      </c>
      <c r="BJ91">
        <f>(AN91-AT91)/(AN91-AM91)</f>
        <v>0</v>
      </c>
      <c r="BK91">
        <f>(BG91*BE91/AS91)</f>
        <v>0</v>
      </c>
      <c r="BL91">
        <f>(1-BK91)</f>
        <v>0</v>
      </c>
      <c r="CU91">
        <f>$B$13*DS91+$C$13*DT91+$F$13*EE91*(1-EH91)</f>
        <v>0</v>
      </c>
      <c r="CV91">
        <f>CU91*CW91</f>
        <v>0</v>
      </c>
      <c r="CW91">
        <f>($B$13*$D$11+$C$13*$D$11+$F$13*((ER91+EJ91)/MAX(ER91+EJ91+ES91, 0.1)*$I$11+ES91/MAX(ER91+EJ91+ES91, 0.1)*$J$11))/($B$13+$C$13+$F$13)</f>
        <v>0</v>
      </c>
      <c r="CX91">
        <f>($B$13*$K$11+$C$13*$K$11+$F$13*((ER91+EJ91)/MAX(ER91+EJ91+ES91, 0.1)*$P$11+ES91/MAX(ER91+EJ91+ES91, 0.1)*$Q$11))/($B$13+$C$13+$F$13)</f>
        <v>0</v>
      </c>
      <c r="CY91">
        <v>1.37</v>
      </c>
      <c r="CZ91">
        <v>0.5</v>
      </c>
      <c r="DA91" t="s">
        <v>421</v>
      </c>
      <c r="DB91">
        <v>2</v>
      </c>
      <c r="DC91">
        <v>1761018594.6</v>
      </c>
      <c r="DD91">
        <v>420.3411111111111</v>
      </c>
      <c r="DE91">
        <v>420.0008888888889</v>
      </c>
      <c r="DF91">
        <v>23.13657777777778</v>
      </c>
      <c r="DG91">
        <v>22.93944444444445</v>
      </c>
      <c r="DH91">
        <v>421.6878888888889</v>
      </c>
      <c r="DI91">
        <v>22.95706666666667</v>
      </c>
      <c r="DJ91">
        <v>499.9451111111111</v>
      </c>
      <c r="DK91">
        <v>90.79199999999999</v>
      </c>
      <c r="DL91">
        <v>0.03451545555555556</v>
      </c>
      <c r="DM91">
        <v>29.69583333333333</v>
      </c>
      <c r="DN91">
        <v>29.98958888888889</v>
      </c>
      <c r="DO91">
        <v>999.9000000000001</v>
      </c>
      <c r="DP91">
        <v>0</v>
      </c>
      <c r="DQ91">
        <v>0</v>
      </c>
      <c r="DR91">
        <v>9986.877777777778</v>
      </c>
      <c r="DS91">
        <v>0</v>
      </c>
      <c r="DT91">
        <v>0.242856</v>
      </c>
      <c r="DU91">
        <v>0.3402508888888889</v>
      </c>
      <c r="DV91">
        <v>430.2966666666667</v>
      </c>
      <c r="DW91">
        <v>429.8618888888889</v>
      </c>
      <c r="DX91">
        <v>0.1971468888888889</v>
      </c>
      <c r="DY91">
        <v>420.0008888888889</v>
      </c>
      <c r="DZ91">
        <v>22.93944444444445</v>
      </c>
      <c r="EA91">
        <v>2.100616666666666</v>
      </c>
      <c r="EB91">
        <v>2.082718888888889</v>
      </c>
      <c r="EC91">
        <v>18.22384444444445</v>
      </c>
      <c r="ED91">
        <v>18.08762222222223</v>
      </c>
      <c r="EE91">
        <v>0.00500078</v>
      </c>
      <c r="EF91">
        <v>0</v>
      </c>
      <c r="EG91">
        <v>0</v>
      </c>
      <c r="EH91">
        <v>0</v>
      </c>
      <c r="EI91">
        <v>80.3</v>
      </c>
      <c r="EJ91">
        <v>0.00500078</v>
      </c>
      <c r="EK91">
        <v>-14.23333333333334</v>
      </c>
      <c r="EL91">
        <v>-0.6444444444444445</v>
      </c>
      <c r="EM91">
        <v>35.59</v>
      </c>
      <c r="EN91">
        <v>39.89566666666667</v>
      </c>
      <c r="EO91">
        <v>37.70811111111111</v>
      </c>
      <c r="EP91">
        <v>40.43711111111111</v>
      </c>
      <c r="EQ91">
        <v>38.14555555555555</v>
      </c>
      <c r="ER91">
        <v>0</v>
      </c>
      <c r="ES91">
        <v>0</v>
      </c>
      <c r="ET91">
        <v>0</v>
      </c>
      <c r="EU91">
        <v>1761018596.5</v>
      </c>
      <c r="EV91">
        <v>0</v>
      </c>
      <c r="EW91">
        <v>76.67200000000001</v>
      </c>
      <c r="EX91">
        <v>48.46923109485792</v>
      </c>
      <c r="EY91">
        <v>-17.9846152611738</v>
      </c>
      <c r="EZ91">
        <v>-14.684</v>
      </c>
      <c r="FA91">
        <v>15</v>
      </c>
      <c r="FB91">
        <v>1761018425</v>
      </c>
      <c r="FC91" t="s">
        <v>551</v>
      </c>
      <c r="FD91">
        <v>1761018422.5</v>
      </c>
      <c r="FE91">
        <v>1761018425</v>
      </c>
      <c r="FF91">
        <v>25</v>
      </c>
      <c r="FG91">
        <v>-0.524</v>
      </c>
      <c r="FH91">
        <v>-0.005</v>
      </c>
      <c r="FI91">
        <v>-1.348</v>
      </c>
      <c r="FJ91">
        <v>0.192</v>
      </c>
      <c r="FK91">
        <v>420</v>
      </c>
      <c r="FL91">
        <v>24</v>
      </c>
      <c r="FM91">
        <v>0.38</v>
      </c>
      <c r="FN91">
        <v>0.08</v>
      </c>
      <c r="FO91">
        <v>0.323570325</v>
      </c>
      <c r="FP91">
        <v>-0.1046206716697934</v>
      </c>
      <c r="FQ91">
        <v>0.06271633168497162</v>
      </c>
      <c r="FR91">
        <v>1</v>
      </c>
      <c r="FS91">
        <v>76.29411764705881</v>
      </c>
      <c r="FT91">
        <v>23.98472129867393</v>
      </c>
      <c r="FU91">
        <v>5.941129877510951</v>
      </c>
      <c r="FV91">
        <v>0</v>
      </c>
      <c r="FW91">
        <v>0.0661093375</v>
      </c>
      <c r="FX91">
        <v>1.358132450656661</v>
      </c>
      <c r="FY91">
        <v>0.1388092784935353</v>
      </c>
      <c r="FZ91">
        <v>0</v>
      </c>
      <c r="GA91">
        <v>1</v>
      </c>
      <c r="GB91">
        <v>3</v>
      </c>
      <c r="GC91" t="s">
        <v>431</v>
      </c>
      <c r="GD91">
        <v>3.1094</v>
      </c>
      <c r="GE91">
        <v>2.72617</v>
      </c>
      <c r="GF91">
        <v>0.08881840000000001</v>
      </c>
      <c r="GG91">
        <v>0.0885702</v>
      </c>
      <c r="GH91">
        <v>0.105921</v>
      </c>
      <c r="GI91">
        <v>0.106457</v>
      </c>
      <c r="GJ91">
        <v>23915.4</v>
      </c>
      <c r="GK91">
        <v>21673.8</v>
      </c>
      <c r="GL91">
        <v>26804.1</v>
      </c>
      <c r="GM91">
        <v>23985.9</v>
      </c>
      <c r="GN91">
        <v>38292.7</v>
      </c>
      <c r="GO91">
        <v>31615.6</v>
      </c>
      <c r="GP91">
        <v>46784.7</v>
      </c>
      <c r="GQ91">
        <v>37917.9</v>
      </c>
      <c r="GR91">
        <v>1.8936</v>
      </c>
      <c r="GS91">
        <v>1.88592</v>
      </c>
      <c r="GT91">
        <v>0.132583</v>
      </c>
      <c r="GU91">
        <v>0</v>
      </c>
      <c r="GV91">
        <v>27.8351</v>
      </c>
      <c r="GW91">
        <v>999.9</v>
      </c>
      <c r="GX91">
        <v>63.8</v>
      </c>
      <c r="GY91">
        <v>28.8</v>
      </c>
      <c r="GZ91">
        <v>27.9355</v>
      </c>
      <c r="HA91">
        <v>61.6073</v>
      </c>
      <c r="HB91">
        <v>20.1803</v>
      </c>
      <c r="HC91">
        <v>1</v>
      </c>
      <c r="HD91">
        <v>0.0204878</v>
      </c>
      <c r="HE91">
        <v>-2.15291</v>
      </c>
      <c r="HF91">
        <v>20.3244</v>
      </c>
      <c r="HG91">
        <v>5.21789</v>
      </c>
      <c r="HH91">
        <v>11.98</v>
      </c>
      <c r="HI91">
        <v>4.9655</v>
      </c>
      <c r="HJ91">
        <v>3.276</v>
      </c>
      <c r="HK91">
        <v>9999</v>
      </c>
      <c r="HL91">
        <v>9999</v>
      </c>
      <c r="HM91">
        <v>9999</v>
      </c>
      <c r="HN91">
        <v>999.9</v>
      </c>
      <c r="HO91">
        <v>1.8636</v>
      </c>
      <c r="HP91">
        <v>1.85974</v>
      </c>
      <c r="HQ91">
        <v>1.85803</v>
      </c>
      <c r="HR91">
        <v>1.85942</v>
      </c>
      <c r="HS91">
        <v>1.85959</v>
      </c>
      <c r="HT91">
        <v>1.85805</v>
      </c>
      <c r="HU91">
        <v>1.85709</v>
      </c>
      <c r="HV91">
        <v>1.85211</v>
      </c>
      <c r="HW91">
        <v>0</v>
      </c>
      <c r="HX91">
        <v>0</v>
      </c>
      <c r="HY91">
        <v>0</v>
      </c>
      <c r="HZ91">
        <v>0</v>
      </c>
      <c r="IA91" t="s">
        <v>424</v>
      </c>
      <c r="IB91" t="s">
        <v>425</v>
      </c>
      <c r="IC91" t="s">
        <v>426</v>
      </c>
      <c r="ID91" t="s">
        <v>426</v>
      </c>
      <c r="IE91" t="s">
        <v>426</v>
      </c>
      <c r="IF91" t="s">
        <v>426</v>
      </c>
      <c r="IG91">
        <v>0</v>
      </c>
      <c r="IH91">
        <v>100</v>
      </c>
      <c r="II91">
        <v>100</v>
      </c>
      <c r="IJ91">
        <v>-1.347</v>
      </c>
      <c r="IK91">
        <v>0.1782</v>
      </c>
      <c r="IL91">
        <v>-2.136943090880341</v>
      </c>
      <c r="IM91">
        <v>0.001328113201692861</v>
      </c>
      <c r="IN91">
        <v>1.538283238170363E-06</v>
      </c>
      <c r="IO91">
        <v>-5.795655626708063E-10</v>
      </c>
      <c r="IP91">
        <v>-0.06045740820250394</v>
      </c>
      <c r="IQ91">
        <v>-0.004593102289677449</v>
      </c>
      <c r="IR91">
        <v>0.0008253994458280543</v>
      </c>
      <c r="IS91">
        <v>-7.403632370499484E-06</v>
      </c>
      <c r="IT91">
        <v>2</v>
      </c>
      <c r="IU91">
        <v>1985</v>
      </c>
      <c r="IV91">
        <v>1</v>
      </c>
      <c r="IW91">
        <v>27</v>
      </c>
      <c r="IX91">
        <v>2.9</v>
      </c>
      <c r="IY91">
        <v>2.9</v>
      </c>
      <c r="IZ91">
        <v>1.12549</v>
      </c>
      <c r="JA91">
        <v>2.5769</v>
      </c>
      <c r="JB91">
        <v>1.49658</v>
      </c>
      <c r="JC91">
        <v>2.34253</v>
      </c>
      <c r="JD91">
        <v>1.54907</v>
      </c>
      <c r="JE91">
        <v>2.46338</v>
      </c>
      <c r="JF91">
        <v>31.8707</v>
      </c>
      <c r="JG91">
        <v>14.5961</v>
      </c>
      <c r="JH91">
        <v>18</v>
      </c>
      <c r="JI91">
        <v>482.769</v>
      </c>
      <c r="JJ91">
        <v>507.631</v>
      </c>
      <c r="JK91">
        <v>30.9477</v>
      </c>
      <c r="JL91">
        <v>27.5228</v>
      </c>
      <c r="JM91">
        <v>29.9997</v>
      </c>
      <c r="JN91">
        <v>27.8409</v>
      </c>
      <c r="JO91">
        <v>27.8506</v>
      </c>
      <c r="JP91">
        <v>22.6284</v>
      </c>
      <c r="JQ91">
        <v>20.6622</v>
      </c>
      <c r="JR91">
        <v>83.46729999999999</v>
      </c>
      <c r="JS91">
        <v>30.9268</v>
      </c>
      <c r="JT91">
        <v>420</v>
      </c>
      <c r="JU91">
        <v>23.1693</v>
      </c>
      <c r="JV91">
        <v>102.308</v>
      </c>
      <c r="JW91">
        <v>91.4723</v>
      </c>
    </row>
    <row r="92" spans="1:283">
      <c r="A92">
        <v>74</v>
      </c>
      <c r="B92">
        <v>1761018599.6</v>
      </c>
      <c r="C92">
        <v>530.0999999046326</v>
      </c>
      <c r="D92" t="s">
        <v>576</v>
      </c>
      <c r="E92" t="s">
        <v>577</v>
      </c>
      <c r="F92">
        <v>5</v>
      </c>
      <c r="G92" t="s">
        <v>489</v>
      </c>
      <c r="H92">
        <v>1761018596.6</v>
      </c>
      <c r="I92">
        <f>(J92)/1000</f>
        <v>0</v>
      </c>
      <c r="J92">
        <f>1000*DJ92*AH92*(DF92-DG92)/(100*CY92*(1000-AH92*DF92))</f>
        <v>0</v>
      </c>
      <c r="K92">
        <f>DJ92*AH92*(DE92-DD92*(1000-AH92*DG92)/(1000-AH92*DF92))/(100*CY92)</f>
        <v>0</v>
      </c>
      <c r="L92">
        <f>DD92 - IF(AH92&gt;1, K92*CY92*100.0/(AJ92), 0)</f>
        <v>0</v>
      </c>
      <c r="M92">
        <f>((S92-I92/2)*L92-K92)/(S92+I92/2)</f>
        <v>0</v>
      </c>
      <c r="N92">
        <f>M92*(DK92+DL92)/1000.0</f>
        <v>0</v>
      </c>
      <c r="O92">
        <f>(DD92 - IF(AH92&gt;1, K92*CY92*100.0/(AJ92), 0))*(DK92+DL92)/1000.0</f>
        <v>0</v>
      </c>
      <c r="P92">
        <f>2.0/((1/R92-1/Q92)+SIGN(R92)*SQRT((1/R92-1/Q92)*(1/R92-1/Q92) + 4*CZ92/((CZ92+1)*(CZ92+1))*(2*1/R92*1/Q92-1/Q92*1/Q92)))</f>
        <v>0</v>
      </c>
      <c r="Q92">
        <f>IF(LEFT(DA92,1)&lt;&gt;"0",IF(LEFT(DA92,1)="1",3.0,DB92),$D$5+$E$5*(DR92*DK92/($K$5*1000))+$F$5*(DR92*DK92/($K$5*1000))*MAX(MIN(CY92,$J$5),$I$5)*MAX(MIN(CY92,$J$5),$I$5)+$G$5*MAX(MIN(CY92,$J$5),$I$5)*(DR92*DK92/($K$5*1000))+$H$5*(DR92*DK92/($K$5*1000))*(DR92*DK92/($K$5*1000)))</f>
        <v>0</v>
      </c>
      <c r="R92">
        <f>I92*(1000-(1000*0.61365*exp(17.502*V92/(240.97+V92))/(DK92+DL92)+DF92)/2)/(1000*0.61365*exp(17.502*V92/(240.97+V92))/(DK92+DL92)-DF92)</f>
        <v>0</v>
      </c>
      <c r="S92">
        <f>1/((CZ92+1)/(P92/1.6)+1/(Q92/1.37)) + CZ92/((CZ92+1)/(P92/1.6) + CZ92/(Q92/1.37))</f>
        <v>0</v>
      </c>
      <c r="T92">
        <f>(CU92*CX92)</f>
        <v>0</v>
      </c>
      <c r="U92">
        <f>(DM92+(T92+2*0.95*5.67E-8*(((DM92+$B$9)+273)^4-(DM92+273)^4)-44100*I92)/(1.84*29.3*Q92+8*0.95*5.67E-8*(DM92+273)^3))</f>
        <v>0</v>
      </c>
      <c r="V92">
        <f>($C$9*DN92+$D$9*DO92+$E$9*U92)</f>
        <v>0</v>
      </c>
      <c r="W92">
        <f>0.61365*exp(17.502*V92/(240.97+V92))</f>
        <v>0</v>
      </c>
      <c r="X92">
        <f>(Y92/Z92*100)</f>
        <v>0</v>
      </c>
      <c r="Y92">
        <f>DF92*(DK92+DL92)/1000</f>
        <v>0</v>
      </c>
      <c r="Z92">
        <f>0.61365*exp(17.502*DM92/(240.97+DM92))</f>
        <v>0</v>
      </c>
      <c r="AA92">
        <f>(W92-DF92*(DK92+DL92)/1000)</f>
        <v>0</v>
      </c>
      <c r="AB92">
        <f>(-I92*44100)</f>
        <v>0</v>
      </c>
      <c r="AC92">
        <f>2*29.3*Q92*0.92*(DM92-V92)</f>
        <v>0</v>
      </c>
      <c r="AD92">
        <f>2*0.95*5.67E-8*(((DM92+$B$9)+273)^4-(V92+273)^4)</f>
        <v>0</v>
      </c>
      <c r="AE92">
        <f>T92+AD92+AB92+AC92</f>
        <v>0</v>
      </c>
      <c r="AF92">
        <v>0</v>
      </c>
      <c r="AG92">
        <v>0</v>
      </c>
      <c r="AH92">
        <f>IF(AF92*$H$15&gt;=AJ92,1.0,(AJ92/(AJ92-AF92*$H$15)))</f>
        <v>0</v>
      </c>
      <c r="AI92">
        <f>(AH92-1)*100</f>
        <v>0</v>
      </c>
      <c r="AJ92">
        <f>MAX(0,($B$15+$C$15*DR92)/(1+$D$15*DR92)*DK92/(DM92+273)*$E$15)</f>
        <v>0</v>
      </c>
      <c r="AK92" t="s">
        <v>420</v>
      </c>
      <c r="AL92" t="s">
        <v>420</v>
      </c>
      <c r="AM92">
        <v>0</v>
      </c>
      <c r="AN92">
        <v>0</v>
      </c>
      <c r="AO92">
        <f>1-AM92/AN92</f>
        <v>0</v>
      </c>
      <c r="AP92">
        <v>0</v>
      </c>
      <c r="AQ92" t="s">
        <v>420</v>
      </c>
      <c r="AR92" t="s">
        <v>420</v>
      </c>
      <c r="AS92">
        <v>0</v>
      </c>
      <c r="AT92">
        <v>0</v>
      </c>
      <c r="AU92">
        <f>1-AS92/AT92</f>
        <v>0</v>
      </c>
      <c r="AV92">
        <v>0.5</v>
      </c>
      <c r="AW92">
        <f>CV92</f>
        <v>0</v>
      </c>
      <c r="AX92">
        <f>K92</f>
        <v>0</v>
      </c>
      <c r="AY92">
        <f>AU92*AV92*AW92</f>
        <v>0</v>
      </c>
      <c r="AZ92">
        <f>(AX92-AP92)/AW92</f>
        <v>0</v>
      </c>
      <c r="BA92">
        <f>(AN92-AT92)/AT92</f>
        <v>0</v>
      </c>
      <c r="BB92">
        <f>AM92/(AO92+AM92/AT92)</f>
        <v>0</v>
      </c>
      <c r="BC92" t="s">
        <v>420</v>
      </c>
      <c r="BD92">
        <v>0</v>
      </c>
      <c r="BE92">
        <f>IF(BD92&lt;&gt;0, BD92, BB92)</f>
        <v>0</v>
      </c>
      <c r="BF92">
        <f>1-BE92/AT92</f>
        <v>0</v>
      </c>
      <c r="BG92">
        <f>(AT92-AS92)/(AT92-BE92)</f>
        <v>0</v>
      </c>
      <c r="BH92">
        <f>(AN92-AT92)/(AN92-BE92)</f>
        <v>0</v>
      </c>
      <c r="BI92">
        <f>(AT92-AS92)/(AT92-AM92)</f>
        <v>0</v>
      </c>
      <c r="BJ92">
        <f>(AN92-AT92)/(AN92-AM92)</f>
        <v>0</v>
      </c>
      <c r="BK92">
        <f>(BG92*BE92/AS92)</f>
        <v>0</v>
      </c>
      <c r="BL92">
        <f>(1-BK92)</f>
        <v>0</v>
      </c>
      <c r="CU92">
        <f>$B$13*DS92+$C$13*DT92+$F$13*EE92*(1-EH92)</f>
        <v>0</v>
      </c>
      <c r="CV92">
        <f>CU92*CW92</f>
        <v>0</v>
      </c>
      <c r="CW92">
        <f>($B$13*$D$11+$C$13*$D$11+$F$13*((ER92+EJ92)/MAX(ER92+EJ92+ES92, 0.1)*$I$11+ES92/MAX(ER92+EJ92+ES92, 0.1)*$J$11))/($B$13+$C$13+$F$13)</f>
        <v>0</v>
      </c>
      <c r="CX92">
        <f>($B$13*$K$11+$C$13*$K$11+$F$13*((ER92+EJ92)/MAX(ER92+EJ92+ES92, 0.1)*$P$11+ES92/MAX(ER92+EJ92+ES92, 0.1)*$Q$11))/($B$13+$C$13+$F$13)</f>
        <v>0</v>
      </c>
      <c r="CY92">
        <v>1.37</v>
      </c>
      <c r="CZ92">
        <v>0.5</v>
      </c>
      <c r="DA92" t="s">
        <v>421</v>
      </c>
      <c r="DB92">
        <v>2</v>
      </c>
      <c r="DC92">
        <v>1761018596.6</v>
      </c>
      <c r="DD92">
        <v>420.3333333333333</v>
      </c>
      <c r="DE92">
        <v>419.9296666666667</v>
      </c>
      <c r="DF92">
        <v>23.09603333333333</v>
      </c>
      <c r="DG92">
        <v>22.93095555555556</v>
      </c>
      <c r="DH92">
        <v>421.6801111111111</v>
      </c>
      <c r="DI92">
        <v>22.91735555555556</v>
      </c>
      <c r="DJ92">
        <v>499.973</v>
      </c>
      <c r="DK92">
        <v>90.79237777777777</v>
      </c>
      <c r="DL92">
        <v>0.03453878888888889</v>
      </c>
      <c r="DM92">
        <v>29.69966666666666</v>
      </c>
      <c r="DN92">
        <v>29.99274444444445</v>
      </c>
      <c r="DO92">
        <v>999.9000000000001</v>
      </c>
      <c r="DP92">
        <v>0</v>
      </c>
      <c r="DQ92">
        <v>0</v>
      </c>
      <c r="DR92">
        <v>9993.544444444444</v>
      </c>
      <c r="DS92">
        <v>0</v>
      </c>
      <c r="DT92">
        <v>0.242856</v>
      </c>
      <c r="DU92">
        <v>0.4037443333333333</v>
      </c>
      <c r="DV92">
        <v>430.2707777777778</v>
      </c>
      <c r="DW92">
        <v>429.785</v>
      </c>
      <c r="DX92">
        <v>0.1650716666666667</v>
      </c>
      <c r="DY92">
        <v>419.9296666666667</v>
      </c>
      <c r="DZ92">
        <v>22.93095555555556</v>
      </c>
      <c r="EA92">
        <v>2.096942222222222</v>
      </c>
      <c r="EB92">
        <v>2.081957777777778</v>
      </c>
      <c r="EC92">
        <v>18.19596666666667</v>
      </c>
      <c r="ED92">
        <v>18.08181111111111</v>
      </c>
      <c r="EE92">
        <v>0.00500078</v>
      </c>
      <c r="EF92">
        <v>0</v>
      </c>
      <c r="EG92">
        <v>0</v>
      </c>
      <c r="EH92">
        <v>0</v>
      </c>
      <c r="EI92">
        <v>79.83333333333333</v>
      </c>
      <c r="EJ92">
        <v>0.00500078</v>
      </c>
      <c r="EK92">
        <v>-14.9</v>
      </c>
      <c r="EL92">
        <v>-0.688888888888889</v>
      </c>
      <c r="EM92">
        <v>35.60400000000001</v>
      </c>
      <c r="EN92">
        <v>39.91633333333333</v>
      </c>
      <c r="EO92">
        <v>37.61777777777777</v>
      </c>
      <c r="EP92">
        <v>40.48577777777777</v>
      </c>
      <c r="EQ92">
        <v>38.29833333333332</v>
      </c>
      <c r="ER92">
        <v>0</v>
      </c>
      <c r="ES92">
        <v>0</v>
      </c>
      <c r="ET92">
        <v>0</v>
      </c>
      <c r="EU92">
        <v>1761018598.9</v>
      </c>
      <c r="EV92">
        <v>0</v>
      </c>
      <c r="EW92">
        <v>77.288</v>
      </c>
      <c r="EX92">
        <v>13.70769256412164</v>
      </c>
      <c r="EY92">
        <v>16.6846153580696</v>
      </c>
      <c r="EZ92">
        <v>-15.828</v>
      </c>
      <c r="FA92">
        <v>15</v>
      </c>
      <c r="FB92">
        <v>1761018425</v>
      </c>
      <c r="FC92" t="s">
        <v>551</v>
      </c>
      <c r="FD92">
        <v>1761018422.5</v>
      </c>
      <c r="FE92">
        <v>1761018425</v>
      </c>
      <c r="FF92">
        <v>25</v>
      </c>
      <c r="FG92">
        <v>-0.524</v>
      </c>
      <c r="FH92">
        <v>-0.005</v>
      </c>
      <c r="FI92">
        <v>-1.348</v>
      </c>
      <c r="FJ92">
        <v>0.192</v>
      </c>
      <c r="FK92">
        <v>420</v>
      </c>
      <c r="FL92">
        <v>24</v>
      </c>
      <c r="FM92">
        <v>0.38</v>
      </c>
      <c r="FN92">
        <v>0.08</v>
      </c>
      <c r="FO92">
        <v>0.3344942926829269</v>
      </c>
      <c r="FP92">
        <v>0.05655660627177659</v>
      </c>
      <c r="FQ92">
        <v>0.07156902808128458</v>
      </c>
      <c r="FR92">
        <v>1</v>
      </c>
      <c r="FS92">
        <v>76.47058823529413</v>
      </c>
      <c r="FT92">
        <v>21.54927439278401</v>
      </c>
      <c r="FU92">
        <v>5.895787599522656</v>
      </c>
      <c r="FV92">
        <v>0</v>
      </c>
      <c r="FW92">
        <v>0.08345632926829268</v>
      </c>
      <c r="FX92">
        <v>1.110290855749129</v>
      </c>
      <c r="FY92">
        <v>0.1251031830195891</v>
      </c>
      <c r="FZ92">
        <v>0</v>
      </c>
      <c r="GA92">
        <v>1</v>
      </c>
      <c r="GB92">
        <v>3</v>
      </c>
      <c r="GC92" t="s">
        <v>431</v>
      </c>
      <c r="GD92">
        <v>3.10953</v>
      </c>
      <c r="GE92">
        <v>2.726</v>
      </c>
      <c r="GF92">
        <v>0.0888166</v>
      </c>
      <c r="GG92">
        <v>0.0885727</v>
      </c>
      <c r="GH92">
        <v>0.105836</v>
      </c>
      <c r="GI92">
        <v>0.106574</v>
      </c>
      <c r="GJ92">
        <v>23915.6</v>
      </c>
      <c r="GK92">
        <v>21673.8</v>
      </c>
      <c r="GL92">
        <v>26804.2</v>
      </c>
      <c r="GM92">
        <v>23986</v>
      </c>
      <c r="GN92">
        <v>38296.6</v>
      </c>
      <c r="GO92">
        <v>31611.5</v>
      </c>
      <c r="GP92">
        <v>46784.9</v>
      </c>
      <c r="GQ92">
        <v>37918</v>
      </c>
      <c r="GR92">
        <v>1.89375</v>
      </c>
      <c r="GS92">
        <v>1.88603</v>
      </c>
      <c r="GT92">
        <v>0.132788</v>
      </c>
      <c r="GU92">
        <v>0</v>
      </c>
      <c r="GV92">
        <v>27.8339</v>
      </c>
      <c r="GW92">
        <v>999.9</v>
      </c>
      <c r="GX92">
        <v>63.8</v>
      </c>
      <c r="GY92">
        <v>28.8</v>
      </c>
      <c r="GZ92">
        <v>27.9378</v>
      </c>
      <c r="HA92">
        <v>61.4973</v>
      </c>
      <c r="HB92">
        <v>20.1362</v>
      </c>
      <c r="HC92">
        <v>1</v>
      </c>
      <c r="HD92">
        <v>0.0201651</v>
      </c>
      <c r="HE92">
        <v>-2.12679</v>
      </c>
      <c r="HF92">
        <v>20.3247</v>
      </c>
      <c r="HG92">
        <v>5.21789</v>
      </c>
      <c r="HH92">
        <v>11.98</v>
      </c>
      <c r="HI92">
        <v>4.96565</v>
      </c>
      <c r="HJ92">
        <v>3.276</v>
      </c>
      <c r="HK92">
        <v>9999</v>
      </c>
      <c r="HL92">
        <v>9999</v>
      </c>
      <c r="HM92">
        <v>9999</v>
      </c>
      <c r="HN92">
        <v>999.9</v>
      </c>
      <c r="HO92">
        <v>1.86361</v>
      </c>
      <c r="HP92">
        <v>1.85974</v>
      </c>
      <c r="HQ92">
        <v>1.85801</v>
      </c>
      <c r="HR92">
        <v>1.85941</v>
      </c>
      <c r="HS92">
        <v>1.85959</v>
      </c>
      <c r="HT92">
        <v>1.85806</v>
      </c>
      <c r="HU92">
        <v>1.85711</v>
      </c>
      <c r="HV92">
        <v>1.8521</v>
      </c>
      <c r="HW92">
        <v>0</v>
      </c>
      <c r="HX92">
        <v>0</v>
      </c>
      <c r="HY92">
        <v>0</v>
      </c>
      <c r="HZ92">
        <v>0</v>
      </c>
      <c r="IA92" t="s">
        <v>424</v>
      </c>
      <c r="IB92" t="s">
        <v>425</v>
      </c>
      <c r="IC92" t="s">
        <v>426</v>
      </c>
      <c r="ID92" t="s">
        <v>426</v>
      </c>
      <c r="IE92" t="s">
        <v>426</v>
      </c>
      <c r="IF92" t="s">
        <v>426</v>
      </c>
      <c r="IG92">
        <v>0</v>
      </c>
      <c r="IH92">
        <v>100</v>
      </c>
      <c r="II92">
        <v>100</v>
      </c>
      <c r="IJ92">
        <v>-1.346</v>
      </c>
      <c r="IK92">
        <v>0.1776</v>
      </c>
      <c r="IL92">
        <v>-2.136943090880341</v>
      </c>
      <c r="IM92">
        <v>0.001328113201692861</v>
      </c>
      <c r="IN92">
        <v>1.538283238170363E-06</v>
      </c>
      <c r="IO92">
        <v>-5.795655626708063E-10</v>
      </c>
      <c r="IP92">
        <v>-0.06045740820250394</v>
      </c>
      <c r="IQ92">
        <v>-0.004593102289677449</v>
      </c>
      <c r="IR92">
        <v>0.0008253994458280543</v>
      </c>
      <c r="IS92">
        <v>-7.403632370499484E-06</v>
      </c>
      <c r="IT92">
        <v>2</v>
      </c>
      <c r="IU92">
        <v>1985</v>
      </c>
      <c r="IV92">
        <v>1</v>
      </c>
      <c r="IW92">
        <v>27</v>
      </c>
      <c r="IX92">
        <v>3</v>
      </c>
      <c r="IY92">
        <v>2.9</v>
      </c>
      <c r="IZ92">
        <v>1.12549</v>
      </c>
      <c r="JA92">
        <v>2.58911</v>
      </c>
      <c r="JB92">
        <v>1.49658</v>
      </c>
      <c r="JC92">
        <v>2.34131</v>
      </c>
      <c r="JD92">
        <v>1.54907</v>
      </c>
      <c r="JE92">
        <v>2.35962</v>
      </c>
      <c r="JF92">
        <v>31.8927</v>
      </c>
      <c r="JG92">
        <v>14.5698</v>
      </c>
      <c r="JH92">
        <v>18</v>
      </c>
      <c r="JI92">
        <v>482.833</v>
      </c>
      <c r="JJ92">
        <v>507.677</v>
      </c>
      <c r="JK92">
        <v>30.9471</v>
      </c>
      <c r="JL92">
        <v>27.5199</v>
      </c>
      <c r="JM92">
        <v>29.9997</v>
      </c>
      <c r="JN92">
        <v>27.838</v>
      </c>
      <c r="JO92">
        <v>27.8482</v>
      </c>
      <c r="JP92">
        <v>22.63</v>
      </c>
      <c r="JQ92">
        <v>20.3566</v>
      </c>
      <c r="JR92">
        <v>83.46729999999999</v>
      </c>
      <c r="JS92">
        <v>30.9315</v>
      </c>
      <c r="JT92">
        <v>420</v>
      </c>
      <c r="JU92">
        <v>23.1916</v>
      </c>
      <c r="JV92">
        <v>102.308</v>
      </c>
      <c r="JW92">
        <v>91.47239999999999</v>
      </c>
    </row>
    <row r="93" spans="1:283">
      <c r="A93">
        <v>75</v>
      </c>
      <c r="B93">
        <v>1761018601.6</v>
      </c>
      <c r="C93">
        <v>532.0999999046326</v>
      </c>
      <c r="D93" t="s">
        <v>578</v>
      </c>
      <c r="E93" t="s">
        <v>579</v>
      </c>
      <c r="F93">
        <v>5</v>
      </c>
      <c r="G93" t="s">
        <v>489</v>
      </c>
      <c r="H93">
        <v>1761018598.6</v>
      </c>
      <c r="I93">
        <f>(J93)/1000</f>
        <v>0</v>
      </c>
      <c r="J93">
        <f>1000*DJ93*AH93*(DF93-DG93)/(100*CY93*(1000-AH93*DF93))</f>
        <v>0</v>
      </c>
      <c r="K93">
        <f>DJ93*AH93*(DE93-DD93*(1000-AH93*DG93)/(1000-AH93*DF93))/(100*CY93)</f>
        <v>0</v>
      </c>
      <c r="L93">
        <f>DD93 - IF(AH93&gt;1, K93*CY93*100.0/(AJ93), 0)</f>
        <v>0</v>
      </c>
      <c r="M93">
        <f>((S93-I93/2)*L93-K93)/(S93+I93/2)</f>
        <v>0</v>
      </c>
      <c r="N93">
        <f>M93*(DK93+DL93)/1000.0</f>
        <v>0</v>
      </c>
      <c r="O93">
        <f>(DD93 - IF(AH93&gt;1, K93*CY93*100.0/(AJ93), 0))*(DK93+DL93)/1000.0</f>
        <v>0</v>
      </c>
      <c r="P93">
        <f>2.0/((1/R93-1/Q93)+SIGN(R93)*SQRT((1/R93-1/Q93)*(1/R93-1/Q93) + 4*CZ93/((CZ93+1)*(CZ93+1))*(2*1/R93*1/Q93-1/Q93*1/Q93)))</f>
        <v>0</v>
      </c>
      <c r="Q93">
        <f>IF(LEFT(DA93,1)&lt;&gt;"0",IF(LEFT(DA93,1)="1",3.0,DB93),$D$5+$E$5*(DR93*DK93/($K$5*1000))+$F$5*(DR93*DK93/($K$5*1000))*MAX(MIN(CY93,$J$5),$I$5)*MAX(MIN(CY93,$J$5),$I$5)+$G$5*MAX(MIN(CY93,$J$5),$I$5)*(DR93*DK93/($K$5*1000))+$H$5*(DR93*DK93/($K$5*1000))*(DR93*DK93/($K$5*1000)))</f>
        <v>0</v>
      </c>
      <c r="R93">
        <f>I93*(1000-(1000*0.61365*exp(17.502*V93/(240.97+V93))/(DK93+DL93)+DF93)/2)/(1000*0.61365*exp(17.502*V93/(240.97+V93))/(DK93+DL93)-DF93)</f>
        <v>0</v>
      </c>
      <c r="S93">
        <f>1/((CZ93+1)/(P93/1.6)+1/(Q93/1.37)) + CZ93/((CZ93+1)/(P93/1.6) + CZ93/(Q93/1.37))</f>
        <v>0</v>
      </c>
      <c r="T93">
        <f>(CU93*CX93)</f>
        <v>0</v>
      </c>
      <c r="U93">
        <f>(DM93+(T93+2*0.95*5.67E-8*(((DM93+$B$9)+273)^4-(DM93+273)^4)-44100*I93)/(1.84*29.3*Q93+8*0.95*5.67E-8*(DM93+273)^3))</f>
        <v>0</v>
      </c>
      <c r="V93">
        <f>($C$9*DN93+$D$9*DO93+$E$9*U93)</f>
        <v>0</v>
      </c>
      <c r="W93">
        <f>0.61365*exp(17.502*V93/(240.97+V93))</f>
        <v>0</v>
      </c>
      <c r="X93">
        <f>(Y93/Z93*100)</f>
        <v>0</v>
      </c>
      <c r="Y93">
        <f>DF93*(DK93+DL93)/1000</f>
        <v>0</v>
      </c>
      <c r="Z93">
        <f>0.61365*exp(17.502*DM93/(240.97+DM93))</f>
        <v>0</v>
      </c>
      <c r="AA93">
        <f>(W93-DF93*(DK93+DL93)/1000)</f>
        <v>0</v>
      </c>
      <c r="AB93">
        <f>(-I93*44100)</f>
        <v>0</v>
      </c>
      <c r="AC93">
        <f>2*29.3*Q93*0.92*(DM93-V93)</f>
        <v>0</v>
      </c>
      <c r="AD93">
        <f>2*0.95*5.67E-8*(((DM93+$B$9)+273)^4-(V93+273)^4)</f>
        <v>0</v>
      </c>
      <c r="AE93">
        <f>T93+AD93+AB93+AC93</f>
        <v>0</v>
      </c>
      <c r="AF93">
        <v>0</v>
      </c>
      <c r="AG93">
        <v>0</v>
      </c>
      <c r="AH93">
        <f>IF(AF93*$H$15&gt;=AJ93,1.0,(AJ93/(AJ93-AF93*$H$15)))</f>
        <v>0</v>
      </c>
      <c r="AI93">
        <f>(AH93-1)*100</f>
        <v>0</v>
      </c>
      <c r="AJ93">
        <f>MAX(0,($B$15+$C$15*DR93)/(1+$D$15*DR93)*DK93/(DM93+273)*$E$15)</f>
        <v>0</v>
      </c>
      <c r="AK93" t="s">
        <v>420</v>
      </c>
      <c r="AL93" t="s">
        <v>420</v>
      </c>
      <c r="AM93">
        <v>0</v>
      </c>
      <c r="AN93">
        <v>0</v>
      </c>
      <c r="AO93">
        <f>1-AM93/AN93</f>
        <v>0</v>
      </c>
      <c r="AP93">
        <v>0</v>
      </c>
      <c r="AQ93" t="s">
        <v>420</v>
      </c>
      <c r="AR93" t="s">
        <v>420</v>
      </c>
      <c r="AS93">
        <v>0</v>
      </c>
      <c r="AT93">
        <v>0</v>
      </c>
      <c r="AU93">
        <f>1-AS93/AT93</f>
        <v>0</v>
      </c>
      <c r="AV93">
        <v>0.5</v>
      </c>
      <c r="AW93">
        <f>CV93</f>
        <v>0</v>
      </c>
      <c r="AX93">
        <f>K93</f>
        <v>0</v>
      </c>
      <c r="AY93">
        <f>AU93*AV93*AW93</f>
        <v>0</v>
      </c>
      <c r="AZ93">
        <f>(AX93-AP93)/AW93</f>
        <v>0</v>
      </c>
      <c r="BA93">
        <f>(AN93-AT93)/AT93</f>
        <v>0</v>
      </c>
      <c r="BB93">
        <f>AM93/(AO93+AM93/AT93)</f>
        <v>0</v>
      </c>
      <c r="BC93" t="s">
        <v>420</v>
      </c>
      <c r="BD93">
        <v>0</v>
      </c>
      <c r="BE93">
        <f>IF(BD93&lt;&gt;0, BD93, BB93)</f>
        <v>0</v>
      </c>
      <c r="BF93">
        <f>1-BE93/AT93</f>
        <v>0</v>
      </c>
      <c r="BG93">
        <f>(AT93-AS93)/(AT93-BE93)</f>
        <v>0</v>
      </c>
      <c r="BH93">
        <f>(AN93-AT93)/(AN93-BE93)</f>
        <v>0</v>
      </c>
      <c r="BI93">
        <f>(AT93-AS93)/(AT93-AM93)</f>
        <v>0</v>
      </c>
      <c r="BJ93">
        <f>(AN93-AT93)/(AN93-AM93)</f>
        <v>0</v>
      </c>
      <c r="BK93">
        <f>(BG93*BE93/AS93)</f>
        <v>0</v>
      </c>
      <c r="BL93">
        <f>(1-BK93)</f>
        <v>0</v>
      </c>
      <c r="CU93">
        <f>$B$13*DS93+$C$13*DT93+$F$13*EE93*(1-EH93)</f>
        <v>0</v>
      </c>
      <c r="CV93">
        <f>CU93*CW93</f>
        <v>0</v>
      </c>
      <c r="CW93">
        <f>($B$13*$D$11+$C$13*$D$11+$F$13*((ER93+EJ93)/MAX(ER93+EJ93+ES93, 0.1)*$I$11+ES93/MAX(ER93+EJ93+ES93, 0.1)*$J$11))/($B$13+$C$13+$F$13)</f>
        <v>0</v>
      </c>
      <c r="CX93">
        <f>($B$13*$K$11+$C$13*$K$11+$F$13*((ER93+EJ93)/MAX(ER93+EJ93+ES93, 0.1)*$P$11+ES93/MAX(ER93+EJ93+ES93, 0.1)*$Q$11))/($B$13+$C$13+$F$13)</f>
        <v>0</v>
      </c>
      <c r="CY93">
        <v>1.37</v>
      </c>
      <c r="CZ93">
        <v>0.5</v>
      </c>
      <c r="DA93" t="s">
        <v>421</v>
      </c>
      <c r="DB93">
        <v>2</v>
      </c>
      <c r="DC93">
        <v>1761018598.6</v>
      </c>
      <c r="DD93">
        <v>420.3255555555556</v>
      </c>
      <c r="DE93">
        <v>419.8804444444444</v>
      </c>
      <c r="DF93">
        <v>23.06396666666667</v>
      </c>
      <c r="DG93">
        <v>22.94966666666667</v>
      </c>
      <c r="DH93">
        <v>421.6723333333333</v>
      </c>
      <c r="DI93">
        <v>22.88596666666667</v>
      </c>
      <c r="DJ93">
        <v>500.054888888889</v>
      </c>
      <c r="DK93">
        <v>90.79267777777778</v>
      </c>
      <c r="DL93">
        <v>0.0343449</v>
      </c>
      <c r="DM93">
        <v>29.70296666666667</v>
      </c>
      <c r="DN93">
        <v>29.99731111111111</v>
      </c>
      <c r="DO93">
        <v>999.9000000000001</v>
      </c>
      <c r="DP93">
        <v>0</v>
      </c>
      <c r="DQ93">
        <v>0</v>
      </c>
      <c r="DR93">
        <v>10006.45555555556</v>
      </c>
      <c r="DS93">
        <v>0</v>
      </c>
      <c r="DT93">
        <v>0.242856</v>
      </c>
      <c r="DU93">
        <v>0.4450956666666667</v>
      </c>
      <c r="DV93">
        <v>430.2486666666667</v>
      </c>
      <c r="DW93">
        <v>429.7427777777778</v>
      </c>
      <c r="DX93">
        <v>0.1142908666666667</v>
      </c>
      <c r="DY93">
        <v>419.8804444444444</v>
      </c>
      <c r="DZ93">
        <v>22.94966666666667</v>
      </c>
      <c r="EA93">
        <v>2.094038888888889</v>
      </c>
      <c r="EB93">
        <v>2.083664444444445</v>
      </c>
      <c r="EC93">
        <v>18.1739</v>
      </c>
      <c r="ED93">
        <v>18.09483333333334</v>
      </c>
      <c r="EE93">
        <v>0.00500078</v>
      </c>
      <c r="EF93">
        <v>0</v>
      </c>
      <c r="EG93">
        <v>0</v>
      </c>
      <c r="EH93">
        <v>0</v>
      </c>
      <c r="EI93">
        <v>77.71111111111111</v>
      </c>
      <c r="EJ93">
        <v>0.00500078</v>
      </c>
      <c r="EK93">
        <v>-13.7</v>
      </c>
      <c r="EL93">
        <v>-0.9777777777777776</v>
      </c>
      <c r="EM93">
        <v>35.60400000000001</v>
      </c>
      <c r="EN93">
        <v>39.95099999999999</v>
      </c>
      <c r="EO93">
        <v>37.58311111111111</v>
      </c>
      <c r="EP93">
        <v>40.51344444444445</v>
      </c>
      <c r="EQ93">
        <v>38.47900000000001</v>
      </c>
      <c r="ER93">
        <v>0</v>
      </c>
      <c r="ES93">
        <v>0</v>
      </c>
      <c r="ET93">
        <v>0</v>
      </c>
      <c r="EU93">
        <v>1761018600.7</v>
      </c>
      <c r="EV93">
        <v>0</v>
      </c>
      <c r="EW93">
        <v>77.16538461538462</v>
      </c>
      <c r="EX93">
        <v>8.406837888518258</v>
      </c>
      <c r="EY93">
        <v>24.59829049073605</v>
      </c>
      <c r="EZ93">
        <v>-15.15769230769231</v>
      </c>
      <c r="FA93">
        <v>15</v>
      </c>
      <c r="FB93">
        <v>1761018425</v>
      </c>
      <c r="FC93" t="s">
        <v>551</v>
      </c>
      <c r="FD93">
        <v>1761018422.5</v>
      </c>
      <c r="FE93">
        <v>1761018425</v>
      </c>
      <c r="FF93">
        <v>25</v>
      </c>
      <c r="FG93">
        <v>-0.524</v>
      </c>
      <c r="FH93">
        <v>-0.005</v>
      </c>
      <c r="FI93">
        <v>-1.348</v>
      </c>
      <c r="FJ93">
        <v>0.192</v>
      </c>
      <c r="FK93">
        <v>420</v>
      </c>
      <c r="FL93">
        <v>24</v>
      </c>
      <c r="FM93">
        <v>0.38</v>
      </c>
      <c r="FN93">
        <v>0.08</v>
      </c>
      <c r="FO93">
        <v>0.34564825</v>
      </c>
      <c r="FP93">
        <v>0.3391442026266417</v>
      </c>
      <c r="FQ93">
        <v>0.08141624955798135</v>
      </c>
      <c r="FR93">
        <v>1</v>
      </c>
      <c r="FS93">
        <v>76.15588235294118</v>
      </c>
      <c r="FT93">
        <v>18.90450743539081</v>
      </c>
      <c r="FU93">
        <v>6.118640332260994</v>
      </c>
      <c r="FV93">
        <v>0</v>
      </c>
      <c r="FW93">
        <v>0.115373945</v>
      </c>
      <c r="FX93">
        <v>0.4603937470919324</v>
      </c>
      <c r="FY93">
        <v>0.08635139214171057</v>
      </c>
      <c r="FZ93">
        <v>0</v>
      </c>
      <c r="GA93">
        <v>1</v>
      </c>
      <c r="GB93">
        <v>3</v>
      </c>
      <c r="GC93" t="s">
        <v>431</v>
      </c>
      <c r="GD93">
        <v>3.10947</v>
      </c>
      <c r="GE93">
        <v>2.72582</v>
      </c>
      <c r="GF93">
        <v>0.0888174</v>
      </c>
      <c r="GG93">
        <v>0.088574</v>
      </c>
      <c r="GH93">
        <v>0.105793</v>
      </c>
      <c r="GI93">
        <v>0.10674</v>
      </c>
      <c r="GJ93">
        <v>23915.7</v>
      </c>
      <c r="GK93">
        <v>21673.6</v>
      </c>
      <c r="GL93">
        <v>26804.3</v>
      </c>
      <c r="GM93">
        <v>23985.8</v>
      </c>
      <c r="GN93">
        <v>38298.6</v>
      </c>
      <c r="GO93">
        <v>31605.6</v>
      </c>
      <c r="GP93">
        <v>46785.1</v>
      </c>
      <c r="GQ93">
        <v>37918</v>
      </c>
      <c r="GR93">
        <v>1.89398</v>
      </c>
      <c r="GS93">
        <v>1.88585</v>
      </c>
      <c r="GT93">
        <v>0.133011</v>
      </c>
      <c r="GU93">
        <v>0</v>
      </c>
      <c r="GV93">
        <v>27.8333</v>
      </c>
      <c r="GW93">
        <v>999.9</v>
      </c>
      <c r="GX93">
        <v>63.8</v>
      </c>
      <c r="GY93">
        <v>28.8</v>
      </c>
      <c r="GZ93">
        <v>27.9358</v>
      </c>
      <c r="HA93">
        <v>61.4473</v>
      </c>
      <c r="HB93">
        <v>20.3045</v>
      </c>
      <c r="HC93">
        <v>1</v>
      </c>
      <c r="HD93">
        <v>0.0198755</v>
      </c>
      <c r="HE93">
        <v>-2.11665</v>
      </c>
      <c r="HF93">
        <v>20.3248</v>
      </c>
      <c r="HG93">
        <v>5.21774</v>
      </c>
      <c r="HH93">
        <v>11.98</v>
      </c>
      <c r="HI93">
        <v>4.9659</v>
      </c>
      <c r="HJ93">
        <v>3.276</v>
      </c>
      <c r="HK93">
        <v>9999</v>
      </c>
      <c r="HL93">
        <v>9999</v>
      </c>
      <c r="HM93">
        <v>9999</v>
      </c>
      <c r="HN93">
        <v>999.9</v>
      </c>
      <c r="HO93">
        <v>1.8636</v>
      </c>
      <c r="HP93">
        <v>1.85974</v>
      </c>
      <c r="HQ93">
        <v>1.85802</v>
      </c>
      <c r="HR93">
        <v>1.85941</v>
      </c>
      <c r="HS93">
        <v>1.85959</v>
      </c>
      <c r="HT93">
        <v>1.85804</v>
      </c>
      <c r="HU93">
        <v>1.85711</v>
      </c>
      <c r="HV93">
        <v>1.85209</v>
      </c>
      <c r="HW93">
        <v>0</v>
      </c>
      <c r="HX93">
        <v>0</v>
      </c>
      <c r="HY93">
        <v>0</v>
      </c>
      <c r="HZ93">
        <v>0</v>
      </c>
      <c r="IA93" t="s">
        <v>424</v>
      </c>
      <c r="IB93" t="s">
        <v>425</v>
      </c>
      <c r="IC93" t="s">
        <v>426</v>
      </c>
      <c r="ID93" t="s">
        <v>426</v>
      </c>
      <c r="IE93" t="s">
        <v>426</v>
      </c>
      <c r="IF93" t="s">
        <v>426</v>
      </c>
      <c r="IG93">
        <v>0</v>
      </c>
      <c r="IH93">
        <v>100</v>
      </c>
      <c r="II93">
        <v>100</v>
      </c>
      <c r="IJ93">
        <v>-1.347</v>
      </c>
      <c r="IK93">
        <v>0.1773</v>
      </c>
      <c r="IL93">
        <v>-2.136943090880341</v>
      </c>
      <c r="IM93">
        <v>0.001328113201692861</v>
      </c>
      <c r="IN93">
        <v>1.538283238170363E-06</v>
      </c>
      <c r="IO93">
        <v>-5.795655626708063E-10</v>
      </c>
      <c r="IP93">
        <v>-0.06045740820250394</v>
      </c>
      <c r="IQ93">
        <v>-0.004593102289677449</v>
      </c>
      <c r="IR93">
        <v>0.0008253994458280543</v>
      </c>
      <c r="IS93">
        <v>-7.403632370499484E-06</v>
      </c>
      <c r="IT93">
        <v>2</v>
      </c>
      <c r="IU93">
        <v>1985</v>
      </c>
      <c r="IV93">
        <v>1</v>
      </c>
      <c r="IW93">
        <v>27</v>
      </c>
      <c r="IX93">
        <v>3</v>
      </c>
      <c r="IY93">
        <v>2.9</v>
      </c>
      <c r="IZ93">
        <v>1.12549</v>
      </c>
      <c r="JA93">
        <v>2.58911</v>
      </c>
      <c r="JB93">
        <v>1.49658</v>
      </c>
      <c r="JC93">
        <v>2.34253</v>
      </c>
      <c r="JD93">
        <v>1.54907</v>
      </c>
      <c r="JE93">
        <v>2.34741</v>
      </c>
      <c r="JF93">
        <v>31.8707</v>
      </c>
      <c r="JG93">
        <v>14.5786</v>
      </c>
      <c r="JH93">
        <v>18</v>
      </c>
      <c r="JI93">
        <v>482.942</v>
      </c>
      <c r="JJ93">
        <v>507.539</v>
      </c>
      <c r="JK93">
        <v>30.9447</v>
      </c>
      <c r="JL93">
        <v>27.517</v>
      </c>
      <c r="JM93">
        <v>29.9996</v>
      </c>
      <c r="JN93">
        <v>27.8354</v>
      </c>
      <c r="JO93">
        <v>27.8459</v>
      </c>
      <c r="JP93">
        <v>22.6334</v>
      </c>
      <c r="JQ93">
        <v>20.3566</v>
      </c>
      <c r="JR93">
        <v>83.46729999999999</v>
      </c>
      <c r="JS93">
        <v>30.9315</v>
      </c>
      <c r="JT93">
        <v>420</v>
      </c>
      <c r="JU93">
        <v>23.2037</v>
      </c>
      <c r="JV93">
        <v>102.309</v>
      </c>
      <c r="JW93">
        <v>91.4722</v>
      </c>
    </row>
    <row r="94" spans="1:283">
      <c r="A94">
        <v>76</v>
      </c>
      <c r="B94">
        <v>1761018603.6</v>
      </c>
      <c r="C94">
        <v>534.0999999046326</v>
      </c>
      <c r="D94" t="s">
        <v>580</v>
      </c>
      <c r="E94" t="s">
        <v>581</v>
      </c>
      <c r="F94">
        <v>5</v>
      </c>
      <c r="G94" t="s">
        <v>489</v>
      </c>
      <c r="H94">
        <v>1761018600.6</v>
      </c>
      <c r="I94">
        <f>(J94)/1000</f>
        <v>0</v>
      </c>
      <c r="J94">
        <f>1000*DJ94*AH94*(DF94-DG94)/(100*CY94*(1000-AH94*DF94))</f>
        <v>0</v>
      </c>
      <c r="K94">
        <f>DJ94*AH94*(DE94-DD94*(1000-AH94*DG94)/(1000-AH94*DF94))/(100*CY94)</f>
        <v>0</v>
      </c>
      <c r="L94">
        <f>DD94 - IF(AH94&gt;1, K94*CY94*100.0/(AJ94), 0)</f>
        <v>0</v>
      </c>
      <c r="M94">
        <f>((S94-I94/2)*L94-K94)/(S94+I94/2)</f>
        <v>0</v>
      </c>
      <c r="N94">
        <f>M94*(DK94+DL94)/1000.0</f>
        <v>0</v>
      </c>
      <c r="O94">
        <f>(DD94 - IF(AH94&gt;1, K94*CY94*100.0/(AJ94), 0))*(DK94+DL94)/1000.0</f>
        <v>0</v>
      </c>
      <c r="P94">
        <f>2.0/((1/R94-1/Q94)+SIGN(R94)*SQRT((1/R94-1/Q94)*(1/R94-1/Q94) + 4*CZ94/((CZ94+1)*(CZ94+1))*(2*1/R94*1/Q94-1/Q94*1/Q94)))</f>
        <v>0</v>
      </c>
      <c r="Q94">
        <f>IF(LEFT(DA94,1)&lt;&gt;"0",IF(LEFT(DA94,1)="1",3.0,DB94),$D$5+$E$5*(DR94*DK94/($K$5*1000))+$F$5*(DR94*DK94/($K$5*1000))*MAX(MIN(CY94,$J$5),$I$5)*MAX(MIN(CY94,$J$5),$I$5)+$G$5*MAX(MIN(CY94,$J$5),$I$5)*(DR94*DK94/($K$5*1000))+$H$5*(DR94*DK94/($K$5*1000))*(DR94*DK94/($K$5*1000)))</f>
        <v>0</v>
      </c>
      <c r="R94">
        <f>I94*(1000-(1000*0.61365*exp(17.502*V94/(240.97+V94))/(DK94+DL94)+DF94)/2)/(1000*0.61365*exp(17.502*V94/(240.97+V94))/(DK94+DL94)-DF94)</f>
        <v>0</v>
      </c>
      <c r="S94">
        <f>1/((CZ94+1)/(P94/1.6)+1/(Q94/1.37)) + CZ94/((CZ94+1)/(P94/1.6) + CZ94/(Q94/1.37))</f>
        <v>0</v>
      </c>
      <c r="T94">
        <f>(CU94*CX94)</f>
        <v>0</v>
      </c>
      <c r="U94">
        <f>(DM94+(T94+2*0.95*5.67E-8*(((DM94+$B$9)+273)^4-(DM94+273)^4)-44100*I94)/(1.84*29.3*Q94+8*0.95*5.67E-8*(DM94+273)^3))</f>
        <v>0</v>
      </c>
      <c r="V94">
        <f>($C$9*DN94+$D$9*DO94+$E$9*U94)</f>
        <v>0</v>
      </c>
      <c r="W94">
        <f>0.61365*exp(17.502*V94/(240.97+V94))</f>
        <v>0</v>
      </c>
      <c r="X94">
        <f>(Y94/Z94*100)</f>
        <v>0</v>
      </c>
      <c r="Y94">
        <f>DF94*(DK94+DL94)/1000</f>
        <v>0</v>
      </c>
      <c r="Z94">
        <f>0.61365*exp(17.502*DM94/(240.97+DM94))</f>
        <v>0</v>
      </c>
      <c r="AA94">
        <f>(W94-DF94*(DK94+DL94)/1000)</f>
        <v>0</v>
      </c>
      <c r="AB94">
        <f>(-I94*44100)</f>
        <v>0</v>
      </c>
      <c r="AC94">
        <f>2*29.3*Q94*0.92*(DM94-V94)</f>
        <v>0</v>
      </c>
      <c r="AD94">
        <f>2*0.95*5.67E-8*(((DM94+$B$9)+273)^4-(V94+273)^4)</f>
        <v>0</v>
      </c>
      <c r="AE94">
        <f>T94+AD94+AB94+AC94</f>
        <v>0</v>
      </c>
      <c r="AF94">
        <v>0</v>
      </c>
      <c r="AG94">
        <v>0</v>
      </c>
      <c r="AH94">
        <f>IF(AF94*$H$15&gt;=AJ94,1.0,(AJ94/(AJ94-AF94*$H$15)))</f>
        <v>0</v>
      </c>
      <c r="AI94">
        <f>(AH94-1)*100</f>
        <v>0</v>
      </c>
      <c r="AJ94">
        <f>MAX(0,($B$15+$C$15*DR94)/(1+$D$15*DR94)*DK94/(DM94+273)*$E$15)</f>
        <v>0</v>
      </c>
      <c r="AK94" t="s">
        <v>420</v>
      </c>
      <c r="AL94" t="s">
        <v>420</v>
      </c>
      <c r="AM94">
        <v>0</v>
      </c>
      <c r="AN94">
        <v>0</v>
      </c>
      <c r="AO94">
        <f>1-AM94/AN94</f>
        <v>0</v>
      </c>
      <c r="AP94">
        <v>0</v>
      </c>
      <c r="AQ94" t="s">
        <v>420</v>
      </c>
      <c r="AR94" t="s">
        <v>420</v>
      </c>
      <c r="AS94">
        <v>0</v>
      </c>
      <c r="AT94">
        <v>0</v>
      </c>
      <c r="AU94">
        <f>1-AS94/AT94</f>
        <v>0</v>
      </c>
      <c r="AV94">
        <v>0.5</v>
      </c>
      <c r="AW94">
        <f>CV94</f>
        <v>0</v>
      </c>
      <c r="AX94">
        <f>K94</f>
        <v>0</v>
      </c>
      <c r="AY94">
        <f>AU94*AV94*AW94</f>
        <v>0</v>
      </c>
      <c r="AZ94">
        <f>(AX94-AP94)/AW94</f>
        <v>0</v>
      </c>
      <c r="BA94">
        <f>(AN94-AT94)/AT94</f>
        <v>0</v>
      </c>
      <c r="BB94">
        <f>AM94/(AO94+AM94/AT94)</f>
        <v>0</v>
      </c>
      <c r="BC94" t="s">
        <v>420</v>
      </c>
      <c r="BD94">
        <v>0</v>
      </c>
      <c r="BE94">
        <f>IF(BD94&lt;&gt;0, BD94, BB94)</f>
        <v>0</v>
      </c>
      <c r="BF94">
        <f>1-BE94/AT94</f>
        <v>0</v>
      </c>
      <c r="BG94">
        <f>(AT94-AS94)/(AT94-BE94)</f>
        <v>0</v>
      </c>
      <c r="BH94">
        <f>(AN94-AT94)/(AN94-BE94)</f>
        <v>0</v>
      </c>
      <c r="BI94">
        <f>(AT94-AS94)/(AT94-AM94)</f>
        <v>0</v>
      </c>
      <c r="BJ94">
        <f>(AN94-AT94)/(AN94-AM94)</f>
        <v>0</v>
      </c>
      <c r="BK94">
        <f>(BG94*BE94/AS94)</f>
        <v>0</v>
      </c>
      <c r="BL94">
        <f>(1-BK94)</f>
        <v>0</v>
      </c>
      <c r="CU94">
        <f>$B$13*DS94+$C$13*DT94+$F$13*EE94*(1-EH94)</f>
        <v>0</v>
      </c>
      <c r="CV94">
        <f>CU94*CW94</f>
        <v>0</v>
      </c>
      <c r="CW94">
        <f>($B$13*$D$11+$C$13*$D$11+$F$13*((ER94+EJ94)/MAX(ER94+EJ94+ES94, 0.1)*$I$11+ES94/MAX(ER94+EJ94+ES94, 0.1)*$J$11))/($B$13+$C$13+$F$13)</f>
        <v>0</v>
      </c>
      <c r="CX94">
        <f>($B$13*$K$11+$C$13*$K$11+$F$13*((ER94+EJ94)/MAX(ER94+EJ94+ES94, 0.1)*$P$11+ES94/MAX(ER94+EJ94+ES94, 0.1)*$Q$11))/($B$13+$C$13+$F$13)</f>
        <v>0</v>
      </c>
      <c r="CY94">
        <v>1.37</v>
      </c>
      <c r="CZ94">
        <v>0.5</v>
      </c>
      <c r="DA94" t="s">
        <v>421</v>
      </c>
      <c r="DB94">
        <v>2</v>
      </c>
      <c r="DC94">
        <v>1761018600.6</v>
      </c>
      <c r="DD94">
        <v>420.3183333333334</v>
      </c>
      <c r="DE94">
        <v>419.8813333333334</v>
      </c>
      <c r="DF94">
        <v>23.04378888888889</v>
      </c>
      <c r="DG94">
        <v>22.98977777777778</v>
      </c>
      <c r="DH94">
        <v>421.6652222222222</v>
      </c>
      <c r="DI94">
        <v>22.86621111111111</v>
      </c>
      <c r="DJ94">
        <v>500.064</v>
      </c>
      <c r="DK94">
        <v>90.79287777777778</v>
      </c>
      <c r="DL94">
        <v>0.03420585555555555</v>
      </c>
      <c r="DM94">
        <v>29.70486666666666</v>
      </c>
      <c r="DN94">
        <v>30.00034444444445</v>
      </c>
      <c r="DO94">
        <v>999.9000000000001</v>
      </c>
      <c r="DP94">
        <v>0</v>
      </c>
      <c r="DQ94">
        <v>0</v>
      </c>
      <c r="DR94">
        <v>10007.28666666667</v>
      </c>
      <c r="DS94">
        <v>0</v>
      </c>
      <c r="DT94">
        <v>0.242856</v>
      </c>
      <c r="DU94">
        <v>0.4369743333333334</v>
      </c>
      <c r="DV94">
        <v>430.2324444444445</v>
      </c>
      <c r="DW94">
        <v>429.7613333333333</v>
      </c>
      <c r="DX94">
        <v>0.05400595444444444</v>
      </c>
      <c r="DY94">
        <v>419.8813333333334</v>
      </c>
      <c r="DZ94">
        <v>22.98977777777778</v>
      </c>
      <c r="EA94">
        <v>2.092211111111111</v>
      </c>
      <c r="EB94">
        <v>2.087308888888889</v>
      </c>
      <c r="EC94">
        <v>18.16</v>
      </c>
      <c r="ED94">
        <v>18.12264444444445</v>
      </c>
      <c r="EE94">
        <v>0.00500078</v>
      </c>
      <c r="EF94">
        <v>0</v>
      </c>
      <c r="EG94">
        <v>0</v>
      </c>
      <c r="EH94">
        <v>0</v>
      </c>
      <c r="EI94">
        <v>74.22222222222223</v>
      </c>
      <c r="EJ94">
        <v>0.00500078</v>
      </c>
      <c r="EK94">
        <v>-15.52222222222222</v>
      </c>
      <c r="EL94">
        <v>-0.8111111111111111</v>
      </c>
      <c r="EM94">
        <v>35.611</v>
      </c>
      <c r="EN94">
        <v>39.958</v>
      </c>
      <c r="EO94">
        <v>37.493</v>
      </c>
      <c r="EP94">
        <v>40.54822222222222</v>
      </c>
      <c r="EQ94">
        <v>38.61788888888889</v>
      </c>
      <c r="ER94">
        <v>0</v>
      </c>
      <c r="ES94">
        <v>0</v>
      </c>
      <c r="ET94">
        <v>0</v>
      </c>
      <c r="EU94">
        <v>1761018602.5</v>
      </c>
      <c r="EV94">
        <v>0</v>
      </c>
      <c r="EW94">
        <v>76.816</v>
      </c>
      <c r="EX94">
        <v>-3.923076675112406</v>
      </c>
      <c r="EY94">
        <v>1.853845858409361</v>
      </c>
      <c r="EZ94">
        <v>-15.312</v>
      </c>
      <c r="FA94">
        <v>15</v>
      </c>
      <c r="FB94">
        <v>1761018425</v>
      </c>
      <c r="FC94" t="s">
        <v>551</v>
      </c>
      <c r="FD94">
        <v>1761018422.5</v>
      </c>
      <c r="FE94">
        <v>1761018425</v>
      </c>
      <c r="FF94">
        <v>25</v>
      </c>
      <c r="FG94">
        <v>-0.524</v>
      </c>
      <c r="FH94">
        <v>-0.005</v>
      </c>
      <c r="FI94">
        <v>-1.348</v>
      </c>
      <c r="FJ94">
        <v>0.192</v>
      </c>
      <c r="FK94">
        <v>420</v>
      </c>
      <c r="FL94">
        <v>24</v>
      </c>
      <c r="FM94">
        <v>0.38</v>
      </c>
      <c r="FN94">
        <v>0.08</v>
      </c>
      <c r="FO94">
        <v>0.3491992926829268</v>
      </c>
      <c r="FP94">
        <v>0.459086696864111</v>
      </c>
      <c r="FQ94">
        <v>0.08289513569895693</v>
      </c>
      <c r="FR94">
        <v>1</v>
      </c>
      <c r="FS94">
        <v>76.11764705882354</v>
      </c>
      <c r="FT94">
        <v>10.9793736956262</v>
      </c>
      <c r="FU94">
        <v>6.042324766289451</v>
      </c>
      <c r="FV94">
        <v>0</v>
      </c>
      <c r="FW94">
        <v>0.1168194753658537</v>
      </c>
      <c r="FX94">
        <v>0.1231127634146342</v>
      </c>
      <c r="FY94">
        <v>0.07954819341041817</v>
      </c>
      <c r="FZ94">
        <v>0</v>
      </c>
      <c r="GA94">
        <v>1</v>
      </c>
      <c r="GB94">
        <v>3</v>
      </c>
      <c r="GC94" t="s">
        <v>431</v>
      </c>
      <c r="GD94">
        <v>3.10946</v>
      </c>
      <c r="GE94">
        <v>2.72582</v>
      </c>
      <c r="GF94">
        <v>0.0888201</v>
      </c>
      <c r="GG94">
        <v>0.0885861</v>
      </c>
      <c r="GH94">
        <v>0.10579</v>
      </c>
      <c r="GI94">
        <v>0.106923</v>
      </c>
      <c r="GJ94">
        <v>23915.7</v>
      </c>
      <c r="GK94">
        <v>21673.3</v>
      </c>
      <c r="GL94">
        <v>26804.4</v>
      </c>
      <c r="GM94">
        <v>23985.7</v>
      </c>
      <c r="GN94">
        <v>38298.8</v>
      </c>
      <c r="GO94">
        <v>31599</v>
      </c>
      <c r="GP94">
        <v>46785.2</v>
      </c>
      <c r="GQ94">
        <v>37918</v>
      </c>
      <c r="GR94">
        <v>1.894</v>
      </c>
      <c r="GS94">
        <v>1.886</v>
      </c>
      <c r="GT94">
        <v>0.133105</v>
      </c>
      <c r="GU94">
        <v>0</v>
      </c>
      <c r="GV94">
        <v>27.8322</v>
      </c>
      <c r="GW94">
        <v>999.9</v>
      </c>
      <c r="GX94">
        <v>63.8</v>
      </c>
      <c r="GY94">
        <v>28.8</v>
      </c>
      <c r="GZ94">
        <v>27.9358</v>
      </c>
      <c r="HA94">
        <v>61.4873</v>
      </c>
      <c r="HB94">
        <v>20.0761</v>
      </c>
      <c r="HC94">
        <v>1</v>
      </c>
      <c r="HD94">
        <v>0.0198552</v>
      </c>
      <c r="HE94">
        <v>-2.11118</v>
      </c>
      <c r="HF94">
        <v>20.3248</v>
      </c>
      <c r="HG94">
        <v>5.21804</v>
      </c>
      <c r="HH94">
        <v>11.98</v>
      </c>
      <c r="HI94">
        <v>4.9658</v>
      </c>
      <c r="HJ94">
        <v>3.276</v>
      </c>
      <c r="HK94">
        <v>9999</v>
      </c>
      <c r="HL94">
        <v>9999</v>
      </c>
      <c r="HM94">
        <v>9999</v>
      </c>
      <c r="HN94">
        <v>999.9</v>
      </c>
      <c r="HO94">
        <v>1.8636</v>
      </c>
      <c r="HP94">
        <v>1.85974</v>
      </c>
      <c r="HQ94">
        <v>1.85804</v>
      </c>
      <c r="HR94">
        <v>1.85942</v>
      </c>
      <c r="HS94">
        <v>1.85959</v>
      </c>
      <c r="HT94">
        <v>1.85804</v>
      </c>
      <c r="HU94">
        <v>1.85711</v>
      </c>
      <c r="HV94">
        <v>1.8521</v>
      </c>
      <c r="HW94">
        <v>0</v>
      </c>
      <c r="HX94">
        <v>0</v>
      </c>
      <c r="HY94">
        <v>0</v>
      </c>
      <c r="HZ94">
        <v>0</v>
      </c>
      <c r="IA94" t="s">
        <v>424</v>
      </c>
      <c r="IB94" t="s">
        <v>425</v>
      </c>
      <c r="IC94" t="s">
        <v>426</v>
      </c>
      <c r="ID94" t="s">
        <v>426</v>
      </c>
      <c r="IE94" t="s">
        <v>426</v>
      </c>
      <c r="IF94" t="s">
        <v>426</v>
      </c>
      <c r="IG94">
        <v>0</v>
      </c>
      <c r="IH94">
        <v>100</v>
      </c>
      <c r="II94">
        <v>100</v>
      </c>
      <c r="IJ94">
        <v>-1.346</v>
      </c>
      <c r="IK94">
        <v>0.1774</v>
      </c>
      <c r="IL94">
        <v>-2.136943090880341</v>
      </c>
      <c r="IM94">
        <v>0.001328113201692861</v>
      </c>
      <c r="IN94">
        <v>1.538283238170363E-06</v>
      </c>
      <c r="IO94">
        <v>-5.795655626708063E-10</v>
      </c>
      <c r="IP94">
        <v>-0.06045740820250394</v>
      </c>
      <c r="IQ94">
        <v>-0.004593102289677449</v>
      </c>
      <c r="IR94">
        <v>0.0008253994458280543</v>
      </c>
      <c r="IS94">
        <v>-7.403632370499484E-06</v>
      </c>
      <c r="IT94">
        <v>2</v>
      </c>
      <c r="IU94">
        <v>1985</v>
      </c>
      <c r="IV94">
        <v>1</v>
      </c>
      <c r="IW94">
        <v>27</v>
      </c>
      <c r="IX94">
        <v>3</v>
      </c>
      <c r="IY94">
        <v>3</v>
      </c>
      <c r="IZ94">
        <v>1.12549</v>
      </c>
      <c r="JA94">
        <v>2.58545</v>
      </c>
      <c r="JB94">
        <v>1.49658</v>
      </c>
      <c r="JC94">
        <v>2.34131</v>
      </c>
      <c r="JD94">
        <v>1.54907</v>
      </c>
      <c r="JE94">
        <v>2.43652</v>
      </c>
      <c r="JF94">
        <v>31.8707</v>
      </c>
      <c r="JG94">
        <v>14.5873</v>
      </c>
      <c r="JH94">
        <v>18</v>
      </c>
      <c r="JI94">
        <v>482.938</v>
      </c>
      <c r="JJ94">
        <v>507.62</v>
      </c>
      <c r="JK94">
        <v>30.9426</v>
      </c>
      <c r="JL94">
        <v>27.5143</v>
      </c>
      <c r="JM94">
        <v>29.9997</v>
      </c>
      <c r="JN94">
        <v>27.833</v>
      </c>
      <c r="JO94">
        <v>27.8436</v>
      </c>
      <c r="JP94">
        <v>22.6322</v>
      </c>
      <c r="JQ94">
        <v>20.3566</v>
      </c>
      <c r="JR94">
        <v>83.46729999999999</v>
      </c>
      <c r="JS94">
        <v>30.9315</v>
      </c>
      <c r="JT94">
        <v>420</v>
      </c>
      <c r="JU94">
        <v>23.2062</v>
      </c>
      <c r="JV94">
        <v>102.309</v>
      </c>
      <c r="JW94">
        <v>91.47199999999999</v>
      </c>
    </row>
    <row r="95" spans="1:283">
      <c r="A95">
        <v>77</v>
      </c>
      <c r="B95">
        <v>1761018605.6</v>
      </c>
      <c r="C95">
        <v>536.0999999046326</v>
      </c>
      <c r="D95" t="s">
        <v>582</v>
      </c>
      <c r="E95" t="s">
        <v>583</v>
      </c>
      <c r="F95">
        <v>5</v>
      </c>
      <c r="G95" t="s">
        <v>489</v>
      </c>
      <c r="H95">
        <v>1761018602.6</v>
      </c>
      <c r="I95">
        <f>(J95)/1000</f>
        <v>0</v>
      </c>
      <c r="J95">
        <f>1000*DJ95*AH95*(DF95-DG95)/(100*CY95*(1000-AH95*DF95))</f>
        <v>0</v>
      </c>
      <c r="K95">
        <f>DJ95*AH95*(DE95-DD95*(1000-AH95*DG95)/(1000-AH95*DF95))/(100*CY95)</f>
        <v>0</v>
      </c>
      <c r="L95">
        <f>DD95 - IF(AH95&gt;1, K95*CY95*100.0/(AJ95), 0)</f>
        <v>0</v>
      </c>
      <c r="M95">
        <f>((S95-I95/2)*L95-K95)/(S95+I95/2)</f>
        <v>0</v>
      </c>
      <c r="N95">
        <f>M95*(DK95+DL95)/1000.0</f>
        <v>0</v>
      </c>
      <c r="O95">
        <f>(DD95 - IF(AH95&gt;1, K95*CY95*100.0/(AJ95), 0))*(DK95+DL95)/1000.0</f>
        <v>0</v>
      </c>
      <c r="P95">
        <f>2.0/((1/R95-1/Q95)+SIGN(R95)*SQRT((1/R95-1/Q95)*(1/R95-1/Q95) + 4*CZ95/((CZ95+1)*(CZ95+1))*(2*1/R95*1/Q95-1/Q95*1/Q95)))</f>
        <v>0</v>
      </c>
      <c r="Q95">
        <f>IF(LEFT(DA95,1)&lt;&gt;"0",IF(LEFT(DA95,1)="1",3.0,DB95),$D$5+$E$5*(DR95*DK95/($K$5*1000))+$F$5*(DR95*DK95/($K$5*1000))*MAX(MIN(CY95,$J$5),$I$5)*MAX(MIN(CY95,$J$5),$I$5)+$G$5*MAX(MIN(CY95,$J$5),$I$5)*(DR95*DK95/($K$5*1000))+$H$5*(DR95*DK95/($K$5*1000))*(DR95*DK95/($K$5*1000)))</f>
        <v>0</v>
      </c>
      <c r="R95">
        <f>I95*(1000-(1000*0.61365*exp(17.502*V95/(240.97+V95))/(DK95+DL95)+DF95)/2)/(1000*0.61365*exp(17.502*V95/(240.97+V95))/(DK95+DL95)-DF95)</f>
        <v>0</v>
      </c>
      <c r="S95">
        <f>1/((CZ95+1)/(P95/1.6)+1/(Q95/1.37)) + CZ95/((CZ95+1)/(P95/1.6) + CZ95/(Q95/1.37))</f>
        <v>0</v>
      </c>
      <c r="T95">
        <f>(CU95*CX95)</f>
        <v>0</v>
      </c>
      <c r="U95">
        <f>(DM95+(T95+2*0.95*5.67E-8*(((DM95+$B$9)+273)^4-(DM95+273)^4)-44100*I95)/(1.84*29.3*Q95+8*0.95*5.67E-8*(DM95+273)^3))</f>
        <v>0</v>
      </c>
      <c r="V95">
        <f>($C$9*DN95+$D$9*DO95+$E$9*U95)</f>
        <v>0</v>
      </c>
      <c r="W95">
        <f>0.61365*exp(17.502*V95/(240.97+V95))</f>
        <v>0</v>
      </c>
      <c r="X95">
        <f>(Y95/Z95*100)</f>
        <v>0</v>
      </c>
      <c r="Y95">
        <f>DF95*(DK95+DL95)/1000</f>
        <v>0</v>
      </c>
      <c r="Z95">
        <f>0.61365*exp(17.502*DM95/(240.97+DM95))</f>
        <v>0</v>
      </c>
      <c r="AA95">
        <f>(W95-DF95*(DK95+DL95)/1000)</f>
        <v>0</v>
      </c>
      <c r="AB95">
        <f>(-I95*44100)</f>
        <v>0</v>
      </c>
      <c r="AC95">
        <f>2*29.3*Q95*0.92*(DM95-V95)</f>
        <v>0</v>
      </c>
      <c r="AD95">
        <f>2*0.95*5.67E-8*(((DM95+$B$9)+273)^4-(V95+273)^4)</f>
        <v>0</v>
      </c>
      <c r="AE95">
        <f>T95+AD95+AB95+AC95</f>
        <v>0</v>
      </c>
      <c r="AF95">
        <v>0</v>
      </c>
      <c r="AG95">
        <v>0</v>
      </c>
      <c r="AH95">
        <f>IF(AF95*$H$15&gt;=AJ95,1.0,(AJ95/(AJ95-AF95*$H$15)))</f>
        <v>0</v>
      </c>
      <c r="AI95">
        <f>(AH95-1)*100</f>
        <v>0</v>
      </c>
      <c r="AJ95">
        <f>MAX(0,($B$15+$C$15*DR95)/(1+$D$15*DR95)*DK95/(DM95+273)*$E$15)</f>
        <v>0</v>
      </c>
      <c r="AK95" t="s">
        <v>420</v>
      </c>
      <c r="AL95" t="s">
        <v>420</v>
      </c>
      <c r="AM95">
        <v>0</v>
      </c>
      <c r="AN95">
        <v>0</v>
      </c>
      <c r="AO95">
        <f>1-AM95/AN95</f>
        <v>0</v>
      </c>
      <c r="AP95">
        <v>0</v>
      </c>
      <c r="AQ95" t="s">
        <v>420</v>
      </c>
      <c r="AR95" t="s">
        <v>420</v>
      </c>
      <c r="AS95">
        <v>0</v>
      </c>
      <c r="AT95">
        <v>0</v>
      </c>
      <c r="AU95">
        <f>1-AS95/AT95</f>
        <v>0</v>
      </c>
      <c r="AV95">
        <v>0.5</v>
      </c>
      <c r="AW95">
        <f>CV95</f>
        <v>0</v>
      </c>
      <c r="AX95">
        <f>K95</f>
        <v>0</v>
      </c>
      <c r="AY95">
        <f>AU95*AV95*AW95</f>
        <v>0</v>
      </c>
      <c r="AZ95">
        <f>(AX95-AP95)/AW95</f>
        <v>0</v>
      </c>
      <c r="BA95">
        <f>(AN95-AT95)/AT95</f>
        <v>0</v>
      </c>
      <c r="BB95">
        <f>AM95/(AO95+AM95/AT95)</f>
        <v>0</v>
      </c>
      <c r="BC95" t="s">
        <v>420</v>
      </c>
      <c r="BD95">
        <v>0</v>
      </c>
      <c r="BE95">
        <f>IF(BD95&lt;&gt;0, BD95, BB95)</f>
        <v>0</v>
      </c>
      <c r="BF95">
        <f>1-BE95/AT95</f>
        <v>0</v>
      </c>
      <c r="BG95">
        <f>(AT95-AS95)/(AT95-BE95)</f>
        <v>0</v>
      </c>
      <c r="BH95">
        <f>(AN95-AT95)/(AN95-BE95)</f>
        <v>0</v>
      </c>
      <c r="BI95">
        <f>(AT95-AS95)/(AT95-AM95)</f>
        <v>0</v>
      </c>
      <c r="BJ95">
        <f>(AN95-AT95)/(AN95-AM95)</f>
        <v>0</v>
      </c>
      <c r="BK95">
        <f>(BG95*BE95/AS95)</f>
        <v>0</v>
      </c>
      <c r="BL95">
        <f>(1-BK95)</f>
        <v>0</v>
      </c>
      <c r="CU95">
        <f>$B$13*DS95+$C$13*DT95+$F$13*EE95*(1-EH95)</f>
        <v>0</v>
      </c>
      <c r="CV95">
        <f>CU95*CW95</f>
        <v>0</v>
      </c>
      <c r="CW95">
        <f>($B$13*$D$11+$C$13*$D$11+$F$13*((ER95+EJ95)/MAX(ER95+EJ95+ES95, 0.1)*$I$11+ES95/MAX(ER95+EJ95+ES95, 0.1)*$J$11))/($B$13+$C$13+$F$13)</f>
        <v>0</v>
      </c>
      <c r="CX95">
        <f>($B$13*$K$11+$C$13*$K$11+$F$13*((ER95+EJ95)/MAX(ER95+EJ95+ES95, 0.1)*$P$11+ES95/MAX(ER95+EJ95+ES95, 0.1)*$Q$11))/($B$13+$C$13+$F$13)</f>
        <v>0</v>
      </c>
      <c r="CY95">
        <v>1.37</v>
      </c>
      <c r="CZ95">
        <v>0.5</v>
      </c>
      <c r="DA95" t="s">
        <v>421</v>
      </c>
      <c r="DB95">
        <v>2</v>
      </c>
      <c r="DC95">
        <v>1761018602.6</v>
      </c>
      <c r="DD95">
        <v>420.3235555555555</v>
      </c>
      <c r="DE95">
        <v>419.9123333333333</v>
      </c>
      <c r="DF95">
        <v>23.03607777777778</v>
      </c>
      <c r="DG95">
        <v>23.04188888888889</v>
      </c>
      <c r="DH95">
        <v>421.6704444444445</v>
      </c>
      <c r="DI95">
        <v>22.85868888888889</v>
      </c>
      <c r="DJ95">
        <v>500.0306666666667</v>
      </c>
      <c r="DK95">
        <v>90.79277777777777</v>
      </c>
      <c r="DL95">
        <v>0.03420222222222222</v>
      </c>
      <c r="DM95">
        <v>29.7053</v>
      </c>
      <c r="DN95">
        <v>30.00087777777778</v>
      </c>
      <c r="DO95">
        <v>999.9000000000001</v>
      </c>
      <c r="DP95">
        <v>0</v>
      </c>
      <c r="DQ95">
        <v>0</v>
      </c>
      <c r="DR95">
        <v>10004.36444444444</v>
      </c>
      <c r="DS95">
        <v>0</v>
      </c>
      <c r="DT95">
        <v>0.242856</v>
      </c>
      <c r="DU95">
        <v>0.4110004444444444</v>
      </c>
      <c r="DV95">
        <v>430.2344444444444</v>
      </c>
      <c r="DW95">
        <v>429.8163333333334</v>
      </c>
      <c r="DX95">
        <v>-0.005780323333333335</v>
      </c>
      <c r="DY95">
        <v>419.9123333333333</v>
      </c>
      <c r="DZ95">
        <v>23.04188888888889</v>
      </c>
      <c r="EA95">
        <v>2.091511111111111</v>
      </c>
      <c r="EB95">
        <v>2.092035555555556</v>
      </c>
      <c r="EC95">
        <v>18.15466666666666</v>
      </c>
      <c r="ED95">
        <v>18.15864444444444</v>
      </c>
      <c r="EE95">
        <v>0.00500078</v>
      </c>
      <c r="EF95">
        <v>0</v>
      </c>
      <c r="EG95">
        <v>0</v>
      </c>
      <c r="EH95">
        <v>0</v>
      </c>
      <c r="EI95">
        <v>73.63333333333333</v>
      </c>
      <c r="EJ95">
        <v>0.00500078</v>
      </c>
      <c r="EK95">
        <v>-16.58888888888889</v>
      </c>
      <c r="EL95">
        <v>-1.011111111111111</v>
      </c>
      <c r="EM95">
        <v>35.63177777777778</v>
      </c>
      <c r="EN95">
        <v>39.97900000000001</v>
      </c>
      <c r="EO95">
        <v>37.54155555555556</v>
      </c>
      <c r="EP95">
        <v>40.56911111111111</v>
      </c>
      <c r="EQ95">
        <v>38.79144444444444</v>
      </c>
      <c r="ER95">
        <v>0</v>
      </c>
      <c r="ES95">
        <v>0</v>
      </c>
      <c r="ET95">
        <v>0</v>
      </c>
      <c r="EU95">
        <v>1761018604.9</v>
      </c>
      <c r="EV95">
        <v>0</v>
      </c>
      <c r="EW95">
        <v>76.756</v>
      </c>
      <c r="EX95">
        <v>-32.96153826664183</v>
      </c>
      <c r="EY95">
        <v>-4.57692314118327</v>
      </c>
      <c r="EZ95">
        <v>-14.172</v>
      </c>
      <c r="FA95">
        <v>15</v>
      </c>
      <c r="FB95">
        <v>1761018425</v>
      </c>
      <c r="FC95" t="s">
        <v>551</v>
      </c>
      <c r="FD95">
        <v>1761018422.5</v>
      </c>
      <c r="FE95">
        <v>1761018425</v>
      </c>
      <c r="FF95">
        <v>25</v>
      </c>
      <c r="FG95">
        <v>-0.524</v>
      </c>
      <c r="FH95">
        <v>-0.005</v>
      </c>
      <c r="FI95">
        <v>-1.348</v>
      </c>
      <c r="FJ95">
        <v>0.192</v>
      </c>
      <c r="FK95">
        <v>420</v>
      </c>
      <c r="FL95">
        <v>24</v>
      </c>
      <c r="FM95">
        <v>0.38</v>
      </c>
      <c r="FN95">
        <v>0.08</v>
      </c>
      <c r="FO95">
        <v>0.34922335</v>
      </c>
      <c r="FP95">
        <v>0.6813185290806749</v>
      </c>
      <c r="FQ95">
        <v>0.08429653504579829</v>
      </c>
      <c r="FR95">
        <v>0</v>
      </c>
      <c r="FS95">
        <v>76.68529411764706</v>
      </c>
      <c r="FT95">
        <v>-2.476699600650561</v>
      </c>
      <c r="FU95">
        <v>5.649785646789732</v>
      </c>
      <c r="FV95">
        <v>0</v>
      </c>
      <c r="FW95">
        <v>0.11408419725</v>
      </c>
      <c r="FX95">
        <v>-0.5773991109568485</v>
      </c>
      <c r="FY95">
        <v>0.08744513298065562</v>
      </c>
      <c r="FZ95">
        <v>0</v>
      </c>
      <c r="GA95">
        <v>0</v>
      </c>
      <c r="GB95">
        <v>3</v>
      </c>
      <c r="GC95" t="s">
        <v>423</v>
      </c>
      <c r="GD95">
        <v>3.10944</v>
      </c>
      <c r="GE95">
        <v>2.72606</v>
      </c>
      <c r="GF95">
        <v>0.08881699999999999</v>
      </c>
      <c r="GG95">
        <v>0.0885957</v>
      </c>
      <c r="GH95">
        <v>0.105818</v>
      </c>
      <c r="GI95">
        <v>0.107103</v>
      </c>
      <c r="GJ95">
        <v>23915.8</v>
      </c>
      <c r="GK95">
        <v>21673.3</v>
      </c>
      <c r="GL95">
        <v>26804.4</v>
      </c>
      <c r="GM95">
        <v>23985.9</v>
      </c>
      <c r="GN95">
        <v>38297.7</v>
      </c>
      <c r="GO95">
        <v>31592.6</v>
      </c>
      <c r="GP95">
        <v>46785.3</v>
      </c>
      <c r="GQ95">
        <v>37918</v>
      </c>
      <c r="GR95">
        <v>1.89408</v>
      </c>
      <c r="GS95">
        <v>1.88617</v>
      </c>
      <c r="GT95">
        <v>0.133067</v>
      </c>
      <c r="GU95">
        <v>0</v>
      </c>
      <c r="GV95">
        <v>27.831</v>
      </c>
      <c r="GW95">
        <v>999.9</v>
      </c>
      <c r="GX95">
        <v>63.8</v>
      </c>
      <c r="GY95">
        <v>28.8</v>
      </c>
      <c r="GZ95">
        <v>27.9372</v>
      </c>
      <c r="HA95">
        <v>61.4973</v>
      </c>
      <c r="HB95">
        <v>20.2244</v>
      </c>
      <c r="HC95">
        <v>1</v>
      </c>
      <c r="HD95">
        <v>0.0196214</v>
      </c>
      <c r="HE95">
        <v>-2.0828</v>
      </c>
      <c r="HF95">
        <v>20.3252</v>
      </c>
      <c r="HG95">
        <v>5.21819</v>
      </c>
      <c r="HH95">
        <v>11.98</v>
      </c>
      <c r="HI95">
        <v>4.96555</v>
      </c>
      <c r="HJ95">
        <v>3.276</v>
      </c>
      <c r="HK95">
        <v>9999</v>
      </c>
      <c r="HL95">
        <v>9999</v>
      </c>
      <c r="HM95">
        <v>9999</v>
      </c>
      <c r="HN95">
        <v>999.9</v>
      </c>
      <c r="HO95">
        <v>1.86361</v>
      </c>
      <c r="HP95">
        <v>1.85974</v>
      </c>
      <c r="HQ95">
        <v>1.85804</v>
      </c>
      <c r="HR95">
        <v>1.85943</v>
      </c>
      <c r="HS95">
        <v>1.85959</v>
      </c>
      <c r="HT95">
        <v>1.85805</v>
      </c>
      <c r="HU95">
        <v>1.85709</v>
      </c>
      <c r="HV95">
        <v>1.85211</v>
      </c>
      <c r="HW95">
        <v>0</v>
      </c>
      <c r="HX95">
        <v>0</v>
      </c>
      <c r="HY95">
        <v>0</v>
      </c>
      <c r="HZ95">
        <v>0</v>
      </c>
      <c r="IA95" t="s">
        <v>424</v>
      </c>
      <c r="IB95" t="s">
        <v>425</v>
      </c>
      <c r="IC95" t="s">
        <v>426</v>
      </c>
      <c r="ID95" t="s">
        <v>426</v>
      </c>
      <c r="IE95" t="s">
        <v>426</v>
      </c>
      <c r="IF95" t="s">
        <v>426</v>
      </c>
      <c r="IG95">
        <v>0</v>
      </c>
      <c r="IH95">
        <v>100</v>
      </c>
      <c r="II95">
        <v>100</v>
      </c>
      <c r="IJ95">
        <v>-1.347</v>
      </c>
      <c r="IK95">
        <v>0.1776</v>
      </c>
      <c r="IL95">
        <v>-2.136943090880341</v>
      </c>
      <c r="IM95">
        <v>0.001328113201692861</v>
      </c>
      <c r="IN95">
        <v>1.538283238170363E-06</v>
      </c>
      <c r="IO95">
        <v>-5.795655626708063E-10</v>
      </c>
      <c r="IP95">
        <v>-0.06045740820250394</v>
      </c>
      <c r="IQ95">
        <v>-0.004593102289677449</v>
      </c>
      <c r="IR95">
        <v>0.0008253994458280543</v>
      </c>
      <c r="IS95">
        <v>-7.403632370499484E-06</v>
      </c>
      <c r="IT95">
        <v>2</v>
      </c>
      <c r="IU95">
        <v>1985</v>
      </c>
      <c r="IV95">
        <v>1</v>
      </c>
      <c r="IW95">
        <v>27</v>
      </c>
      <c r="IX95">
        <v>3.1</v>
      </c>
      <c r="IY95">
        <v>3</v>
      </c>
      <c r="IZ95">
        <v>1.12549</v>
      </c>
      <c r="JA95">
        <v>2.57446</v>
      </c>
      <c r="JB95">
        <v>1.49658</v>
      </c>
      <c r="JC95">
        <v>2.34253</v>
      </c>
      <c r="JD95">
        <v>1.54907</v>
      </c>
      <c r="JE95">
        <v>2.41943</v>
      </c>
      <c r="JF95">
        <v>31.8927</v>
      </c>
      <c r="JG95">
        <v>14.5786</v>
      </c>
      <c r="JH95">
        <v>18</v>
      </c>
      <c r="JI95">
        <v>482.964</v>
      </c>
      <c r="JJ95">
        <v>507.716</v>
      </c>
      <c r="JK95">
        <v>30.94</v>
      </c>
      <c r="JL95">
        <v>27.5114</v>
      </c>
      <c r="JM95">
        <v>29.9996</v>
      </c>
      <c r="JN95">
        <v>27.8306</v>
      </c>
      <c r="JO95">
        <v>27.8412</v>
      </c>
      <c r="JP95">
        <v>22.6317</v>
      </c>
      <c r="JQ95">
        <v>20.3566</v>
      </c>
      <c r="JR95">
        <v>83.46729999999999</v>
      </c>
      <c r="JS95">
        <v>30.9199</v>
      </c>
      <c r="JT95">
        <v>420</v>
      </c>
      <c r="JU95">
        <v>23.2017</v>
      </c>
      <c r="JV95">
        <v>102.309</v>
      </c>
      <c r="JW95">
        <v>91.4723</v>
      </c>
    </row>
    <row r="96" spans="1:283">
      <c r="A96">
        <v>78</v>
      </c>
      <c r="B96">
        <v>1761018607.6</v>
      </c>
      <c r="C96">
        <v>538.0999999046326</v>
      </c>
      <c r="D96" t="s">
        <v>584</v>
      </c>
      <c r="E96" t="s">
        <v>585</v>
      </c>
      <c r="F96">
        <v>5</v>
      </c>
      <c r="G96" t="s">
        <v>489</v>
      </c>
      <c r="H96">
        <v>1761018604.6</v>
      </c>
      <c r="I96">
        <f>(J96)/1000</f>
        <v>0</v>
      </c>
      <c r="J96">
        <f>1000*DJ96*AH96*(DF96-DG96)/(100*CY96*(1000-AH96*DF96))</f>
        <v>0</v>
      </c>
      <c r="K96">
        <f>DJ96*AH96*(DE96-DD96*(1000-AH96*DG96)/(1000-AH96*DF96))/(100*CY96)</f>
        <v>0</v>
      </c>
      <c r="L96">
        <f>DD96 - IF(AH96&gt;1, K96*CY96*100.0/(AJ96), 0)</f>
        <v>0</v>
      </c>
      <c r="M96">
        <f>((S96-I96/2)*L96-K96)/(S96+I96/2)</f>
        <v>0</v>
      </c>
      <c r="N96">
        <f>M96*(DK96+DL96)/1000.0</f>
        <v>0</v>
      </c>
      <c r="O96">
        <f>(DD96 - IF(AH96&gt;1, K96*CY96*100.0/(AJ96), 0))*(DK96+DL96)/1000.0</f>
        <v>0</v>
      </c>
      <c r="P96">
        <f>2.0/((1/R96-1/Q96)+SIGN(R96)*SQRT((1/R96-1/Q96)*(1/R96-1/Q96) + 4*CZ96/((CZ96+1)*(CZ96+1))*(2*1/R96*1/Q96-1/Q96*1/Q96)))</f>
        <v>0</v>
      </c>
      <c r="Q96">
        <f>IF(LEFT(DA96,1)&lt;&gt;"0",IF(LEFT(DA96,1)="1",3.0,DB96),$D$5+$E$5*(DR96*DK96/($K$5*1000))+$F$5*(DR96*DK96/($K$5*1000))*MAX(MIN(CY96,$J$5),$I$5)*MAX(MIN(CY96,$J$5),$I$5)+$G$5*MAX(MIN(CY96,$J$5),$I$5)*(DR96*DK96/($K$5*1000))+$H$5*(DR96*DK96/($K$5*1000))*(DR96*DK96/($K$5*1000)))</f>
        <v>0</v>
      </c>
      <c r="R96">
        <f>I96*(1000-(1000*0.61365*exp(17.502*V96/(240.97+V96))/(DK96+DL96)+DF96)/2)/(1000*0.61365*exp(17.502*V96/(240.97+V96))/(DK96+DL96)-DF96)</f>
        <v>0</v>
      </c>
      <c r="S96">
        <f>1/((CZ96+1)/(P96/1.6)+1/(Q96/1.37)) + CZ96/((CZ96+1)/(P96/1.6) + CZ96/(Q96/1.37))</f>
        <v>0</v>
      </c>
      <c r="T96">
        <f>(CU96*CX96)</f>
        <v>0</v>
      </c>
      <c r="U96">
        <f>(DM96+(T96+2*0.95*5.67E-8*(((DM96+$B$9)+273)^4-(DM96+273)^4)-44100*I96)/(1.84*29.3*Q96+8*0.95*5.67E-8*(DM96+273)^3))</f>
        <v>0</v>
      </c>
      <c r="V96">
        <f>($C$9*DN96+$D$9*DO96+$E$9*U96)</f>
        <v>0</v>
      </c>
      <c r="W96">
        <f>0.61365*exp(17.502*V96/(240.97+V96))</f>
        <v>0</v>
      </c>
      <c r="X96">
        <f>(Y96/Z96*100)</f>
        <v>0</v>
      </c>
      <c r="Y96">
        <f>DF96*(DK96+DL96)/1000</f>
        <v>0</v>
      </c>
      <c r="Z96">
        <f>0.61365*exp(17.502*DM96/(240.97+DM96))</f>
        <v>0</v>
      </c>
      <c r="AA96">
        <f>(W96-DF96*(DK96+DL96)/1000)</f>
        <v>0</v>
      </c>
      <c r="AB96">
        <f>(-I96*44100)</f>
        <v>0</v>
      </c>
      <c r="AC96">
        <f>2*29.3*Q96*0.92*(DM96-V96)</f>
        <v>0</v>
      </c>
      <c r="AD96">
        <f>2*0.95*5.67E-8*(((DM96+$B$9)+273)^4-(V96+273)^4)</f>
        <v>0</v>
      </c>
      <c r="AE96">
        <f>T96+AD96+AB96+AC96</f>
        <v>0</v>
      </c>
      <c r="AF96">
        <v>0</v>
      </c>
      <c r="AG96">
        <v>0</v>
      </c>
      <c r="AH96">
        <f>IF(AF96*$H$15&gt;=AJ96,1.0,(AJ96/(AJ96-AF96*$H$15)))</f>
        <v>0</v>
      </c>
      <c r="AI96">
        <f>(AH96-1)*100</f>
        <v>0</v>
      </c>
      <c r="AJ96">
        <f>MAX(0,($B$15+$C$15*DR96)/(1+$D$15*DR96)*DK96/(DM96+273)*$E$15)</f>
        <v>0</v>
      </c>
      <c r="AK96" t="s">
        <v>420</v>
      </c>
      <c r="AL96" t="s">
        <v>420</v>
      </c>
      <c r="AM96">
        <v>0</v>
      </c>
      <c r="AN96">
        <v>0</v>
      </c>
      <c r="AO96">
        <f>1-AM96/AN96</f>
        <v>0</v>
      </c>
      <c r="AP96">
        <v>0</v>
      </c>
      <c r="AQ96" t="s">
        <v>420</v>
      </c>
      <c r="AR96" t="s">
        <v>420</v>
      </c>
      <c r="AS96">
        <v>0</v>
      </c>
      <c r="AT96">
        <v>0</v>
      </c>
      <c r="AU96">
        <f>1-AS96/AT96</f>
        <v>0</v>
      </c>
      <c r="AV96">
        <v>0.5</v>
      </c>
      <c r="AW96">
        <f>CV96</f>
        <v>0</v>
      </c>
      <c r="AX96">
        <f>K96</f>
        <v>0</v>
      </c>
      <c r="AY96">
        <f>AU96*AV96*AW96</f>
        <v>0</v>
      </c>
      <c r="AZ96">
        <f>(AX96-AP96)/AW96</f>
        <v>0</v>
      </c>
      <c r="BA96">
        <f>(AN96-AT96)/AT96</f>
        <v>0</v>
      </c>
      <c r="BB96">
        <f>AM96/(AO96+AM96/AT96)</f>
        <v>0</v>
      </c>
      <c r="BC96" t="s">
        <v>420</v>
      </c>
      <c r="BD96">
        <v>0</v>
      </c>
      <c r="BE96">
        <f>IF(BD96&lt;&gt;0, BD96, BB96)</f>
        <v>0</v>
      </c>
      <c r="BF96">
        <f>1-BE96/AT96</f>
        <v>0</v>
      </c>
      <c r="BG96">
        <f>(AT96-AS96)/(AT96-BE96)</f>
        <v>0</v>
      </c>
      <c r="BH96">
        <f>(AN96-AT96)/(AN96-BE96)</f>
        <v>0</v>
      </c>
      <c r="BI96">
        <f>(AT96-AS96)/(AT96-AM96)</f>
        <v>0</v>
      </c>
      <c r="BJ96">
        <f>(AN96-AT96)/(AN96-AM96)</f>
        <v>0</v>
      </c>
      <c r="BK96">
        <f>(BG96*BE96/AS96)</f>
        <v>0</v>
      </c>
      <c r="BL96">
        <f>(1-BK96)</f>
        <v>0</v>
      </c>
      <c r="CU96">
        <f>$B$13*DS96+$C$13*DT96+$F$13*EE96*(1-EH96)</f>
        <v>0</v>
      </c>
      <c r="CV96">
        <f>CU96*CW96</f>
        <v>0</v>
      </c>
      <c r="CW96">
        <f>($B$13*$D$11+$C$13*$D$11+$F$13*((ER96+EJ96)/MAX(ER96+EJ96+ES96, 0.1)*$I$11+ES96/MAX(ER96+EJ96+ES96, 0.1)*$J$11))/($B$13+$C$13+$F$13)</f>
        <v>0</v>
      </c>
      <c r="CX96">
        <f>($B$13*$K$11+$C$13*$K$11+$F$13*((ER96+EJ96)/MAX(ER96+EJ96+ES96, 0.1)*$P$11+ES96/MAX(ER96+EJ96+ES96, 0.1)*$Q$11))/($B$13+$C$13+$F$13)</f>
        <v>0</v>
      </c>
      <c r="CY96">
        <v>1.37</v>
      </c>
      <c r="CZ96">
        <v>0.5</v>
      </c>
      <c r="DA96" t="s">
        <v>421</v>
      </c>
      <c r="DB96">
        <v>2</v>
      </c>
      <c r="DC96">
        <v>1761018604.6</v>
      </c>
      <c r="DD96">
        <v>420.3326666666666</v>
      </c>
      <c r="DE96">
        <v>419.948</v>
      </c>
      <c r="DF96">
        <v>23.03978888888889</v>
      </c>
      <c r="DG96">
        <v>23.09684444444444</v>
      </c>
      <c r="DH96">
        <v>421.6795555555556</v>
      </c>
      <c r="DI96">
        <v>22.86232222222222</v>
      </c>
      <c r="DJ96">
        <v>500.037</v>
      </c>
      <c r="DK96">
        <v>90.79232222222224</v>
      </c>
      <c r="DL96">
        <v>0.03414364444444444</v>
      </c>
      <c r="DM96">
        <v>29.70465555555556</v>
      </c>
      <c r="DN96">
        <v>30.00093333333333</v>
      </c>
      <c r="DO96">
        <v>999.9000000000001</v>
      </c>
      <c r="DP96">
        <v>0</v>
      </c>
      <c r="DQ96">
        <v>0</v>
      </c>
      <c r="DR96">
        <v>10011.66444444444</v>
      </c>
      <c r="DS96">
        <v>0</v>
      </c>
      <c r="DT96">
        <v>0.242856</v>
      </c>
      <c r="DU96">
        <v>0.3846196666666666</v>
      </c>
      <c r="DV96">
        <v>430.2455555555555</v>
      </c>
      <c r="DW96">
        <v>429.876888888889</v>
      </c>
      <c r="DX96">
        <v>-0.05700959000000001</v>
      </c>
      <c r="DY96">
        <v>419.948</v>
      </c>
      <c r="DZ96">
        <v>23.09684444444444</v>
      </c>
      <c r="EA96">
        <v>2.091836666666667</v>
      </c>
      <c r="EB96">
        <v>2.097012222222222</v>
      </c>
      <c r="EC96">
        <v>18.15715555555555</v>
      </c>
      <c r="ED96">
        <v>18.19647777777778</v>
      </c>
      <c r="EE96">
        <v>0.00500078</v>
      </c>
      <c r="EF96">
        <v>0</v>
      </c>
      <c r="EG96">
        <v>0</v>
      </c>
      <c r="EH96">
        <v>0</v>
      </c>
      <c r="EI96">
        <v>76.37777777777778</v>
      </c>
      <c r="EJ96">
        <v>0.00500078</v>
      </c>
      <c r="EK96">
        <v>-17.68888888888889</v>
      </c>
      <c r="EL96">
        <v>-0.7111111111111111</v>
      </c>
      <c r="EM96">
        <v>35.63877777777778</v>
      </c>
      <c r="EN96">
        <v>39.986</v>
      </c>
      <c r="EO96">
        <v>37.54155555555556</v>
      </c>
      <c r="EP96">
        <v>40.58311111111112</v>
      </c>
      <c r="EQ96">
        <v>38.88866666666667</v>
      </c>
      <c r="ER96">
        <v>0</v>
      </c>
      <c r="ES96">
        <v>0</v>
      </c>
      <c r="ET96">
        <v>0</v>
      </c>
      <c r="EU96">
        <v>1761018606.7</v>
      </c>
      <c r="EV96">
        <v>0</v>
      </c>
      <c r="EW96">
        <v>77.8923076923077</v>
      </c>
      <c r="EX96">
        <v>-14.40000012548473</v>
      </c>
      <c r="EY96">
        <v>-8.246153797958094</v>
      </c>
      <c r="EZ96">
        <v>-14.53076923076923</v>
      </c>
      <c r="FA96">
        <v>15</v>
      </c>
      <c r="FB96">
        <v>1761018425</v>
      </c>
      <c r="FC96" t="s">
        <v>551</v>
      </c>
      <c r="FD96">
        <v>1761018422.5</v>
      </c>
      <c r="FE96">
        <v>1761018425</v>
      </c>
      <c r="FF96">
        <v>25</v>
      </c>
      <c r="FG96">
        <v>-0.524</v>
      </c>
      <c r="FH96">
        <v>-0.005</v>
      </c>
      <c r="FI96">
        <v>-1.348</v>
      </c>
      <c r="FJ96">
        <v>0.192</v>
      </c>
      <c r="FK96">
        <v>420</v>
      </c>
      <c r="FL96">
        <v>24</v>
      </c>
      <c r="FM96">
        <v>0.38</v>
      </c>
      <c r="FN96">
        <v>0.08</v>
      </c>
      <c r="FO96">
        <v>0.3507258780487805</v>
      </c>
      <c r="FP96">
        <v>0.604078536585366</v>
      </c>
      <c r="FQ96">
        <v>0.083174536653777</v>
      </c>
      <c r="FR96">
        <v>0</v>
      </c>
      <c r="FS96">
        <v>76.57058823529411</v>
      </c>
      <c r="FT96">
        <v>-3.373567518135461</v>
      </c>
      <c r="FU96">
        <v>5.934025982405333</v>
      </c>
      <c r="FV96">
        <v>0</v>
      </c>
      <c r="FW96">
        <v>0.1012059729268292</v>
      </c>
      <c r="FX96">
        <v>-0.8247374147038324</v>
      </c>
      <c r="FY96">
        <v>0.1015909982864633</v>
      </c>
      <c r="FZ96">
        <v>0</v>
      </c>
      <c r="GA96">
        <v>0</v>
      </c>
      <c r="GB96">
        <v>3</v>
      </c>
      <c r="GC96" t="s">
        <v>423</v>
      </c>
      <c r="GD96">
        <v>3.10962</v>
      </c>
      <c r="GE96">
        <v>2.72579</v>
      </c>
      <c r="GF96">
        <v>0.08881989999999999</v>
      </c>
      <c r="GG96">
        <v>0.0885952</v>
      </c>
      <c r="GH96">
        <v>0.105879</v>
      </c>
      <c r="GI96">
        <v>0.107258</v>
      </c>
      <c r="GJ96">
        <v>23915.8</v>
      </c>
      <c r="GK96">
        <v>21673.5</v>
      </c>
      <c r="GL96">
        <v>26804.4</v>
      </c>
      <c r="GM96">
        <v>23986.2</v>
      </c>
      <c r="GN96">
        <v>38295.1</v>
      </c>
      <c r="GO96">
        <v>31587.1</v>
      </c>
      <c r="GP96">
        <v>46785.4</v>
      </c>
      <c r="GQ96">
        <v>37918.1</v>
      </c>
      <c r="GR96">
        <v>1.89447</v>
      </c>
      <c r="GS96">
        <v>1.88595</v>
      </c>
      <c r="GT96">
        <v>0.133142</v>
      </c>
      <c r="GU96">
        <v>0</v>
      </c>
      <c r="GV96">
        <v>27.8298</v>
      </c>
      <c r="GW96">
        <v>999.9</v>
      </c>
      <c r="GX96">
        <v>63.8</v>
      </c>
      <c r="GY96">
        <v>28.8</v>
      </c>
      <c r="GZ96">
        <v>27.9369</v>
      </c>
      <c r="HA96">
        <v>61.4773</v>
      </c>
      <c r="HB96">
        <v>20.1683</v>
      </c>
      <c r="HC96">
        <v>1</v>
      </c>
      <c r="HD96">
        <v>0.0192988</v>
      </c>
      <c r="HE96">
        <v>-2.06232</v>
      </c>
      <c r="HF96">
        <v>20.3256</v>
      </c>
      <c r="HG96">
        <v>5.21939</v>
      </c>
      <c r="HH96">
        <v>11.98</v>
      </c>
      <c r="HI96">
        <v>4.9657</v>
      </c>
      <c r="HJ96">
        <v>3.27598</v>
      </c>
      <c r="HK96">
        <v>9999</v>
      </c>
      <c r="HL96">
        <v>9999</v>
      </c>
      <c r="HM96">
        <v>9999</v>
      </c>
      <c r="HN96">
        <v>999.9</v>
      </c>
      <c r="HO96">
        <v>1.86362</v>
      </c>
      <c r="HP96">
        <v>1.85974</v>
      </c>
      <c r="HQ96">
        <v>1.85802</v>
      </c>
      <c r="HR96">
        <v>1.85942</v>
      </c>
      <c r="HS96">
        <v>1.85959</v>
      </c>
      <c r="HT96">
        <v>1.85804</v>
      </c>
      <c r="HU96">
        <v>1.85708</v>
      </c>
      <c r="HV96">
        <v>1.8521</v>
      </c>
      <c r="HW96">
        <v>0</v>
      </c>
      <c r="HX96">
        <v>0</v>
      </c>
      <c r="HY96">
        <v>0</v>
      </c>
      <c r="HZ96">
        <v>0</v>
      </c>
      <c r="IA96" t="s">
        <v>424</v>
      </c>
      <c r="IB96" t="s">
        <v>425</v>
      </c>
      <c r="IC96" t="s">
        <v>426</v>
      </c>
      <c r="ID96" t="s">
        <v>426</v>
      </c>
      <c r="IE96" t="s">
        <v>426</v>
      </c>
      <c r="IF96" t="s">
        <v>426</v>
      </c>
      <c r="IG96">
        <v>0</v>
      </c>
      <c r="IH96">
        <v>100</v>
      </c>
      <c r="II96">
        <v>100</v>
      </c>
      <c r="IJ96">
        <v>-1.347</v>
      </c>
      <c r="IK96">
        <v>0.178</v>
      </c>
      <c r="IL96">
        <v>-2.136943090880341</v>
      </c>
      <c r="IM96">
        <v>0.001328113201692861</v>
      </c>
      <c r="IN96">
        <v>1.538283238170363E-06</v>
      </c>
      <c r="IO96">
        <v>-5.795655626708063E-10</v>
      </c>
      <c r="IP96">
        <v>-0.06045740820250394</v>
      </c>
      <c r="IQ96">
        <v>-0.004593102289677449</v>
      </c>
      <c r="IR96">
        <v>0.0008253994458280543</v>
      </c>
      <c r="IS96">
        <v>-7.403632370499484E-06</v>
      </c>
      <c r="IT96">
        <v>2</v>
      </c>
      <c r="IU96">
        <v>1985</v>
      </c>
      <c r="IV96">
        <v>1</v>
      </c>
      <c r="IW96">
        <v>27</v>
      </c>
      <c r="IX96">
        <v>3.1</v>
      </c>
      <c r="IY96">
        <v>3</v>
      </c>
      <c r="IZ96">
        <v>1.12549</v>
      </c>
      <c r="JA96">
        <v>2.57935</v>
      </c>
      <c r="JB96">
        <v>1.49658</v>
      </c>
      <c r="JC96">
        <v>2.34253</v>
      </c>
      <c r="JD96">
        <v>1.54907</v>
      </c>
      <c r="JE96">
        <v>2.4707</v>
      </c>
      <c r="JF96">
        <v>31.8927</v>
      </c>
      <c r="JG96">
        <v>14.5961</v>
      </c>
      <c r="JH96">
        <v>18</v>
      </c>
      <c r="JI96">
        <v>483.172</v>
      </c>
      <c r="JJ96">
        <v>507.545</v>
      </c>
      <c r="JK96">
        <v>30.9337</v>
      </c>
      <c r="JL96">
        <v>27.5088</v>
      </c>
      <c r="JM96">
        <v>29.9995</v>
      </c>
      <c r="JN96">
        <v>27.8277</v>
      </c>
      <c r="JO96">
        <v>27.8389</v>
      </c>
      <c r="JP96">
        <v>22.6311</v>
      </c>
      <c r="JQ96">
        <v>20.3566</v>
      </c>
      <c r="JR96">
        <v>83.46729999999999</v>
      </c>
      <c r="JS96">
        <v>30.9199</v>
      </c>
      <c r="JT96">
        <v>420</v>
      </c>
      <c r="JU96">
        <v>23.1911</v>
      </c>
      <c r="JV96">
        <v>102.309</v>
      </c>
      <c r="JW96">
        <v>91.47280000000001</v>
      </c>
    </row>
    <row r="97" spans="1:283">
      <c r="A97">
        <v>79</v>
      </c>
      <c r="B97">
        <v>1761018609.6</v>
      </c>
      <c r="C97">
        <v>540.0999999046326</v>
      </c>
      <c r="D97" t="s">
        <v>586</v>
      </c>
      <c r="E97" t="s">
        <v>587</v>
      </c>
      <c r="F97">
        <v>5</v>
      </c>
      <c r="G97" t="s">
        <v>489</v>
      </c>
      <c r="H97">
        <v>1761018606.6</v>
      </c>
      <c r="I97">
        <f>(J97)/1000</f>
        <v>0</v>
      </c>
      <c r="J97">
        <f>1000*DJ97*AH97*(DF97-DG97)/(100*CY97*(1000-AH97*DF97))</f>
        <v>0</v>
      </c>
      <c r="K97">
        <f>DJ97*AH97*(DE97-DD97*(1000-AH97*DG97)/(1000-AH97*DF97))/(100*CY97)</f>
        <v>0</v>
      </c>
      <c r="L97">
        <f>DD97 - IF(AH97&gt;1, K97*CY97*100.0/(AJ97), 0)</f>
        <v>0</v>
      </c>
      <c r="M97">
        <f>((S97-I97/2)*L97-K97)/(S97+I97/2)</f>
        <v>0</v>
      </c>
      <c r="N97">
        <f>M97*(DK97+DL97)/1000.0</f>
        <v>0</v>
      </c>
      <c r="O97">
        <f>(DD97 - IF(AH97&gt;1, K97*CY97*100.0/(AJ97), 0))*(DK97+DL97)/1000.0</f>
        <v>0</v>
      </c>
      <c r="P97">
        <f>2.0/((1/R97-1/Q97)+SIGN(R97)*SQRT((1/R97-1/Q97)*(1/R97-1/Q97) + 4*CZ97/((CZ97+1)*(CZ97+1))*(2*1/R97*1/Q97-1/Q97*1/Q97)))</f>
        <v>0</v>
      </c>
      <c r="Q97">
        <f>IF(LEFT(DA97,1)&lt;&gt;"0",IF(LEFT(DA97,1)="1",3.0,DB97),$D$5+$E$5*(DR97*DK97/($K$5*1000))+$F$5*(DR97*DK97/($K$5*1000))*MAX(MIN(CY97,$J$5),$I$5)*MAX(MIN(CY97,$J$5),$I$5)+$G$5*MAX(MIN(CY97,$J$5),$I$5)*(DR97*DK97/($K$5*1000))+$H$5*(DR97*DK97/($K$5*1000))*(DR97*DK97/($K$5*1000)))</f>
        <v>0</v>
      </c>
      <c r="R97">
        <f>I97*(1000-(1000*0.61365*exp(17.502*V97/(240.97+V97))/(DK97+DL97)+DF97)/2)/(1000*0.61365*exp(17.502*V97/(240.97+V97))/(DK97+DL97)-DF97)</f>
        <v>0</v>
      </c>
      <c r="S97">
        <f>1/((CZ97+1)/(P97/1.6)+1/(Q97/1.37)) + CZ97/((CZ97+1)/(P97/1.6) + CZ97/(Q97/1.37))</f>
        <v>0</v>
      </c>
      <c r="T97">
        <f>(CU97*CX97)</f>
        <v>0</v>
      </c>
      <c r="U97">
        <f>(DM97+(T97+2*0.95*5.67E-8*(((DM97+$B$9)+273)^4-(DM97+273)^4)-44100*I97)/(1.84*29.3*Q97+8*0.95*5.67E-8*(DM97+273)^3))</f>
        <v>0</v>
      </c>
      <c r="V97">
        <f>($C$9*DN97+$D$9*DO97+$E$9*U97)</f>
        <v>0</v>
      </c>
      <c r="W97">
        <f>0.61365*exp(17.502*V97/(240.97+V97))</f>
        <v>0</v>
      </c>
      <c r="X97">
        <f>(Y97/Z97*100)</f>
        <v>0</v>
      </c>
      <c r="Y97">
        <f>DF97*(DK97+DL97)/1000</f>
        <v>0</v>
      </c>
      <c r="Z97">
        <f>0.61365*exp(17.502*DM97/(240.97+DM97))</f>
        <v>0</v>
      </c>
      <c r="AA97">
        <f>(W97-DF97*(DK97+DL97)/1000)</f>
        <v>0</v>
      </c>
      <c r="AB97">
        <f>(-I97*44100)</f>
        <v>0</v>
      </c>
      <c r="AC97">
        <f>2*29.3*Q97*0.92*(DM97-V97)</f>
        <v>0</v>
      </c>
      <c r="AD97">
        <f>2*0.95*5.67E-8*(((DM97+$B$9)+273)^4-(V97+273)^4)</f>
        <v>0</v>
      </c>
      <c r="AE97">
        <f>T97+AD97+AB97+AC97</f>
        <v>0</v>
      </c>
      <c r="AF97">
        <v>0</v>
      </c>
      <c r="AG97">
        <v>0</v>
      </c>
      <c r="AH97">
        <f>IF(AF97*$H$15&gt;=AJ97,1.0,(AJ97/(AJ97-AF97*$H$15)))</f>
        <v>0</v>
      </c>
      <c r="AI97">
        <f>(AH97-1)*100</f>
        <v>0</v>
      </c>
      <c r="AJ97">
        <f>MAX(0,($B$15+$C$15*DR97)/(1+$D$15*DR97)*DK97/(DM97+273)*$E$15)</f>
        <v>0</v>
      </c>
      <c r="AK97" t="s">
        <v>420</v>
      </c>
      <c r="AL97" t="s">
        <v>420</v>
      </c>
      <c r="AM97">
        <v>0</v>
      </c>
      <c r="AN97">
        <v>0</v>
      </c>
      <c r="AO97">
        <f>1-AM97/AN97</f>
        <v>0</v>
      </c>
      <c r="AP97">
        <v>0</v>
      </c>
      <c r="AQ97" t="s">
        <v>420</v>
      </c>
      <c r="AR97" t="s">
        <v>420</v>
      </c>
      <c r="AS97">
        <v>0</v>
      </c>
      <c r="AT97">
        <v>0</v>
      </c>
      <c r="AU97">
        <f>1-AS97/AT97</f>
        <v>0</v>
      </c>
      <c r="AV97">
        <v>0.5</v>
      </c>
      <c r="AW97">
        <f>CV97</f>
        <v>0</v>
      </c>
      <c r="AX97">
        <f>K97</f>
        <v>0</v>
      </c>
      <c r="AY97">
        <f>AU97*AV97*AW97</f>
        <v>0</v>
      </c>
      <c r="AZ97">
        <f>(AX97-AP97)/AW97</f>
        <v>0</v>
      </c>
      <c r="BA97">
        <f>(AN97-AT97)/AT97</f>
        <v>0</v>
      </c>
      <c r="BB97">
        <f>AM97/(AO97+AM97/AT97)</f>
        <v>0</v>
      </c>
      <c r="BC97" t="s">
        <v>420</v>
      </c>
      <c r="BD97">
        <v>0</v>
      </c>
      <c r="BE97">
        <f>IF(BD97&lt;&gt;0, BD97, BB97)</f>
        <v>0</v>
      </c>
      <c r="BF97">
        <f>1-BE97/AT97</f>
        <v>0</v>
      </c>
      <c r="BG97">
        <f>(AT97-AS97)/(AT97-BE97)</f>
        <v>0</v>
      </c>
      <c r="BH97">
        <f>(AN97-AT97)/(AN97-BE97)</f>
        <v>0</v>
      </c>
      <c r="BI97">
        <f>(AT97-AS97)/(AT97-AM97)</f>
        <v>0</v>
      </c>
      <c r="BJ97">
        <f>(AN97-AT97)/(AN97-AM97)</f>
        <v>0</v>
      </c>
      <c r="BK97">
        <f>(BG97*BE97/AS97)</f>
        <v>0</v>
      </c>
      <c r="BL97">
        <f>(1-BK97)</f>
        <v>0</v>
      </c>
      <c r="CU97">
        <f>$B$13*DS97+$C$13*DT97+$F$13*EE97*(1-EH97)</f>
        <v>0</v>
      </c>
      <c r="CV97">
        <f>CU97*CW97</f>
        <v>0</v>
      </c>
      <c r="CW97">
        <f>($B$13*$D$11+$C$13*$D$11+$F$13*((ER97+EJ97)/MAX(ER97+EJ97+ES97, 0.1)*$I$11+ES97/MAX(ER97+EJ97+ES97, 0.1)*$J$11))/($B$13+$C$13+$F$13)</f>
        <v>0</v>
      </c>
      <c r="CX97">
        <f>($B$13*$K$11+$C$13*$K$11+$F$13*((ER97+EJ97)/MAX(ER97+EJ97+ES97, 0.1)*$P$11+ES97/MAX(ER97+EJ97+ES97, 0.1)*$Q$11))/($B$13+$C$13+$F$13)</f>
        <v>0</v>
      </c>
      <c r="CY97">
        <v>1.37</v>
      </c>
      <c r="CZ97">
        <v>0.5</v>
      </c>
      <c r="DA97" t="s">
        <v>421</v>
      </c>
      <c r="DB97">
        <v>2</v>
      </c>
      <c r="DC97">
        <v>1761018606.6</v>
      </c>
      <c r="DD97">
        <v>420.3356666666667</v>
      </c>
      <c r="DE97">
        <v>419.9794444444444</v>
      </c>
      <c r="DF97">
        <v>23.05338888888889</v>
      </c>
      <c r="DG97">
        <v>23.1472</v>
      </c>
      <c r="DH97">
        <v>421.6825555555556</v>
      </c>
      <c r="DI97">
        <v>22.87562222222222</v>
      </c>
      <c r="DJ97">
        <v>500.0512222222221</v>
      </c>
      <c r="DK97">
        <v>90.79176666666667</v>
      </c>
      <c r="DL97">
        <v>0.03409761111111111</v>
      </c>
      <c r="DM97">
        <v>29.70348888888889</v>
      </c>
      <c r="DN97">
        <v>30.0013</v>
      </c>
      <c r="DO97">
        <v>999.9000000000001</v>
      </c>
      <c r="DP97">
        <v>0</v>
      </c>
      <c r="DQ97">
        <v>0</v>
      </c>
      <c r="DR97">
        <v>10009.99111111111</v>
      </c>
      <c r="DS97">
        <v>0</v>
      </c>
      <c r="DT97">
        <v>0.242856</v>
      </c>
      <c r="DU97">
        <v>0.3561434444444445</v>
      </c>
      <c r="DV97">
        <v>430.2544444444445</v>
      </c>
      <c r="DW97">
        <v>429.9313333333333</v>
      </c>
      <c r="DX97">
        <v>-0.09378067777777778</v>
      </c>
      <c r="DY97">
        <v>419.9794444444444</v>
      </c>
      <c r="DZ97">
        <v>23.1472</v>
      </c>
      <c r="EA97">
        <v>2.093058888888889</v>
      </c>
      <c r="EB97">
        <v>2.101573333333333</v>
      </c>
      <c r="EC97">
        <v>18.16644444444444</v>
      </c>
      <c r="ED97">
        <v>18.23107777777778</v>
      </c>
      <c r="EE97">
        <v>0.00500078</v>
      </c>
      <c r="EF97">
        <v>0</v>
      </c>
      <c r="EG97">
        <v>0</v>
      </c>
      <c r="EH97">
        <v>0</v>
      </c>
      <c r="EI97">
        <v>79.76666666666667</v>
      </c>
      <c r="EJ97">
        <v>0.00500078</v>
      </c>
      <c r="EK97">
        <v>-14.84444444444444</v>
      </c>
      <c r="EL97">
        <v>-0.3444444444444444</v>
      </c>
      <c r="EM97">
        <v>35.65255555555555</v>
      </c>
      <c r="EN97">
        <v>40.01377777777778</v>
      </c>
      <c r="EO97">
        <v>37.81222222222222</v>
      </c>
      <c r="EP97">
        <v>40.62477777777778</v>
      </c>
      <c r="EQ97">
        <v>38.95811111111111</v>
      </c>
      <c r="ER97">
        <v>0</v>
      </c>
      <c r="ES97">
        <v>0</v>
      </c>
      <c r="ET97">
        <v>0</v>
      </c>
      <c r="EU97">
        <v>1761018608.5</v>
      </c>
      <c r="EV97">
        <v>0</v>
      </c>
      <c r="EW97">
        <v>78.05199999999999</v>
      </c>
      <c r="EX97">
        <v>5.476922854163735</v>
      </c>
      <c r="EY97">
        <v>8.130769343465561</v>
      </c>
      <c r="EZ97">
        <v>-15.016</v>
      </c>
      <c r="FA97">
        <v>15</v>
      </c>
      <c r="FB97">
        <v>1761018425</v>
      </c>
      <c r="FC97" t="s">
        <v>551</v>
      </c>
      <c r="FD97">
        <v>1761018422.5</v>
      </c>
      <c r="FE97">
        <v>1761018425</v>
      </c>
      <c r="FF97">
        <v>25</v>
      </c>
      <c r="FG97">
        <v>-0.524</v>
      </c>
      <c r="FH97">
        <v>-0.005</v>
      </c>
      <c r="FI97">
        <v>-1.348</v>
      </c>
      <c r="FJ97">
        <v>0.192</v>
      </c>
      <c r="FK97">
        <v>420</v>
      </c>
      <c r="FL97">
        <v>24</v>
      </c>
      <c r="FM97">
        <v>0.38</v>
      </c>
      <c r="FN97">
        <v>0.08</v>
      </c>
      <c r="FO97">
        <v>0.363955675</v>
      </c>
      <c r="FP97">
        <v>0.2942518536585362</v>
      </c>
      <c r="FQ97">
        <v>0.07281067270235439</v>
      </c>
      <c r="FR97">
        <v>1</v>
      </c>
      <c r="FS97">
        <v>77.97647058823529</v>
      </c>
      <c r="FT97">
        <v>4.418640098219783</v>
      </c>
      <c r="FU97">
        <v>5.89686151936322</v>
      </c>
      <c r="FV97">
        <v>0</v>
      </c>
      <c r="FW97">
        <v>0.07014170975</v>
      </c>
      <c r="FX97">
        <v>-1.238175395459662</v>
      </c>
      <c r="FY97">
        <v>0.1236355310275709</v>
      </c>
      <c r="FZ97">
        <v>0</v>
      </c>
      <c r="GA97">
        <v>1</v>
      </c>
      <c r="GB97">
        <v>3</v>
      </c>
      <c r="GC97" t="s">
        <v>431</v>
      </c>
      <c r="GD97">
        <v>3.10948</v>
      </c>
      <c r="GE97">
        <v>2.72573</v>
      </c>
      <c r="GF97">
        <v>0.08882470000000001</v>
      </c>
      <c r="GG97">
        <v>0.08858920000000001</v>
      </c>
      <c r="GH97">
        <v>0.10596</v>
      </c>
      <c r="GI97">
        <v>0.107365</v>
      </c>
      <c r="GJ97">
        <v>23915.9</v>
      </c>
      <c r="GK97">
        <v>21673.5</v>
      </c>
      <c r="GL97">
        <v>26804.7</v>
      </c>
      <c r="GM97">
        <v>23986</v>
      </c>
      <c r="GN97">
        <v>38291.8</v>
      </c>
      <c r="GO97">
        <v>31583.3</v>
      </c>
      <c r="GP97">
        <v>46785.6</v>
      </c>
      <c r="GQ97">
        <v>37918</v>
      </c>
      <c r="GR97">
        <v>1.89382</v>
      </c>
      <c r="GS97">
        <v>1.8864</v>
      </c>
      <c r="GT97">
        <v>0.13357</v>
      </c>
      <c r="GU97">
        <v>0</v>
      </c>
      <c r="GV97">
        <v>27.828</v>
      </c>
      <c r="GW97">
        <v>999.9</v>
      </c>
      <c r="GX97">
        <v>63.8</v>
      </c>
      <c r="GY97">
        <v>28.8</v>
      </c>
      <c r="GZ97">
        <v>27.9376</v>
      </c>
      <c r="HA97">
        <v>61.7573</v>
      </c>
      <c r="HB97">
        <v>20.0841</v>
      </c>
      <c r="HC97">
        <v>1</v>
      </c>
      <c r="HD97">
        <v>0.0191819</v>
      </c>
      <c r="HE97">
        <v>-2.07054</v>
      </c>
      <c r="HF97">
        <v>20.3255</v>
      </c>
      <c r="HG97">
        <v>5.22088</v>
      </c>
      <c r="HH97">
        <v>11.98</v>
      </c>
      <c r="HI97">
        <v>4.9657</v>
      </c>
      <c r="HJ97">
        <v>3.27598</v>
      </c>
      <c r="HK97">
        <v>9999</v>
      </c>
      <c r="HL97">
        <v>9999</v>
      </c>
      <c r="HM97">
        <v>9999</v>
      </c>
      <c r="HN97">
        <v>999.9</v>
      </c>
      <c r="HO97">
        <v>1.8636</v>
      </c>
      <c r="HP97">
        <v>1.85974</v>
      </c>
      <c r="HQ97">
        <v>1.858</v>
      </c>
      <c r="HR97">
        <v>1.85942</v>
      </c>
      <c r="HS97">
        <v>1.85959</v>
      </c>
      <c r="HT97">
        <v>1.85805</v>
      </c>
      <c r="HU97">
        <v>1.85706</v>
      </c>
      <c r="HV97">
        <v>1.85207</v>
      </c>
      <c r="HW97">
        <v>0</v>
      </c>
      <c r="HX97">
        <v>0</v>
      </c>
      <c r="HY97">
        <v>0</v>
      </c>
      <c r="HZ97">
        <v>0</v>
      </c>
      <c r="IA97" t="s">
        <v>424</v>
      </c>
      <c r="IB97" t="s">
        <v>425</v>
      </c>
      <c r="IC97" t="s">
        <v>426</v>
      </c>
      <c r="ID97" t="s">
        <v>426</v>
      </c>
      <c r="IE97" t="s">
        <v>426</v>
      </c>
      <c r="IF97" t="s">
        <v>426</v>
      </c>
      <c r="IG97">
        <v>0</v>
      </c>
      <c r="IH97">
        <v>100</v>
      </c>
      <c r="II97">
        <v>100</v>
      </c>
      <c r="IJ97">
        <v>-1.347</v>
      </c>
      <c r="IK97">
        <v>0.1785</v>
      </c>
      <c r="IL97">
        <v>-2.136943090880341</v>
      </c>
      <c r="IM97">
        <v>0.001328113201692861</v>
      </c>
      <c r="IN97">
        <v>1.538283238170363E-06</v>
      </c>
      <c r="IO97">
        <v>-5.795655626708063E-10</v>
      </c>
      <c r="IP97">
        <v>-0.06045740820250394</v>
      </c>
      <c r="IQ97">
        <v>-0.004593102289677449</v>
      </c>
      <c r="IR97">
        <v>0.0008253994458280543</v>
      </c>
      <c r="IS97">
        <v>-7.403632370499484E-06</v>
      </c>
      <c r="IT97">
        <v>2</v>
      </c>
      <c r="IU97">
        <v>1985</v>
      </c>
      <c r="IV97">
        <v>1</v>
      </c>
      <c r="IW97">
        <v>27</v>
      </c>
      <c r="IX97">
        <v>3.1</v>
      </c>
      <c r="IY97">
        <v>3.1</v>
      </c>
      <c r="IZ97">
        <v>1.12549</v>
      </c>
      <c r="JA97">
        <v>2.58789</v>
      </c>
      <c r="JB97">
        <v>1.49658</v>
      </c>
      <c r="JC97">
        <v>2.34253</v>
      </c>
      <c r="JD97">
        <v>1.54907</v>
      </c>
      <c r="JE97">
        <v>2.37061</v>
      </c>
      <c r="JF97">
        <v>31.8927</v>
      </c>
      <c r="JG97">
        <v>14.5786</v>
      </c>
      <c r="JH97">
        <v>18</v>
      </c>
      <c r="JI97">
        <v>482.774</v>
      </c>
      <c r="JJ97">
        <v>507.826</v>
      </c>
      <c r="JK97">
        <v>30.9264</v>
      </c>
      <c r="JL97">
        <v>27.5065</v>
      </c>
      <c r="JM97">
        <v>29.9996</v>
      </c>
      <c r="JN97">
        <v>27.8247</v>
      </c>
      <c r="JO97">
        <v>27.8365</v>
      </c>
      <c r="JP97">
        <v>22.6341</v>
      </c>
      <c r="JQ97">
        <v>20.3566</v>
      </c>
      <c r="JR97">
        <v>83.46729999999999</v>
      </c>
      <c r="JS97">
        <v>30.9189</v>
      </c>
      <c r="JT97">
        <v>420</v>
      </c>
      <c r="JU97">
        <v>23.1733</v>
      </c>
      <c r="JV97">
        <v>102.31</v>
      </c>
      <c r="JW97">
        <v>91.4725</v>
      </c>
    </row>
    <row r="98" spans="1:283">
      <c r="A98">
        <v>80</v>
      </c>
      <c r="B98">
        <v>1761018611.6</v>
      </c>
      <c r="C98">
        <v>542.0999999046326</v>
      </c>
      <c r="D98" t="s">
        <v>588</v>
      </c>
      <c r="E98" t="s">
        <v>589</v>
      </c>
      <c r="F98">
        <v>5</v>
      </c>
      <c r="G98" t="s">
        <v>489</v>
      </c>
      <c r="H98">
        <v>1761018608.6</v>
      </c>
      <c r="I98">
        <f>(J98)/1000</f>
        <v>0</v>
      </c>
      <c r="J98">
        <f>1000*DJ98*AH98*(DF98-DG98)/(100*CY98*(1000-AH98*DF98))</f>
        <v>0</v>
      </c>
      <c r="K98">
        <f>DJ98*AH98*(DE98-DD98*(1000-AH98*DG98)/(1000-AH98*DF98))/(100*CY98)</f>
        <v>0</v>
      </c>
      <c r="L98">
        <f>DD98 - IF(AH98&gt;1, K98*CY98*100.0/(AJ98), 0)</f>
        <v>0</v>
      </c>
      <c r="M98">
        <f>((S98-I98/2)*L98-K98)/(S98+I98/2)</f>
        <v>0</v>
      </c>
      <c r="N98">
        <f>M98*(DK98+DL98)/1000.0</f>
        <v>0</v>
      </c>
      <c r="O98">
        <f>(DD98 - IF(AH98&gt;1, K98*CY98*100.0/(AJ98), 0))*(DK98+DL98)/1000.0</f>
        <v>0</v>
      </c>
      <c r="P98">
        <f>2.0/((1/R98-1/Q98)+SIGN(R98)*SQRT((1/R98-1/Q98)*(1/R98-1/Q98) + 4*CZ98/((CZ98+1)*(CZ98+1))*(2*1/R98*1/Q98-1/Q98*1/Q98)))</f>
        <v>0</v>
      </c>
      <c r="Q98">
        <f>IF(LEFT(DA98,1)&lt;&gt;"0",IF(LEFT(DA98,1)="1",3.0,DB98),$D$5+$E$5*(DR98*DK98/($K$5*1000))+$F$5*(DR98*DK98/($K$5*1000))*MAX(MIN(CY98,$J$5),$I$5)*MAX(MIN(CY98,$J$5),$I$5)+$G$5*MAX(MIN(CY98,$J$5),$I$5)*(DR98*DK98/($K$5*1000))+$H$5*(DR98*DK98/($K$5*1000))*(DR98*DK98/($K$5*1000)))</f>
        <v>0</v>
      </c>
      <c r="R98">
        <f>I98*(1000-(1000*0.61365*exp(17.502*V98/(240.97+V98))/(DK98+DL98)+DF98)/2)/(1000*0.61365*exp(17.502*V98/(240.97+V98))/(DK98+DL98)-DF98)</f>
        <v>0</v>
      </c>
      <c r="S98">
        <f>1/((CZ98+1)/(P98/1.6)+1/(Q98/1.37)) + CZ98/((CZ98+1)/(P98/1.6) + CZ98/(Q98/1.37))</f>
        <v>0</v>
      </c>
      <c r="T98">
        <f>(CU98*CX98)</f>
        <v>0</v>
      </c>
      <c r="U98">
        <f>(DM98+(T98+2*0.95*5.67E-8*(((DM98+$B$9)+273)^4-(DM98+273)^4)-44100*I98)/(1.84*29.3*Q98+8*0.95*5.67E-8*(DM98+273)^3))</f>
        <v>0</v>
      </c>
      <c r="V98">
        <f>($C$9*DN98+$D$9*DO98+$E$9*U98)</f>
        <v>0</v>
      </c>
      <c r="W98">
        <f>0.61365*exp(17.502*V98/(240.97+V98))</f>
        <v>0</v>
      </c>
      <c r="X98">
        <f>(Y98/Z98*100)</f>
        <v>0</v>
      </c>
      <c r="Y98">
        <f>DF98*(DK98+DL98)/1000</f>
        <v>0</v>
      </c>
      <c r="Z98">
        <f>0.61365*exp(17.502*DM98/(240.97+DM98))</f>
        <v>0</v>
      </c>
      <c r="AA98">
        <f>(W98-DF98*(DK98+DL98)/1000)</f>
        <v>0</v>
      </c>
      <c r="AB98">
        <f>(-I98*44100)</f>
        <v>0</v>
      </c>
      <c r="AC98">
        <f>2*29.3*Q98*0.92*(DM98-V98)</f>
        <v>0</v>
      </c>
      <c r="AD98">
        <f>2*0.95*5.67E-8*(((DM98+$B$9)+273)^4-(V98+273)^4)</f>
        <v>0</v>
      </c>
      <c r="AE98">
        <f>T98+AD98+AB98+AC98</f>
        <v>0</v>
      </c>
      <c r="AF98">
        <v>0</v>
      </c>
      <c r="AG98">
        <v>0</v>
      </c>
      <c r="AH98">
        <f>IF(AF98*$H$15&gt;=AJ98,1.0,(AJ98/(AJ98-AF98*$H$15)))</f>
        <v>0</v>
      </c>
      <c r="AI98">
        <f>(AH98-1)*100</f>
        <v>0</v>
      </c>
      <c r="AJ98">
        <f>MAX(0,($B$15+$C$15*DR98)/(1+$D$15*DR98)*DK98/(DM98+273)*$E$15)</f>
        <v>0</v>
      </c>
      <c r="AK98" t="s">
        <v>420</v>
      </c>
      <c r="AL98" t="s">
        <v>420</v>
      </c>
      <c r="AM98">
        <v>0</v>
      </c>
      <c r="AN98">
        <v>0</v>
      </c>
      <c r="AO98">
        <f>1-AM98/AN98</f>
        <v>0</v>
      </c>
      <c r="AP98">
        <v>0</v>
      </c>
      <c r="AQ98" t="s">
        <v>420</v>
      </c>
      <c r="AR98" t="s">
        <v>420</v>
      </c>
      <c r="AS98">
        <v>0</v>
      </c>
      <c r="AT98">
        <v>0</v>
      </c>
      <c r="AU98">
        <f>1-AS98/AT98</f>
        <v>0</v>
      </c>
      <c r="AV98">
        <v>0.5</v>
      </c>
      <c r="AW98">
        <f>CV98</f>
        <v>0</v>
      </c>
      <c r="AX98">
        <f>K98</f>
        <v>0</v>
      </c>
      <c r="AY98">
        <f>AU98*AV98*AW98</f>
        <v>0</v>
      </c>
      <c r="AZ98">
        <f>(AX98-AP98)/AW98</f>
        <v>0</v>
      </c>
      <c r="BA98">
        <f>(AN98-AT98)/AT98</f>
        <v>0</v>
      </c>
      <c r="BB98">
        <f>AM98/(AO98+AM98/AT98)</f>
        <v>0</v>
      </c>
      <c r="BC98" t="s">
        <v>420</v>
      </c>
      <c r="BD98">
        <v>0</v>
      </c>
      <c r="BE98">
        <f>IF(BD98&lt;&gt;0, BD98, BB98)</f>
        <v>0</v>
      </c>
      <c r="BF98">
        <f>1-BE98/AT98</f>
        <v>0</v>
      </c>
      <c r="BG98">
        <f>(AT98-AS98)/(AT98-BE98)</f>
        <v>0</v>
      </c>
      <c r="BH98">
        <f>(AN98-AT98)/(AN98-BE98)</f>
        <v>0</v>
      </c>
      <c r="BI98">
        <f>(AT98-AS98)/(AT98-AM98)</f>
        <v>0</v>
      </c>
      <c r="BJ98">
        <f>(AN98-AT98)/(AN98-AM98)</f>
        <v>0</v>
      </c>
      <c r="BK98">
        <f>(BG98*BE98/AS98)</f>
        <v>0</v>
      </c>
      <c r="BL98">
        <f>(1-BK98)</f>
        <v>0</v>
      </c>
      <c r="CU98">
        <f>$B$13*DS98+$C$13*DT98+$F$13*EE98*(1-EH98)</f>
        <v>0</v>
      </c>
      <c r="CV98">
        <f>CU98*CW98</f>
        <v>0</v>
      </c>
      <c r="CW98">
        <f>($B$13*$D$11+$C$13*$D$11+$F$13*((ER98+EJ98)/MAX(ER98+EJ98+ES98, 0.1)*$I$11+ES98/MAX(ER98+EJ98+ES98, 0.1)*$J$11))/($B$13+$C$13+$F$13)</f>
        <v>0</v>
      </c>
      <c r="CX98">
        <f>($B$13*$K$11+$C$13*$K$11+$F$13*((ER98+EJ98)/MAX(ER98+EJ98+ES98, 0.1)*$P$11+ES98/MAX(ER98+EJ98+ES98, 0.1)*$Q$11))/($B$13+$C$13+$F$13)</f>
        <v>0</v>
      </c>
      <c r="CY98">
        <v>1.37</v>
      </c>
      <c r="CZ98">
        <v>0.5</v>
      </c>
      <c r="DA98" t="s">
        <v>421</v>
      </c>
      <c r="DB98">
        <v>2</v>
      </c>
      <c r="DC98">
        <v>1761018608.6</v>
      </c>
      <c r="DD98">
        <v>420.3351111111111</v>
      </c>
      <c r="DE98">
        <v>419.9680000000001</v>
      </c>
      <c r="DF98">
        <v>23.07416666666667</v>
      </c>
      <c r="DG98">
        <v>23.18637777777778</v>
      </c>
      <c r="DH98">
        <v>421.682</v>
      </c>
      <c r="DI98">
        <v>22.89595555555555</v>
      </c>
      <c r="DJ98">
        <v>500.008</v>
      </c>
      <c r="DK98">
        <v>90.79134444444445</v>
      </c>
      <c r="DL98">
        <v>0.03409694444444445</v>
      </c>
      <c r="DM98">
        <v>29.70284444444444</v>
      </c>
      <c r="DN98">
        <v>30.00386666666666</v>
      </c>
      <c r="DO98">
        <v>999.9000000000001</v>
      </c>
      <c r="DP98">
        <v>0</v>
      </c>
      <c r="DQ98">
        <v>0</v>
      </c>
      <c r="DR98">
        <v>10004.58</v>
      </c>
      <c r="DS98">
        <v>0</v>
      </c>
      <c r="DT98">
        <v>0.242856</v>
      </c>
      <c r="DU98">
        <v>0.367079</v>
      </c>
      <c r="DV98">
        <v>430.2628888888889</v>
      </c>
      <c r="DW98">
        <v>429.9368888888889</v>
      </c>
      <c r="DX98">
        <v>-0.1121906222222222</v>
      </c>
      <c r="DY98">
        <v>419.9680000000001</v>
      </c>
      <c r="DZ98">
        <v>23.18637777777778</v>
      </c>
      <c r="EA98">
        <v>2.094936666666667</v>
      </c>
      <c r="EB98">
        <v>2.105122222222223</v>
      </c>
      <c r="EC98">
        <v>18.18072222222222</v>
      </c>
      <c r="ED98">
        <v>18.25796666666667</v>
      </c>
      <c r="EE98">
        <v>0.00500078</v>
      </c>
      <c r="EF98">
        <v>0</v>
      </c>
      <c r="EG98">
        <v>0</v>
      </c>
      <c r="EH98">
        <v>0</v>
      </c>
      <c r="EI98">
        <v>80.8111111111111</v>
      </c>
      <c r="EJ98">
        <v>0.00500078</v>
      </c>
      <c r="EK98">
        <v>-12.55555555555556</v>
      </c>
      <c r="EL98">
        <v>0.1666666666666667</v>
      </c>
      <c r="EM98">
        <v>35.65255555555555</v>
      </c>
      <c r="EN98">
        <v>40.03444444444445</v>
      </c>
      <c r="EO98">
        <v>37.88866666666667</v>
      </c>
      <c r="EP98">
        <v>40.64555555555555</v>
      </c>
      <c r="EQ98">
        <v>39.02077777777778</v>
      </c>
      <c r="ER98">
        <v>0</v>
      </c>
      <c r="ES98">
        <v>0</v>
      </c>
      <c r="ET98">
        <v>0</v>
      </c>
      <c r="EU98">
        <v>1761018610.9</v>
      </c>
      <c r="EV98">
        <v>0</v>
      </c>
      <c r="EW98">
        <v>77.06400000000002</v>
      </c>
      <c r="EX98">
        <v>22.23846102054791</v>
      </c>
      <c r="EY98">
        <v>15.38461548064111</v>
      </c>
      <c r="EZ98">
        <v>-13.804</v>
      </c>
      <c r="FA98">
        <v>15</v>
      </c>
      <c r="FB98">
        <v>1761018425</v>
      </c>
      <c r="FC98" t="s">
        <v>551</v>
      </c>
      <c r="FD98">
        <v>1761018422.5</v>
      </c>
      <c r="FE98">
        <v>1761018425</v>
      </c>
      <c r="FF98">
        <v>25</v>
      </c>
      <c r="FG98">
        <v>-0.524</v>
      </c>
      <c r="FH98">
        <v>-0.005</v>
      </c>
      <c r="FI98">
        <v>-1.348</v>
      </c>
      <c r="FJ98">
        <v>0.192</v>
      </c>
      <c r="FK98">
        <v>420</v>
      </c>
      <c r="FL98">
        <v>24</v>
      </c>
      <c r="FM98">
        <v>0.38</v>
      </c>
      <c r="FN98">
        <v>0.08</v>
      </c>
      <c r="FO98">
        <v>0.3737993902439025</v>
      </c>
      <c r="FP98">
        <v>0.2062834703832765</v>
      </c>
      <c r="FQ98">
        <v>0.06592454369881137</v>
      </c>
      <c r="FR98">
        <v>1</v>
      </c>
      <c r="FS98">
        <v>78.37352941176471</v>
      </c>
      <c r="FT98">
        <v>10.54087080448125</v>
      </c>
      <c r="FU98">
        <v>6.071694638117657</v>
      </c>
      <c r="FV98">
        <v>0</v>
      </c>
      <c r="FW98">
        <v>0.05095869243902439</v>
      </c>
      <c r="FX98">
        <v>-1.276964483414634</v>
      </c>
      <c r="FY98">
        <v>0.1287664249294908</v>
      </c>
      <c r="FZ98">
        <v>0</v>
      </c>
      <c r="GA98">
        <v>1</v>
      </c>
      <c r="GB98">
        <v>3</v>
      </c>
      <c r="GC98" t="s">
        <v>431</v>
      </c>
      <c r="GD98">
        <v>3.10926</v>
      </c>
      <c r="GE98">
        <v>2.72591</v>
      </c>
      <c r="GF98">
        <v>0.08882180000000001</v>
      </c>
      <c r="GG98">
        <v>0.0885821</v>
      </c>
      <c r="GH98">
        <v>0.106039</v>
      </c>
      <c r="GI98">
        <v>0.107418</v>
      </c>
      <c r="GJ98">
        <v>23916.1</v>
      </c>
      <c r="GK98">
        <v>21673.7</v>
      </c>
      <c r="GL98">
        <v>26804.8</v>
      </c>
      <c r="GM98">
        <v>23986</v>
      </c>
      <c r="GN98">
        <v>38288.6</v>
      </c>
      <c r="GO98">
        <v>31581.2</v>
      </c>
      <c r="GP98">
        <v>46786</v>
      </c>
      <c r="GQ98">
        <v>37917.8</v>
      </c>
      <c r="GR98">
        <v>1.89328</v>
      </c>
      <c r="GS98">
        <v>1.88673</v>
      </c>
      <c r="GT98">
        <v>0.133812</v>
      </c>
      <c r="GU98">
        <v>0</v>
      </c>
      <c r="GV98">
        <v>27.8266</v>
      </c>
      <c r="GW98">
        <v>999.9</v>
      </c>
      <c r="GX98">
        <v>63.8</v>
      </c>
      <c r="GY98">
        <v>28.8</v>
      </c>
      <c r="GZ98">
        <v>27.9352</v>
      </c>
      <c r="HA98">
        <v>60.8973</v>
      </c>
      <c r="HB98">
        <v>20.3165</v>
      </c>
      <c r="HC98">
        <v>1</v>
      </c>
      <c r="HD98">
        <v>0.0189355</v>
      </c>
      <c r="HE98">
        <v>-2.07922</v>
      </c>
      <c r="HF98">
        <v>20.3255</v>
      </c>
      <c r="HG98">
        <v>5.22088</v>
      </c>
      <c r="HH98">
        <v>11.98</v>
      </c>
      <c r="HI98">
        <v>4.96545</v>
      </c>
      <c r="HJ98">
        <v>3.276</v>
      </c>
      <c r="HK98">
        <v>9999</v>
      </c>
      <c r="HL98">
        <v>9999</v>
      </c>
      <c r="HM98">
        <v>9999</v>
      </c>
      <c r="HN98">
        <v>999.9</v>
      </c>
      <c r="HO98">
        <v>1.86359</v>
      </c>
      <c r="HP98">
        <v>1.85974</v>
      </c>
      <c r="HQ98">
        <v>1.85801</v>
      </c>
      <c r="HR98">
        <v>1.85942</v>
      </c>
      <c r="HS98">
        <v>1.85959</v>
      </c>
      <c r="HT98">
        <v>1.85804</v>
      </c>
      <c r="HU98">
        <v>1.85705</v>
      </c>
      <c r="HV98">
        <v>1.85204</v>
      </c>
      <c r="HW98">
        <v>0</v>
      </c>
      <c r="HX98">
        <v>0</v>
      </c>
      <c r="HY98">
        <v>0</v>
      </c>
      <c r="HZ98">
        <v>0</v>
      </c>
      <c r="IA98" t="s">
        <v>424</v>
      </c>
      <c r="IB98" t="s">
        <v>425</v>
      </c>
      <c r="IC98" t="s">
        <v>426</v>
      </c>
      <c r="ID98" t="s">
        <v>426</v>
      </c>
      <c r="IE98" t="s">
        <v>426</v>
      </c>
      <c r="IF98" t="s">
        <v>426</v>
      </c>
      <c r="IG98">
        <v>0</v>
      </c>
      <c r="IH98">
        <v>100</v>
      </c>
      <c r="II98">
        <v>100</v>
      </c>
      <c r="IJ98">
        <v>-1.347</v>
      </c>
      <c r="IK98">
        <v>0.179</v>
      </c>
      <c r="IL98">
        <v>-2.136943090880341</v>
      </c>
      <c r="IM98">
        <v>0.001328113201692861</v>
      </c>
      <c r="IN98">
        <v>1.538283238170363E-06</v>
      </c>
      <c r="IO98">
        <v>-5.795655626708063E-10</v>
      </c>
      <c r="IP98">
        <v>-0.06045740820250394</v>
      </c>
      <c r="IQ98">
        <v>-0.004593102289677449</v>
      </c>
      <c r="IR98">
        <v>0.0008253994458280543</v>
      </c>
      <c r="IS98">
        <v>-7.403632370499484E-06</v>
      </c>
      <c r="IT98">
        <v>2</v>
      </c>
      <c r="IU98">
        <v>1985</v>
      </c>
      <c r="IV98">
        <v>1</v>
      </c>
      <c r="IW98">
        <v>27</v>
      </c>
      <c r="IX98">
        <v>3.2</v>
      </c>
      <c r="IY98">
        <v>3.1</v>
      </c>
      <c r="IZ98">
        <v>1.12549</v>
      </c>
      <c r="JA98">
        <v>2.57446</v>
      </c>
      <c r="JB98">
        <v>1.49658</v>
      </c>
      <c r="JC98">
        <v>2.34253</v>
      </c>
      <c r="JD98">
        <v>1.54907</v>
      </c>
      <c r="JE98">
        <v>2.4353</v>
      </c>
      <c r="JF98">
        <v>31.8927</v>
      </c>
      <c r="JG98">
        <v>14.5786</v>
      </c>
      <c r="JH98">
        <v>18</v>
      </c>
      <c r="JI98">
        <v>482.438</v>
      </c>
      <c r="JJ98">
        <v>508.023</v>
      </c>
      <c r="JK98">
        <v>30.9221</v>
      </c>
      <c r="JL98">
        <v>27.5036</v>
      </c>
      <c r="JM98">
        <v>29.9996</v>
      </c>
      <c r="JN98">
        <v>27.8224</v>
      </c>
      <c r="JO98">
        <v>27.8342</v>
      </c>
      <c r="JP98">
        <v>22.6353</v>
      </c>
      <c r="JQ98">
        <v>20.3566</v>
      </c>
      <c r="JR98">
        <v>83.46729999999999</v>
      </c>
      <c r="JS98">
        <v>30.9189</v>
      </c>
      <c r="JT98">
        <v>420</v>
      </c>
      <c r="JU98">
        <v>23.1729</v>
      </c>
      <c r="JV98">
        <v>102.311</v>
      </c>
      <c r="JW98">
        <v>91.4721</v>
      </c>
    </row>
    <row r="99" spans="1:283">
      <c r="A99">
        <v>81</v>
      </c>
      <c r="B99">
        <v>1761018613.6</v>
      </c>
      <c r="C99">
        <v>544.0999999046326</v>
      </c>
      <c r="D99" t="s">
        <v>590</v>
      </c>
      <c r="E99" t="s">
        <v>591</v>
      </c>
      <c r="F99">
        <v>5</v>
      </c>
      <c r="G99" t="s">
        <v>489</v>
      </c>
      <c r="H99">
        <v>1761018610.6</v>
      </c>
      <c r="I99">
        <f>(J99)/1000</f>
        <v>0</v>
      </c>
      <c r="J99">
        <f>1000*DJ99*AH99*(DF99-DG99)/(100*CY99*(1000-AH99*DF99))</f>
        <v>0</v>
      </c>
      <c r="K99">
        <f>DJ99*AH99*(DE99-DD99*(1000-AH99*DG99)/(1000-AH99*DF99))/(100*CY99)</f>
        <v>0</v>
      </c>
      <c r="L99">
        <f>DD99 - IF(AH99&gt;1, K99*CY99*100.0/(AJ99), 0)</f>
        <v>0</v>
      </c>
      <c r="M99">
        <f>((S99-I99/2)*L99-K99)/(S99+I99/2)</f>
        <v>0</v>
      </c>
      <c r="N99">
        <f>M99*(DK99+DL99)/1000.0</f>
        <v>0</v>
      </c>
      <c r="O99">
        <f>(DD99 - IF(AH99&gt;1, K99*CY99*100.0/(AJ99), 0))*(DK99+DL99)/1000.0</f>
        <v>0</v>
      </c>
      <c r="P99">
        <f>2.0/((1/R99-1/Q99)+SIGN(R99)*SQRT((1/R99-1/Q99)*(1/R99-1/Q99) + 4*CZ99/((CZ99+1)*(CZ99+1))*(2*1/R99*1/Q99-1/Q99*1/Q99)))</f>
        <v>0</v>
      </c>
      <c r="Q99">
        <f>IF(LEFT(DA99,1)&lt;&gt;"0",IF(LEFT(DA99,1)="1",3.0,DB99),$D$5+$E$5*(DR99*DK99/($K$5*1000))+$F$5*(DR99*DK99/($K$5*1000))*MAX(MIN(CY99,$J$5),$I$5)*MAX(MIN(CY99,$J$5),$I$5)+$G$5*MAX(MIN(CY99,$J$5),$I$5)*(DR99*DK99/($K$5*1000))+$H$5*(DR99*DK99/($K$5*1000))*(DR99*DK99/($K$5*1000)))</f>
        <v>0</v>
      </c>
      <c r="R99">
        <f>I99*(1000-(1000*0.61365*exp(17.502*V99/(240.97+V99))/(DK99+DL99)+DF99)/2)/(1000*0.61365*exp(17.502*V99/(240.97+V99))/(DK99+DL99)-DF99)</f>
        <v>0</v>
      </c>
      <c r="S99">
        <f>1/((CZ99+1)/(P99/1.6)+1/(Q99/1.37)) + CZ99/((CZ99+1)/(P99/1.6) + CZ99/(Q99/1.37))</f>
        <v>0</v>
      </c>
      <c r="T99">
        <f>(CU99*CX99)</f>
        <v>0</v>
      </c>
      <c r="U99">
        <f>(DM99+(T99+2*0.95*5.67E-8*(((DM99+$B$9)+273)^4-(DM99+273)^4)-44100*I99)/(1.84*29.3*Q99+8*0.95*5.67E-8*(DM99+273)^3))</f>
        <v>0</v>
      </c>
      <c r="V99">
        <f>($C$9*DN99+$D$9*DO99+$E$9*U99)</f>
        <v>0</v>
      </c>
      <c r="W99">
        <f>0.61365*exp(17.502*V99/(240.97+V99))</f>
        <v>0</v>
      </c>
      <c r="X99">
        <f>(Y99/Z99*100)</f>
        <v>0</v>
      </c>
      <c r="Y99">
        <f>DF99*(DK99+DL99)/1000</f>
        <v>0</v>
      </c>
      <c r="Z99">
        <f>0.61365*exp(17.502*DM99/(240.97+DM99))</f>
        <v>0</v>
      </c>
      <c r="AA99">
        <f>(W99-DF99*(DK99+DL99)/1000)</f>
        <v>0</v>
      </c>
      <c r="AB99">
        <f>(-I99*44100)</f>
        <v>0</v>
      </c>
      <c r="AC99">
        <f>2*29.3*Q99*0.92*(DM99-V99)</f>
        <v>0</v>
      </c>
      <c r="AD99">
        <f>2*0.95*5.67E-8*(((DM99+$B$9)+273)^4-(V99+273)^4)</f>
        <v>0</v>
      </c>
      <c r="AE99">
        <f>T99+AD99+AB99+AC99</f>
        <v>0</v>
      </c>
      <c r="AF99">
        <v>0</v>
      </c>
      <c r="AG99">
        <v>0</v>
      </c>
      <c r="AH99">
        <f>IF(AF99*$H$15&gt;=AJ99,1.0,(AJ99/(AJ99-AF99*$H$15)))</f>
        <v>0</v>
      </c>
      <c r="AI99">
        <f>(AH99-1)*100</f>
        <v>0</v>
      </c>
      <c r="AJ99">
        <f>MAX(0,($B$15+$C$15*DR99)/(1+$D$15*DR99)*DK99/(DM99+273)*$E$15)</f>
        <v>0</v>
      </c>
      <c r="AK99" t="s">
        <v>420</v>
      </c>
      <c r="AL99" t="s">
        <v>420</v>
      </c>
      <c r="AM99">
        <v>0</v>
      </c>
      <c r="AN99">
        <v>0</v>
      </c>
      <c r="AO99">
        <f>1-AM99/AN99</f>
        <v>0</v>
      </c>
      <c r="AP99">
        <v>0</v>
      </c>
      <c r="AQ99" t="s">
        <v>420</v>
      </c>
      <c r="AR99" t="s">
        <v>420</v>
      </c>
      <c r="AS99">
        <v>0</v>
      </c>
      <c r="AT99">
        <v>0</v>
      </c>
      <c r="AU99">
        <f>1-AS99/AT99</f>
        <v>0</v>
      </c>
      <c r="AV99">
        <v>0.5</v>
      </c>
      <c r="AW99">
        <f>CV99</f>
        <v>0</v>
      </c>
      <c r="AX99">
        <f>K99</f>
        <v>0</v>
      </c>
      <c r="AY99">
        <f>AU99*AV99*AW99</f>
        <v>0</v>
      </c>
      <c r="AZ99">
        <f>(AX99-AP99)/AW99</f>
        <v>0</v>
      </c>
      <c r="BA99">
        <f>(AN99-AT99)/AT99</f>
        <v>0</v>
      </c>
      <c r="BB99">
        <f>AM99/(AO99+AM99/AT99)</f>
        <v>0</v>
      </c>
      <c r="BC99" t="s">
        <v>420</v>
      </c>
      <c r="BD99">
        <v>0</v>
      </c>
      <c r="BE99">
        <f>IF(BD99&lt;&gt;0, BD99, BB99)</f>
        <v>0</v>
      </c>
      <c r="BF99">
        <f>1-BE99/AT99</f>
        <v>0</v>
      </c>
      <c r="BG99">
        <f>(AT99-AS99)/(AT99-BE99)</f>
        <v>0</v>
      </c>
      <c r="BH99">
        <f>(AN99-AT99)/(AN99-BE99)</f>
        <v>0</v>
      </c>
      <c r="BI99">
        <f>(AT99-AS99)/(AT99-AM99)</f>
        <v>0</v>
      </c>
      <c r="BJ99">
        <f>(AN99-AT99)/(AN99-AM99)</f>
        <v>0</v>
      </c>
      <c r="BK99">
        <f>(BG99*BE99/AS99)</f>
        <v>0</v>
      </c>
      <c r="BL99">
        <f>(1-BK99)</f>
        <v>0</v>
      </c>
      <c r="CU99">
        <f>$B$13*DS99+$C$13*DT99+$F$13*EE99*(1-EH99)</f>
        <v>0</v>
      </c>
      <c r="CV99">
        <f>CU99*CW99</f>
        <v>0</v>
      </c>
      <c r="CW99">
        <f>($B$13*$D$11+$C$13*$D$11+$F$13*((ER99+EJ99)/MAX(ER99+EJ99+ES99, 0.1)*$I$11+ES99/MAX(ER99+EJ99+ES99, 0.1)*$J$11))/($B$13+$C$13+$F$13)</f>
        <v>0</v>
      </c>
      <c r="CX99">
        <f>($B$13*$K$11+$C$13*$K$11+$F$13*((ER99+EJ99)/MAX(ER99+EJ99+ES99, 0.1)*$P$11+ES99/MAX(ER99+EJ99+ES99, 0.1)*$Q$11))/($B$13+$C$13+$F$13)</f>
        <v>0</v>
      </c>
      <c r="CY99">
        <v>1.37</v>
      </c>
      <c r="CZ99">
        <v>0.5</v>
      </c>
      <c r="DA99" t="s">
        <v>421</v>
      </c>
      <c r="DB99">
        <v>2</v>
      </c>
      <c r="DC99">
        <v>1761018610.6</v>
      </c>
      <c r="DD99">
        <v>420.3387777777778</v>
      </c>
      <c r="DE99">
        <v>419.9444444444445</v>
      </c>
      <c r="DF99">
        <v>23.0981</v>
      </c>
      <c r="DG99">
        <v>23.2119</v>
      </c>
      <c r="DH99">
        <v>421.6856666666666</v>
      </c>
      <c r="DI99">
        <v>22.91938888888889</v>
      </c>
      <c r="DJ99">
        <v>499.9994444444444</v>
      </c>
      <c r="DK99">
        <v>90.79109999999999</v>
      </c>
      <c r="DL99">
        <v>0.03409325555555556</v>
      </c>
      <c r="DM99">
        <v>29.70242222222222</v>
      </c>
      <c r="DN99">
        <v>30.00622222222222</v>
      </c>
      <c r="DO99">
        <v>999.9000000000001</v>
      </c>
      <c r="DP99">
        <v>0</v>
      </c>
      <c r="DQ99">
        <v>0</v>
      </c>
      <c r="DR99">
        <v>9998.735555555557</v>
      </c>
      <c r="DS99">
        <v>0</v>
      </c>
      <c r="DT99">
        <v>0.242856</v>
      </c>
      <c r="DU99">
        <v>0.394165</v>
      </c>
      <c r="DV99">
        <v>430.2771111111111</v>
      </c>
      <c r="DW99">
        <v>429.9241111111111</v>
      </c>
      <c r="DX99">
        <v>-0.1137982222222222</v>
      </c>
      <c r="DY99">
        <v>419.9444444444445</v>
      </c>
      <c r="DZ99">
        <v>23.2119</v>
      </c>
      <c r="EA99">
        <v>2.097103333333334</v>
      </c>
      <c r="EB99">
        <v>2.107435555555556</v>
      </c>
      <c r="EC99">
        <v>18.19718888888889</v>
      </c>
      <c r="ED99">
        <v>18.27547777777778</v>
      </c>
      <c r="EE99">
        <v>0.00500078</v>
      </c>
      <c r="EF99">
        <v>0</v>
      </c>
      <c r="EG99">
        <v>0</v>
      </c>
      <c r="EH99">
        <v>0</v>
      </c>
      <c r="EI99">
        <v>79.52222222222223</v>
      </c>
      <c r="EJ99">
        <v>0.00500078</v>
      </c>
      <c r="EK99">
        <v>-12.77777777777778</v>
      </c>
      <c r="EL99">
        <v>0.04444444444444446</v>
      </c>
      <c r="EM99">
        <v>35.65933333333333</v>
      </c>
      <c r="EN99">
        <v>40.05511111111111</v>
      </c>
      <c r="EO99">
        <v>37.80533333333333</v>
      </c>
      <c r="EP99">
        <v>40.67322222222222</v>
      </c>
      <c r="EQ99">
        <v>38.99988888888889</v>
      </c>
      <c r="ER99">
        <v>0</v>
      </c>
      <c r="ES99">
        <v>0</v>
      </c>
      <c r="ET99">
        <v>0</v>
      </c>
      <c r="EU99">
        <v>1761018612.7</v>
      </c>
      <c r="EV99">
        <v>0</v>
      </c>
      <c r="EW99">
        <v>77.26153846153846</v>
      </c>
      <c r="EX99">
        <v>22.69401669957063</v>
      </c>
      <c r="EY99">
        <v>16.54017114973914</v>
      </c>
      <c r="EZ99">
        <v>-13.73076923076923</v>
      </c>
      <c r="FA99">
        <v>15</v>
      </c>
      <c r="FB99">
        <v>1761018425</v>
      </c>
      <c r="FC99" t="s">
        <v>551</v>
      </c>
      <c r="FD99">
        <v>1761018422.5</v>
      </c>
      <c r="FE99">
        <v>1761018425</v>
      </c>
      <c r="FF99">
        <v>25</v>
      </c>
      <c r="FG99">
        <v>-0.524</v>
      </c>
      <c r="FH99">
        <v>-0.005</v>
      </c>
      <c r="FI99">
        <v>-1.348</v>
      </c>
      <c r="FJ99">
        <v>0.192</v>
      </c>
      <c r="FK99">
        <v>420</v>
      </c>
      <c r="FL99">
        <v>24</v>
      </c>
      <c r="FM99">
        <v>0.38</v>
      </c>
      <c r="FN99">
        <v>0.08</v>
      </c>
      <c r="FO99">
        <v>0.396665925</v>
      </c>
      <c r="FP99">
        <v>0.03652330581613412</v>
      </c>
      <c r="FQ99">
        <v>0.05442783829410621</v>
      </c>
      <c r="FR99">
        <v>1</v>
      </c>
      <c r="FS99">
        <v>78.2235294117647</v>
      </c>
      <c r="FT99">
        <v>-0.9533996414711253</v>
      </c>
      <c r="FU99">
        <v>6.315296966774144</v>
      </c>
      <c r="FV99">
        <v>1</v>
      </c>
      <c r="FW99">
        <v>0.007483559750000002</v>
      </c>
      <c r="FX99">
        <v>-1.203772186153847</v>
      </c>
      <c r="FY99">
        <v>0.1208504876880556</v>
      </c>
      <c r="FZ99">
        <v>0</v>
      </c>
      <c r="GA99">
        <v>2</v>
      </c>
      <c r="GB99">
        <v>3</v>
      </c>
      <c r="GC99" t="s">
        <v>434</v>
      </c>
      <c r="GD99">
        <v>3.10954</v>
      </c>
      <c r="GE99">
        <v>2.72577</v>
      </c>
      <c r="GF99">
        <v>0.0888203</v>
      </c>
      <c r="GG99">
        <v>0.08858539999999999</v>
      </c>
      <c r="GH99">
        <v>0.106112</v>
      </c>
      <c r="GI99">
        <v>0.107444</v>
      </c>
      <c r="GJ99">
        <v>23916.2</v>
      </c>
      <c r="GK99">
        <v>21673.5</v>
      </c>
      <c r="GL99">
        <v>26804.9</v>
      </c>
      <c r="GM99">
        <v>23985.9</v>
      </c>
      <c r="GN99">
        <v>38285.7</v>
      </c>
      <c r="GO99">
        <v>31580.2</v>
      </c>
      <c r="GP99">
        <v>46786.3</v>
      </c>
      <c r="GQ99">
        <v>37917.7</v>
      </c>
      <c r="GR99">
        <v>1.894</v>
      </c>
      <c r="GS99">
        <v>1.88627</v>
      </c>
      <c r="GT99">
        <v>0.13398</v>
      </c>
      <c r="GU99">
        <v>0</v>
      </c>
      <c r="GV99">
        <v>27.825</v>
      </c>
      <c r="GW99">
        <v>999.9</v>
      </c>
      <c r="GX99">
        <v>63.8</v>
      </c>
      <c r="GY99">
        <v>28.8</v>
      </c>
      <c r="GZ99">
        <v>27.9352</v>
      </c>
      <c r="HA99">
        <v>61.6273</v>
      </c>
      <c r="HB99">
        <v>20.0481</v>
      </c>
      <c r="HC99">
        <v>1</v>
      </c>
      <c r="HD99">
        <v>0.0187144</v>
      </c>
      <c r="HE99">
        <v>-2.08589</v>
      </c>
      <c r="HF99">
        <v>20.3253</v>
      </c>
      <c r="HG99">
        <v>5.22103</v>
      </c>
      <c r="HH99">
        <v>11.9796</v>
      </c>
      <c r="HI99">
        <v>4.9656</v>
      </c>
      <c r="HJ99">
        <v>3.276</v>
      </c>
      <c r="HK99">
        <v>9999</v>
      </c>
      <c r="HL99">
        <v>9999</v>
      </c>
      <c r="HM99">
        <v>9999</v>
      </c>
      <c r="HN99">
        <v>999.9</v>
      </c>
      <c r="HO99">
        <v>1.86359</v>
      </c>
      <c r="HP99">
        <v>1.85974</v>
      </c>
      <c r="HQ99">
        <v>1.85803</v>
      </c>
      <c r="HR99">
        <v>1.85941</v>
      </c>
      <c r="HS99">
        <v>1.85959</v>
      </c>
      <c r="HT99">
        <v>1.85803</v>
      </c>
      <c r="HU99">
        <v>1.85706</v>
      </c>
      <c r="HV99">
        <v>1.85206</v>
      </c>
      <c r="HW99">
        <v>0</v>
      </c>
      <c r="HX99">
        <v>0</v>
      </c>
      <c r="HY99">
        <v>0</v>
      </c>
      <c r="HZ99">
        <v>0</v>
      </c>
      <c r="IA99" t="s">
        <v>424</v>
      </c>
      <c r="IB99" t="s">
        <v>425</v>
      </c>
      <c r="IC99" t="s">
        <v>426</v>
      </c>
      <c r="ID99" t="s">
        <v>426</v>
      </c>
      <c r="IE99" t="s">
        <v>426</v>
      </c>
      <c r="IF99" t="s">
        <v>426</v>
      </c>
      <c r="IG99">
        <v>0</v>
      </c>
      <c r="IH99">
        <v>100</v>
      </c>
      <c r="II99">
        <v>100</v>
      </c>
      <c r="IJ99">
        <v>-1.347</v>
      </c>
      <c r="IK99">
        <v>0.1794</v>
      </c>
      <c r="IL99">
        <v>-2.136943090880341</v>
      </c>
      <c r="IM99">
        <v>0.001328113201692861</v>
      </c>
      <c r="IN99">
        <v>1.538283238170363E-06</v>
      </c>
      <c r="IO99">
        <v>-5.795655626708063E-10</v>
      </c>
      <c r="IP99">
        <v>-0.06045740820250394</v>
      </c>
      <c r="IQ99">
        <v>-0.004593102289677449</v>
      </c>
      <c r="IR99">
        <v>0.0008253994458280543</v>
      </c>
      <c r="IS99">
        <v>-7.403632370499484E-06</v>
      </c>
      <c r="IT99">
        <v>2</v>
      </c>
      <c r="IU99">
        <v>1985</v>
      </c>
      <c r="IV99">
        <v>1</v>
      </c>
      <c r="IW99">
        <v>27</v>
      </c>
      <c r="IX99">
        <v>3.2</v>
      </c>
      <c r="IY99">
        <v>3.1</v>
      </c>
      <c r="IZ99">
        <v>1.12549</v>
      </c>
      <c r="JA99">
        <v>2.57324</v>
      </c>
      <c r="JB99">
        <v>1.49658</v>
      </c>
      <c r="JC99">
        <v>2.34253</v>
      </c>
      <c r="JD99">
        <v>1.54907</v>
      </c>
      <c r="JE99">
        <v>2.45605</v>
      </c>
      <c r="JF99">
        <v>31.8927</v>
      </c>
      <c r="JG99">
        <v>14.5961</v>
      </c>
      <c r="JH99">
        <v>18</v>
      </c>
      <c r="JI99">
        <v>482.839</v>
      </c>
      <c r="JJ99">
        <v>507.696</v>
      </c>
      <c r="JK99">
        <v>30.9195</v>
      </c>
      <c r="JL99">
        <v>27.5006</v>
      </c>
      <c r="JM99">
        <v>29.9997</v>
      </c>
      <c r="JN99">
        <v>27.82</v>
      </c>
      <c r="JO99">
        <v>27.8313</v>
      </c>
      <c r="JP99">
        <v>22.6375</v>
      </c>
      <c r="JQ99">
        <v>20.3566</v>
      </c>
      <c r="JR99">
        <v>83.46729999999999</v>
      </c>
      <c r="JS99">
        <v>30.9189</v>
      </c>
      <c r="JT99">
        <v>420</v>
      </c>
      <c r="JU99">
        <v>23.1729</v>
      </c>
      <c r="JV99">
        <v>102.311</v>
      </c>
      <c r="JW99">
        <v>91.47190000000001</v>
      </c>
    </row>
    <row r="100" spans="1:283">
      <c r="A100">
        <v>82</v>
      </c>
      <c r="B100">
        <v>1761018615.6</v>
      </c>
      <c r="C100">
        <v>546.0999999046326</v>
      </c>
      <c r="D100" t="s">
        <v>592</v>
      </c>
      <c r="E100" t="s">
        <v>593</v>
      </c>
      <c r="F100">
        <v>5</v>
      </c>
      <c r="G100" t="s">
        <v>489</v>
      </c>
      <c r="H100">
        <v>1761018612.6</v>
      </c>
      <c r="I100">
        <f>(J100)/1000</f>
        <v>0</v>
      </c>
      <c r="J100">
        <f>1000*DJ100*AH100*(DF100-DG100)/(100*CY100*(1000-AH100*DF100))</f>
        <v>0</v>
      </c>
      <c r="K100">
        <f>DJ100*AH100*(DE100-DD100*(1000-AH100*DG100)/(1000-AH100*DF100))/(100*CY100)</f>
        <v>0</v>
      </c>
      <c r="L100">
        <f>DD100 - IF(AH100&gt;1, K100*CY100*100.0/(AJ100), 0)</f>
        <v>0</v>
      </c>
      <c r="M100">
        <f>((S100-I100/2)*L100-K100)/(S100+I100/2)</f>
        <v>0</v>
      </c>
      <c r="N100">
        <f>M100*(DK100+DL100)/1000.0</f>
        <v>0</v>
      </c>
      <c r="O100">
        <f>(DD100 - IF(AH100&gt;1, K100*CY100*100.0/(AJ100), 0))*(DK100+DL100)/1000.0</f>
        <v>0</v>
      </c>
      <c r="P100">
        <f>2.0/((1/R100-1/Q100)+SIGN(R100)*SQRT((1/R100-1/Q100)*(1/R100-1/Q100) + 4*CZ100/((CZ100+1)*(CZ100+1))*(2*1/R100*1/Q100-1/Q100*1/Q100)))</f>
        <v>0</v>
      </c>
      <c r="Q100">
        <f>IF(LEFT(DA100,1)&lt;&gt;"0",IF(LEFT(DA100,1)="1",3.0,DB100),$D$5+$E$5*(DR100*DK100/($K$5*1000))+$F$5*(DR100*DK100/($K$5*1000))*MAX(MIN(CY100,$J$5),$I$5)*MAX(MIN(CY100,$J$5),$I$5)+$G$5*MAX(MIN(CY100,$J$5),$I$5)*(DR100*DK100/($K$5*1000))+$H$5*(DR100*DK100/($K$5*1000))*(DR100*DK100/($K$5*1000)))</f>
        <v>0</v>
      </c>
      <c r="R100">
        <f>I100*(1000-(1000*0.61365*exp(17.502*V100/(240.97+V100))/(DK100+DL100)+DF100)/2)/(1000*0.61365*exp(17.502*V100/(240.97+V100))/(DK100+DL100)-DF100)</f>
        <v>0</v>
      </c>
      <c r="S100">
        <f>1/((CZ100+1)/(P100/1.6)+1/(Q100/1.37)) + CZ100/((CZ100+1)/(P100/1.6) + CZ100/(Q100/1.37))</f>
        <v>0</v>
      </c>
      <c r="T100">
        <f>(CU100*CX100)</f>
        <v>0</v>
      </c>
      <c r="U100">
        <f>(DM100+(T100+2*0.95*5.67E-8*(((DM100+$B$9)+273)^4-(DM100+273)^4)-44100*I100)/(1.84*29.3*Q100+8*0.95*5.67E-8*(DM100+273)^3))</f>
        <v>0</v>
      </c>
      <c r="V100">
        <f>($C$9*DN100+$D$9*DO100+$E$9*U100)</f>
        <v>0</v>
      </c>
      <c r="W100">
        <f>0.61365*exp(17.502*V100/(240.97+V100))</f>
        <v>0</v>
      </c>
      <c r="X100">
        <f>(Y100/Z100*100)</f>
        <v>0</v>
      </c>
      <c r="Y100">
        <f>DF100*(DK100+DL100)/1000</f>
        <v>0</v>
      </c>
      <c r="Z100">
        <f>0.61365*exp(17.502*DM100/(240.97+DM100))</f>
        <v>0</v>
      </c>
      <c r="AA100">
        <f>(W100-DF100*(DK100+DL100)/1000)</f>
        <v>0</v>
      </c>
      <c r="AB100">
        <f>(-I100*44100)</f>
        <v>0</v>
      </c>
      <c r="AC100">
        <f>2*29.3*Q100*0.92*(DM100-V100)</f>
        <v>0</v>
      </c>
      <c r="AD100">
        <f>2*0.95*5.67E-8*(((DM100+$B$9)+273)^4-(V100+273)^4)</f>
        <v>0</v>
      </c>
      <c r="AE100">
        <f>T100+AD100+AB100+AC100</f>
        <v>0</v>
      </c>
      <c r="AF100">
        <v>0</v>
      </c>
      <c r="AG100">
        <v>0</v>
      </c>
      <c r="AH100">
        <f>IF(AF100*$H$15&gt;=AJ100,1.0,(AJ100/(AJ100-AF100*$H$15)))</f>
        <v>0</v>
      </c>
      <c r="AI100">
        <f>(AH100-1)*100</f>
        <v>0</v>
      </c>
      <c r="AJ100">
        <f>MAX(0,($B$15+$C$15*DR100)/(1+$D$15*DR100)*DK100/(DM100+273)*$E$15)</f>
        <v>0</v>
      </c>
      <c r="AK100" t="s">
        <v>420</v>
      </c>
      <c r="AL100" t="s">
        <v>420</v>
      </c>
      <c r="AM100">
        <v>0</v>
      </c>
      <c r="AN100">
        <v>0</v>
      </c>
      <c r="AO100">
        <f>1-AM100/AN100</f>
        <v>0</v>
      </c>
      <c r="AP100">
        <v>0</v>
      </c>
      <c r="AQ100" t="s">
        <v>420</v>
      </c>
      <c r="AR100" t="s">
        <v>420</v>
      </c>
      <c r="AS100">
        <v>0</v>
      </c>
      <c r="AT100">
        <v>0</v>
      </c>
      <c r="AU100">
        <f>1-AS100/AT100</f>
        <v>0</v>
      </c>
      <c r="AV100">
        <v>0.5</v>
      </c>
      <c r="AW100">
        <f>CV100</f>
        <v>0</v>
      </c>
      <c r="AX100">
        <f>K100</f>
        <v>0</v>
      </c>
      <c r="AY100">
        <f>AU100*AV100*AW100</f>
        <v>0</v>
      </c>
      <c r="AZ100">
        <f>(AX100-AP100)/AW100</f>
        <v>0</v>
      </c>
      <c r="BA100">
        <f>(AN100-AT100)/AT100</f>
        <v>0</v>
      </c>
      <c r="BB100">
        <f>AM100/(AO100+AM100/AT100)</f>
        <v>0</v>
      </c>
      <c r="BC100" t="s">
        <v>420</v>
      </c>
      <c r="BD100">
        <v>0</v>
      </c>
      <c r="BE100">
        <f>IF(BD100&lt;&gt;0, BD100, BB100)</f>
        <v>0</v>
      </c>
      <c r="BF100">
        <f>1-BE100/AT100</f>
        <v>0</v>
      </c>
      <c r="BG100">
        <f>(AT100-AS100)/(AT100-BE100)</f>
        <v>0</v>
      </c>
      <c r="BH100">
        <f>(AN100-AT100)/(AN100-BE100)</f>
        <v>0</v>
      </c>
      <c r="BI100">
        <f>(AT100-AS100)/(AT100-AM100)</f>
        <v>0</v>
      </c>
      <c r="BJ100">
        <f>(AN100-AT100)/(AN100-AM100)</f>
        <v>0</v>
      </c>
      <c r="BK100">
        <f>(BG100*BE100/AS100)</f>
        <v>0</v>
      </c>
      <c r="BL100">
        <f>(1-BK100)</f>
        <v>0</v>
      </c>
      <c r="CU100">
        <f>$B$13*DS100+$C$13*DT100+$F$13*EE100*(1-EH100)</f>
        <v>0</v>
      </c>
      <c r="CV100">
        <f>CU100*CW100</f>
        <v>0</v>
      </c>
      <c r="CW100">
        <f>($B$13*$D$11+$C$13*$D$11+$F$13*((ER100+EJ100)/MAX(ER100+EJ100+ES100, 0.1)*$I$11+ES100/MAX(ER100+EJ100+ES100, 0.1)*$J$11))/($B$13+$C$13+$F$13)</f>
        <v>0</v>
      </c>
      <c r="CX100">
        <f>($B$13*$K$11+$C$13*$K$11+$F$13*((ER100+EJ100)/MAX(ER100+EJ100+ES100, 0.1)*$P$11+ES100/MAX(ER100+EJ100+ES100, 0.1)*$Q$11))/($B$13+$C$13+$F$13)</f>
        <v>0</v>
      </c>
      <c r="CY100">
        <v>1.37</v>
      </c>
      <c r="CZ100">
        <v>0.5</v>
      </c>
      <c r="DA100" t="s">
        <v>421</v>
      </c>
      <c r="DB100">
        <v>2</v>
      </c>
      <c r="DC100">
        <v>1761018612.6</v>
      </c>
      <c r="DD100">
        <v>420.3388888888888</v>
      </c>
      <c r="DE100">
        <v>419.9357777777778</v>
      </c>
      <c r="DF100">
        <v>23.12157777777777</v>
      </c>
      <c r="DG100">
        <v>23.22552222222222</v>
      </c>
      <c r="DH100">
        <v>421.6857777777778</v>
      </c>
      <c r="DI100">
        <v>22.94237777777778</v>
      </c>
      <c r="DJ100">
        <v>500.0161111111111</v>
      </c>
      <c r="DK100">
        <v>90.79093333333333</v>
      </c>
      <c r="DL100">
        <v>0.03404847777777777</v>
      </c>
      <c r="DM100">
        <v>29.70145555555556</v>
      </c>
      <c r="DN100">
        <v>30.00925555555555</v>
      </c>
      <c r="DO100">
        <v>999.9000000000001</v>
      </c>
      <c r="DP100">
        <v>0</v>
      </c>
      <c r="DQ100">
        <v>0</v>
      </c>
      <c r="DR100">
        <v>10004.58</v>
      </c>
      <c r="DS100">
        <v>0</v>
      </c>
      <c r="DT100">
        <v>0.242856</v>
      </c>
      <c r="DU100">
        <v>0.4030896666666666</v>
      </c>
      <c r="DV100">
        <v>430.2877777777778</v>
      </c>
      <c r="DW100">
        <v>429.921</v>
      </c>
      <c r="DX100">
        <v>-0.1039330444444445</v>
      </c>
      <c r="DY100">
        <v>419.9357777777778</v>
      </c>
      <c r="DZ100">
        <v>23.22552222222222</v>
      </c>
      <c r="EA100">
        <v>2.099231111111111</v>
      </c>
      <c r="EB100">
        <v>2.108666666666667</v>
      </c>
      <c r="EC100">
        <v>18.21334444444445</v>
      </c>
      <c r="ED100">
        <v>18.2848</v>
      </c>
      <c r="EE100">
        <v>0.00500078</v>
      </c>
      <c r="EF100">
        <v>0</v>
      </c>
      <c r="EG100">
        <v>0</v>
      </c>
      <c r="EH100">
        <v>0</v>
      </c>
      <c r="EI100">
        <v>80.21111111111111</v>
      </c>
      <c r="EJ100">
        <v>0.00500078</v>
      </c>
      <c r="EK100">
        <v>-14.1</v>
      </c>
      <c r="EL100">
        <v>-0.3555555555555556</v>
      </c>
      <c r="EM100">
        <v>35.68022222222222</v>
      </c>
      <c r="EN100">
        <v>40.062</v>
      </c>
      <c r="EO100">
        <v>37.68744444444444</v>
      </c>
      <c r="EP100">
        <v>40.70788888888889</v>
      </c>
      <c r="EQ100">
        <v>38.972</v>
      </c>
      <c r="ER100">
        <v>0</v>
      </c>
      <c r="ES100">
        <v>0</v>
      </c>
      <c r="ET100">
        <v>0</v>
      </c>
      <c r="EU100">
        <v>1761018614.5</v>
      </c>
      <c r="EV100">
        <v>0</v>
      </c>
      <c r="EW100">
        <v>78.572</v>
      </c>
      <c r="EX100">
        <v>41.49999948617703</v>
      </c>
      <c r="EY100">
        <v>13.01538475838874</v>
      </c>
      <c r="EZ100">
        <v>-14.312</v>
      </c>
      <c r="FA100">
        <v>15</v>
      </c>
      <c r="FB100">
        <v>1761018425</v>
      </c>
      <c r="FC100" t="s">
        <v>551</v>
      </c>
      <c r="FD100">
        <v>1761018422.5</v>
      </c>
      <c r="FE100">
        <v>1761018425</v>
      </c>
      <c r="FF100">
        <v>25</v>
      </c>
      <c r="FG100">
        <v>-0.524</v>
      </c>
      <c r="FH100">
        <v>-0.005</v>
      </c>
      <c r="FI100">
        <v>-1.348</v>
      </c>
      <c r="FJ100">
        <v>0.192</v>
      </c>
      <c r="FK100">
        <v>420</v>
      </c>
      <c r="FL100">
        <v>24</v>
      </c>
      <c r="FM100">
        <v>0.38</v>
      </c>
      <c r="FN100">
        <v>0.08</v>
      </c>
      <c r="FO100">
        <v>0.4002208780487805</v>
      </c>
      <c r="FP100">
        <v>-0.07802111498257797</v>
      </c>
      <c r="FQ100">
        <v>0.04978369332064129</v>
      </c>
      <c r="FR100">
        <v>1</v>
      </c>
      <c r="FS100">
        <v>78.49411764705881</v>
      </c>
      <c r="FT100">
        <v>8.889228260732956</v>
      </c>
      <c r="FU100">
        <v>6.77021770335822</v>
      </c>
      <c r="FV100">
        <v>0</v>
      </c>
      <c r="FW100">
        <v>-0.009817392926829267</v>
      </c>
      <c r="FX100">
        <v>-1.054652895679443</v>
      </c>
      <c r="FY100">
        <v>0.112567961575753</v>
      </c>
      <c r="FZ100">
        <v>0</v>
      </c>
      <c r="GA100">
        <v>1</v>
      </c>
      <c r="GB100">
        <v>3</v>
      </c>
      <c r="GC100" t="s">
        <v>431</v>
      </c>
      <c r="GD100">
        <v>3.10962</v>
      </c>
      <c r="GE100">
        <v>2.72572</v>
      </c>
      <c r="GF100">
        <v>0.08881989999999999</v>
      </c>
      <c r="GG100">
        <v>0.0885968</v>
      </c>
      <c r="GH100">
        <v>0.106176</v>
      </c>
      <c r="GI100">
        <v>0.107454</v>
      </c>
      <c r="GJ100">
        <v>23916.3</v>
      </c>
      <c r="GK100">
        <v>21673.2</v>
      </c>
      <c r="GL100">
        <v>26805</v>
      </c>
      <c r="GM100">
        <v>23985.9</v>
      </c>
      <c r="GN100">
        <v>38283.1</v>
      </c>
      <c r="GO100">
        <v>31579.6</v>
      </c>
      <c r="GP100">
        <v>46786.5</v>
      </c>
      <c r="GQ100">
        <v>37917.4</v>
      </c>
      <c r="GR100">
        <v>1.89422</v>
      </c>
      <c r="GS100">
        <v>1.88612</v>
      </c>
      <c r="GT100">
        <v>0.134222</v>
      </c>
      <c r="GU100">
        <v>0</v>
      </c>
      <c r="GV100">
        <v>27.824</v>
      </c>
      <c r="GW100">
        <v>999.9</v>
      </c>
      <c r="GX100">
        <v>63.8</v>
      </c>
      <c r="GY100">
        <v>28.8</v>
      </c>
      <c r="GZ100">
        <v>27.9362</v>
      </c>
      <c r="HA100">
        <v>61.2473</v>
      </c>
      <c r="HB100">
        <v>20.1803</v>
      </c>
      <c r="HC100">
        <v>1</v>
      </c>
      <c r="HD100">
        <v>0.0186052</v>
      </c>
      <c r="HE100">
        <v>-2.07987</v>
      </c>
      <c r="HF100">
        <v>20.3252</v>
      </c>
      <c r="HG100">
        <v>5.22103</v>
      </c>
      <c r="HH100">
        <v>11.9794</v>
      </c>
      <c r="HI100">
        <v>4.9657</v>
      </c>
      <c r="HJ100">
        <v>3.276</v>
      </c>
      <c r="HK100">
        <v>9999</v>
      </c>
      <c r="HL100">
        <v>9999</v>
      </c>
      <c r="HM100">
        <v>9999</v>
      </c>
      <c r="HN100">
        <v>999.9</v>
      </c>
      <c r="HO100">
        <v>1.86359</v>
      </c>
      <c r="HP100">
        <v>1.85974</v>
      </c>
      <c r="HQ100">
        <v>1.85802</v>
      </c>
      <c r="HR100">
        <v>1.8594</v>
      </c>
      <c r="HS100">
        <v>1.85959</v>
      </c>
      <c r="HT100">
        <v>1.85804</v>
      </c>
      <c r="HU100">
        <v>1.85706</v>
      </c>
      <c r="HV100">
        <v>1.85209</v>
      </c>
      <c r="HW100">
        <v>0</v>
      </c>
      <c r="HX100">
        <v>0</v>
      </c>
      <c r="HY100">
        <v>0</v>
      </c>
      <c r="HZ100">
        <v>0</v>
      </c>
      <c r="IA100" t="s">
        <v>424</v>
      </c>
      <c r="IB100" t="s">
        <v>425</v>
      </c>
      <c r="IC100" t="s">
        <v>426</v>
      </c>
      <c r="ID100" t="s">
        <v>426</v>
      </c>
      <c r="IE100" t="s">
        <v>426</v>
      </c>
      <c r="IF100" t="s">
        <v>426</v>
      </c>
      <c r="IG100">
        <v>0</v>
      </c>
      <c r="IH100">
        <v>100</v>
      </c>
      <c r="II100">
        <v>100</v>
      </c>
      <c r="IJ100">
        <v>-1.347</v>
      </c>
      <c r="IK100">
        <v>0.1799</v>
      </c>
      <c r="IL100">
        <v>-2.136943090880341</v>
      </c>
      <c r="IM100">
        <v>0.001328113201692861</v>
      </c>
      <c r="IN100">
        <v>1.538283238170363E-06</v>
      </c>
      <c r="IO100">
        <v>-5.795655626708063E-10</v>
      </c>
      <c r="IP100">
        <v>-0.06045740820250394</v>
      </c>
      <c r="IQ100">
        <v>-0.004593102289677449</v>
      </c>
      <c r="IR100">
        <v>0.0008253994458280543</v>
      </c>
      <c r="IS100">
        <v>-7.403632370499484E-06</v>
      </c>
      <c r="IT100">
        <v>2</v>
      </c>
      <c r="IU100">
        <v>1985</v>
      </c>
      <c r="IV100">
        <v>1</v>
      </c>
      <c r="IW100">
        <v>27</v>
      </c>
      <c r="IX100">
        <v>3.2</v>
      </c>
      <c r="IY100">
        <v>3.2</v>
      </c>
      <c r="IZ100">
        <v>1.12549</v>
      </c>
      <c r="JA100">
        <v>2.58545</v>
      </c>
      <c r="JB100">
        <v>1.49658</v>
      </c>
      <c r="JC100">
        <v>2.34253</v>
      </c>
      <c r="JD100">
        <v>1.54907</v>
      </c>
      <c r="JE100">
        <v>2.36084</v>
      </c>
      <c r="JF100">
        <v>31.8707</v>
      </c>
      <c r="JG100">
        <v>14.5786</v>
      </c>
      <c r="JH100">
        <v>18</v>
      </c>
      <c r="JI100">
        <v>482.951</v>
      </c>
      <c r="JJ100">
        <v>507.569</v>
      </c>
      <c r="JK100">
        <v>30.9175</v>
      </c>
      <c r="JL100">
        <v>27.498</v>
      </c>
      <c r="JM100">
        <v>29.9996</v>
      </c>
      <c r="JN100">
        <v>27.8177</v>
      </c>
      <c r="JO100">
        <v>27.8283</v>
      </c>
      <c r="JP100">
        <v>22.6337</v>
      </c>
      <c r="JQ100">
        <v>20.3566</v>
      </c>
      <c r="JR100">
        <v>83.46729999999999</v>
      </c>
      <c r="JS100">
        <v>30.9108</v>
      </c>
      <c r="JT100">
        <v>420</v>
      </c>
      <c r="JU100">
        <v>23.1729</v>
      </c>
      <c r="JV100">
        <v>102.312</v>
      </c>
      <c r="JW100">
        <v>91.4714</v>
      </c>
    </row>
    <row r="101" spans="1:283">
      <c r="A101">
        <v>83</v>
      </c>
      <c r="B101">
        <v>1761018617.6</v>
      </c>
      <c r="C101">
        <v>548.0999999046326</v>
      </c>
      <c r="D101" t="s">
        <v>594</v>
      </c>
      <c r="E101" t="s">
        <v>595</v>
      </c>
      <c r="F101">
        <v>5</v>
      </c>
      <c r="G101" t="s">
        <v>489</v>
      </c>
      <c r="H101">
        <v>1761018614.6</v>
      </c>
      <c r="I101">
        <f>(J101)/1000</f>
        <v>0</v>
      </c>
      <c r="J101">
        <f>1000*DJ101*AH101*(DF101-DG101)/(100*CY101*(1000-AH101*DF101))</f>
        <v>0</v>
      </c>
      <c r="K101">
        <f>DJ101*AH101*(DE101-DD101*(1000-AH101*DG101)/(1000-AH101*DF101))/(100*CY101)</f>
        <v>0</v>
      </c>
      <c r="L101">
        <f>DD101 - IF(AH101&gt;1, K101*CY101*100.0/(AJ101), 0)</f>
        <v>0</v>
      </c>
      <c r="M101">
        <f>((S101-I101/2)*L101-K101)/(S101+I101/2)</f>
        <v>0</v>
      </c>
      <c r="N101">
        <f>M101*(DK101+DL101)/1000.0</f>
        <v>0</v>
      </c>
      <c r="O101">
        <f>(DD101 - IF(AH101&gt;1, K101*CY101*100.0/(AJ101), 0))*(DK101+DL101)/1000.0</f>
        <v>0</v>
      </c>
      <c r="P101">
        <f>2.0/((1/R101-1/Q101)+SIGN(R101)*SQRT((1/R101-1/Q101)*(1/R101-1/Q101) + 4*CZ101/((CZ101+1)*(CZ101+1))*(2*1/R101*1/Q101-1/Q101*1/Q101)))</f>
        <v>0</v>
      </c>
      <c r="Q101">
        <f>IF(LEFT(DA101,1)&lt;&gt;"0",IF(LEFT(DA101,1)="1",3.0,DB101),$D$5+$E$5*(DR101*DK101/($K$5*1000))+$F$5*(DR101*DK101/($K$5*1000))*MAX(MIN(CY101,$J$5),$I$5)*MAX(MIN(CY101,$J$5),$I$5)+$G$5*MAX(MIN(CY101,$J$5),$I$5)*(DR101*DK101/($K$5*1000))+$H$5*(DR101*DK101/($K$5*1000))*(DR101*DK101/($K$5*1000)))</f>
        <v>0</v>
      </c>
      <c r="R101">
        <f>I101*(1000-(1000*0.61365*exp(17.502*V101/(240.97+V101))/(DK101+DL101)+DF101)/2)/(1000*0.61365*exp(17.502*V101/(240.97+V101))/(DK101+DL101)-DF101)</f>
        <v>0</v>
      </c>
      <c r="S101">
        <f>1/((CZ101+1)/(P101/1.6)+1/(Q101/1.37)) + CZ101/((CZ101+1)/(P101/1.6) + CZ101/(Q101/1.37))</f>
        <v>0</v>
      </c>
      <c r="T101">
        <f>(CU101*CX101)</f>
        <v>0</v>
      </c>
      <c r="U101">
        <f>(DM101+(T101+2*0.95*5.67E-8*(((DM101+$B$9)+273)^4-(DM101+273)^4)-44100*I101)/(1.84*29.3*Q101+8*0.95*5.67E-8*(DM101+273)^3))</f>
        <v>0</v>
      </c>
      <c r="V101">
        <f>($C$9*DN101+$D$9*DO101+$E$9*U101)</f>
        <v>0</v>
      </c>
      <c r="W101">
        <f>0.61365*exp(17.502*V101/(240.97+V101))</f>
        <v>0</v>
      </c>
      <c r="X101">
        <f>(Y101/Z101*100)</f>
        <v>0</v>
      </c>
      <c r="Y101">
        <f>DF101*(DK101+DL101)/1000</f>
        <v>0</v>
      </c>
      <c r="Z101">
        <f>0.61365*exp(17.502*DM101/(240.97+DM101))</f>
        <v>0</v>
      </c>
      <c r="AA101">
        <f>(W101-DF101*(DK101+DL101)/1000)</f>
        <v>0</v>
      </c>
      <c r="AB101">
        <f>(-I101*44100)</f>
        <v>0</v>
      </c>
      <c r="AC101">
        <f>2*29.3*Q101*0.92*(DM101-V101)</f>
        <v>0</v>
      </c>
      <c r="AD101">
        <f>2*0.95*5.67E-8*(((DM101+$B$9)+273)^4-(V101+273)^4)</f>
        <v>0</v>
      </c>
      <c r="AE101">
        <f>T101+AD101+AB101+AC101</f>
        <v>0</v>
      </c>
      <c r="AF101">
        <v>0</v>
      </c>
      <c r="AG101">
        <v>0</v>
      </c>
      <c r="AH101">
        <f>IF(AF101*$H$15&gt;=AJ101,1.0,(AJ101/(AJ101-AF101*$H$15)))</f>
        <v>0</v>
      </c>
      <c r="AI101">
        <f>(AH101-1)*100</f>
        <v>0</v>
      </c>
      <c r="AJ101">
        <f>MAX(0,($B$15+$C$15*DR101)/(1+$D$15*DR101)*DK101/(DM101+273)*$E$15)</f>
        <v>0</v>
      </c>
      <c r="AK101" t="s">
        <v>420</v>
      </c>
      <c r="AL101" t="s">
        <v>420</v>
      </c>
      <c r="AM101">
        <v>0</v>
      </c>
      <c r="AN101">
        <v>0</v>
      </c>
      <c r="AO101">
        <f>1-AM101/AN101</f>
        <v>0</v>
      </c>
      <c r="AP101">
        <v>0</v>
      </c>
      <c r="AQ101" t="s">
        <v>420</v>
      </c>
      <c r="AR101" t="s">
        <v>420</v>
      </c>
      <c r="AS101">
        <v>0</v>
      </c>
      <c r="AT101">
        <v>0</v>
      </c>
      <c r="AU101">
        <f>1-AS101/AT101</f>
        <v>0</v>
      </c>
      <c r="AV101">
        <v>0.5</v>
      </c>
      <c r="AW101">
        <f>CV101</f>
        <v>0</v>
      </c>
      <c r="AX101">
        <f>K101</f>
        <v>0</v>
      </c>
      <c r="AY101">
        <f>AU101*AV101*AW101</f>
        <v>0</v>
      </c>
      <c r="AZ101">
        <f>(AX101-AP101)/AW101</f>
        <v>0</v>
      </c>
      <c r="BA101">
        <f>(AN101-AT101)/AT101</f>
        <v>0</v>
      </c>
      <c r="BB101">
        <f>AM101/(AO101+AM101/AT101)</f>
        <v>0</v>
      </c>
      <c r="BC101" t="s">
        <v>420</v>
      </c>
      <c r="BD101">
        <v>0</v>
      </c>
      <c r="BE101">
        <f>IF(BD101&lt;&gt;0, BD101, BB101)</f>
        <v>0</v>
      </c>
      <c r="BF101">
        <f>1-BE101/AT101</f>
        <v>0</v>
      </c>
      <c r="BG101">
        <f>(AT101-AS101)/(AT101-BE101)</f>
        <v>0</v>
      </c>
      <c r="BH101">
        <f>(AN101-AT101)/(AN101-BE101)</f>
        <v>0</v>
      </c>
      <c r="BI101">
        <f>(AT101-AS101)/(AT101-AM101)</f>
        <v>0</v>
      </c>
      <c r="BJ101">
        <f>(AN101-AT101)/(AN101-AM101)</f>
        <v>0</v>
      </c>
      <c r="BK101">
        <f>(BG101*BE101/AS101)</f>
        <v>0</v>
      </c>
      <c r="BL101">
        <f>(1-BK101)</f>
        <v>0</v>
      </c>
      <c r="CU101">
        <f>$B$13*DS101+$C$13*DT101+$F$13*EE101*(1-EH101)</f>
        <v>0</v>
      </c>
      <c r="CV101">
        <f>CU101*CW101</f>
        <v>0</v>
      </c>
      <c r="CW101">
        <f>($B$13*$D$11+$C$13*$D$11+$F$13*((ER101+EJ101)/MAX(ER101+EJ101+ES101, 0.1)*$I$11+ES101/MAX(ER101+EJ101+ES101, 0.1)*$J$11))/($B$13+$C$13+$F$13)</f>
        <v>0</v>
      </c>
      <c r="CX101">
        <f>($B$13*$K$11+$C$13*$K$11+$F$13*((ER101+EJ101)/MAX(ER101+EJ101+ES101, 0.1)*$P$11+ES101/MAX(ER101+EJ101+ES101, 0.1)*$Q$11))/($B$13+$C$13+$F$13)</f>
        <v>0</v>
      </c>
      <c r="CY101">
        <v>1.37</v>
      </c>
      <c r="CZ101">
        <v>0.5</v>
      </c>
      <c r="DA101" t="s">
        <v>421</v>
      </c>
      <c r="DB101">
        <v>2</v>
      </c>
      <c r="DC101">
        <v>1761018614.6</v>
      </c>
      <c r="DD101">
        <v>420.3302222222222</v>
      </c>
      <c r="DE101">
        <v>419.9641111111111</v>
      </c>
      <c r="DF101">
        <v>23.14245555555555</v>
      </c>
      <c r="DG101">
        <v>23.23203333333333</v>
      </c>
      <c r="DH101">
        <v>421.6771111111112</v>
      </c>
      <c r="DI101">
        <v>22.96278888888889</v>
      </c>
      <c r="DJ101">
        <v>500.0577777777778</v>
      </c>
      <c r="DK101">
        <v>90.7909111111111</v>
      </c>
      <c r="DL101">
        <v>0.03396962222222222</v>
      </c>
      <c r="DM101">
        <v>29.70059999999999</v>
      </c>
      <c r="DN101">
        <v>30.00927777777778</v>
      </c>
      <c r="DO101">
        <v>999.9000000000001</v>
      </c>
      <c r="DP101">
        <v>0</v>
      </c>
      <c r="DQ101">
        <v>0</v>
      </c>
      <c r="DR101">
        <v>10011.66</v>
      </c>
      <c r="DS101">
        <v>0</v>
      </c>
      <c r="DT101">
        <v>0.242856</v>
      </c>
      <c r="DU101">
        <v>0.366221</v>
      </c>
      <c r="DV101">
        <v>430.2881111111111</v>
      </c>
      <c r="DW101">
        <v>429.9526666666666</v>
      </c>
      <c r="DX101">
        <v>-0.08959826666666666</v>
      </c>
      <c r="DY101">
        <v>419.9641111111111</v>
      </c>
      <c r="DZ101">
        <v>23.23203333333333</v>
      </c>
      <c r="EA101">
        <v>2.101123333333333</v>
      </c>
      <c r="EB101">
        <v>2.109257777777778</v>
      </c>
      <c r="EC101">
        <v>18.22768888888889</v>
      </c>
      <c r="ED101">
        <v>18.28926666666667</v>
      </c>
      <c r="EE101">
        <v>0.00500078</v>
      </c>
      <c r="EF101">
        <v>0</v>
      </c>
      <c r="EG101">
        <v>0</v>
      </c>
      <c r="EH101">
        <v>0</v>
      </c>
      <c r="EI101">
        <v>79.61111111111111</v>
      </c>
      <c r="EJ101">
        <v>0.00500078</v>
      </c>
      <c r="EK101">
        <v>-14.6</v>
      </c>
      <c r="EL101">
        <v>-0.2444444444444445</v>
      </c>
      <c r="EM101">
        <v>35.68711111111111</v>
      </c>
      <c r="EN101">
        <v>40.083</v>
      </c>
      <c r="EO101">
        <v>37.58333333333334</v>
      </c>
      <c r="EP101">
        <v>40.73577777777777</v>
      </c>
      <c r="EQ101">
        <v>38.81222222222222</v>
      </c>
      <c r="ER101">
        <v>0</v>
      </c>
      <c r="ES101">
        <v>0</v>
      </c>
      <c r="ET101">
        <v>0</v>
      </c>
      <c r="EU101">
        <v>1761018616.9</v>
      </c>
      <c r="EV101">
        <v>0</v>
      </c>
      <c r="EW101">
        <v>79.608</v>
      </c>
      <c r="EX101">
        <v>17.89230731361225</v>
      </c>
      <c r="EY101">
        <v>3.723077125662195</v>
      </c>
      <c r="EZ101">
        <v>-13.488</v>
      </c>
      <c r="FA101">
        <v>15</v>
      </c>
      <c r="FB101">
        <v>1761018425</v>
      </c>
      <c r="FC101" t="s">
        <v>551</v>
      </c>
      <c r="FD101">
        <v>1761018422.5</v>
      </c>
      <c r="FE101">
        <v>1761018425</v>
      </c>
      <c r="FF101">
        <v>25</v>
      </c>
      <c r="FG101">
        <v>-0.524</v>
      </c>
      <c r="FH101">
        <v>-0.005</v>
      </c>
      <c r="FI101">
        <v>-1.348</v>
      </c>
      <c r="FJ101">
        <v>0.192</v>
      </c>
      <c r="FK101">
        <v>420</v>
      </c>
      <c r="FL101">
        <v>24</v>
      </c>
      <c r="FM101">
        <v>0.38</v>
      </c>
      <c r="FN101">
        <v>0.08</v>
      </c>
      <c r="FO101">
        <v>0.3923698</v>
      </c>
      <c r="FP101">
        <v>-0.3218946866791756</v>
      </c>
      <c r="FQ101">
        <v>0.05361330450186782</v>
      </c>
      <c r="FR101">
        <v>1</v>
      </c>
      <c r="FS101">
        <v>78.00588235294119</v>
      </c>
      <c r="FT101">
        <v>20.87394937513742</v>
      </c>
      <c r="FU101">
        <v>6.967062896079227</v>
      </c>
      <c r="FV101">
        <v>0</v>
      </c>
      <c r="FW101">
        <v>-0.04762803024999999</v>
      </c>
      <c r="FX101">
        <v>-0.6569107869793622</v>
      </c>
      <c r="FY101">
        <v>0.07972162990734565</v>
      </c>
      <c r="FZ101">
        <v>0</v>
      </c>
      <c r="GA101">
        <v>1</v>
      </c>
      <c r="GB101">
        <v>3</v>
      </c>
      <c r="GC101" t="s">
        <v>431</v>
      </c>
      <c r="GD101">
        <v>3.10944</v>
      </c>
      <c r="GE101">
        <v>2.7257</v>
      </c>
      <c r="GF101">
        <v>0.0888227</v>
      </c>
      <c r="GG101">
        <v>0.0886039</v>
      </c>
      <c r="GH101">
        <v>0.106224</v>
      </c>
      <c r="GI101">
        <v>0.107462</v>
      </c>
      <c r="GJ101">
        <v>23916.4</v>
      </c>
      <c r="GK101">
        <v>21673.1</v>
      </c>
      <c r="GL101">
        <v>26805.1</v>
      </c>
      <c r="GM101">
        <v>23985.9</v>
      </c>
      <c r="GN101">
        <v>38281.1</v>
      </c>
      <c r="GO101">
        <v>31579.2</v>
      </c>
      <c r="GP101">
        <v>46786.7</v>
      </c>
      <c r="GQ101">
        <v>37917.3</v>
      </c>
      <c r="GR101">
        <v>1.89385</v>
      </c>
      <c r="GS101">
        <v>1.8864</v>
      </c>
      <c r="GT101">
        <v>0.133701</v>
      </c>
      <c r="GU101">
        <v>0</v>
      </c>
      <c r="GV101">
        <v>27.8233</v>
      </c>
      <c r="GW101">
        <v>999.9</v>
      </c>
      <c r="GX101">
        <v>63.8</v>
      </c>
      <c r="GY101">
        <v>28.8</v>
      </c>
      <c r="GZ101">
        <v>27.9356</v>
      </c>
      <c r="HA101">
        <v>61.1073</v>
      </c>
      <c r="HB101">
        <v>20.1883</v>
      </c>
      <c r="HC101">
        <v>1</v>
      </c>
      <c r="HD101">
        <v>0.0183435</v>
      </c>
      <c r="HE101">
        <v>-2.07038</v>
      </c>
      <c r="HF101">
        <v>20.3253</v>
      </c>
      <c r="HG101">
        <v>5.22073</v>
      </c>
      <c r="HH101">
        <v>11.9798</v>
      </c>
      <c r="HI101">
        <v>4.96565</v>
      </c>
      <c r="HJ101">
        <v>3.27598</v>
      </c>
      <c r="HK101">
        <v>9999</v>
      </c>
      <c r="HL101">
        <v>9999</v>
      </c>
      <c r="HM101">
        <v>9999</v>
      </c>
      <c r="HN101">
        <v>999.9</v>
      </c>
      <c r="HO101">
        <v>1.86359</v>
      </c>
      <c r="HP101">
        <v>1.85974</v>
      </c>
      <c r="HQ101">
        <v>1.85801</v>
      </c>
      <c r="HR101">
        <v>1.85939</v>
      </c>
      <c r="HS101">
        <v>1.85959</v>
      </c>
      <c r="HT101">
        <v>1.85804</v>
      </c>
      <c r="HU101">
        <v>1.85706</v>
      </c>
      <c r="HV101">
        <v>1.85208</v>
      </c>
      <c r="HW101">
        <v>0</v>
      </c>
      <c r="HX101">
        <v>0</v>
      </c>
      <c r="HY101">
        <v>0</v>
      </c>
      <c r="HZ101">
        <v>0</v>
      </c>
      <c r="IA101" t="s">
        <v>424</v>
      </c>
      <c r="IB101" t="s">
        <v>425</v>
      </c>
      <c r="IC101" t="s">
        <v>426</v>
      </c>
      <c r="ID101" t="s">
        <v>426</v>
      </c>
      <c r="IE101" t="s">
        <v>426</v>
      </c>
      <c r="IF101" t="s">
        <v>426</v>
      </c>
      <c r="IG101">
        <v>0</v>
      </c>
      <c r="IH101">
        <v>100</v>
      </c>
      <c r="II101">
        <v>100</v>
      </c>
      <c r="IJ101">
        <v>-1.347</v>
      </c>
      <c r="IK101">
        <v>0.1802</v>
      </c>
      <c r="IL101">
        <v>-2.136943090880341</v>
      </c>
      <c r="IM101">
        <v>0.001328113201692861</v>
      </c>
      <c r="IN101">
        <v>1.538283238170363E-06</v>
      </c>
      <c r="IO101">
        <v>-5.795655626708063E-10</v>
      </c>
      <c r="IP101">
        <v>-0.06045740820250394</v>
      </c>
      <c r="IQ101">
        <v>-0.004593102289677449</v>
      </c>
      <c r="IR101">
        <v>0.0008253994458280543</v>
      </c>
      <c r="IS101">
        <v>-7.403632370499484E-06</v>
      </c>
      <c r="IT101">
        <v>2</v>
      </c>
      <c r="IU101">
        <v>1985</v>
      </c>
      <c r="IV101">
        <v>1</v>
      </c>
      <c r="IW101">
        <v>27</v>
      </c>
      <c r="IX101">
        <v>3.3</v>
      </c>
      <c r="IY101">
        <v>3.2</v>
      </c>
      <c r="IZ101">
        <v>1.12549</v>
      </c>
      <c r="JA101">
        <v>2.57568</v>
      </c>
      <c r="JB101">
        <v>1.49658</v>
      </c>
      <c r="JC101">
        <v>2.34253</v>
      </c>
      <c r="JD101">
        <v>1.54907</v>
      </c>
      <c r="JE101">
        <v>2.46582</v>
      </c>
      <c r="JF101">
        <v>31.8707</v>
      </c>
      <c r="JG101">
        <v>14.5786</v>
      </c>
      <c r="JH101">
        <v>18</v>
      </c>
      <c r="JI101">
        <v>482.714</v>
      </c>
      <c r="JJ101">
        <v>507.732</v>
      </c>
      <c r="JK101">
        <v>30.9147</v>
      </c>
      <c r="JL101">
        <v>27.4951</v>
      </c>
      <c r="JM101">
        <v>29.9996</v>
      </c>
      <c r="JN101">
        <v>27.815</v>
      </c>
      <c r="JO101">
        <v>27.8258</v>
      </c>
      <c r="JP101">
        <v>22.6349</v>
      </c>
      <c r="JQ101">
        <v>20.3566</v>
      </c>
      <c r="JR101">
        <v>83.46729999999999</v>
      </c>
      <c r="JS101">
        <v>30.9108</v>
      </c>
      <c r="JT101">
        <v>420</v>
      </c>
      <c r="JU101">
        <v>23.1628</v>
      </c>
      <c r="JV101">
        <v>102.312</v>
      </c>
      <c r="JW101">
        <v>91.4713</v>
      </c>
    </row>
    <row r="102" spans="1:283">
      <c r="A102">
        <v>84</v>
      </c>
      <c r="B102">
        <v>1761018619.6</v>
      </c>
      <c r="C102">
        <v>550.0999999046326</v>
      </c>
      <c r="D102" t="s">
        <v>596</v>
      </c>
      <c r="E102" t="s">
        <v>597</v>
      </c>
      <c r="F102">
        <v>5</v>
      </c>
      <c r="G102" t="s">
        <v>489</v>
      </c>
      <c r="H102">
        <v>1761018616.6</v>
      </c>
      <c r="I102">
        <f>(J102)/1000</f>
        <v>0</v>
      </c>
      <c r="J102">
        <f>1000*DJ102*AH102*(DF102-DG102)/(100*CY102*(1000-AH102*DF102))</f>
        <v>0</v>
      </c>
      <c r="K102">
        <f>DJ102*AH102*(DE102-DD102*(1000-AH102*DG102)/(1000-AH102*DF102))/(100*CY102)</f>
        <v>0</v>
      </c>
      <c r="L102">
        <f>DD102 - IF(AH102&gt;1, K102*CY102*100.0/(AJ102), 0)</f>
        <v>0</v>
      </c>
      <c r="M102">
        <f>((S102-I102/2)*L102-K102)/(S102+I102/2)</f>
        <v>0</v>
      </c>
      <c r="N102">
        <f>M102*(DK102+DL102)/1000.0</f>
        <v>0</v>
      </c>
      <c r="O102">
        <f>(DD102 - IF(AH102&gt;1, K102*CY102*100.0/(AJ102), 0))*(DK102+DL102)/1000.0</f>
        <v>0</v>
      </c>
      <c r="P102">
        <f>2.0/((1/R102-1/Q102)+SIGN(R102)*SQRT((1/R102-1/Q102)*(1/R102-1/Q102) + 4*CZ102/((CZ102+1)*(CZ102+1))*(2*1/R102*1/Q102-1/Q102*1/Q102)))</f>
        <v>0</v>
      </c>
      <c r="Q102">
        <f>IF(LEFT(DA102,1)&lt;&gt;"0",IF(LEFT(DA102,1)="1",3.0,DB102),$D$5+$E$5*(DR102*DK102/($K$5*1000))+$F$5*(DR102*DK102/($K$5*1000))*MAX(MIN(CY102,$J$5),$I$5)*MAX(MIN(CY102,$J$5),$I$5)+$G$5*MAX(MIN(CY102,$J$5),$I$5)*(DR102*DK102/($K$5*1000))+$H$5*(DR102*DK102/($K$5*1000))*(DR102*DK102/($K$5*1000)))</f>
        <v>0</v>
      </c>
      <c r="R102">
        <f>I102*(1000-(1000*0.61365*exp(17.502*V102/(240.97+V102))/(DK102+DL102)+DF102)/2)/(1000*0.61365*exp(17.502*V102/(240.97+V102))/(DK102+DL102)-DF102)</f>
        <v>0</v>
      </c>
      <c r="S102">
        <f>1/((CZ102+1)/(P102/1.6)+1/(Q102/1.37)) + CZ102/((CZ102+1)/(P102/1.6) + CZ102/(Q102/1.37))</f>
        <v>0</v>
      </c>
      <c r="T102">
        <f>(CU102*CX102)</f>
        <v>0</v>
      </c>
      <c r="U102">
        <f>(DM102+(T102+2*0.95*5.67E-8*(((DM102+$B$9)+273)^4-(DM102+273)^4)-44100*I102)/(1.84*29.3*Q102+8*0.95*5.67E-8*(DM102+273)^3))</f>
        <v>0</v>
      </c>
      <c r="V102">
        <f>($C$9*DN102+$D$9*DO102+$E$9*U102)</f>
        <v>0</v>
      </c>
      <c r="W102">
        <f>0.61365*exp(17.502*V102/(240.97+V102))</f>
        <v>0</v>
      </c>
      <c r="X102">
        <f>(Y102/Z102*100)</f>
        <v>0</v>
      </c>
      <c r="Y102">
        <f>DF102*(DK102+DL102)/1000</f>
        <v>0</v>
      </c>
      <c r="Z102">
        <f>0.61365*exp(17.502*DM102/(240.97+DM102))</f>
        <v>0</v>
      </c>
      <c r="AA102">
        <f>(W102-DF102*(DK102+DL102)/1000)</f>
        <v>0</v>
      </c>
      <c r="AB102">
        <f>(-I102*44100)</f>
        <v>0</v>
      </c>
      <c r="AC102">
        <f>2*29.3*Q102*0.92*(DM102-V102)</f>
        <v>0</v>
      </c>
      <c r="AD102">
        <f>2*0.95*5.67E-8*(((DM102+$B$9)+273)^4-(V102+273)^4)</f>
        <v>0</v>
      </c>
      <c r="AE102">
        <f>T102+AD102+AB102+AC102</f>
        <v>0</v>
      </c>
      <c r="AF102">
        <v>0</v>
      </c>
      <c r="AG102">
        <v>0</v>
      </c>
      <c r="AH102">
        <f>IF(AF102*$H$15&gt;=AJ102,1.0,(AJ102/(AJ102-AF102*$H$15)))</f>
        <v>0</v>
      </c>
      <c r="AI102">
        <f>(AH102-1)*100</f>
        <v>0</v>
      </c>
      <c r="AJ102">
        <f>MAX(0,($B$15+$C$15*DR102)/(1+$D$15*DR102)*DK102/(DM102+273)*$E$15)</f>
        <v>0</v>
      </c>
      <c r="AK102" t="s">
        <v>420</v>
      </c>
      <c r="AL102" t="s">
        <v>420</v>
      </c>
      <c r="AM102">
        <v>0</v>
      </c>
      <c r="AN102">
        <v>0</v>
      </c>
      <c r="AO102">
        <f>1-AM102/AN102</f>
        <v>0</v>
      </c>
      <c r="AP102">
        <v>0</v>
      </c>
      <c r="AQ102" t="s">
        <v>420</v>
      </c>
      <c r="AR102" t="s">
        <v>420</v>
      </c>
      <c r="AS102">
        <v>0</v>
      </c>
      <c r="AT102">
        <v>0</v>
      </c>
      <c r="AU102">
        <f>1-AS102/AT102</f>
        <v>0</v>
      </c>
      <c r="AV102">
        <v>0.5</v>
      </c>
      <c r="AW102">
        <f>CV102</f>
        <v>0</v>
      </c>
      <c r="AX102">
        <f>K102</f>
        <v>0</v>
      </c>
      <c r="AY102">
        <f>AU102*AV102*AW102</f>
        <v>0</v>
      </c>
      <c r="AZ102">
        <f>(AX102-AP102)/AW102</f>
        <v>0</v>
      </c>
      <c r="BA102">
        <f>(AN102-AT102)/AT102</f>
        <v>0</v>
      </c>
      <c r="BB102">
        <f>AM102/(AO102+AM102/AT102)</f>
        <v>0</v>
      </c>
      <c r="BC102" t="s">
        <v>420</v>
      </c>
      <c r="BD102">
        <v>0</v>
      </c>
      <c r="BE102">
        <f>IF(BD102&lt;&gt;0, BD102, BB102)</f>
        <v>0</v>
      </c>
      <c r="BF102">
        <f>1-BE102/AT102</f>
        <v>0</v>
      </c>
      <c r="BG102">
        <f>(AT102-AS102)/(AT102-BE102)</f>
        <v>0</v>
      </c>
      <c r="BH102">
        <f>(AN102-AT102)/(AN102-BE102)</f>
        <v>0</v>
      </c>
      <c r="BI102">
        <f>(AT102-AS102)/(AT102-AM102)</f>
        <v>0</v>
      </c>
      <c r="BJ102">
        <f>(AN102-AT102)/(AN102-AM102)</f>
        <v>0</v>
      </c>
      <c r="BK102">
        <f>(BG102*BE102/AS102)</f>
        <v>0</v>
      </c>
      <c r="BL102">
        <f>(1-BK102)</f>
        <v>0</v>
      </c>
      <c r="CU102">
        <f>$B$13*DS102+$C$13*DT102+$F$13*EE102*(1-EH102)</f>
        <v>0</v>
      </c>
      <c r="CV102">
        <f>CU102*CW102</f>
        <v>0</v>
      </c>
      <c r="CW102">
        <f>($B$13*$D$11+$C$13*$D$11+$F$13*((ER102+EJ102)/MAX(ER102+EJ102+ES102, 0.1)*$I$11+ES102/MAX(ER102+EJ102+ES102, 0.1)*$J$11))/($B$13+$C$13+$F$13)</f>
        <v>0</v>
      </c>
      <c r="CX102">
        <f>($B$13*$K$11+$C$13*$K$11+$F$13*((ER102+EJ102)/MAX(ER102+EJ102+ES102, 0.1)*$P$11+ES102/MAX(ER102+EJ102+ES102, 0.1)*$Q$11))/($B$13+$C$13+$F$13)</f>
        <v>0</v>
      </c>
      <c r="CY102">
        <v>1.37</v>
      </c>
      <c r="CZ102">
        <v>0.5</v>
      </c>
      <c r="DA102" t="s">
        <v>421</v>
      </c>
      <c r="DB102">
        <v>2</v>
      </c>
      <c r="DC102">
        <v>1761018616.6</v>
      </c>
      <c r="DD102">
        <v>420.3264444444444</v>
      </c>
      <c r="DE102">
        <v>419.992</v>
      </c>
      <c r="DF102">
        <v>23.15951111111111</v>
      </c>
      <c r="DG102">
        <v>23.2352</v>
      </c>
      <c r="DH102">
        <v>421.6733333333333</v>
      </c>
      <c r="DI102">
        <v>22.97946666666667</v>
      </c>
      <c r="DJ102">
        <v>500.0756666666666</v>
      </c>
      <c r="DK102">
        <v>90.79106666666667</v>
      </c>
      <c r="DL102">
        <v>0.03400444444444445</v>
      </c>
      <c r="DM102">
        <v>29.70017777777778</v>
      </c>
      <c r="DN102">
        <v>30.00637777777778</v>
      </c>
      <c r="DO102">
        <v>999.9000000000001</v>
      </c>
      <c r="DP102">
        <v>0</v>
      </c>
      <c r="DQ102">
        <v>0</v>
      </c>
      <c r="DR102">
        <v>10003.54444444444</v>
      </c>
      <c r="DS102">
        <v>0</v>
      </c>
      <c r="DT102">
        <v>0.242856</v>
      </c>
      <c r="DU102">
        <v>0.334632</v>
      </c>
      <c r="DV102">
        <v>430.2918888888889</v>
      </c>
      <c r="DW102">
        <v>429.9826666666667</v>
      </c>
      <c r="DX102">
        <v>-0.07571156666666666</v>
      </c>
      <c r="DY102">
        <v>419.992</v>
      </c>
      <c r="DZ102">
        <v>23.2352</v>
      </c>
      <c r="EA102">
        <v>2.102675555555555</v>
      </c>
      <c r="EB102">
        <v>2.109548888888889</v>
      </c>
      <c r="EC102">
        <v>18.23944444444444</v>
      </c>
      <c r="ED102">
        <v>18.29145555555555</v>
      </c>
      <c r="EE102">
        <v>0.00500078</v>
      </c>
      <c r="EF102">
        <v>0</v>
      </c>
      <c r="EG102">
        <v>0</v>
      </c>
      <c r="EH102">
        <v>0</v>
      </c>
      <c r="EI102">
        <v>79.05555555555554</v>
      </c>
      <c r="EJ102">
        <v>0.00500078</v>
      </c>
      <c r="EK102">
        <v>-14.55555555555556</v>
      </c>
      <c r="EL102">
        <v>-0.1222222222222222</v>
      </c>
      <c r="EM102">
        <v>35.70099999999999</v>
      </c>
      <c r="EN102">
        <v>40.104</v>
      </c>
      <c r="EO102">
        <v>37.77066666666667</v>
      </c>
      <c r="EP102">
        <v>40.75677777777778</v>
      </c>
      <c r="EQ102">
        <v>38.88155555555555</v>
      </c>
      <c r="ER102">
        <v>0</v>
      </c>
      <c r="ES102">
        <v>0</v>
      </c>
      <c r="ET102">
        <v>0</v>
      </c>
      <c r="EU102">
        <v>1761018618.7</v>
      </c>
      <c r="EV102">
        <v>0</v>
      </c>
      <c r="EW102">
        <v>79.16153846153847</v>
      </c>
      <c r="EX102">
        <v>-13.05299180307822</v>
      </c>
      <c r="EY102">
        <v>12.80683790041052</v>
      </c>
      <c r="EZ102">
        <v>-12.82307692307692</v>
      </c>
      <c r="FA102">
        <v>15</v>
      </c>
      <c r="FB102">
        <v>1761018425</v>
      </c>
      <c r="FC102" t="s">
        <v>551</v>
      </c>
      <c r="FD102">
        <v>1761018422.5</v>
      </c>
      <c r="FE102">
        <v>1761018425</v>
      </c>
      <c r="FF102">
        <v>25</v>
      </c>
      <c r="FG102">
        <v>-0.524</v>
      </c>
      <c r="FH102">
        <v>-0.005</v>
      </c>
      <c r="FI102">
        <v>-1.348</v>
      </c>
      <c r="FJ102">
        <v>0.192</v>
      </c>
      <c r="FK102">
        <v>420</v>
      </c>
      <c r="FL102">
        <v>24</v>
      </c>
      <c r="FM102">
        <v>0.38</v>
      </c>
      <c r="FN102">
        <v>0.08</v>
      </c>
      <c r="FO102">
        <v>0.3835627804878049</v>
      </c>
      <c r="FP102">
        <v>-0.3200409616724745</v>
      </c>
      <c r="FQ102">
        <v>0.05374757077279126</v>
      </c>
      <c r="FR102">
        <v>1</v>
      </c>
      <c r="FS102">
        <v>78.0264705882353</v>
      </c>
      <c r="FT102">
        <v>18.54392649023555</v>
      </c>
      <c r="FU102">
        <v>7.219227138996879</v>
      </c>
      <c r="FV102">
        <v>0</v>
      </c>
      <c r="FW102">
        <v>-0.05816060756097561</v>
      </c>
      <c r="FX102">
        <v>-0.4622220926132404</v>
      </c>
      <c r="FY102">
        <v>0.06617997554579146</v>
      </c>
      <c r="FZ102">
        <v>0</v>
      </c>
      <c r="GA102">
        <v>1</v>
      </c>
      <c r="GB102">
        <v>3</v>
      </c>
      <c r="GC102" t="s">
        <v>431</v>
      </c>
      <c r="GD102">
        <v>3.10955</v>
      </c>
      <c r="GE102">
        <v>2.72568</v>
      </c>
      <c r="GF102">
        <v>0.08882900000000001</v>
      </c>
      <c r="GG102">
        <v>0.0885986</v>
      </c>
      <c r="GH102">
        <v>0.106258</v>
      </c>
      <c r="GI102">
        <v>0.10747</v>
      </c>
      <c r="GJ102">
        <v>23916.3</v>
      </c>
      <c r="GK102">
        <v>21673.1</v>
      </c>
      <c r="GL102">
        <v>26805.2</v>
      </c>
      <c r="GM102">
        <v>23985.8</v>
      </c>
      <c r="GN102">
        <v>38279.6</v>
      </c>
      <c r="GO102">
        <v>31578.8</v>
      </c>
      <c r="GP102">
        <v>46786.6</v>
      </c>
      <c r="GQ102">
        <v>37917.2</v>
      </c>
      <c r="GR102">
        <v>1.894</v>
      </c>
      <c r="GS102">
        <v>1.88645</v>
      </c>
      <c r="GT102">
        <v>0.133608</v>
      </c>
      <c r="GU102">
        <v>0</v>
      </c>
      <c r="GV102">
        <v>27.8221</v>
      </c>
      <c r="GW102">
        <v>999.9</v>
      </c>
      <c r="GX102">
        <v>63.8</v>
      </c>
      <c r="GY102">
        <v>28.8</v>
      </c>
      <c r="GZ102">
        <v>27.9345</v>
      </c>
      <c r="HA102">
        <v>61.4773</v>
      </c>
      <c r="HB102">
        <v>19.992</v>
      </c>
      <c r="HC102">
        <v>1</v>
      </c>
      <c r="HD102">
        <v>0.0181453</v>
      </c>
      <c r="HE102">
        <v>-2.07503</v>
      </c>
      <c r="HF102">
        <v>20.3253</v>
      </c>
      <c r="HG102">
        <v>5.22148</v>
      </c>
      <c r="HH102">
        <v>11.98</v>
      </c>
      <c r="HI102">
        <v>4.96565</v>
      </c>
      <c r="HJ102">
        <v>3.27593</v>
      </c>
      <c r="HK102">
        <v>9999</v>
      </c>
      <c r="HL102">
        <v>9999</v>
      </c>
      <c r="HM102">
        <v>9999</v>
      </c>
      <c r="HN102">
        <v>999.9</v>
      </c>
      <c r="HO102">
        <v>1.86358</v>
      </c>
      <c r="HP102">
        <v>1.85974</v>
      </c>
      <c r="HQ102">
        <v>1.85801</v>
      </c>
      <c r="HR102">
        <v>1.85941</v>
      </c>
      <c r="HS102">
        <v>1.85959</v>
      </c>
      <c r="HT102">
        <v>1.85804</v>
      </c>
      <c r="HU102">
        <v>1.85706</v>
      </c>
      <c r="HV102">
        <v>1.85208</v>
      </c>
      <c r="HW102">
        <v>0</v>
      </c>
      <c r="HX102">
        <v>0</v>
      </c>
      <c r="HY102">
        <v>0</v>
      </c>
      <c r="HZ102">
        <v>0</v>
      </c>
      <c r="IA102" t="s">
        <v>424</v>
      </c>
      <c r="IB102" t="s">
        <v>425</v>
      </c>
      <c r="IC102" t="s">
        <v>426</v>
      </c>
      <c r="ID102" t="s">
        <v>426</v>
      </c>
      <c r="IE102" t="s">
        <v>426</v>
      </c>
      <c r="IF102" t="s">
        <v>426</v>
      </c>
      <c r="IG102">
        <v>0</v>
      </c>
      <c r="IH102">
        <v>100</v>
      </c>
      <c r="II102">
        <v>100</v>
      </c>
      <c r="IJ102">
        <v>-1.347</v>
      </c>
      <c r="IK102">
        <v>0.1804</v>
      </c>
      <c r="IL102">
        <v>-2.136943090880341</v>
      </c>
      <c r="IM102">
        <v>0.001328113201692861</v>
      </c>
      <c r="IN102">
        <v>1.538283238170363E-06</v>
      </c>
      <c r="IO102">
        <v>-5.795655626708063E-10</v>
      </c>
      <c r="IP102">
        <v>-0.06045740820250394</v>
      </c>
      <c r="IQ102">
        <v>-0.004593102289677449</v>
      </c>
      <c r="IR102">
        <v>0.0008253994458280543</v>
      </c>
      <c r="IS102">
        <v>-7.403632370499484E-06</v>
      </c>
      <c r="IT102">
        <v>2</v>
      </c>
      <c r="IU102">
        <v>1985</v>
      </c>
      <c r="IV102">
        <v>1</v>
      </c>
      <c r="IW102">
        <v>27</v>
      </c>
      <c r="IX102">
        <v>3.3</v>
      </c>
      <c r="IY102">
        <v>3.2</v>
      </c>
      <c r="IZ102">
        <v>1.12549</v>
      </c>
      <c r="JA102">
        <v>2.58911</v>
      </c>
      <c r="JB102">
        <v>1.49658</v>
      </c>
      <c r="JC102">
        <v>2.34253</v>
      </c>
      <c r="JD102">
        <v>1.54907</v>
      </c>
      <c r="JE102">
        <v>2.39624</v>
      </c>
      <c r="JF102">
        <v>31.8707</v>
      </c>
      <c r="JG102">
        <v>14.5786</v>
      </c>
      <c r="JH102">
        <v>18</v>
      </c>
      <c r="JI102">
        <v>482.778</v>
      </c>
      <c r="JJ102">
        <v>507.739</v>
      </c>
      <c r="JK102">
        <v>30.911</v>
      </c>
      <c r="JL102">
        <v>27.4925</v>
      </c>
      <c r="JM102">
        <v>29.9997</v>
      </c>
      <c r="JN102">
        <v>27.8121</v>
      </c>
      <c r="JO102">
        <v>27.8229</v>
      </c>
      <c r="JP102">
        <v>22.6353</v>
      </c>
      <c r="JQ102">
        <v>20.3566</v>
      </c>
      <c r="JR102">
        <v>83.46729999999999</v>
      </c>
      <c r="JS102">
        <v>30.9045</v>
      </c>
      <c r="JT102">
        <v>420</v>
      </c>
      <c r="JU102">
        <v>23.1568</v>
      </c>
      <c r="JV102">
        <v>102.312</v>
      </c>
      <c r="JW102">
        <v>91.4709</v>
      </c>
    </row>
    <row r="103" spans="1:283">
      <c r="A103">
        <v>85</v>
      </c>
      <c r="B103">
        <v>1761018621.6</v>
      </c>
      <c r="C103">
        <v>552.0999999046326</v>
      </c>
      <c r="D103" t="s">
        <v>598</v>
      </c>
      <c r="E103" t="s">
        <v>599</v>
      </c>
      <c r="F103">
        <v>5</v>
      </c>
      <c r="G103" t="s">
        <v>489</v>
      </c>
      <c r="H103">
        <v>1761018618.6</v>
      </c>
      <c r="I103">
        <f>(J103)/1000</f>
        <v>0</v>
      </c>
      <c r="J103">
        <f>1000*DJ103*AH103*(DF103-DG103)/(100*CY103*(1000-AH103*DF103))</f>
        <v>0</v>
      </c>
      <c r="K103">
        <f>DJ103*AH103*(DE103-DD103*(1000-AH103*DG103)/(1000-AH103*DF103))/(100*CY103)</f>
        <v>0</v>
      </c>
      <c r="L103">
        <f>DD103 - IF(AH103&gt;1, K103*CY103*100.0/(AJ103), 0)</f>
        <v>0</v>
      </c>
      <c r="M103">
        <f>((S103-I103/2)*L103-K103)/(S103+I103/2)</f>
        <v>0</v>
      </c>
      <c r="N103">
        <f>M103*(DK103+DL103)/1000.0</f>
        <v>0</v>
      </c>
      <c r="O103">
        <f>(DD103 - IF(AH103&gt;1, K103*CY103*100.0/(AJ103), 0))*(DK103+DL103)/1000.0</f>
        <v>0</v>
      </c>
      <c r="P103">
        <f>2.0/((1/R103-1/Q103)+SIGN(R103)*SQRT((1/R103-1/Q103)*(1/R103-1/Q103) + 4*CZ103/((CZ103+1)*(CZ103+1))*(2*1/R103*1/Q103-1/Q103*1/Q103)))</f>
        <v>0</v>
      </c>
      <c r="Q103">
        <f>IF(LEFT(DA103,1)&lt;&gt;"0",IF(LEFT(DA103,1)="1",3.0,DB103),$D$5+$E$5*(DR103*DK103/($K$5*1000))+$F$5*(DR103*DK103/($K$5*1000))*MAX(MIN(CY103,$J$5),$I$5)*MAX(MIN(CY103,$J$5),$I$5)+$G$5*MAX(MIN(CY103,$J$5),$I$5)*(DR103*DK103/($K$5*1000))+$H$5*(DR103*DK103/($K$5*1000))*(DR103*DK103/($K$5*1000)))</f>
        <v>0</v>
      </c>
      <c r="R103">
        <f>I103*(1000-(1000*0.61365*exp(17.502*V103/(240.97+V103))/(DK103+DL103)+DF103)/2)/(1000*0.61365*exp(17.502*V103/(240.97+V103))/(DK103+DL103)-DF103)</f>
        <v>0</v>
      </c>
      <c r="S103">
        <f>1/((CZ103+1)/(P103/1.6)+1/(Q103/1.37)) + CZ103/((CZ103+1)/(P103/1.6) + CZ103/(Q103/1.37))</f>
        <v>0</v>
      </c>
      <c r="T103">
        <f>(CU103*CX103)</f>
        <v>0</v>
      </c>
      <c r="U103">
        <f>(DM103+(T103+2*0.95*5.67E-8*(((DM103+$B$9)+273)^4-(DM103+273)^4)-44100*I103)/(1.84*29.3*Q103+8*0.95*5.67E-8*(DM103+273)^3))</f>
        <v>0</v>
      </c>
      <c r="V103">
        <f>($C$9*DN103+$D$9*DO103+$E$9*U103)</f>
        <v>0</v>
      </c>
      <c r="W103">
        <f>0.61365*exp(17.502*V103/(240.97+V103))</f>
        <v>0</v>
      </c>
      <c r="X103">
        <f>(Y103/Z103*100)</f>
        <v>0</v>
      </c>
      <c r="Y103">
        <f>DF103*(DK103+DL103)/1000</f>
        <v>0</v>
      </c>
      <c r="Z103">
        <f>0.61365*exp(17.502*DM103/(240.97+DM103))</f>
        <v>0</v>
      </c>
      <c r="AA103">
        <f>(W103-DF103*(DK103+DL103)/1000)</f>
        <v>0</v>
      </c>
      <c r="AB103">
        <f>(-I103*44100)</f>
        <v>0</v>
      </c>
      <c r="AC103">
        <f>2*29.3*Q103*0.92*(DM103-V103)</f>
        <v>0</v>
      </c>
      <c r="AD103">
        <f>2*0.95*5.67E-8*(((DM103+$B$9)+273)^4-(V103+273)^4)</f>
        <v>0</v>
      </c>
      <c r="AE103">
        <f>T103+AD103+AB103+AC103</f>
        <v>0</v>
      </c>
      <c r="AF103">
        <v>0</v>
      </c>
      <c r="AG103">
        <v>0</v>
      </c>
      <c r="AH103">
        <f>IF(AF103*$H$15&gt;=AJ103,1.0,(AJ103/(AJ103-AF103*$H$15)))</f>
        <v>0</v>
      </c>
      <c r="AI103">
        <f>(AH103-1)*100</f>
        <v>0</v>
      </c>
      <c r="AJ103">
        <f>MAX(0,($B$15+$C$15*DR103)/(1+$D$15*DR103)*DK103/(DM103+273)*$E$15)</f>
        <v>0</v>
      </c>
      <c r="AK103" t="s">
        <v>420</v>
      </c>
      <c r="AL103" t="s">
        <v>420</v>
      </c>
      <c r="AM103">
        <v>0</v>
      </c>
      <c r="AN103">
        <v>0</v>
      </c>
      <c r="AO103">
        <f>1-AM103/AN103</f>
        <v>0</v>
      </c>
      <c r="AP103">
        <v>0</v>
      </c>
      <c r="AQ103" t="s">
        <v>420</v>
      </c>
      <c r="AR103" t="s">
        <v>420</v>
      </c>
      <c r="AS103">
        <v>0</v>
      </c>
      <c r="AT103">
        <v>0</v>
      </c>
      <c r="AU103">
        <f>1-AS103/AT103</f>
        <v>0</v>
      </c>
      <c r="AV103">
        <v>0.5</v>
      </c>
      <c r="AW103">
        <f>CV103</f>
        <v>0</v>
      </c>
      <c r="AX103">
        <f>K103</f>
        <v>0</v>
      </c>
      <c r="AY103">
        <f>AU103*AV103*AW103</f>
        <v>0</v>
      </c>
      <c r="AZ103">
        <f>(AX103-AP103)/AW103</f>
        <v>0</v>
      </c>
      <c r="BA103">
        <f>(AN103-AT103)/AT103</f>
        <v>0</v>
      </c>
      <c r="BB103">
        <f>AM103/(AO103+AM103/AT103)</f>
        <v>0</v>
      </c>
      <c r="BC103" t="s">
        <v>420</v>
      </c>
      <c r="BD103">
        <v>0</v>
      </c>
      <c r="BE103">
        <f>IF(BD103&lt;&gt;0, BD103, BB103)</f>
        <v>0</v>
      </c>
      <c r="BF103">
        <f>1-BE103/AT103</f>
        <v>0</v>
      </c>
      <c r="BG103">
        <f>(AT103-AS103)/(AT103-BE103)</f>
        <v>0</v>
      </c>
      <c r="BH103">
        <f>(AN103-AT103)/(AN103-BE103)</f>
        <v>0</v>
      </c>
      <c r="BI103">
        <f>(AT103-AS103)/(AT103-AM103)</f>
        <v>0</v>
      </c>
      <c r="BJ103">
        <f>(AN103-AT103)/(AN103-AM103)</f>
        <v>0</v>
      </c>
      <c r="BK103">
        <f>(BG103*BE103/AS103)</f>
        <v>0</v>
      </c>
      <c r="BL103">
        <f>(1-BK103)</f>
        <v>0</v>
      </c>
      <c r="CU103">
        <f>$B$13*DS103+$C$13*DT103+$F$13*EE103*(1-EH103)</f>
        <v>0</v>
      </c>
      <c r="CV103">
        <f>CU103*CW103</f>
        <v>0</v>
      </c>
      <c r="CW103">
        <f>($B$13*$D$11+$C$13*$D$11+$F$13*((ER103+EJ103)/MAX(ER103+EJ103+ES103, 0.1)*$I$11+ES103/MAX(ER103+EJ103+ES103, 0.1)*$J$11))/($B$13+$C$13+$F$13)</f>
        <v>0</v>
      </c>
      <c r="CX103">
        <f>($B$13*$K$11+$C$13*$K$11+$F$13*((ER103+EJ103)/MAX(ER103+EJ103+ES103, 0.1)*$P$11+ES103/MAX(ER103+EJ103+ES103, 0.1)*$Q$11))/($B$13+$C$13+$F$13)</f>
        <v>0</v>
      </c>
      <c r="CY103">
        <v>1.37</v>
      </c>
      <c r="CZ103">
        <v>0.5</v>
      </c>
      <c r="DA103" t="s">
        <v>421</v>
      </c>
      <c r="DB103">
        <v>2</v>
      </c>
      <c r="DC103">
        <v>1761018618.6</v>
      </c>
      <c r="DD103">
        <v>420.3385555555555</v>
      </c>
      <c r="DE103">
        <v>419.9862222222222</v>
      </c>
      <c r="DF103">
        <v>23.17251111111111</v>
      </c>
      <c r="DG103">
        <v>23.23668888888889</v>
      </c>
      <c r="DH103">
        <v>421.6853333333333</v>
      </c>
      <c r="DI103">
        <v>22.9922</v>
      </c>
      <c r="DJ103">
        <v>500.0174444444444</v>
      </c>
      <c r="DK103">
        <v>90.79164444444444</v>
      </c>
      <c r="DL103">
        <v>0.03411912222222222</v>
      </c>
      <c r="DM103">
        <v>29.69965555555556</v>
      </c>
      <c r="DN103">
        <v>30.00325555555556</v>
      </c>
      <c r="DO103">
        <v>999.9000000000001</v>
      </c>
      <c r="DP103">
        <v>0</v>
      </c>
      <c r="DQ103">
        <v>0</v>
      </c>
      <c r="DR103">
        <v>9994.164444444446</v>
      </c>
      <c r="DS103">
        <v>0</v>
      </c>
      <c r="DT103">
        <v>0.242856</v>
      </c>
      <c r="DU103">
        <v>0.3523118888888889</v>
      </c>
      <c r="DV103">
        <v>430.3098888888889</v>
      </c>
      <c r="DW103">
        <v>429.9775555555556</v>
      </c>
      <c r="DX103">
        <v>-0.06421173333333334</v>
      </c>
      <c r="DY103">
        <v>419.9862222222222</v>
      </c>
      <c r="DZ103">
        <v>23.23668888888889</v>
      </c>
      <c r="EA103">
        <v>2.103868888888889</v>
      </c>
      <c r="EB103">
        <v>2.109697777777777</v>
      </c>
      <c r="EC103">
        <v>18.24847777777778</v>
      </c>
      <c r="ED103">
        <v>18.29257777777778</v>
      </c>
      <c r="EE103">
        <v>0.00500078</v>
      </c>
      <c r="EF103">
        <v>0</v>
      </c>
      <c r="EG103">
        <v>0</v>
      </c>
      <c r="EH103">
        <v>0</v>
      </c>
      <c r="EI103">
        <v>75.06666666666666</v>
      </c>
      <c r="EJ103">
        <v>0.00500078</v>
      </c>
      <c r="EK103">
        <v>-14.06666666666667</v>
      </c>
      <c r="EL103">
        <v>0.1555555555555556</v>
      </c>
      <c r="EM103">
        <v>35.70099999999999</v>
      </c>
      <c r="EN103">
        <v>40.125</v>
      </c>
      <c r="EO103">
        <v>37.68022222222223</v>
      </c>
      <c r="EP103">
        <v>40.78466666666667</v>
      </c>
      <c r="EQ103">
        <v>38.71488888888889</v>
      </c>
      <c r="ER103">
        <v>0</v>
      </c>
      <c r="ES103">
        <v>0</v>
      </c>
      <c r="ET103">
        <v>0</v>
      </c>
      <c r="EU103">
        <v>1761018620.5</v>
      </c>
      <c r="EV103">
        <v>0</v>
      </c>
      <c r="EW103">
        <v>79.40800000000002</v>
      </c>
      <c r="EX103">
        <v>-31.97692330807655</v>
      </c>
      <c r="EY103">
        <v>0.05384633402395768</v>
      </c>
      <c r="EZ103">
        <v>-13.316</v>
      </c>
      <c r="FA103">
        <v>15</v>
      </c>
      <c r="FB103">
        <v>1761018425</v>
      </c>
      <c r="FC103" t="s">
        <v>551</v>
      </c>
      <c r="FD103">
        <v>1761018422.5</v>
      </c>
      <c r="FE103">
        <v>1761018425</v>
      </c>
      <c r="FF103">
        <v>25</v>
      </c>
      <c r="FG103">
        <v>-0.524</v>
      </c>
      <c r="FH103">
        <v>-0.005</v>
      </c>
      <c r="FI103">
        <v>-1.348</v>
      </c>
      <c r="FJ103">
        <v>0.192</v>
      </c>
      <c r="FK103">
        <v>420</v>
      </c>
      <c r="FL103">
        <v>24</v>
      </c>
      <c r="FM103">
        <v>0.38</v>
      </c>
      <c r="FN103">
        <v>0.08</v>
      </c>
      <c r="FO103">
        <v>0.374645975</v>
      </c>
      <c r="FP103">
        <v>-0.1169876510318965</v>
      </c>
      <c r="FQ103">
        <v>0.04684747132903094</v>
      </c>
      <c r="FR103">
        <v>1</v>
      </c>
      <c r="FS103">
        <v>77.74117647058823</v>
      </c>
      <c r="FT103">
        <v>4.950343633104471</v>
      </c>
      <c r="FU103">
        <v>7.122256650275076</v>
      </c>
      <c r="FV103">
        <v>0</v>
      </c>
      <c r="FW103">
        <v>-0.07831454524999999</v>
      </c>
      <c r="FX103">
        <v>-0.06801308386491549</v>
      </c>
      <c r="FY103">
        <v>0.03496098250996967</v>
      </c>
      <c r="FZ103">
        <v>1</v>
      </c>
      <c r="GA103">
        <v>2</v>
      </c>
      <c r="GB103">
        <v>3</v>
      </c>
      <c r="GC103" t="s">
        <v>434</v>
      </c>
      <c r="GD103">
        <v>3.10942</v>
      </c>
      <c r="GE103">
        <v>2.72582</v>
      </c>
      <c r="GF103">
        <v>0.0888302</v>
      </c>
      <c r="GG103">
        <v>0.0885977</v>
      </c>
      <c r="GH103">
        <v>0.106283</v>
      </c>
      <c r="GI103">
        <v>0.107468</v>
      </c>
      <c r="GJ103">
        <v>23916.3</v>
      </c>
      <c r="GK103">
        <v>21673.1</v>
      </c>
      <c r="GL103">
        <v>26805.3</v>
      </c>
      <c r="GM103">
        <v>23985.7</v>
      </c>
      <c r="GN103">
        <v>38278.6</v>
      </c>
      <c r="GO103">
        <v>31578.7</v>
      </c>
      <c r="GP103">
        <v>46786.7</v>
      </c>
      <c r="GQ103">
        <v>37916.9</v>
      </c>
      <c r="GR103">
        <v>1.89393</v>
      </c>
      <c r="GS103">
        <v>1.88675</v>
      </c>
      <c r="GT103">
        <v>0.133738</v>
      </c>
      <c r="GU103">
        <v>0</v>
      </c>
      <c r="GV103">
        <v>27.8215</v>
      </c>
      <c r="GW103">
        <v>999.9</v>
      </c>
      <c r="GX103">
        <v>63.8</v>
      </c>
      <c r="GY103">
        <v>28.8</v>
      </c>
      <c r="GZ103">
        <v>27.9339</v>
      </c>
      <c r="HA103">
        <v>61.2773</v>
      </c>
      <c r="HB103">
        <v>20.2684</v>
      </c>
      <c r="HC103">
        <v>1</v>
      </c>
      <c r="HD103">
        <v>0.0180234</v>
      </c>
      <c r="HE103">
        <v>-2.07389</v>
      </c>
      <c r="HF103">
        <v>20.3252</v>
      </c>
      <c r="HG103">
        <v>5.22178</v>
      </c>
      <c r="HH103">
        <v>11.9798</v>
      </c>
      <c r="HI103">
        <v>4.96565</v>
      </c>
      <c r="HJ103">
        <v>3.27593</v>
      </c>
      <c r="HK103">
        <v>9999</v>
      </c>
      <c r="HL103">
        <v>9999</v>
      </c>
      <c r="HM103">
        <v>9999</v>
      </c>
      <c r="HN103">
        <v>999.9</v>
      </c>
      <c r="HO103">
        <v>1.86357</v>
      </c>
      <c r="HP103">
        <v>1.85974</v>
      </c>
      <c r="HQ103">
        <v>1.85802</v>
      </c>
      <c r="HR103">
        <v>1.8594</v>
      </c>
      <c r="HS103">
        <v>1.85959</v>
      </c>
      <c r="HT103">
        <v>1.85803</v>
      </c>
      <c r="HU103">
        <v>1.85704</v>
      </c>
      <c r="HV103">
        <v>1.85207</v>
      </c>
      <c r="HW103">
        <v>0</v>
      </c>
      <c r="HX103">
        <v>0</v>
      </c>
      <c r="HY103">
        <v>0</v>
      </c>
      <c r="HZ103">
        <v>0</v>
      </c>
      <c r="IA103" t="s">
        <v>424</v>
      </c>
      <c r="IB103" t="s">
        <v>425</v>
      </c>
      <c r="IC103" t="s">
        <v>426</v>
      </c>
      <c r="ID103" t="s">
        <v>426</v>
      </c>
      <c r="IE103" t="s">
        <v>426</v>
      </c>
      <c r="IF103" t="s">
        <v>426</v>
      </c>
      <c r="IG103">
        <v>0</v>
      </c>
      <c r="IH103">
        <v>100</v>
      </c>
      <c r="II103">
        <v>100</v>
      </c>
      <c r="IJ103">
        <v>-1.347</v>
      </c>
      <c r="IK103">
        <v>0.1806</v>
      </c>
      <c r="IL103">
        <v>-2.136943090880341</v>
      </c>
      <c r="IM103">
        <v>0.001328113201692861</v>
      </c>
      <c r="IN103">
        <v>1.538283238170363E-06</v>
      </c>
      <c r="IO103">
        <v>-5.795655626708063E-10</v>
      </c>
      <c r="IP103">
        <v>-0.06045740820250394</v>
      </c>
      <c r="IQ103">
        <v>-0.004593102289677449</v>
      </c>
      <c r="IR103">
        <v>0.0008253994458280543</v>
      </c>
      <c r="IS103">
        <v>-7.403632370499484E-06</v>
      </c>
      <c r="IT103">
        <v>2</v>
      </c>
      <c r="IU103">
        <v>1985</v>
      </c>
      <c r="IV103">
        <v>1</v>
      </c>
      <c r="IW103">
        <v>27</v>
      </c>
      <c r="IX103">
        <v>3.3</v>
      </c>
      <c r="IY103">
        <v>3.3</v>
      </c>
      <c r="IZ103">
        <v>1.12549</v>
      </c>
      <c r="JA103">
        <v>2.57324</v>
      </c>
      <c r="JB103">
        <v>1.49658</v>
      </c>
      <c r="JC103">
        <v>2.34253</v>
      </c>
      <c r="JD103">
        <v>1.54907</v>
      </c>
      <c r="JE103">
        <v>2.41455</v>
      </c>
      <c r="JF103">
        <v>31.8707</v>
      </c>
      <c r="JG103">
        <v>14.5873</v>
      </c>
      <c r="JH103">
        <v>18</v>
      </c>
      <c r="JI103">
        <v>482.714</v>
      </c>
      <c r="JJ103">
        <v>507.916</v>
      </c>
      <c r="JK103">
        <v>30.9077</v>
      </c>
      <c r="JL103">
        <v>27.4901</v>
      </c>
      <c r="JM103">
        <v>29.9996</v>
      </c>
      <c r="JN103">
        <v>27.8094</v>
      </c>
      <c r="JO103">
        <v>27.8201</v>
      </c>
      <c r="JP103">
        <v>22.6365</v>
      </c>
      <c r="JQ103">
        <v>20.3566</v>
      </c>
      <c r="JR103">
        <v>83.46729999999999</v>
      </c>
      <c r="JS103">
        <v>30.9045</v>
      </c>
      <c r="JT103">
        <v>420</v>
      </c>
      <c r="JU103">
        <v>23.1489</v>
      </c>
      <c r="JV103">
        <v>102.312</v>
      </c>
      <c r="JW103">
        <v>91.4704</v>
      </c>
    </row>
    <row r="104" spans="1:283">
      <c r="A104">
        <v>86</v>
      </c>
      <c r="B104">
        <v>1761018623.6</v>
      </c>
      <c r="C104">
        <v>554.0999999046326</v>
      </c>
      <c r="D104" t="s">
        <v>600</v>
      </c>
      <c r="E104" t="s">
        <v>601</v>
      </c>
      <c r="F104">
        <v>5</v>
      </c>
      <c r="G104" t="s">
        <v>489</v>
      </c>
      <c r="H104">
        <v>1761018620.6</v>
      </c>
      <c r="I104">
        <f>(J104)/1000</f>
        <v>0</v>
      </c>
      <c r="J104">
        <f>1000*DJ104*AH104*(DF104-DG104)/(100*CY104*(1000-AH104*DF104))</f>
        <v>0</v>
      </c>
      <c r="K104">
        <f>DJ104*AH104*(DE104-DD104*(1000-AH104*DG104)/(1000-AH104*DF104))/(100*CY104)</f>
        <v>0</v>
      </c>
      <c r="L104">
        <f>DD104 - IF(AH104&gt;1, K104*CY104*100.0/(AJ104), 0)</f>
        <v>0</v>
      </c>
      <c r="M104">
        <f>((S104-I104/2)*L104-K104)/(S104+I104/2)</f>
        <v>0</v>
      </c>
      <c r="N104">
        <f>M104*(DK104+DL104)/1000.0</f>
        <v>0</v>
      </c>
      <c r="O104">
        <f>(DD104 - IF(AH104&gt;1, K104*CY104*100.0/(AJ104), 0))*(DK104+DL104)/1000.0</f>
        <v>0</v>
      </c>
      <c r="P104">
        <f>2.0/((1/R104-1/Q104)+SIGN(R104)*SQRT((1/R104-1/Q104)*(1/R104-1/Q104) + 4*CZ104/((CZ104+1)*(CZ104+1))*(2*1/R104*1/Q104-1/Q104*1/Q104)))</f>
        <v>0</v>
      </c>
      <c r="Q104">
        <f>IF(LEFT(DA104,1)&lt;&gt;"0",IF(LEFT(DA104,1)="1",3.0,DB104),$D$5+$E$5*(DR104*DK104/($K$5*1000))+$F$5*(DR104*DK104/($K$5*1000))*MAX(MIN(CY104,$J$5),$I$5)*MAX(MIN(CY104,$J$5),$I$5)+$G$5*MAX(MIN(CY104,$J$5),$I$5)*(DR104*DK104/($K$5*1000))+$H$5*(DR104*DK104/($K$5*1000))*(DR104*DK104/($K$5*1000)))</f>
        <v>0</v>
      </c>
      <c r="R104">
        <f>I104*(1000-(1000*0.61365*exp(17.502*V104/(240.97+V104))/(DK104+DL104)+DF104)/2)/(1000*0.61365*exp(17.502*V104/(240.97+V104))/(DK104+DL104)-DF104)</f>
        <v>0</v>
      </c>
      <c r="S104">
        <f>1/((CZ104+1)/(P104/1.6)+1/(Q104/1.37)) + CZ104/((CZ104+1)/(P104/1.6) + CZ104/(Q104/1.37))</f>
        <v>0</v>
      </c>
      <c r="T104">
        <f>(CU104*CX104)</f>
        <v>0</v>
      </c>
      <c r="U104">
        <f>(DM104+(T104+2*0.95*5.67E-8*(((DM104+$B$9)+273)^4-(DM104+273)^4)-44100*I104)/(1.84*29.3*Q104+8*0.95*5.67E-8*(DM104+273)^3))</f>
        <v>0</v>
      </c>
      <c r="V104">
        <f>($C$9*DN104+$D$9*DO104+$E$9*U104)</f>
        <v>0</v>
      </c>
      <c r="W104">
        <f>0.61365*exp(17.502*V104/(240.97+V104))</f>
        <v>0</v>
      </c>
      <c r="X104">
        <f>(Y104/Z104*100)</f>
        <v>0</v>
      </c>
      <c r="Y104">
        <f>DF104*(DK104+DL104)/1000</f>
        <v>0</v>
      </c>
      <c r="Z104">
        <f>0.61365*exp(17.502*DM104/(240.97+DM104))</f>
        <v>0</v>
      </c>
      <c r="AA104">
        <f>(W104-DF104*(DK104+DL104)/1000)</f>
        <v>0</v>
      </c>
      <c r="AB104">
        <f>(-I104*44100)</f>
        <v>0</v>
      </c>
      <c r="AC104">
        <f>2*29.3*Q104*0.92*(DM104-V104)</f>
        <v>0</v>
      </c>
      <c r="AD104">
        <f>2*0.95*5.67E-8*(((DM104+$B$9)+273)^4-(V104+273)^4)</f>
        <v>0</v>
      </c>
      <c r="AE104">
        <f>T104+AD104+AB104+AC104</f>
        <v>0</v>
      </c>
      <c r="AF104">
        <v>0</v>
      </c>
      <c r="AG104">
        <v>0</v>
      </c>
      <c r="AH104">
        <f>IF(AF104*$H$15&gt;=AJ104,1.0,(AJ104/(AJ104-AF104*$H$15)))</f>
        <v>0</v>
      </c>
      <c r="AI104">
        <f>(AH104-1)*100</f>
        <v>0</v>
      </c>
      <c r="AJ104">
        <f>MAX(0,($B$15+$C$15*DR104)/(1+$D$15*DR104)*DK104/(DM104+273)*$E$15)</f>
        <v>0</v>
      </c>
      <c r="AK104" t="s">
        <v>420</v>
      </c>
      <c r="AL104" t="s">
        <v>420</v>
      </c>
      <c r="AM104">
        <v>0</v>
      </c>
      <c r="AN104">
        <v>0</v>
      </c>
      <c r="AO104">
        <f>1-AM104/AN104</f>
        <v>0</v>
      </c>
      <c r="AP104">
        <v>0</v>
      </c>
      <c r="AQ104" t="s">
        <v>420</v>
      </c>
      <c r="AR104" t="s">
        <v>420</v>
      </c>
      <c r="AS104">
        <v>0</v>
      </c>
      <c r="AT104">
        <v>0</v>
      </c>
      <c r="AU104">
        <f>1-AS104/AT104</f>
        <v>0</v>
      </c>
      <c r="AV104">
        <v>0.5</v>
      </c>
      <c r="AW104">
        <f>CV104</f>
        <v>0</v>
      </c>
      <c r="AX104">
        <f>K104</f>
        <v>0</v>
      </c>
      <c r="AY104">
        <f>AU104*AV104*AW104</f>
        <v>0</v>
      </c>
      <c r="AZ104">
        <f>(AX104-AP104)/AW104</f>
        <v>0</v>
      </c>
      <c r="BA104">
        <f>(AN104-AT104)/AT104</f>
        <v>0</v>
      </c>
      <c r="BB104">
        <f>AM104/(AO104+AM104/AT104)</f>
        <v>0</v>
      </c>
      <c r="BC104" t="s">
        <v>420</v>
      </c>
      <c r="BD104">
        <v>0</v>
      </c>
      <c r="BE104">
        <f>IF(BD104&lt;&gt;0, BD104, BB104)</f>
        <v>0</v>
      </c>
      <c r="BF104">
        <f>1-BE104/AT104</f>
        <v>0</v>
      </c>
      <c r="BG104">
        <f>(AT104-AS104)/(AT104-BE104)</f>
        <v>0</v>
      </c>
      <c r="BH104">
        <f>(AN104-AT104)/(AN104-BE104)</f>
        <v>0</v>
      </c>
      <c r="BI104">
        <f>(AT104-AS104)/(AT104-AM104)</f>
        <v>0</v>
      </c>
      <c r="BJ104">
        <f>(AN104-AT104)/(AN104-AM104)</f>
        <v>0</v>
      </c>
      <c r="BK104">
        <f>(BG104*BE104/AS104)</f>
        <v>0</v>
      </c>
      <c r="BL104">
        <f>(1-BK104)</f>
        <v>0</v>
      </c>
      <c r="CU104">
        <f>$B$13*DS104+$C$13*DT104+$F$13*EE104*(1-EH104)</f>
        <v>0</v>
      </c>
      <c r="CV104">
        <f>CU104*CW104</f>
        <v>0</v>
      </c>
      <c r="CW104">
        <f>($B$13*$D$11+$C$13*$D$11+$F$13*((ER104+EJ104)/MAX(ER104+EJ104+ES104, 0.1)*$I$11+ES104/MAX(ER104+EJ104+ES104, 0.1)*$J$11))/($B$13+$C$13+$F$13)</f>
        <v>0</v>
      </c>
      <c r="CX104">
        <f>($B$13*$K$11+$C$13*$K$11+$F$13*((ER104+EJ104)/MAX(ER104+EJ104+ES104, 0.1)*$P$11+ES104/MAX(ER104+EJ104+ES104, 0.1)*$Q$11))/($B$13+$C$13+$F$13)</f>
        <v>0</v>
      </c>
      <c r="CY104">
        <v>1.37</v>
      </c>
      <c r="CZ104">
        <v>0.5</v>
      </c>
      <c r="DA104" t="s">
        <v>421</v>
      </c>
      <c r="DB104">
        <v>2</v>
      </c>
      <c r="DC104">
        <v>1761018620.6</v>
      </c>
      <c r="DD104">
        <v>420.3522222222222</v>
      </c>
      <c r="DE104">
        <v>419.979</v>
      </c>
      <c r="DF104">
        <v>23.18194444444445</v>
      </c>
      <c r="DG104">
        <v>23.23723333333333</v>
      </c>
      <c r="DH104">
        <v>421.699</v>
      </c>
      <c r="DI104">
        <v>23.00145555555556</v>
      </c>
      <c r="DJ104">
        <v>499.994</v>
      </c>
      <c r="DK104">
        <v>90.7921888888889</v>
      </c>
      <c r="DL104">
        <v>0.03417626666666667</v>
      </c>
      <c r="DM104">
        <v>29.69825555555555</v>
      </c>
      <c r="DN104">
        <v>29.99985555555556</v>
      </c>
      <c r="DO104">
        <v>999.9000000000001</v>
      </c>
      <c r="DP104">
        <v>0</v>
      </c>
      <c r="DQ104">
        <v>0</v>
      </c>
      <c r="DR104">
        <v>9988.95888888889</v>
      </c>
      <c r="DS104">
        <v>0</v>
      </c>
      <c r="DT104">
        <v>0.242856</v>
      </c>
      <c r="DU104">
        <v>0.3730603333333333</v>
      </c>
      <c r="DV104">
        <v>430.328</v>
      </c>
      <c r="DW104">
        <v>429.9704444444444</v>
      </c>
      <c r="DX104">
        <v>-0.0553039888888889</v>
      </c>
      <c r="DY104">
        <v>419.979</v>
      </c>
      <c r="DZ104">
        <v>23.23723333333333</v>
      </c>
      <c r="EA104">
        <v>2.10474</v>
      </c>
      <c r="EB104">
        <v>2.109758888888889</v>
      </c>
      <c r="EC104">
        <v>18.25507777777778</v>
      </c>
      <c r="ED104">
        <v>18.29304444444445</v>
      </c>
      <c r="EE104">
        <v>0.00500078</v>
      </c>
      <c r="EF104">
        <v>0</v>
      </c>
      <c r="EG104">
        <v>0</v>
      </c>
      <c r="EH104">
        <v>0</v>
      </c>
      <c r="EI104">
        <v>76.99999999999999</v>
      </c>
      <c r="EJ104">
        <v>0.00500078</v>
      </c>
      <c r="EK104">
        <v>-16.52222222222223</v>
      </c>
      <c r="EL104">
        <v>-0.6777777777777777</v>
      </c>
      <c r="EM104">
        <v>35.715</v>
      </c>
      <c r="EN104">
        <v>40.13877777777778</v>
      </c>
      <c r="EO104">
        <v>37.75655555555555</v>
      </c>
      <c r="EP104">
        <v>40.81933333333333</v>
      </c>
      <c r="EQ104">
        <v>38.55522222222222</v>
      </c>
      <c r="ER104">
        <v>0</v>
      </c>
      <c r="ES104">
        <v>0</v>
      </c>
      <c r="ET104">
        <v>0</v>
      </c>
      <c r="EU104">
        <v>1761018622.9</v>
      </c>
      <c r="EV104">
        <v>0</v>
      </c>
      <c r="EW104">
        <v>78.512</v>
      </c>
      <c r="EX104">
        <v>-10.49230791332682</v>
      </c>
      <c r="EY104">
        <v>-16.08461528715535</v>
      </c>
      <c r="EZ104">
        <v>-13.472</v>
      </c>
      <c r="FA104">
        <v>15</v>
      </c>
      <c r="FB104">
        <v>1761018425</v>
      </c>
      <c r="FC104" t="s">
        <v>551</v>
      </c>
      <c r="FD104">
        <v>1761018422.5</v>
      </c>
      <c r="FE104">
        <v>1761018425</v>
      </c>
      <c r="FF104">
        <v>25</v>
      </c>
      <c r="FG104">
        <v>-0.524</v>
      </c>
      <c r="FH104">
        <v>-0.005</v>
      </c>
      <c r="FI104">
        <v>-1.348</v>
      </c>
      <c r="FJ104">
        <v>0.192</v>
      </c>
      <c r="FK104">
        <v>420</v>
      </c>
      <c r="FL104">
        <v>24</v>
      </c>
      <c r="FM104">
        <v>0.38</v>
      </c>
      <c r="FN104">
        <v>0.08</v>
      </c>
      <c r="FO104">
        <v>0.3710862682926829</v>
      </c>
      <c r="FP104">
        <v>-0.04655180487804862</v>
      </c>
      <c r="FQ104">
        <v>0.04345291249944147</v>
      </c>
      <c r="FR104">
        <v>1</v>
      </c>
      <c r="FS104">
        <v>78.64117647058822</v>
      </c>
      <c r="FT104">
        <v>3.116882942394137</v>
      </c>
      <c r="FU104">
        <v>7.042397554938184</v>
      </c>
      <c r="FV104">
        <v>0</v>
      </c>
      <c r="FW104">
        <v>-0.08065521609756097</v>
      </c>
      <c r="FX104">
        <v>0.05452603484320549</v>
      </c>
      <c r="FY104">
        <v>0.02890500799145998</v>
      </c>
      <c r="FZ104">
        <v>1</v>
      </c>
      <c r="GA104">
        <v>2</v>
      </c>
      <c r="GB104">
        <v>3</v>
      </c>
      <c r="GC104" t="s">
        <v>434</v>
      </c>
      <c r="GD104">
        <v>3.10932</v>
      </c>
      <c r="GE104">
        <v>2.72584</v>
      </c>
      <c r="GF104">
        <v>0.0888328</v>
      </c>
      <c r="GG104">
        <v>0.0885987</v>
      </c>
      <c r="GH104">
        <v>0.106304</v>
      </c>
      <c r="GI104">
        <v>0.107469</v>
      </c>
      <c r="GJ104">
        <v>23916.4</v>
      </c>
      <c r="GK104">
        <v>21673</v>
      </c>
      <c r="GL104">
        <v>26805.4</v>
      </c>
      <c r="GM104">
        <v>23985.6</v>
      </c>
      <c r="GN104">
        <v>38277.7</v>
      </c>
      <c r="GO104">
        <v>31578.7</v>
      </c>
      <c r="GP104">
        <v>46786.8</v>
      </c>
      <c r="GQ104">
        <v>37917</v>
      </c>
      <c r="GR104">
        <v>1.89377</v>
      </c>
      <c r="GS104">
        <v>1.887</v>
      </c>
      <c r="GT104">
        <v>0.133291</v>
      </c>
      <c r="GU104">
        <v>0</v>
      </c>
      <c r="GV104">
        <v>27.8201</v>
      </c>
      <c r="GW104">
        <v>999.9</v>
      </c>
      <c r="GX104">
        <v>63.8</v>
      </c>
      <c r="GY104">
        <v>28.8</v>
      </c>
      <c r="GZ104">
        <v>27.9382</v>
      </c>
      <c r="HA104">
        <v>61.4073</v>
      </c>
      <c r="HB104">
        <v>20.1122</v>
      </c>
      <c r="HC104">
        <v>1</v>
      </c>
      <c r="HD104">
        <v>0.0178252</v>
      </c>
      <c r="HE104">
        <v>-2.07791</v>
      </c>
      <c r="HF104">
        <v>20.3251</v>
      </c>
      <c r="HG104">
        <v>5.22133</v>
      </c>
      <c r="HH104">
        <v>11.9798</v>
      </c>
      <c r="HI104">
        <v>4.96565</v>
      </c>
      <c r="HJ104">
        <v>3.27595</v>
      </c>
      <c r="HK104">
        <v>9999</v>
      </c>
      <c r="HL104">
        <v>9999</v>
      </c>
      <c r="HM104">
        <v>9999</v>
      </c>
      <c r="HN104">
        <v>999.9</v>
      </c>
      <c r="HO104">
        <v>1.86357</v>
      </c>
      <c r="HP104">
        <v>1.85974</v>
      </c>
      <c r="HQ104">
        <v>1.85803</v>
      </c>
      <c r="HR104">
        <v>1.8594</v>
      </c>
      <c r="HS104">
        <v>1.85959</v>
      </c>
      <c r="HT104">
        <v>1.85802</v>
      </c>
      <c r="HU104">
        <v>1.85703</v>
      </c>
      <c r="HV104">
        <v>1.85208</v>
      </c>
      <c r="HW104">
        <v>0</v>
      </c>
      <c r="HX104">
        <v>0</v>
      </c>
      <c r="HY104">
        <v>0</v>
      </c>
      <c r="HZ104">
        <v>0</v>
      </c>
      <c r="IA104" t="s">
        <v>424</v>
      </c>
      <c r="IB104" t="s">
        <v>425</v>
      </c>
      <c r="IC104" t="s">
        <v>426</v>
      </c>
      <c r="ID104" t="s">
        <v>426</v>
      </c>
      <c r="IE104" t="s">
        <v>426</v>
      </c>
      <c r="IF104" t="s">
        <v>426</v>
      </c>
      <c r="IG104">
        <v>0</v>
      </c>
      <c r="IH104">
        <v>100</v>
      </c>
      <c r="II104">
        <v>100</v>
      </c>
      <c r="IJ104">
        <v>-1.346</v>
      </c>
      <c r="IK104">
        <v>0.1807</v>
      </c>
      <c r="IL104">
        <v>-2.136943090880341</v>
      </c>
      <c r="IM104">
        <v>0.001328113201692861</v>
      </c>
      <c r="IN104">
        <v>1.538283238170363E-06</v>
      </c>
      <c r="IO104">
        <v>-5.795655626708063E-10</v>
      </c>
      <c r="IP104">
        <v>-0.06045740820250394</v>
      </c>
      <c r="IQ104">
        <v>-0.004593102289677449</v>
      </c>
      <c r="IR104">
        <v>0.0008253994458280543</v>
      </c>
      <c r="IS104">
        <v>-7.403632370499484E-06</v>
      </c>
      <c r="IT104">
        <v>2</v>
      </c>
      <c r="IU104">
        <v>1985</v>
      </c>
      <c r="IV104">
        <v>1</v>
      </c>
      <c r="IW104">
        <v>27</v>
      </c>
      <c r="IX104">
        <v>3.4</v>
      </c>
      <c r="IY104">
        <v>3.3</v>
      </c>
      <c r="IZ104">
        <v>1.12549</v>
      </c>
      <c r="JA104">
        <v>2.57935</v>
      </c>
      <c r="JB104">
        <v>1.49658</v>
      </c>
      <c r="JC104">
        <v>2.34253</v>
      </c>
      <c r="JD104">
        <v>1.54907</v>
      </c>
      <c r="JE104">
        <v>2.45117</v>
      </c>
      <c r="JF104">
        <v>31.8707</v>
      </c>
      <c r="JG104">
        <v>14.5698</v>
      </c>
      <c r="JH104">
        <v>18</v>
      </c>
      <c r="JI104">
        <v>482.604</v>
      </c>
      <c r="JJ104">
        <v>508.063</v>
      </c>
      <c r="JK104">
        <v>30.9041</v>
      </c>
      <c r="JL104">
        <v>27.4872</v>
      </c>
      <c r="JM104">
        <v>29.9996</v>
      </c>
      <c r="JN104">
        <v>27.8065</v>
      </c>
      <c r="JO104">
        <v>27.8178</v>
      </c>
      <c r="JP104">
        <v>22.636</v>
      </c>
      <c r="JQ104">
        <v>20.3566</v>
      </c>
      <c r="JR104">
        <v>83.46729999999999</v>
      </c>
      <c r="JS104">
        <v>30.9045</v>
      </c>
      <c r="JT104">
        <v>420</v>
      </c>
      <c r="JU104">
        <v>23.1412</v>
      </c>
      <c r="JV104">
        <v>102.313</v>
      </c>
      <c r="JW104">
        <v>91.4705</v>
      </c>
    </row>
    <row r="105" spans="1:283">
      <c r="A105">
        <v>87</v>
      </c>
      <c r="B105">
        <v>1761018625.6</v>
      </c>
      <c r="C105">
        <v>556.0999999046326</v>
      </c>
      <c r="D105" t="s">
        <v>602</v>
      </c>
      <c r="E105" t="s">
        <v>603</v>
      </c>
      <c r="F105">
        <v>5</v>
      </c>
      <c r="G105" t="s">
        <v>489</v>
      </c>
      <c r="H105">
        <v>1761018622.6</v>
      </c>
      <c r="I105">
        <f>(J105)/1000</f>
        <v>0</v>
      </c>
      <c r="J105">
        <f>1000*DJ105*AH105*(DF105-DG105)/(100*CY105*(1000-AH105*DF105))</f>
        <v>0</v>
      </c>
      <c r="K105">
        <f>DJ105*AH105*(DE105-DD105*(1000-AH105*DG105)/(1000-AH105*DF105))/(100*CY105)</f>
        <v>0</v>
      </c>
      <c r="L105">
        <f>DD105 - IF(AH105&gt;1, K105*CY105*100.0/(AJ105), 0)</f>
        <v>0</v>
      </c>
      <c r="M105">
        <f>((S105-I105/2)*L105-K105)/(S105+I105/2)</f>
        <v>0</v>
      </c>
      <c r="N105">
        <f>M105*(DK105+DL105)/1000.0</f>
        <v>0</v>
      </c>
      <c r="O105">
        <f>(DD105 - IF(AH105&gt;1, K105*CY105*100.0/(AJ105), 0))*(DK105+DL105)/1000.0</f>
        <v>0</v>
      </c>
      <c r="P105">
        <f>2.0/((1/R105-1/Q105)+SIGN(R105)*SQRT((1/R105-1/Q105)*(1/R105-1/Q105) + 4*CZ105/((CZ105+1)*(CZ105+1))*(2*1/R105*1/Q105-1/Q105*1/Q105)))</f>
        <v>0</v>
      </c>
      <c r="Q105">
        <f>IF(LEFT(DA105,1)&lt;&gt;"0",IF(LEFT(DA105,1)="1",3.0,DB105),$D$5+$E$5*(DR105*DK105/($K$5*1000))+$F$5*(DR105*DK105/($K$5*1000))*MAX(MIN(CY105,$J$5),$I$5)*MAX(MIN(CY105,$J$5),$I$5)+$G$5*MAX(MIN(CY105,$J$5),$I$5)*(DR105*DK105/($K$5*1000))+$H$5*(DR105*DK105/($K$5*1000))*(DR105*DK105/($K$5*1000)))</f>
        <v>0</v>
      </c>
      <c r="R105">
        <f>I105*(1000-(1000*0.61365*exp(17.502*V105/(240.97+V105))/(DK105+DL105)+DF105)/2)/(1000*0.61365*exp(17.502*V105/(240.97+V105))/(DK105+DL105)-DF105)</f>
        <v>0</v>
      </c>
      <c r="S105">
        <f>1/((CZ105+1)/(P105/1.6)+1/(Q105/1.37)) + CZ105/((CZ105+1)/(P105/1.6) + CZ105/(Q105/1.37))</f>
        <v>0</v>
      </c>
      <c r="T105">
        <f>(CU105*CX105)</f>
        <v>0</v>
      </c>
      <c r="U105">
        <f>(DM105+(T105+2*0.95*5.67E-8*(((DM105+$B$9)+273)^4-(DM105+273)^4)-44100*I105)/(1.84*29.3*Q105+8*0.95*5.67E-8*(DM105+273)^3))</f>
        <v>0</v>
      </c>
      <c r="V105">
        <f>($C$9*DN105+$D$9*DO105+$E$9*U105)</f>
        <v>0</v>
      </c>
      <c r="W105">
        <f>0.61365*exp(17.502*V105/(240.97+V105))</f>
        <v>0</v>
      </c>
      <c r="X105">
        <f>(Y105/Z105*100)</f>
        <v>0</v>
      </c>
      <c r="Y105">
        <f>DF105*(DK105+DL105)/1000</f>
        <v>0</v>
      </c>
      <c r="Z105">
        <f>0.61365*exp(17.502*DM105/(240.97+DM105))</f>
        <v>0</v>
      </c>
      <c r="AA105">
        <f>(W105-DF105*(DK105+DL105)/1000)</f>
        <v>0</v>
      </c>
      <c r="AB105">
        <f>(-I105*44100)</f>
        <v>0</v>
      </c>
      <c r="AC105">
        <f>2*29.3*Q105*0.92*(DM105-V105)</f>
        <v>0</v>
      </c>
      <c r="AD105">
        <f>2*0.95*5.67E-8*(((DM105+$B$9)+273)^4-(V105+273)^4)</f>
        <v>0</v>
      </c>
      <c r="AE105">
        <f>T105+AD105+AB105+AC105</f>
        <v>0</v>
      </c>
      <c r="AF105">
        <v>0</v>
      </c>
      <c r="AG105">
        <v>0</v>
      </c>
      <c r="AH105">
        <f>IF(AF105*$H$15&gt;=AJ105,1.0,(AJ105/(AJ105-AF105*$H$15)))</f>
        <v>0</v>
      </c>
      <c r="AI105">
        <f>(AH105-1)*100</f>
        <v>0</v>
      </c>
      <c r="AJ105">
        <f>MAX(0,($B$15+$C$15*DR105)/(1+$D$15*DR105)*DK105/(DM105+273)*$E$15)</f>
        <v>0</v>
      </c>
      <c r="AK105" t="s">
        <v>420</v>
      </c>
      <c r="AL105" t="s">
        <v>420</v>
      </c>
      <c r="AM105">
        <v>0</v>
      </c>
      <c r="AN105">
        <v>0</v>
      </c>
      <c r="AO105">
        <f>1-AM105/AN105</f>
        <v>0</v>
      </c>
      <c r="AP105">
        <v>0</v>
      </c>
      <c r="AQ105" t="s">
        <v>420</v>
      </c>
      <c r="AR105" t="s">
        <v>420</v>
      </c>
      <c r="AS105">
        <v>0</v>
      </c>
      <c r="AT105">
        <v>0</v>
      </c>
      <c r="AU105">
        <f>1-AS105/AT105</f>
        <v>0</v>
      </c>
      <c r="AV105">
        <v>0.5</v>
      </c>
      <c r="AW105">
        <f>CV105</f>
        <v>0</v>
      </c>
      <c r="AX105">
        <f>K105</f>
        <v>0</v>
      </c>
      <c r="AY105">
        <f>AU105*AV105*AW105</f>
        <v>0</v>
      </c>
      <c r="AZ105">
        <f>(AX105-AP105)/AW105</f>
        <v>0</v>
      </c>
      <c r="BA105">
        <f>(AN105-AT105)/AT105</f>
        <v>0</v>
      </c>
      <c r="BB105">
        <f>AM105/(AO105+AM105/AT105)</f>
        <v>0</v>
      </c>
      <c r="BC105" t="s">
        <v>420</v>
      </c>
      <c r="BD105">
        <v>0</v>
      </c>
      <c r="BE105">
        <f>IF(BD105&lt;&gt;0, BD105, BB105)</f>
        <v>0</v>
      </c>
      <c r="BF105">
        <f>1-BE105/AT105</f>
        <v>0</v>
      </c>
      <c r="BG105">
        <f>(AT105-AS105)/(AT105-BE105)</f>
        <v>0</v>
      </c>
      <c r="BH105">
        <f>(AN105-AT105)/(AN105-BE105)</f>
        <v>0</v>
      </c>
      <c r="BI105">
        <f>(AT105-AS105)/(AT105-AM105)</f>
        <v>0</v>
      </c>
      <c r="BJ105">
        <f>(AN105-AT105)/(AN105-AM105)</f>
        <v>0</v>
      </c>
      <c r="BK105">
        <f>(BG105*BE105/AS105)</f>
        <v>0</v>
      </c>
      <c r="BL105">
        <f>(1-BK105)</f>
        <v>0</v>
      </c>
      <c r="CU105">
        <f>$B$13*DS105+$C$13*DT105+$F$13*EE105*(1-EH105)</f>
        <v>0</v>
      </c>
      <c r="CV105">
        <f>CU105*CW105</f>
        <v>0</v>
      </c>
      <c r="CW105">
        <f>($B$13*$D$11+$C$13*$D$11+$F$13*((ER105+EJ105)/MAX(ER105+EJ105+ES105, 0.1)*$I$11+ES105/MAX(ER105+EJ105+ES105, 0.1)*$J$11))/($B$13+$C$13+$F$13)</f>
        <v>0</v>
      </c>
      <c r="CX105">
        <f>($B$13*$K$11+$C$13*$K$11+$F$13*((ER105+EJ105)/MAX(ER105+EJ105+ES105, 0.1)*$P$11+ES105/MAX(ER105+EJ105+ES105, 0.1)*$Q$11))/($B$13+$C$13+$F$13)</f>
        <v>0</v>
      </c>
      <c r="CY105">
        <v>1.37</v>
      </c>
      <c r="CZ105">
        <v>0.5</v>
      </c>
      <c r="DA105" t="s">
        <v>421</v>
      </c>
      <c r="DB105">
        <v>2</v>
      </c>
      <c r="DC105">
        <v>1761018622.6</v>
      </c>
      <c r="DD105">
        <v>420.3605555555555</v>
      </c>
      <c r="DE105">
        <v>419.9639999999999</v>
      </c>
      <c r="DF105">
        <v>23.18972222222222</v>
      </c>
      <c r="DG105">
        <v>23.2371</v>
      </c>
      <c r="DH105">
        <v>421.7073333333333</v>
      </c>
      <c r="DI105">
        <v>23.00906666666667</v>
      </c>
      <c r="DJ105">
        <v>499.9584444444445</v>
      </c>
      <c r="DK105">
        <v>90.7921</v>
      </c>
      <c r="DL105">
        <v>0.03421672222222222</v>
      </c>
      <c r="DM105">
        <v>29.69654444444445</v>
      </c>
      <c r="DN105">
        <v>29.9972</v>
      </c>
      <c r="DO105">
        <v>999.9000000000001</v>
      </c>
      <c r="DP105">
        <v>0</v>
      </c>
      <c r="DQ105">
        <v>0</v>
      </c>
      <c r="DR105">
        <v>9987.153333333334</v>
      </c>
      <c r="DS105">
        <v>0</v>
      </c>
      <c r="DT105">
        <v>0.242856</v>
      </c>
      <c r="DU105">
        <v>0.3963858888888889</v>
      </c>
      <c r="DV105">
        <v>430.3398888888889</v>
      </c>
      <c r="DW105">
        <v>429.955</v>
      </c>
      <c r="DX105">
        <v>-0.04739507777777778</v>
      </c>
      <c r="DY105">
        <v>419.9639999999999</v>
      </c>
      <c r="DZ105">
        <v>23.2371</v>
      </c>
      <c r="EA105">
        <v>2.105444444444444</v>
      </c>
      <c r="EB105">
        <v>2.109745555555556</v>
      </c>
      <c r="EC105">
        <v>18.26042222222222</v>
      </c>
      <c r="ED105">
        <v>18.29295555555556</v>
      </c>
      <c r="EE105">
        <v>0.00500078</v>
      </c>
      <c r="EF105">
        <v>0</v>
      </c>
      <c r="EG105">
        <v>0</v>
      </c>
      <c r="EH105">
        <v>0</v>
      </c>
      <c r="EI105">
        <v>74.95555555555556</v>
      </c>
      <c r="EJ105">
        <v>0.00500078</v>
      </c>
      <c r="EK105">
        <v>-13.08888888888889</v>
      </c>
      <c r="EL105">
        <v>-0.6222222222222222</v>
      </c>
      <c r="EM105">
        <v>35.74977777777778</v>
      </c>
      <c r="EN105">
        <v>40.15944444444445</v>
      </c>
      <c r="EO105">
        <v>37.72188888888888</v>
      </c>
      <c r="EP105">
        <v>40.87477777777778</v>
      </c>
      <c r="EQ105">
        <v>38.22888888888888</v>
      </c>
      <c r="ER105">
        <v>0</v>
      </c>
      <c r="ES105">
        <v>0</v>
      </c>
      <c r="ET105">
        <v>0</v>
      </c>
      <c r="EU105">
        <v>1761018624.7</v>
      </c>
      <c r="EV105">
        <v>0</v>
      </c>
      <c r="EW105">
        <v>77.60384615384615</v>
      </c>
      <c r="EX105">
        <v>-11.55897452033057</v>
      </c>
      <c r="EY105">
        <v>10.58803430551862</v>
      </c>
      <c r="EZ105">
        <v>-12.27307692307692</v>
      </c>
      <c r="FA105">
        <v>15</v>
      </c>
      <c r="FB105">
        <v>1761018425</v>
      </c>
      <c r="FC105" t="s">
        <v>551</v>
      </c>
      <c r="FD105">
        <v>1761018422.5</v>
      </c>
      <c r="FE105">
        <v>1761018425</v>
      </c>
      <c r="FF105">
        <v>25</v>
      </c>
      <c r="FG105">
        <v>-0.524</v>
      </c>
      <c r="FH105">
        <v>-0.005</v>
      </c>
      <c r="FI105">
        <v>-1.348</v>
      </c>
      <c r="FJ105">
        <v>0.192</v>
      </c>
      <c r="FK105">
        <v>420</v>
      </c>
      <c r="FL105">
        <v>24</v>
      </c>
      <c r="FM105">
        <v>0.38</v>
      </c>
      <c r="FN105">
        <v>0.08</v>
      </c>
      <c r="FO105">
        <v>0.372105375</v>
      </c>
      <c r="FP105">
        <v>0.07964468667917426</v>
      </c>
      <c r="FQ105">
        <v>0.04466523142148013</v>
      </c>
      <c r="FR105">
        <v>1</v>
      </c>
      <c r="FS105">
        <v>78.4735294117647</v>
      </c>
      <c r="FT105">
        <v>-16.23682226722918</v>
      </c>
      <c r="FU105">
        <v>7.722096211275392</v>
      </c>
      <c r="FV105">
        <v>0</v>
      </c>
      <c r="FW105">
        <v>-0.0816278975</v>
      </c>
      <c r="FX105">
        <v>0.2591003628517827</v>
      </c>
      <c r="FY105">
        <v>0.02726568042457851</v>
      </c>
      <c r="FZ105">
        <v>0</v>
      </c>
      <c r="GA105">
        <v>1</v>
      </c>
      <c r="GB105">
        <v>3</v>
      </c>
      <c r="GC105" t="s">
        <v>431</v>
      </c>
      <c r="GD105">
        <v>3.10952</v>
      </c>
      <c r="GE105">
        <v>2.72575</v>
      </c>
      <c r="GF105">
        <v>0.0888317</v>
      </c>
      <c r="GG105">
        <v>0.08858779999999999</v>
      </c>
      <c r="GH105">
        <v>0.106328</v>
      </c>
      <c r="GI105">
        <v>0.107464</v>
      </c>
      <c r="GJ105">
        <v>23916.4</v>
      </c>
      <c r="GK105">
        <v>21673.2</v>
      </c>
      <c r="GL105">
        <v>26805.4</v>
      </c>
      <c r="GM105">
        <v>23985.6</v>
      </c>
      <c r="GN105">
        <v>38276.9</v>
      </c>
      <c r="GO105">
        <v>31578.9</v>
      </c>
      <c r="GP105">
        <v>46787.1</v>
      </c>
      <c r="GQ105">
        <v>37917</v>
      </c>
      <c r="GR105">
        <v>1.89393</v>
      </c>
      <c r="GS105">
        <v>1.88678</v>
      </c>
      <c r="GT105">
        <v>0.133254</v>
      </c>
      <c r="GU105">
        <v>0</v>
      </c>
      <c r="GV105">
        <v>27.8178</v>
      </c>
      <c r="GW105">
        <v>999.9</v>
      </c>
      <c r="GX105">
        <v>63.8</v>
      </c>
      <c r="GY105">
        <v>28.8</v>
      </c>
      <c r="GZ105">
        <v>27.9336</v>
      </c>
      <c r="HA105">
        <v>61.5073</v>
      </c>
      <c r="HB105">
        <v>20.0921</v>
      </c>
      <c r="HC105">
        <v>1</v>
      </c>
      <c r="HD105">
        <v>0.0175483</v>
      </c>
      <c r="HE105">
        <v>-2.1037</v>
      </c>
      <c r="HF105">
        <v>20.3249</v>
      </c>
      <c r="HG105">
        <v>5.22148</v>
      </c>
      <c r="HH105">
        <v>11.9798</v>
      </c>
      <c r="HI105">
        <v>4.96565</v>
      </c>
      <c r="HJ105">
        <v>3.27598</v>
      </c>
      <c r="HK105">
        <v>9999</v>
      </c>
      <c r="HL105">
        <v>9999</v>
      </c>
      <c r="HM105">
        <v>9999</v>
      </c>
      <c r="HN105">
        <v>999.9</v>
      </c>
      <c r="HO105">
        <v>1.86358</v>
      </c>
      <c r="HP105">
        <v>1.85974</v>
      </c>
      <c r="HQ105">
        <v>1.85803</v>
      </c>
      <c r="HR105">
        <v>1.8594</v>
      </c>
      <c r="HS105">
        <v>1.85959</v>
      </c>
      <c r="HT105">
        <v>1.85804</v>
      </c>
      <c r="HU105">
        <v>1.85705</v>
      </c>
      <c r="HV105">
        <v>1.85207</v>
      </c>
      <c r="HW105">
        <v>0</v>
      </c>
      <c r="HX105">
        <v>0</v>
      </c>
      <c r="HY105">
        <v>0</v>
      </c>
      <c r="HZ105">
        <v>0</v>
      </c>
      <c r="IA105" t="s">
        <v>424</v>
      </c>
      <c r="IB105" t="s">
        <v>425</v>
      </c>
      <c r="IC105" t="s">
        <v>426</v>
      </c>
      <c r="ID105" t="s">
        <v>426</v>
      </c>
      <c r="IE105" t="s">
        <v>426</v>
      </c>
      <c r="IF105" t="s">
        <v>426</v>
      </c>
      <c r="IG105">
        <v>0</v>
      </c>
      <c r="IH105">
        <v>100</v>
      </c>
      <c r="II105">
        <v>100</v>
      </c>
      <c r="IJ105">
        <v>-1.347</v>
      </c>
      <c r="IK105">
        <v>0.1809</v>
      </c>
      <c r="IL105">
        <v>-2.136943090880341</v>
      </c>
      <c r="IM105">
        <v>0.001328113201692861</v>
      </c>
      <c r="IN105">
        <v>1.538283238170363E-06</v>
      </c>
      <c r="IO105">
        <v>-5.795655626708063E-10</v>
      </c>
      <c r="IP105">
        <v>-0.06045740820250394</v>
      </c>
      <c r="IQ105">
        <v>-0.004593102289677449</v>
      </c>
      <c r="IR105">
        <v>0.0008253994458280543</v>
      </c>
      <c r="IS105">
        <v>-7.403632370499484E-06</v>
      </c>
      <c r="IT105">
        <v>2</v>
      </c>
      <c r="IU105">
        <v>1985</v>
      </c>
      <c r="IV105">
        <v>1</v>
      </c>
      <c r="IW105">
        <v>27</v>
      </c>
      <c r="IX105">
        <v>3.4</v>
      </c>
      <c r="IY105">
        <v>3.3</v>
      </c>
      <c r="IZ105">
        <v>1.12549</v>
      </c>
      <c r="JA105">
        <v>2.58423</v>
      </c>
      <c r="JB105">
        <v>1.49658</v>
      </c>
      <c r="JC105">
        <v>2.34131</v>
      </c>
      <c r="JD105">
        <v>1.54907</v>
      </c>
      <c r="JE105">
        <v>2.46704</v>
      </c>
      <c r="JF105">
        <v>31.8707</v>
      </c>
      <c r="JG105">
        <v>14.5873</v>
      </c>
      <c r="JH105">
        <v>18</v>
      </c>
      <c r="JI105">
        <v>482.669</v>
      </c>
      <c r="JJ105">
        <v>507.886</v>
      </c>
      <c r="JK105">
        <v>30.902</v>
      </c>
      <c r="JL105">
        <v>27.4843</v>
      </c>
      <c r="JM105">
        <v>29.9995</v>
      </c>
      <c r="JN105">
        <v>27.8035</v>
      </c>
      <c r="JO105">
        <v>27.8148</v>
      </c>
      <c r="JP105">
        <v>22.6393</v>
      </c>
      <c r="JQ105">
        <v>20.3566</v>
      </c>
      <c r="JR105">
        <v>83.46729999999999</v>
      </c>
      <c r="JS105">
        <v>30.9116</v>
      </c>
      <c r="JT105">
        <v>420</v>
      </c>
      <c r="JU105">
        <v>23.1322</v>
      </c>
      <c r="JV105">
        <v>102.313</v>
      </c>
      <c r="JW105">
        <v>91.4704</v>
      </c>
    </row>
    <row r="106" spans="1:283">
      <c r="A106">
        <v>88</v>
      </c>
      <c r="B106">
        <v>1761018627.6</v>
      </c>
      <c r="C106">
        <v>558.0999999046326</v>
      </c>
      <c r="D106" t="s">
        <v>604</v>
      </c>
      <c r="E106" t="s">
        <v>605</v>
      </c>
      <c r="F106">
        <v>5</v>
      </c>
      <c r="G106" t="s">
        <v>489</v>
      </c>
      <c r="H106">
        <v>1761018624.6</v>
      </c>
      <c r="I106">
        <f>(J106)/1000</f>
        <v>0</v>
      </c>
      <c r="J106">
        <f>1000*DJ106*AH106*(DF106-DG106)/(100*CY106*(1000-AH106*DF106))</f>
        <v>0</v>
      </c>
      <c r="K106">
        <f>DJ106*AH106*(DE106-DD106*(1000-AH106*DG106)/(1000-AH106*DF106))/(100*CY106)</f>
        <v>0</v>
      </c>
      <c r="L106">
        <f>DD106 - IF(AH106&gt;1, K106*CY106*100.0/(AJ106), 0)</f>
        <v>0</v>
      </c>
      <c r="M106">
        <f>((S106-I106/2)*L106-K106)/(S106+I106/2)</f>
        <v>0</v>
      </c>
      <c r="N106">
        <f>M106*(DK106+DL106)/1000.0</f>
        <v>0</v>
      </c>
      <c r="O106">
        <f>(DD106 - IF(AH106&gt;1, K106*CY106*100.0/(AJ106), 0))*(DK106+DL106)/1000.0</f>
        <v>0</v>
      </c>
      <c r="P106">
        <f>2.0/((1/R106-1/Q106)+SIGN(R106)*SQRT((1/R106-1/Q106)*(1/R106-1/Q106) + 4*CZ106/((CZ106+1)*(CZ106+1))*(2*1/R106*1/Q106-1/Q106*1/Q106)))</f>
        <v>0</v>
      </c>
      <c r="Q106">
        <f>IF(LEFT(DA106,1)&lt;&gt;"0",IF(LEFT(DA106,1)="1",3.0,DB106),$D$5+$E$5*(DR106*DK106/($K$5*1000))+$F$5*(DR106*DK106/($K$5*1000))*MAX(MIN(CY106,$J$5),$I$5)*MAX(MIN(CY106,$J$5),$I$5)+$G$5*MAX(MIN(CY106,$J$5),$I$5)*(DR106*DK106/($K$5*1000))+$H$5*(DR106*DK106/($K$5*1000))*(DR106*DK106/($K$5*1000)))</f>
        <v>0</v>
      </c>
      <c r="R106">
        <f>I106*(1000-(1000*0.61365*exp(17.502*V106/(240.97+V106))/(DK106+DL106)+DF106)/2)/(1000*0.61365*exp(17.502*V106/(240.97+V106))/(DK106+DL106)-DF106)</f>
        <v>0</v>
      </c>
      <c r="S106">
        <f>1/((CZ106+1)/(P106/1.6)+1/(Q106/1.37)) + CZ106/((CZ106+1)/(P106/1.6) + CZ106/(Q106/1.37))</f>
        <v>0</v>
      </c>
      <c r="T106">
        <f>(CU106*CX106)</f>
        <v>0</v>
      </c>
      <c r="U106">
        <f>(DM106+(T106+2*0.95*5.67E-8*(((DM106+$B$9)+273)^4-(DM106+273)^4)-44100*I106)/(1.84*29.3*Q106+8*0.95*5.67E-8*(DM106+273)^3))</f>
        <v>0</v>
      </c>
      <c r="V106">
        <f>($C$9*DN106+$D$9*DO106+$E$9*U106)</f>
        <v>0</v>
      </c>
      <c r="W106">
        <f>0.61365*exp(17.502*V106/(240.97+V106))</f>
        <v>0</v>
      </c>
      <c r="X106">
        <f>(Y106/Z106*100)</f>
        <v>0</v>
      </c>
      <c r="Y106">
        <f>DF106*(DK106+DL106)/1000</f>
        <v>0</v>
      </c>
      <c r="Z106">
        <f>0.61365*exp(17.502*DM106/(240.97+DM106))</f>
        <v>0</v>
      </c>
      <c r="AA106">
        <f>(W106-DF106*(DK106+DL106)/1000)</f>
        <v>0</v>
      </c>
      <c r="AB106">
        <f>(-I106*44100)</f>
        <v>0</v>
      </c>
      <c r="AC106">
        <f>2*29.3*Q106*0.92*(DM106-V106)</f>
        <v>0</v>
      </c>
      <c r="AD106">
        <f>2*0.95*5.67E-8*(((DM106+$B$9)+273)^4-(V106+273)^4)</f>
        <v>0</v>
      </c>
      <c r="AE106">
        <f>T106+AD106+AB106+AC106</f>
        <v>0</v>
      </c>
      <c r="AF106">
        <v>0</v>
      </c>
      <c r="AG106">
        <v>0</v>
      </c>
      <c r="AH106">
        <f>IF(AF106*$H$15&gt;=AJ106,1.0,(AJ106/(AJ106-AF106*$H$15)))</f>
        <v>0</v>
      </c>
      <c r="AI106">
        <f>(AH106-1)*100</f>
        <v>0</v>
      </c>
      <c r="AJ106">
        <f>MAX(0,($B$15+$C$15*DR106)/(1+$D$15*DR106)*DK106/(DM106+273)*$E$15)</f>
        <v>0</v>
      </c>
      <c r="AK106" t="s">
        <v>420</v>
      </c>
      <c r="AL106" t="s">
        <v>420</v>
      </c>
      <c r="AM106">
        <v>0</v>
      </c>
      <c r="AN106">
        <v>0</v>
      </c>
      <c r="AO106">
        <f>1-AM106/AN106</f>
        <v>0</v>
      </c>
      <c r="AP106">
        <v>0</v>
      </c>
      <c r="AQ106" t="s">
        <v>420</v>
      </c>
      <c r="AR106" t="s">
        <v>420</v>
      </c>
      <c r="AS106">
        <v>0</v>
      </c>
      <c r="AT106">
        <v>0</v>
      </c>
      <c r="AU106">
        <f>1-AS106/AT106</f>
        <v>0</v>
      </c>
      <c r="AV106">
        <v>0.5</v>
      </c>
      <c r="AW106">
        <f>CV106</f>
        <v>0</v>
      </c>
      <c r="AX106">
        <f>K106</f>
        <v>0</v>
      </c>
      <c r="AY106">
        <f>AU106*AV106*AW106</f>
        <v>0</v>
      </c>
      <c r="AZ106">
        <f>(AX106-AP106)/AW106</f>
        <v>0</v>
      </c>
      <c r="BA106">
        <f>(AN106-AT106)/AT106</f>
        <v>0</v>
      </c>
      <c r="BB106">
        <f>AM106/(AO106+AM106/AT106)</f>
        <v>0</v>
      </c>
      <c r="BC106" t="s">
        <v>420</v>
      </c>
      <c r="BD106">
        <v>0</v>
      </c>
      <c r="BE106">
        <f>IF(BD106&lt;&gt;0, BD106, BB106)</f>
        <v>0</v>
      </c>
      <c r="BF106">
        <f>1-BE106/AT106</f>
        <v>0</v>
      </c>
      <c r="BG106">
        <f>(AT106-AS106)/(AT106-BE106)</f>
        <v>0</v>
      </c>
      <c r="BH106">
        <f>(AN106-AT106)/(AN106-BE106)</f>
        <v>0</v>
      </c>
      <c r="BI106">
        <f>(AT106-AS106)/(AT106-AM106)</f>
        <v>0</v>
      </c>
      <c r="BJ106">
        <f>(AN106-AT106)/(AN106-AM106)</f>
        <v>0</v>
      </c>
      <c r="BK106">
        <f>(BG106*BE106/AS106)</f>
        <v>0</v>
      </c>
      <c r="BL106">
        <f>(1-BK106)</f>
        <v>0</v>
      </c>
      <c r="CU106">
        <f>$B$13*DS106+$C$13*DT106+$F$13*EE106*(1-EH106)</f>
        <v>0</v>
      </c>
      <c r="CV106">
        <f>CU106*CW106</f>
        <v>0</v>
      </c>
      <c r="CW106">
        <f>($B$13*$D$11+$C$13*$D$11+$F$13*((ER106+EJ106)/MAX(ER106+EJ106+ES106, 0.1)*$I$11+ES106/MAX(ER106+EJ106+ES106, 0.1)*$J$11))/($B$13+$C$13+$F$13)</f>
        <v>0</v>
      </c>
      <c r="CX106">
        <f>($B$13*$K$11+$C$13*$K$11+$F$13*((ER106+EJ106)/MAX(ER106+EJ106+ES106, 0.1)*$P$11+ES106/MAX(ER106+EJ106+ES106, 0.1)*$Q$11))/($B$13+$C$13+$F$13)</f>
        <v>0</v>
      </c>
      <c r="CY106">
        <v>1.37</v>
      </c>
      <c r="CZ106">
        <v>0.5</v>
      </c>
      <c r="DA106" t="s">
        <v>421</v>
      </c>
      <c r="DB106">
        <v>2</v>
      </c>
      <c r="DC106">
        <v>1761018624.6</v>
      </c>
      <c r="DD106">
        <v>420.3622222222223</v>
      </c>
      <c r="DE106">
        <v>419.9497777777777</v>
      </c>
      <c r="DF106">
        <v>23.19623333333334</v>
      </c>
      <c r="DG106">
        <v>23.23632222222222</v>
      </c>
      <c r="DH106">
        <v>421.7091111111111</v>
      </c>
      <c r="DI106">
        <v>23.01543333333333</v>
      </c>
      <c r="DJ106">
        <v>499.956</v>
      </c>
      <c r="DK106">
        <v>90.79197777777777</v>
      </c>
      <c r="DL106">
        <v>0.0341764</v>
      </c>
      <c r="DM106">
        <v>29.69537777777778</v>
      </c>
      <c r="DN106">
        <v>29.99377777777777</v>
      </c>
      <c r="DO106">
        <v>999.9000000000001</v>
      </c>
      <c r="DP106">
        <v>0</v>
      </c>
      <c r="DQ106">
        <v>0</v>
      </c>
      <c r="DR106">
        <v>9992.997777777775</v>
      </c>
      <c r="DS106">
        <v>0</v>
      </c>
      <c r="DT106">
        <v>0.242856</v>
      </c>
      <c r="DU106">
        <v>0.4123501111111111</v>
      </c>
      <c r="DV106">
        <v>430.3445555555556</v>
      </c>
      <c r="DW106">
        <v>429.9402222222222</v>
      </c>
      <c r="DX106">
        <v>-0.04009671111111111</v>
      </c>
      <c r="DY106">
        <v>419.9497777777777</v>
      </c>
      <c r="DZ106">
        <v>23.23632222222222</v>
      </c>
      <c r="EA106">
        <v>2.106033333333333</v>
      </c>
      <c r="EB106">
        <v>2.109672222222222</v>
      </c>
      <c r="EC106">
        <v>18.26487777777778</v>
      </c>
      <c r="ED106">
        <v>18.29241111111111</v>
      </c>
      <c r="EE106">
        <v>0.00500078</v>
      </c>
      <c r="EF106">
        <v>0</v>
      </c>
      <c r="EG106">
        <v>0</v>
      </c>
      <c r="EH106">
        <v>0</v>
      </c>
      <c r="EI106">
        <v>79.31111111111112</v>
      </c>
      <c r="EJ106">
        <v>0.00500078</v>
      </c>
      <c r="EK106">
        <v>-13.45555555555556</v>
      </c>
      <c r="EL106">
        <v>-0.6555555555555554</v>
      </c>
      <c r="EM106">
        <v>35.75677777777778</v>
      </c>
      <c r="EN106">
        <v>40.19411111111111</v>
      </c>
      <c r="EO106">
        <v>37.708</v>
      </c>
      <c r="EP106">
        <v>40.90244444444444</v>
      </c>
      <c r="EQ106">
        <v>38.12477777777778</v>
      </c>
      <c r="ER106">
        <v>0</v>
      </c>
      <c r="ES106">
        <v>0</v>
      </c>
      <c r="ET106">
        <v>0</v>
      </c>
      <c r="EU106">
        <v>1761018626.5</v>
      </c>
      <c r="EV106">
        <v>0</v>
      </c>
      <c r="EW106">
        <v>78.36799999999999</v>
      </c>
      <c r="EX106">
        <v>-11.4384616184284</v>
      </c>
      <c r="EY106">
        <v>7.707692412511888</v>
      </c>
      <c r="EZ106">
        <v>-12.876</v>
      </c>
      <c r="FA106">
        <v>15</v>
      </c>
      <c r="FB106">
        <v>1761018425</v>
      </c>
      <c r="FC106" t="s">
        <v>551</v>
      </c>
      <c r="FD106">
        <v>1761018422.5</v>
      </c>
      <c r="FE106">
        <v>1761018425</v>
      </c>
      <c r="FF106">
        <v>25</v>
      </c>
      <c r="FG106">
        <v>-0.524</v>
      </c>
      <c r="FH106">
        <v>-0.005</v>
      </c>
      <c r="FI106">
        <v>-1.348</v>
      </c>
      <c r="FJ106">
        <v>0.192</v>
      </c>
      <c r="FK106">
        <v>420</v>
      </c>
      <c r="FL106">
        <v>24</v>
      </c>
      <c r="FM106">
        <v>0.38</v>
      </c>
      <c r="FN106">
        <v>0.08</v>
      </c>
      <c r="FO106">
        <v>0.3805899024390244</v>
      </c>
      <c r="FP106">
        <v>0.1490825226480834</v>
      </c>
      <c r="FQ106">
        <v>0.04913834797137909</v>
      </c>
      <c r="FR106">
        <v>1</v>
      </c>
      <c r="FS106">
        <v>79.16176470588235</v>
      </c>
      <c r="FT106">
        <v>-15.07257462021208</v>
      </c>
      <c r="FU106">
        <v>7.476080079587256</v>
      </c>
      <c r="FV106">
        <v>0</v>
      </c>
      <c r="FW106">
        <v>-0.07782480731707317</v>
      </c>
      <c r="FX106">
        <v>0.2910891763066201</v>
      </c>
      <c r="FY106">
        <v>0.02952972717866746</v>
      </c>
      <c r="FZ106">
        <v>0</v>
      </c>
      <c r="GA106">
        <v>1</v>
      </c>
      <c r="GB106">
        <v>3</v>
      </c>
      <c r="GC106" t="s">
        <v>431</v>
      </c>
      <c r="GD106">
        <v>3.10943</v>
      </c>
      <c r="GE106">
        <v>2.72584</v>
      </c>
      <c r="GF106">
        <v>0.0888316</v>
      </c>
      <c r="GG106">
        <v>0.0886007</v>
      </c>
      <c r="GH106">
        <v>0.106343</v>
      </c>
      <c r="GI106">
        <v>0.107458</v>
      </c>
      <c r="GJ106">
        <v>23916.5</v>
      </c>
      <c r="GK106">
        <v>21672.8</v>
      </c>
      <c r="GL106">
        <v>26805.5</v>
      </c>
      <c r="GM106">
        <v>23985.4</v>
      </c>
      <c r="GN106">
        <v>38276.5</v>
      </c>
      <c r="GO106">
        <v>31578.9</v>
      </c>
      <c r="GP106">
        <v>46787.4</v>
      </c>
      <c r="GQ106">
        <v>37916.7</v>
      </c>
      <c r="GR106">
        <v>1.8938</v>
      </c>
      <c r="GS106">
        <v>1.88682</v>
      </c>
      <c r="GT106">
        <v>0.133794</v>
      </c>
      <c r="GU106">
        <v>0</v>
      </c>
      <c r="GV106">
        <v>27.8154</v>
      </c>
      <c r="GW106">
        <v>999.9</v>
      </c>
      <c r="GX106">
        <v>63.8</v>
      </c>
      <c r="GY106">
        <v>28.8</v>
      </c>
      <c r="GZ106">
        <v>27.936</v>
      </c>
      <c r="HA106">
        <v>61.3373</v>
      </c>
      <c r="HB106">
        <v>20.2644</v>
      </c>
      <c r="HC106">
        <v>1</v>
      </c>
      <c r="HD106">
        <v>0.0174111</v>
      </c>
      <c r="HE106">
        <v>-2.12285</v>
      </c>
      <c r="HF106">
        <v>20.3247</v>
      </c>
      <c r="HG106">
        <v>5.22193</v>
      </c>
      <c r="HH106">
        <v>11.9796</v>
      </c>
      <c r="HI106">
        <v>4.9657</v>
      </c>
      <c r="HJ106">
        <v>3.276</v>
      </c>
      <c r="HK106">
        <v>9999</v>
      </c>
      <c r="HL106">
        <v>9999</v>
      </c>
      <c r="HM106">
        <v>9999</v>
      </c>
      <c r="HN106">
        <v>999.9</v>
      </c>
      <c r="HO106">
        <v>1.86359</v>
      </c>
      <c r="HP106">
        <v>1.85974</v>
      </c>
      <c r="HQ106">
        <v>1.85804</v>
      </c>
      <c r="HR106">
        <v>1.85941</v>
      </c>
      <c r="HS106">
        <v>1.85959</v>
      </c>
      <c r="HT106">
        <v>1.85804</v>
      </c>
      <c r="HU106">
        <v>1.85706</v>
      </c>
      <c r="HV106">
        <v>1.85207</v>
      </c>
      <c r="HW106">
        <v>0</v>
      </c>
      <c r="HX106">
        <v>0</v>
      </c>
      <c r="HY106">
        <v>0</v>
      </c>
      <c r="HZ106">
        <v>0</v>
      </c>
      <c r="IA106" t="s">
        <v>424</v>
      </c>
      <c r="IB106" t="s">
        <v>425</v>
      </c>
      <c r="IC106" t="s">
        <v>426</v>
      </c>
      <c r="ID106" t="s">
        <v>426</v>
      </c>
      <c r="IE106" t="s">
        <v>426</v>
      </c>
      <c r="IF106" t="s">
        <v>426</v>
      </c>
      <c r="IG106">
        <v>0</v>
      </c>
      <c r="IH106">
        <v>100</v>
      </c>
      <c r="II106">
        <v>100</v>
      </c>
      <c r="IJ106">
        <v>-1.346</v>
      </c>
      <c r="IK106">
        <v>0.181</v>
      </c>
      <c r="IL106">
        <v>-2.136943090880341</v>
      </c>
      <c r="IM106">
        <v>0.001328113201692861</v>
      </c>
      <c r="IN106">
        <v>1.538283238170363E-06</v>
      </c>
      <c r="IO106">
        <v>-5.795655626708063E-10</v>
      </c>
      <c r="IP106">
        <v>-0.06045740820250394</v>
      </c>
      <c r="IQ106">
        <v>-0.004593102289677449</v>
      </c>
      <c r="IR106">
        <v>0.0008253994458280543</v>
      </c>
      <c r="IS106">
        <v>-7.403632370499484E-06</v>
      </c>
      <c r="IT106">
        <v>2</v>
      </c>
      <c r="IU106">
        <v>1985</v>
      </c>
      <c r="IV106">
        <v>1</v>
      </c>
      <c r="IW106">
        <v>27</v>
      </c>
      <c r="IX106">
        <v>3.4</v>
      </c>
      <c r="IY106">
        <v>3.4</v>
      </c>
      <c r="IZ106">
        <v>1.12549</v>
      </c>
      <c r="JA106">
        <v>2.57568</v>
      </c>
      <c r="JB106">
        <v>1.49658</v>
      </c>
      <c r="JC106">
        <v>2.34253</v>
      </c>
      <c r="JD106">
        <v>1.54907</v>
      </c>
      <c r="JE106">
        <v>2.44873</v>
      </c>
      <c r="JF106">
        <v>31.8707</v>
      </c>
      <c r="JG106">
        <v>14.5873</v>
      </c>
      <c r="JH106">
        <v>18</v>
      </c>
      <c r="JI106">
        <v>482.578</v>
      </c>
      <c r="JJ106">
        <v>507.894</v>
      </c>
      <c r="JK106">
        <v>30.9039</v>
      </c>
      <c r="JL106">
        <v>27.4817</v>
      </c>
      <c r="JM106">
        <v>29.9996</v>
      </c>
      <c r="JN106">
        <v>27.8012</v>
      </c>
      <c r="JO106">
        <v>27.8119</v>
      </c>
      <c r="JP106">
        <v>22.6353</v>
      </c>
      <c r="JQ106">
        <v>20.6284</v>
      </c>
      <c r="JR106">
        <v>83.46729999999999</v>
      </c>
      <c r="JS106">
        <v>30.9116</v>
      </c>
      <c r="JT106">
        <v>420</v>
      </c>
      <c r="JU106">
        <v>23.1253</v>
      </c>
      <c r="JV106">
        <v>102.314</v>
      </c>
      <c r="JW106">
        <v>91.46980000000001</v>
      </c>
    </row>
    <row r="107" spans="1:283">
      <c r="A107">
        <v>89</v>
      </c>
      <c r="B107">
        <v>1761018629.6</v>
      </c>
      <c r="C107">
        <v>560.0999999046326</v>
      </c>
      <c r="D107" t="s">
        <v>606</v>
      </c>
      <c r="E107" t="s">
        <v>607</v>
      </c>
      <c r="F107">
        <v>5</v>
      </c>
      <c r="G107" t="s">
        <v>489</v>
      </c>
      <c r="H107">
        <v>1761018626.6</v>
      </c>
      <c r="I107">
        <f>(J107)/1000</f>
        <v>0</v>
      </c>
      <c r="J107">
        <f>1000*DJ107*AH107*(DF107-DG107)/(100*CY107*(1000-AH107*DF107))</f>
        <v>0</v>
      </c>
      <c r="K107">
        <f>DJ107*AH107*(DE107-DD107*(1000-AH107*DG107)/(1000-AH107*DF107))/(100*CY107)</f>
        <v>0</v>
      </c>
      <c r="L107">
        <f>DD107 - IF(AH107&gt;1, K107*CY107*100.0/(AJ107), 0)</f>
        <v>0</v>
      </c>
      <c r="M107">
        <f>((S107-I107/2)*L107-K107)/(S107+I107/2)</f>
        <v>0</v>
      </c>
      <c r="N107">
        <f>M107*(DK107+DL107)/1000.0</f>
        <v>0</v>
      </c>
      <c r="O107">
        <f>(DD107 - IF(AH107&gt;1, K107*CY107*100.0/(AJ107), 0))*(DK107+DL107)/1000.0</f>
        <v>0</v>
      </c>
      <c r="P107">
        <f>2.0/((1/R107-1/Q107)+SIGN(R107)*SQRT((1/R107-1/Q107)*(1/R107-1/Q107) + 4*CZ107/((CZ107+1)*(CZ107+1))*(2*1/R107*1/Q107-1/Q107*1/Q107)))</f>
        <v>0</v>
      </c>
      <c r="Q107">
        <f>IF(LEFT(DA107,1)&lt;&gt;"0",IF(LEFT(DA107,1)="1",3.0,DB107),$D$5+$E$5*(DR107*DK107/($K$5*1000))+$F$5*(DR107*DK107/($K$5*1000))*MAX(MIN(CY107,$J$5),$I$5)*MAX(MIN(CY107,$J$5),$I$5)+$G$5*MAX(MIN(CY107,$J$5),$I$5)*(DR107*DK107/($K$5*1000))+$H$5*(DR107*DK107/($K$5*1000))*(DR107*DK107/($K$5*1000)))</f>
        <v>0</v>
      </c>
      <c r="R107">
        <f>I107*(1000-(1000*0.61365*exp(17.502*V107/(240.97+V107))/(DK107+DL107)+DF107)/2)/(1000*0.61365*exp(17.502*V107/(240.97+V107))/(DK107+DL107)-DF107)</f>
        <v>0</v>
      </c>
      <c r="S107">
        <f>1/((CZ107+1)/(P107/1.6)+1/(Q107/1.37)) + CZ107/((CZ107+1)/(P107/1.6) + CZ107/(Q107/1.37))</f>
        <v>0</v>
      </c>
      <c r="T107">
        <f>(CU107*CX107)</f>
        <v>0</v>
      </c>
      <c r="U107">
        <f>(DM107+(T107+2*0.95*5.67E-8*(((DM107+$B$9)+273)^4-(DM107+273)^4)-44100*I107)/(1.84*29.3*Q107+8*0.95*5.67E-8*(DM107+273)^3))</f>
        <v>0</v>
      </c>
      <c r="V107">
        <f>($C$9*DN107+$D$9*DO107+$E$9*U107)</f>
        <v>0</v>
      </c>
      <c r="W107">
        <f>0.61365*exp(17.502*V107/(240.97+V107))</f>
        <v>0</v>
      </c>
      <c r="X107">
        <f>(Y107/Z107*100)</f>
        <v>0</v>
      </c>
      <c r="Y107">
        <f>DF107*(DK107+DL107)/1000</f>
        <v>0</v>
      </c>
      <c r="Z107">
        <f>0.61365*exp(17.502*DM107/(240.97+DM107))</f>
        <v>0</v>
      </c>
      <c r="AA107">
        <f>(W107-DF107*(DK107+DL107)/1000)</f>
        <v>0</v>
      </c>
      <c r="AB107">
        <f>(-I107*44100)</f>
        <v>0</v>
      </c>
      <c r="AC107">
        <f>2*29.3*Q107*0.92*(DM107-V107)</f>
        <v>0</v>
      </c>
      <c r="AD107">
        <f>2*0.95*5.67E-8*(((DM107+$B$9)+273)^4-(V107+273)^4)</f>
        <v>0</v>
      </c>
      <c r="AE107">
        <f>T107+AD107+AB107+AC107</f>
        <v>0</v>
      </c>
      <c r="AF107">
        <v>0</v>
      </c>
      <c r="AG107">
        <v>0</v>
      </c>
      <c r="AH107">
        <f>IF(AF107*$H$15&gt;=AJ107,1.0,(AJ107/(AJ107-AF107*$H$15)))</f>
        <v>0</v>
      </c>
      <c r="AI107">
        <f>(AH107-1)*100</f>
        <v>0</v>
      </c>
      <c r="AJ107">
        <f>MAX(0,($B$15+$C$15*DR107)/(1+$D$15*DR107)*DK107/(DM107+273)*$E$15)</f>
        <v>0</v>
      </c>
      <c r="AK107" t="s">
        <v>420</v>
      </c>
      <c r="AL107" t="s">
        <v>420</v>
      </c>
      <c r="AM107">
        <v>0</v>
      </c>
      <c r="AN107">
        <v>0</v>
      </c>
      <c r="AO107">
        <f>1-AM107/AN107</f>
        <v>0</v>
      </c>
      <c r="AP107">
        <v>0</v>
      </c>
      <c r="AQ107" t="s">
        <v>420</v>
      </c>
      <c r="AR107" t="s">
        <v>420</v>
      </c>
      <c r="AS107">
        <v>0</v>
      </c>
      <c r="AT107">
        <v>0</v>
      </c>
      <c r="AU107">
        <f>1-AS107/AT107</f>
        <v>0</v>
      </c>
      <c r="AV107">
        <v>0.5</v>
      </c>
      <c r="AW107">
        <f>CV107</f>
        <v>0</v>
      </c>
      <c r="AX107">
        <f>K107</f>
        <v>0</v>
      </c>
      <c r="AY107">
        <f>AU107*AV107*AW107</f>
        <v>0</v>
      </c>
      <c r="AZ107">
        <f>(AX107-AP107)/AW107</f>
        <v>0</v>
      </c>
      <c r="BA107">
        <f>(AN107-AT107)/AT107</f>
        <v>0</v>
      </c>
      <c r="BB107">
        <f>AM107/(AO107+AM107/AT107)</f>
        <v>0</v>
      </c>
      <c r="BC107" t="s">
        <v>420</v>
      </c>
      <c r="BD107">
        <v>0</v>
      </c>
      <c r="BE107">
        <f>IF(BD107&lt;&gt;0, BD107, BB107)</f>
        <v>0</v>
      </c>
      <c r="BF107">
        <f>1-BE107/AT107</f>
        <v>0</v>
      </c>
      <c r="BG107">
        <f>(AT107-AS107)/(AT107-BE107)</f>
        <v>0</v>
      </c>
      <c r="BH107">
        <f>(AN107-AT107)/(AN107-BE107)</f>
        <v>0</v>
      </c>
      <c r="BI107">
        <f>(AT107-AS107)/(AT107-AM107)</f>
        <v>0</v>
      </c>
      <c r="BJ107">
        <f>(AN107-AT107)/(AN107-AM107)</f>
        <v>0</v>
      </c>
      <c r="BK107">
        <f>(BG107*BE107/AS107)</f>
        <v>0</v>
      </c>
      <c r="BL107">
        <f>(1-BK107)</f>
        <v>0</v>
      </c>
      <c r="CU107">
        <f>$B$13*DS107+$C$13*DT107+$F$13*EE107*(1-EH107)</f>
        <v>0</v>
      </c>
      <c r="CV107">
        <f>CU107*CW107</f>
        <v>0</v>
      </c>
      <c r="CW107">
        <f>($B$13*$D$11+$C$13*$D$11+$F$13*((ER107+EJ107)/MAX(ER107+EJ107+ES107, 0.1)*$I$11+ES107/MAX(ER107+EJ107+ES107, 0.1)*$J$11))/($B$13+$C$13+$F$13)</f>
        <v>0</v>
      </c>
      <c r="CX107">
        <f>($B$13*$K$11+$C$13*$K$11+$F$13*((ER107+EJ107)/MAX(ER107+EJ107+ES107, 0.1)*$P$11+ES107/MAX(ER107+EJ107+ES107, 0.1)*$Q$11))/($B$13+$C$13+$F$13)</f>
        <v>0</v>
      </c>
      <c r="CY107">
        <v>1.37</v>
      </c>
      <c r="CZ107">
        <v>0.5</v>
      </c>
      <c r="DA107" t="s">
        <v>421</v>
      </c>
      <c r="DB107">
        <v>2</v>
      </c>
      <c r="DC107">
        <v>1761018626.6</v>
      </c>
      <c r="DD107">
        <v>420.365</v>
      </c>
      <c r="DE107">
        <v>419.9708888888889</v>
      </c>
      <c r="DF107">
        <v>23.20135555555555</v>
      </c>
      <c r="DG107">
        <v>23.23487777777778</v>
      </c>
      <c r="DH107">
        <v>421.7118888888889</v>
      </c>
      <c r="DI107">
        <v>23.02044444444444</v>
      </c>
      <c r="DJ107">
        <v>499.9765555555555</v>
      </c>
      <c r="DK107">
        <v>90.79201111111111</v>
      </c>
      <c r="DL107">
        <v>0.03412327777777777</v>
      </c>
      <c r="DM107">
        <v>29.69454444444445</v>
      </c>
      <c r="DN107">
        <v>29.9942</v>
      </c>
      <c r="DO107">
        <v>999.9000000000001</v>
      </c>
      <c r="DP107">
        <v>0</v>
      </c>
      <c r="DQ107">
        <v>0</v>
      </c>
      <c r="DR107">
        <v>10000.22111111111</v>
      </c>
      <c r="DS107">
        <v>0</v>
      </c>
      <c r="DT107">
        <v>0.242856</v>
      </c>
      <c r="DU107">
        <v>0.394155</v>
      </c>
      <c r="DV107">
        <v>430.3497777777777</v>
      </c>
      <c r="DW107">
        <v>429.9611111111111</v>
      </c>
      <c r="DX107">
        <v>-0.03352801111111111</v>
      </c>
      <c r="DY107">
        <v>419.9708888888889</v>
      </c>
      <c r="DZ107">
        <v>23.23487777777778</v>
      </c>
      <c r="EA107">
        <v>2.106496666666667</v>
      </c>
      <c r="EB107">
        <v>2.109541111111111</v>
      </c>
      <c r="EC107">
        <v>18.2684</v>
      </c>
      <c r="ED107">
        <v>18.29142222222222</v>
      </c>
      <c r="EE107">
        <v>0.00500078</v>
      </c>
      <c r="EF107">
        <v>0</v>
      </c>
      <c r="EG107">
        <v>0</v>
      </c>
      <c r="EH107">
        <v>0</v>
      </c>
      <c r="EI107">
        <v>78.63333333333334</v>
      </c>
      <c r="EJ107">
        <v>0.00500078</v>
      </c>
      <c r="EK107">
        <v>-13.11111111111111</v>
      </c>
      <c r="EL107">
        <v>-0.4444444444444444</v>
      </c>
      <c r="EM107">
        <v>35.77755555555555</v>
      </c>
      <c r="EN107">
        <v>40.215</v>
      </c>
      <c r="EO107">
        <v>37.8261111111111</v>
      </c>
      <c r="EP107">
        <v>40.91633333333333</v>
      </c>
      <c r="EQ107">
        <v>38.06922222222222</v>
      </c>
      <c r="ER107">
        <v>0</v>
      </c>
      <c r="ES107">
        <v>0</v>
      </c>
      <c r="ET107">
        <v>0</v>
      </c>
      <c r="EU107">
        <v>1761018628.9</v>
      </c>
      <c r="EV107">
        <v>0</v>
      </c>
      <c r="EW107">
        <v>78.45599999999999</v>
      </c>
      <c r="EX107">
        <v>19.77692309716758</v>
      </c>
      <c r="EY107">
        <v>-13.93846135830744</v>
      </c>
      <c r="EZ107">
        <v>-13.536</v>
      </c>
      <c r="FA107">
        <v>15</v>
      </c>
      <c r="FB107">
        <v>1761018425</v>
      </c>
      <c r="FC107" t="s">
        <v>551</v>
      </c>
      <c r="FD107">
        <v>1761018422.5</v>
      </c>
      <c r="FE107">
        <v>1761018425</v>
      </c>
      <c r="FF107">
        <v>25</v>
      </c>
      <c r="FG107">
        <v>-0.524</v>
      </c>
      <c r="FH107">
        <v>-0.005</v>
      </c>
      <c r="FI107">
        <v>-1.348</v>
      </c>
      <c r="FJ107">
        <v>0.192</v>
      </c>
      <c r="FK107">
        <v>420</v>
      </c>
      <c r="FL107">
        <v>24</v>
      </c>
      <c r="FM107">
        <v>0.38</v>
      </c>
      <c r="FN107">
        <v>0.08</v>
      </c>
      <c r="FO107">
        <v>0.383006325</v>
      </c>
      <c r="FP107">
        <v>-0.03425129831144458</v>
      </c>
      <c r="FQ107">
        <v>0.04980352379721113</v>
      </c>
      <c r="FR107">
        <v>1</v>
      </c>
      <c r="FS107">
        <v>78.53529411764706</v>
      </c>
      <c r="FT107">
        <v>-1.537051262865114</v>
      </c>
      <c r="FU107">
        <v>6.920000100006</v>
      </c>
      <c r="FV107">
        <v>0</v>
      </c>
      <c r="FW107">
        <v>-0.06640718249999999</v>
      </c>
      <c r="FX107">
        <v>0.3027118637898686</v>
      </c>
      <c r="FY107">
        <v>0.02955363001390766</v>
      </c>
      <c r="FZ107">
        <v>0</v>
      </c>
      <c r="GA107">
        <v>1</v>
      </c>
      <c r="GB107">
        <v>3</v>
      </c>
      <c r="GC107" t="s">
        <v>431</v>
      </c>
      <c r="GD107">
        <v>3.10941</v>
      </c>
      <c r="GE107">
        <v>2.72581</v>
      </c>
      <c r="GF107">
        <v>0.0888364</v>
      </c>
      <c r="GG107">
        <v>0.0886166</v>
      </c>
      <c r="GH107">
        <v>0.106353</v>
      </c>
      <c r="GI107">
        <v>0.107455</v>
      </c>
      <c r="GJ107">
        <v>23916.6</v>
      </c>
      <c r="GK107">
        <v>21672.4</v>
      </c>
      <c r="GL107">
        <v>26805.7</v>
      </c>
      <c r="GM107">
        <v>23985.4</v>
      </c>
      <c r="GN107">
        <v>38276.1</v>
      </c>
      <c r="GO107">
        <v>31578.8</v>
      </c>
      <c r="GP107">
        <v>46787.5</v>
      </c>
      <c r="GQ107">
        <v>37916.6</v>
      </c>
      <c r="GR107">
        <v>1.89395</v>
      </c>
      <c r="GS107">
        <v>1.8869</v>
      </c>
      <c r="GT107">
        <v>0.134185</v>
      </c>
      <c r="GU107">
        <v>0</v>
      </c>
      <c r="GV107">
        <v>27.8124</v>
      </c>
      <c r="GW107">
        <v>999.9</v>
      </c>
      <c r="GX107">
        <v>63.8</v>
      </c>
      <c r="GY107">
        <v>28.7</v>
      </c>
      <c r="GZ107">
        <v>27.7727</v>
      </c>
      <c r="HA107">
        <v>61.0173</v>
      </c>
      <c r="HB107">
        <v>20.0601</v>
      </c>
      <c r="HC107">
        <v>1</v>
      </c>
      <c r="HD107">
        <v>0.0172027</v>
      </c>
      <c r="HE107">
        <v>-2.12515</v>
      </c>
      <c r="HF107">
        <v>20.3248</v>
      </c>
      <c r="HG107">
        <v>5.22208</v>
      </c>
      <c r="HH107">
        <v>11.9797</v>
      </c>
      <c r="HI107">
        <v>4.96565</v>
      </c>
      <c r="HJ107">
        <v>3.27598</v>
      </c>
      <c r="HK107">
        <v>9999</v>
      </c>
      <c r="HL107">
        <v>9999</v>
      </c>
      <c r="HM107">
        <v>9999</v>
      </c>
      <c r="HN107">
        <v>999.9</v>
      </c>
      <c r="HO107">
        <v>1.8636</v>
      </c>
      <c r="HP107">
        <v>1.85974</v>
      </c>
      <c r="HQ107">
        <v>1.85802</v>
      </c>
      <c r="HR107">
        <v>1.85942</v>
      </c>
      <c r="HS107">
        <v>1.85959</v>
      </c>
      <c r="HT107">
        <v>1.85803</v>
      </c>
      <c r="HU107">
        <v>1.85705</v>
      </c>
      <c r="HV107">
        <v>1.85207</v>
      </c>
      <c r="HW107">
        <v>0</v>
      </c>
      <c r="HX107">
        <v>0</v>
      </c>
      <c r="HY107">
        <v>0</v>
      </c>
      <c r="HZ107">
        <v>0</v>
      </c>
      <c r="IA107" t="s">
        <v>424</v>
      </c>
      <c r="IB107" t="s">
        <v>425</v>
      </c>
      <c r="IC107" t="s">
        <v>426</v>
      </c>
      <c r="ID107" t="s">
        <v>426</v>
      </c>
      <c r="IE107" t="s">
        <v>426</v>
      </c>
      <c r="IF107" t="s">
        <v>426</v>
      </c>
      <c r="IG107">
        <v>0</v>
      </c>
      <c r="IH107">
        <v>100</v>
      </c>
      <c r="II107">
        <v>100</v>
      </c>
      <c r="IJ107">
        <v>-1.347</v>
      </c>
      <c r="IK107">
        <v>0.181</v>
      </c>
      <c r="IL107">
        <v>-2.136943090880341</v>
      </c>
      <c r="IM107">
        <v>0.001328113201692861</v>
      </c>
      <c r="IN107">
        <v>1.538283238170363E-06</v>
      </c>
      <c r="IO107">
        <v>-5.795655626708063E-10</v>
      </c>
      <c r="IP107">
        <v>-0.06045740820250394</v>
      </c>
      <c r="IQ107">
        <v>-0.004593102289677449</v>
      </c>
      <c r="IR107">
        <v>0.0008253994458280543</v>
      </c>
      <c r="IS107">
        <v>-7.403632370499484E-06</v>
      </c>
      <c r="IT107">
        <v>2</v>
      </c>
      <c r="IU107">
        <v>1985</v>
      </c>
      <c r="IV107">
        <v>1</v>
      </c>
      <c r="IW107">
        <v>27</v>
      </c>
      <c r="IX107">
        <v>3.5</v>
      </c>
      <c r="IY107">
        <v>3.4</v>
      </c>
      <c r="IZ107">
        <v>1.12549</v>
      </c>
      <c r="JA107">
        <v>2.58545</v>
      </c>
      <c r="JB107">
        <v>1.49658</v>
      </c>
      <c r="JC107">
        <v>2.34131</v>
      </c>
      <c r="JD107">
        <v>1.54907</v>
      </c>
      <c r="JE107">
        <v>2.4231</v>
      </c>
      <c r="JF107">
        <v>31.8707</v>
      </c>
      <c r="JG107">
        <v>14.5611</v>
      </c>
      <c r="JH107">
        <v>18</v>
      </c>
      <c r="JI107">
        <v>482.647</v>
      </c>
      <c r="JJ107">
        <v>507.923</v>
      </c>
      <c r="JK107">
        <v>30.9072</v>
      </c>
      <c r="JL107">
        <v>27.4788</v>
      </c>
      <c r="JM107">
        <v>29.9996</v>
      </c>
      <c r="JN107">
        <v>27.7988</v>
      </c>
      <c r="JO107">
        <v>27.8096</v>
      </c>
      <c r="JP107">
        <v>22.635</v>
      </c>
      <c r="JQ107">
        <v>20.6284</v>
      </c>
      <c r="JR107">
        <v>83.46729999999999</v>
      </c>
      <c r="JS107">
        <v>30.9157</v>
      </c>
      <c r="JT107">
        <v>420</v>
      </c>
      <c r="JU107">
        <v>23.1181</v>
      </c>
      <c r="JV107">
        <v>102.314</v>
      </c>
      <c r="JW107">
        <v>91.4695</v>
      </c>
    </row>
    <row r="108" spans="1:283">
      <c r="A108">
        <v>90</v>
      </c>
      <c r="B108">
        <v>1761018631.6</v>
      </c>
      <c r="C108">
        <v>562.0999999046326</v>
      </c>
      <c r="D108" t="s">
        <v>608</v>
      </c>
      <c r="E108" t="s">
        <v>609</v>
      </c>
      <c r="F108">
        <v>5</v>
      </c>
      <c r="G108" t="s">
        <v>489</v>
      </c>
      <c r="H108">
        <v>1761018628.6</v>
      </c>
      <c r="I108">
        <f>(J108)/1000</f>
        <v>0</v>
      </c>
      <c r="J108">
        <f>1000*DJ108*AH108*(DF108-DG108)/(100*CY108*(1000-AH108*DF108))</f>
        <v>0</v>
      </c>
      <c r="K108">
        <f>DJ108*AH108*(DE108-DD108*(1000-AH108*DG108)/(1000-AH108*DF108))/(100*CY108)</f>
        <v>0</v>
      </c>
      <c r="L108">
        <f>DD108 - IF(AH108&gt;1, K108*CY108*100.0/(AJ108), 0)</f>
        <v>0</v>
      </c>
      <c r="M108">
        <f>((S108-I108/2)*L108-K108)/(S108+I108/2)</f>
        <v>0</v>
      </c>
      <c r="N108">
        <f>M108*(DK108+DL108)/1000.0</f>
        <v>0</v>
      </c>
      <c r="O108">
        <f>(DD108 - IF(AH108&gt;1, K108*CY108*100.0/(AJ108), 0))*(DK108+DL108)/1000.0</f>
        <v>0</v>
      </c>
      <c r="P108">
        <f>2.0/((1/R108-1/Q108)+SIGN(R108)*SQRT((1/R108-1/Q108)*(1/R108-1/Q108) + 4*CZ108/((CZ108+1)*(CZ108+1))*(2*1/R108*1/Q108-1/Q108*1/Q108)))</f>
        <v>0</v>
      </c>
      <c r="Q108">
        <f>IF(LEFT(DA108,1)&lt;&gt;"0",IF(LEFT(DA108,1)="1",3.0,DB108),$D$5+$E$5*(DR108*DK108/($K$5*1000))+$F$5*(DR108*DK108/($K$5*1000))*MAX(MIN(CY108,$J$5),$I$5)*MAX(MIN(CY108,$J$5),$I$5)+$G$5*MAX(MIN(CY108,$J$5),$I$5)*(DR108*DK108/($K$5*1000))+$H$5*(DR108*DK108/($K$5*1000))*(DR108*DK108/($K$5*1000)))</f>
        <v>0</v>
      </c>
      <c r="R108">
        <f>I108*(1000-(1000*0.61365*exp(17.502*V108/(240.97+V108))/(DK108+DL108)+DF108)/2)/(1000*0.61365*exp(17.502*V108/(240.97+V108))/(DK108+DL108)-DF108)</f>
        <v>0</v>
      </c>
      <c r="S108">
        <f>1/((CZ108+1)/(P108/1.6)+1/(Q108/1.37)) + CZ108/((CZ108+1)/(P108/1.6) + CZ108/(Q108/1.37))</f>
        <v>0</v>
      </c>
      <c r="T108">
        <f>(CU108*CX108)</f>
        <v>0</v>
      </c>
      <c r="U108">
        <f>(DM108+(T108+2*0.95*5.67E-8*(((DM108+$B$9)+273)^4-(DM108+273)^4)-44100*I108)/(1.84*29.3*Q108+8*0.95*5.67E-8*(DM108+273)^3))</f>
        <v>0</v>
      </c>
      <c r="V108">
        <f>($C$9*DN108+$D$9*DO108+$E$9*U108)</f>
        <v>0</v>
      </c>
      <c r="W108">
        <f>0.61365*exp(17.502*V108/(240.97+V108))</f>
        <v>0</v>
      </c>
      <c r="X108">
        <f>(Y108/Z108*100)</f>
        <v>0</v>
      </c>
      <c r="Y108">
        <f>DF108*(DK108+DL108)/1000</f>
        <v>0</v>
      </c>
      <c r="Z108">
        <f>0.61365*exp(17.502*DM108/(240.97+DM108))</f>
        <v>0</v>
      </c>
      <c r="AA108">
        <f>(W108-DF108*(DK108+DL108)/1000)</f>
        <v>0</v>
      </c>
      <c r="AB108">
        <f>(-I108*44100)</f>
        <v>0</v>
      </c>
      <c r="AC108">
        <f>2*29.3*Q108*0.92*(DM108-V108)</f>
        <v>0</v>
      </c>
      <c r="AD108">
        <f>2*0.95*5.67E-8*(((DM108+$B$9)+273)^4-(V108+273)^4)</f>
        <v>0</v>
      </c>
      <c r="AE108">
        <f>T108+AD108+AB108+AC108</f>
        <v>0</v>
      </c>
      <c r="AF108">
        <v>0</v>
      </c>
      <c r="AG108">
        <v>0</v>
      </c>
      <c r="AH108">
        <f>IF(AF108*$H$15&gt;=AJ108,1.0,(AJ108/(AJ108-AF108*$H$15)))</f>
        <v>0</v>
      </c>
      <c r="AI108">
        <f>(AH108-1)*100</f>
        <v>0</v>
      </c>
      <c r="AJ108">
        <f>MAX(0,($B$15+$C$15*DR108)/(1+$D$15*DR108)*DK108/(DM108+273)*$E$15)</f>
        <v>0</v>
      </c>
      <c r="AK108" t="s">
        <v>420</v>
      </c>
      <c r="AL108" t="s">
        <v>420</v>
      </c>
      <c r="AM108">
        <v>0</v>
      </c>
      <c r="AN108">
        <v>0</v>
      </c>
      <c r="AO108">
        <f>1-AM108/AN108</f>
        <v>0</v>
      </c>
      <c r="AP108">
        <v>0</v>
      </c>
      <c r="AQ108" t="s">
        <v>420</v>
      </c>
      <c r="AR108" t="s">
        <v>420</v>
      </c>
      <c r="AS108">
        <v>0</v>
      </c>
      <c r="AT108">
        <v>0</v>
      </c>
      <c r="AU108">
        <f>1-AS108/AT108</f>
        <v>0</v>
      </c>
      <c r="AV108">
        <v>0.5</v>
      </c>
      <c r="AW108">
        <f>CV108</f>
        <v>0</v>
      </c>
      <c r="AX108">
        <f>K108</f>
        <v>0</v>
      </c>
      <c r="AY108">
        <f>AU108*AV108*AW108</f>
        <v>0</v>
      </c>
      <c r="AZ108">
        <f>(AX108-AP108)/AW108</f>
        <v>0</v>
      </c>
      <c r="BA108">
        <f>(AN108-AT108)/AT108</f>
        <v>0</v>
      </c>
      <c r="BB108">
        <f>AM108/(AO108+AM108/AT108)</f>
        <v>0</v>
      </c>
      <c r="BC108" t="s">
        <v>420</v>
      </c>
      <c r="BD108">
        <v>0</v>
      </c>
      <c r="BE108">
        <f>IF(BD108&lt;&gt;0, BD108, BB108)</f>
        <v>0</v>
      </c>
      <c r="BF108">
        <f>1-BE108/AT108</f>
        <v>0</v>
      </c>
      <c r="BG108">
        <f>(AT108-AS108)/(AT108-BE108)</f>
        <v>0</v>
      </c>
      <c r="BH108">
        <f>(AN108-AT108)/(AN108-BE108)</f>
        <v>0</v>
      </c>
      <c r="BI108">
        <f>(AT108-AS108)/(AT108-AM108)</f>
        <v>0</v>
      </c>
      <c r="BJ108">
        <f>(AN108-AT108)/(AN108-AM108)</f>
        <v>0</v>
      </c>
      <c r="BK108">
        <f>(BG108*BE108/AS108)</f>
        <v>0</v>
      </c>
      <c r="BL108">
        <f>(1-BK108)</f>
        <v>0</v>
      </c>
      <c r="CU108">
        <f>$B$13*DS108+$C$13*DT108+$F$13*EE108*(1-EH108)</f>
        <v>0</v>
      </c>
      <c r="CV108">
        <f>CU108*CW108</f>
        <v>0</v>
      </c>
      <c r="CW108">
        <f>($B$13*$D$11+$C$13*$D$11+$F$13*((ER108+EJ108)/MAX(ER108+EJ108+ES108, 0.1)*$I$11+ES108/MAX(ER108+EJ108+ES108, 0.1)*$J$11))/($B$13+$C$13+$F$13)</f>
        <v>0</v>
      </c>
      <c r="CX108">
        <f>($B$13*$K$11+$C$13*$K$11+$F$13*((ER108+EJ108)/MAX(ER108+EJ108+ES108, 0.1)*$P$11+ES108/MAX(ER108+EJ108+ES108, 0.1)*$Q$11))/($B$13+$C$13+$F$13)</f>
        <v>0</v>
      </c>
      <c r="CY108">
        <v>1.37</v>
      </c>
      <c r="CZ108">
        <v>0.5</v>
      </c>
      <c r="DA108" t="s">
        <v>421</v>
      </c>
      <c r="DB108">
        <v>2</v>
      </c>
      <c r="DC108">
        <v>1761018628.6</v>
      </c>
      <c r="DD108">
        <v>420.3674444444445</v>
      </c>
      <c r="DE108">
        <v>419.997</v>
      </c>
      <c r="DF108">
        <v>23.2052</v>
      </c>
      <c r="DG108">
        <v>23.23195555555556</v>
      </c>
      <c r="DH108">
        <v>421.7142222222222</v>
      </c>
      <c r="DI108">
        <v>23.02422222222222</v>
      </c>
      <c r="DJ108">
        <v>500.0207777777778</v>
      </c>
      <c r="DK108">
        <v>90.79265555555554</v>
      </c>
      <c r="DL108">
        <v>0.03396698888888889</v>
      </c>
      <c r="DM108">
        <v>29.69391111111111</v>
      </c>
      <c r="DN108">
        <v>29.99793333333334</v>
      </c>
      <c r="DO108">
        <v>999.9000000000001</v>
      </c>
      <c r="DP108">
        <v>0</v>
      </c>
      <c r="DQ108">
        <v>0</v>
      </c>
      <c r="DR108">
        <v>10013.68666666667</v>
      </c>
      <c r="DS108">
        <v>0</v>
      </c>
      <c r="DT108">
        <v>0.242856</v>
      </c>
      <c r="DU108">
        <v>0.3705683333333333</v>
      </c>
      <c r="DV108">
        <v>430.3538888888889</v>
      </c>
      <c r="DW108">
        <v>429.9864444444444</v>
      </c>
      <c r="DX108">
        <v>-0.02674906666666666</v>
      </c>
      <c r="DY108">
        <v>419.997</v>
      </c>
      <c r="DZ108">
        <v>23.23195555555556</v>
      </c>
      <c r="EA108">
        <v>2.106861111111111</v>
      </c>
      <c r="EB108">
        <v>2.10929</v>
      </c>
      <c r="EC108">
        <v>18.27114444444444</v>
      </c>
      <c r="ED108">
        <v>18.28952222222222</v>
      </c>
      <c r="EE108">
        <v>0.00500078</v>
      </c>
      <c r="EF108">
        <v>0</v>
      </c>
      <c r="EG108">
        <v>0</v>
      </c>
      <c r="EH108">
        <v>0</v>
      </c>
      <c r="EI108">
        <v>81.61111111111111</v>
      </c>
      <c r="EJ108">
        <v>0.00500078</v>
      </c>
      <c r="EK108">
        <v>-16.25555555555556</v>
      </c>
      <c r="EL108">
        <v>-0.6777777777777777</v>
      </c>
      <c r="EM108">
        <v>35.76377777777778</v>
      </c>
      <c r="EN108">
        <v>40.236</v>
      </c>
      <c r="EO108">
        <v>37.7011111111111</v>
      </c>
      <c r="EP108">
        <v>40.95099999999999</v>
      </c>
      <c r="EQ108">
        <v>38.05544444444445</v>
      </c>
      <c r="ER108">
        <v>0</v>
      </c>
      <c r="ES108">
        <v>0</v>
      </c>
      <c r="ET108">
        <v>0</v>
      </c>
      <c r="EU108">
        <v>1761018630.7</v>
      </c>
      <c r="EV108">
        <v>0</v>
      </c>
      <c r="EW108">
        <v>78.17692307692309</v>
      </c>
      <c r="EX108">
        <v>7.712820601130587</v>
      </c>
      <c r="EY108">
        <v>-3.206837408713381</v>
      </c>
      <c r="EZ108">
        <v>-13.56153846153846</v>
      </c>
      <c r="FA108">
        <v>15</v>
      </c>
      <c r="FB108">
        <v>1761018425</v>
      </c>
      <c r="FC108" t="s">
        <v>551</v>
      </c>
      <c r="FD108">
        <v>1761018422.5</v>
      </c>
      <c r="FE108">
        <v>1761018425</v>
      </c>
      <c r="FF108">
        <v>25</v>
      </c>
      <c r="FG108">
        <v>-0.524</v>
      </c>
      <c r="FH108">
        <v>-0.005</v>
      </c>
      <c r="FI108">
        <v>-1.348</v>
      </c>
      <c r="FJ108">
        <v>0.192</v>
      </c>
      <c r="FK108">
        <v>420</v>
      </c>
      <c r="FL108">
        <v>24</v>
      </c>
      <c r="FM108">
        <v>0.38</v>
      </c>
      <c r="FN108">
        <v>0.08</v>
      </c>
      <c r="FO108">
        <v>0.3782132926829268</v>
      </c>
      <c r="FP108">
        <v>-0.07995252961672433</v>
      </c>
      <c r="FQ108">
        <v>0.05114522114158521</v>
      </c>
      <c r="FR108">
        <v>1</v>
      </c>
      <c r="FS108">
        <v>78.59411764705884</v>
      </c>
      <c r="FT108">
        <v>8.275019104162782</v>
      </c>
      <c r="FU108">
        <v>7.028971189737454</v>
      </c>
      <c r="FV108">
        <v>0</v>
      </c>
      <c r="FW108">
        <v>-0.06061709512195123</v>
      </c>
      <c r="FX108">
        <v>0.2848433289198607</v>
      </c>
      <c r="FY108">
        <v>0.02858808853387984</v>
      </c>
      <c r="FZ108">
        <v>0</v>
      </c>
      <c r="GA108">
        <v>1</v>
      </c>
      <c r="GB108">
        <v>3</v>
      </c>
      <c r="GC108" t="s">
        <v>431</v>
      </c>
      <c r="GD108">
        <v>3.1097</v>
      </c>
      <c r="GE108">
        <v>2.72538</v>
      </c>
      <c r="GF108">
        <v>0.0888343</v>
      </c>
      <c r="GG108">
        <v>0.0886036</v>
      </c>
      <c r="GH108">
        <v>0.106364</v>
      </c>
      <c r="GI108">
        <v>0.107425</v>
      </c>
      <c r="GJ108">
        <v>23916.6</v>
      </c>
      <c r="GK108">
        <v>21672.7</v>
      </c>
      <c r="GL108">
        <v>26805.7</v>
      </c>
      <c r="GM108">
        <v>23985.4</v>
      </c>
      <c r="GN108">
        <v>38275.8</v>
      </c>
      <c r="GO108">
        <v>31579.8</v>
      </c>
      <c r="GP108">
        <v>46787.6</v>
      </c>
      <c r="GQ108">
        <v>37916.5</v>
      </c>
      <c r="GR108">
        <v>1.89468</v>
      </c>
      <c r="GS108">
        <v>1.88625</v>
      </c>
      <c r="GT108">
        <v>0.134408</v>
      </c>
      <c r="GU108">
        <v>0</v>
      </c>
      <c r="GV108">
        <v>27.8095</v>
      </c>
      <c r="GW108">
        <v>999.9</v>
      </c>
      <c r="GX108">
        <v>63.8</v>
      </c>
      <c r="GY108">
        <v>28.7</v>
      </c>
      <c r="GZ108">
        <v>27.773</v>
      </c>
      <c r="HA108">
        <v>61.5373</v>
      </c>
      <c r="HB108">
        <v>20.1763</v>
      </c>
      <c r="HC108">
        <v>1</v>
      </c>
      <c r="HD108">
        <v>0.0168979</v>
      </c>
      <c r="HE108">
        <v>-2.13224</v>
      </c>
      <c r="HF108">
        <v>20.3248</v>
      </c>
      <c r="HG108">
        <v>5.22223</v>
      </c>
      <c r="HH108">
        <v>11.9797</v>
      </c>
      <c r="HI108">
        <v>4.9656</v>
      </c>
      <c r="HJ108">
        <v>3.27595</v>
      </c>
      <c r="HK108">
        <v>9999</v>
      </c>
      <c r="HL108">
        <v>9999</v>
      </c>
      <c r="HM108">
        <v>9999</v>
      </c>
      <c r="HN108">
        <v>999.9</v>
      </c>
      <c r="HO108">
        <v>1.8636</v>
      </c>
      <c r="HP108">
        <v>1.85974</v>
      </c>
      <c r="HQ108">
        <v>1.858</v>
      </c>
      <c r="HR108">
        <v>1.85942</v>
      </c>
      <c r="HS108">
        <v>1.85959</v>
      </c>
      <c r="HT108">
        <v>1.85803</v>
      </c>
      <c r="HU108">
        <v>1.85705</v>
      </c>
      <c r="HV108">
        <v>1.85208</v>
      </c>
      <c r="HW108">
        <v>0</v>
      </c>
      <c r="HX108">
        <v>0</v>
      </c>
      <c r="HY108">
        <v>0</v>
      </c>
      <c r="HZ108">
        <v>0</v>
      </c>
      <c r="IA108" t="s">
        <v>424</v>
      </c>
      <c r="IB108" t="s">
        <v>425</v>
      </c>
      <c r="IC108" t="s">
        <v>426</v>
      </c>
      <c r="ID108" t="s">
        <v>426</v>
      </c>
      <c r="IE108" t="s">
        <v>426</v>
      </c>
      <c r="IF108" t="s">
        <v>426</v>
      </c>
      <c r="IG108">
        <v>0</v>
      </c>
      <c r="IH108">
        <v>100</v>
      </c>
      <c r="II108">
        <v>100</v>
      </c>
      <c r="IJ108">
        <v>-1.347</v>
      </c>
      <c r="IK108">
        <v>0.181</v>
      </c>
      <c r="IL108">
        <v>-2.136943090880341</v>
      </c>
      <c r="IM108">
        <v>0.001328113201692861</v>
      </c>
      <c r="IN108">
        <v>1.538283238170363E-06</v>
      </c>
      <c r="IO108">
        <v>-5.795655626708063E-10</v>
      </c>
      <c r="IP108">
        <v>-0.06045740820250394</v>
      </c>
      <c r="IQ108">
        <v>-0.004593102289677449</v>
      </c>
      <c r="IR108">
        <v>0.0008253994458280543</v>
      </c>
      <c r="IS108">
        <v>-7.403632370499484E-06</v>
      </c>
      <c r="IT108">
        <v>2</v>
      </c>
      <c r="IU108">
        <v>1985</v>
      </c>
      <c r="IV108">
        <v>1</v>
      </c>
      <c r="IW108">
        <v>27</v>
      </c>
      <c r="IX108">
        <v>3.5</v>
      </c>
      <c r="IY108">
        <v>3.4</v>
      </c>
      <c r="IZ108">
        <v>1.12549</v>
      </c>
      <c r="JA108">
        <v>2.58789</v>
      </c>
      <c r="JB108">
        <v>1.49658</v>
      </c>
      <c r="JC108">
        <v>2.34131</v>
      </c>
      <c r="JD108">
        <v>1.54907</v>
      </c>
      <c r="JE108">
        <v>2.42188</v>
      </c>
      <c r="JF108">
        <v>31.8707</v>
      </c>
      <c r="JG108">
        <v>14.5786</v>
      </c>
      <c r="JH108">
        <v>18</v>
      </c>
      <c r="JI108">
        <v>483.046</v>
      </c>
      <c r="JJ108">
        <v>507.466</v>
      </c>
      <c r="JK108">
        <v>30.9095</v>
      </c>
      <c r="JL108">
        <v>27.4761</v>
      </c>
      <c r="JM108">
        <v>29.9996</v>
      </c>
      <c r="JN108">
        <v>27.7962</v>
      </c>
      <c r="JO108">
        <v>27.8071</v>
      </c>
      <c r="JP108">
        <v>22.6357</v>
      </c>
      <c r="JQ108">
        <v>20.6284</v>
      </c>
      <c r="JR108">
        <v>83.46729999999999</v>
      </c>
      <c r="JS108">
        <v>30.9157</v>
      </c>
      <c r="JT108">
        <v>420</v>
      </c>
      <c r="JU108">
        <v>23.1089</v>
      </c>
      <c r="JV108">
        <v>102.314</v>
      </c>
      <c r="JW108">
        <v>91.46939999999999</v>
      </c>
    </row>
    <row r="109" spans="1:283">
      <c r="A109">
        <v>91</v>
      </c>
      <c r="B109">
        <v>1761018810.1</v>
      </c>
      <c r="C109">
        <v>740.5999999046326</v>
      </c>
      <c r="D109" t="s">
        <v>610</v>
      </c>
      <c r="E109" t="s">
        <v>611</v>
      </c>
      <c r="F109">
        <v>5</v>
      </c>
      <c r="G109" t="s">
        <v>612</v>
      </c>
      <c r="H109">
        <v>1761018807.35</v>
      </c>
      <c r="I109">
        <f>(J109)/1000</f>
        <v>0</v>
      </c>
      <c r="J109">
        <f>1000*DJ109*AH109*(DF109-DG109)/(100*CY109*(1000-AH109*DF109))</f>
        <v>0</v>
      </c>
      <c r="K109">
        <f>DJ109*AH109*(DE109-DD109*(1000-AH109*DG109)/(1000-AH109*DF109))/(100*CY109)</f>
        <v>0</v>
      </c>
      <c r="L109">
        <f>DD109 - IF(AH109&gt;1, K109*CY109*100.0/(AJ109), 0)</f>
        <v>0</v>
      </c>
      <c r="M109">
        <f>((S109-I109/2)*L109-K109)/(S109+I109/2)</f>
        <v>0</v>
      </c>
      <c r="N109">
        <f>M109*(DK109+DL109)/1000.0</f>
        <v>0</v>
      </c>
      <c r="O109">
        <f>(DD109 - IF(AH109&gt;1, K109*CY109*100.0/(AJ109), 0))*(DK109+DL109)/1000.0</f>
        <v>0</v>
      </c>
      <c r="P109">
        <f>2.0/((1/R109-1/Q109)+SIGN(R109)*SQRT((1/R109-1/Q109)*(1/R109-1/Q109) + 4*CZ109/((CZ109+1)*(CZ109+1))*(2*1/R109*1/Q109-1/Q109*1/Q109)))</f>
        <v>0</v>
      </c>
      <c r="Q109">
        <f>IF(LEFT(DA109,1)&lt;&gt;"0",IF(LEFT(DA109,1)="1",3.0,DB109),$D$5+$E$5*(DR109*DK109/($K$5*1000))+$F$5*(DR109*DK109/($K$5*1000))*MAX(MIN(CY109,$J$5),$I$5)*MAX(MIN(CY109,$J$5),$I$5)+$G$5*MAX(MIN(CY109,$J$5),$I$5)*(DR109*DK109/($K$5*1000))+$H$5*(DR109*DK109/($K$5*1000))*(DR109*DK109/($K$5*1000)))</f>
        <v>0</v>
      </c>
      <c r="R109">
        <f>I109*(1000-(1000*0.61365*exp(17.502*V109/(240.97+V109))/(DK109+DL109)+DF109)/2)/(1000*0.61365*exp(17.502*V109/(240.97+V109))/(DK109+DL109)-DF109)</f>
        <v>0</v>
      </c>
      <c r="S109">
        <f>1/((CZ109+1)/(P109/1.6)+1/(Q109/1.37)) + CZ109/((CZ109+1)/(P109/1.6) + CZ109/(Q109/1.37))</f>
        <v>0</v>
      </c>
      <c r="T109">
        <f>(CU109*CX109)</f>
        <v>0</v>
      </c>
      <c r="U109">
        <f>(DM109+(T109+2*0.95*5.67E-8*(((DM109+$B$9)+273)^4-(DM109+273)^4)-44100*I109)/(1.84*29.3*Q109+8*0.95*5.67E-8*(DM109+273)^3))</f>
        <v>0</v>
      </c>
      <c r="V109">
        <f>($C$9*DN109+$D$9*DO109+$E$9*U109)</f>
        <v>0</v>
      </c>
      <c r="W109">
        <f>0.61365*exp(17.502*V109/(240.97+V109))</f>
        <v>0</v>
      </c>
      <c r="X109">
        <f>(Y109/Z109*100)</f>
        <v>0</v>
      </c>
      <c r="Y109">
        <f>DF109*(DK109+DL109)/1000</f>
        <v>0</v>
      </c>
      <c r="Z109">
        <f>0.61365*exp(17.502*DM109/(240.97+DM109))</f>
        <v>0</v>
      </c>
      <c r="AA109">
        <f>(W109-DF109*(DK109+DL109)/1000)</f>
        <v>0</v>
      </c>
      <c r="AB109">
        <f>(-I109*44100)</f>
        <v>0</v>
      </c>
      <c r="AC109">
        <f>2*29.3*Q109*0.92*(DM109-V109)</f>
        <v>0</v>
      </c>
      <c r="AD109">
        <f>2*0.95*5.67E-8*(((DM109+$B$9)+273)^4-(V109+273)^4)</f>
        <v>0</v>
      </c>
      <c r="AE109">
        <f>T109+AD109+AB109+AC109</f>
        <v>0</v>
      </c>
      <c r="AF109">
        <v>0</v>
      </c>
      <c r="AG109">
        <v>0</v>
      </c>
      <c r="AH109">
        <f>IF(AF109*$H$15&gt;=AJ109,1.0,(AJ109/(AJ109-AF109*$H$15)))</f>
        <v>0</v>
      </c>
      <c r="AI109">
        <f>(AH109-1)*100</f>
        <v>0</v>
      </c>
      <c r="AJ109">
        <f>MAX(0,($B$15+$C$15*DR109)/(1+$D$15*DR109)*DK109/(DM109+273)*$E$15)</f>
        <v>0</v>
      </c>
      <c r="AK109" t="s">
        <v>420</v>
      </c>
      <c r="AL109" t="s">
        <v>420</v>
      </c>
      <c r="AM109">
        <v>0</v>
      </c>
      <c r="AN109">
        <v>0</v>
      </c>
      <c r="AO109">
        <f>1-AM109/AN109</f>
        <v>0</v>
      </c>
      <c r="AP109">
        <v>0</v>
      </c>
      <c r="AQ109" t="s">
        <v>420</v>
      </c>
      <c r="AR109" t="s">
        <v>420</v>
      </c>
      <c r="AS109">
        <v>0</v>
      </c>
      <c r="AT109">
        <v>0</v>
      </c>
      <c r="AU109">
        <f>1-AS109/AT109</f>
        <v>0</v>
      </c>
      <c r="AV109">
        <v>0.5</v>
      </c>
      <c r="AW109">
        <f>CV109</f>
        <v>0</v>
      </c>
      <c r="AX109">
        <f>K109</f>
        <v>0</v>
      </c>
      <c r="AY109">
        <f>AU109*AV109*AW109</f>
        <v>0</v>
      </c>
      <c r="AZ109">
        <f>(AX109-AP109)/AW109</f>
        <v>0</v>
      </c>
      <c r="BA109">
        <f>(AN109-AT109)/AT109</f>
        <v>0</v>
      </c>
      <c r="BB109">
        <f>AM109/(AO109+AM109/AT109)</f>
        <v>0</v>
      </c>
      <c r="BC109" t="s">
        <v>420</v>
      </c>
      <c r="BD109">
        <v>0</v>
      </c>
      <c r="BE109">
        <f>IF(BD109&lt;&gt;0, BD109, BB109)</f>
        <v>0</v>
      </c>
      <c r="BF109">
        <f>1-BE109/AT109</f>
        <v>0</v>
      </c>
      <c r="BG109">
        <f>(AT109-AS109)/(AT109-BE109)</f>
        <v>0</v>
      </c>
      <c r="BH109">
        <f>(AN109-AT109)/(AN109-BE109)</f>
        <v>0</v>
      </c>
      <c r="BI109">
        <f>(AT109-AS109)/(AT109-AM109)</f>
        <v>0</v>
      </c>
      <c r="BJ109">
        <f>(AN109-AT109)/(AN109-AM109)</f>
        <v>0</v>
      </c>
      <c r="BK109">
        <f>(BG109*BE109/AS109)</f>
        <v>0</v>
      </c>
      <c r="BL109">
        <f>(1-BK109)</f>
        <v>0</v>
      </c>
      <c r="CU109">
        <f>$B$13*DS109+$C$13*DT109+$F$13*EE109*(1-EH109)</f>
        <v>0</v>
      </c>
      <c r="CV109">
        <f>CU109*CW109</f>
        <v>0</v>
      </c>
      <c r="CW109">
        <f>($B$13*$D$11+$C$13*$D$11+$F$13*((ER109+EJ109)/MAX(ER109+EJ109+ES109, 0.1)*$I$11+ES109/MAX(ER109+EJ109+ES109, 0.1)*$J$11))/($B$13+$C$13+$F$13)</f>
        <v>0</v>
      </c>
      <c r="CX109">
        <f>($B$13*$K$11+$C$13*$K$11+$F$13*((ER109+EJ109)/MAX(ER109+EJ109+ES109, 0.1)*$P$11+ES109/MAX(ER109+EJ109+ES109, 0.1)*$Q$11))/($B$13+$C$13+$F$13)</f>
        <v>0</v>
      </c>
      <c r="CY109">
        <v>2.96</v>
      </c>
      <c r="CZ109">
        <v>0.5</v>
      </c>
      <c r="DA109" t="s">
        <v>421</v>
      </c>
      <c r="DB109">
        <v>2</v>
      </c>
      <c r="DC109">
        <v>1761018807.35</v>
      </c>
      <c r="DD109">
        <v>420.4877</v>
      </c>
      <c r="DE109">
        <v>419.966</v>
      </c>
      <c r="DF109">
        <v>23.51707</v>
      </c>
      <c r="DG109">
        <v>23.45921</v>
      </c>
      <c r="DH109">
        <v>422.0547</v>
      </c>
      <c r="DI109">
        <v>23.33004</v>
      </c>
      <c r="DJ109">
        <v>500.0231</v>
      </c>
      <c r="DK109">
        <v>90.79535</v>
      </c>
      <c r="DL109">
        <v>0.03815675</v>
      </c>
      <c r="DM109">
        <v>30.23772</v>
      </c>
      <c r="DN109">
        <v>30.10205</v>
      </c>
      <c r="DO109">
        <v>999.9</v>
      </c>
      <c r="DP109">
        <v>0</v>
      </c>
      <c r="DQ109">
        <v>0</v>
      </c>
      <c r="DR109">
        <v>9991.748000000001</v>
      </c>
      <c r="DS109">
        <v>0</v>
      </c>
      <c r="DT109">
        <v>0.242856</v>
      </c>
      <c r="DU109">
        <v>0.5216459999999999</v>
      </c>
      <c r="DV109">
        <v>430.6144</v>
      </c>
      <c r="DW109">
        <v>430.0548</v>
      </c>
      <c r="DX109">
        <v>0.05785503999999999</v>
      </c>
      <c r="DY109">
        <v>419.966</v>
      </c>
      <c r="DZ109">
        <v>23.45921</v>
      </c>
      <c r="EA109">
        <v>2.135241</v>
      </c>
      <c r="EB109">
        <v>2.129987</v>
      </c>
      <c r="EC109">
        <v>18.48453</v>
      </c>
      <c r="ED109">
        <v>18.44521</v>
      </c>
      <c r="EE109">
        <v>0.005000779999999999</v>
      </c>
      <c r="EF109">
        <v>0</v>
      </c>
      <c r="EG109">
        <v>0</v>
      </c>
      <c r="EH109">
        <v>0</v>
      </c>
      <c r="EI109">
        <v>436.7</v>
      </c>
      <c r="EJ109">
        <v>0.005000779999999999</v>
      </c>
      <c r="EK109">
        <v>-14.97</v>
      </c>
      <c r="EL109">
        <v>-0.36</v>
      </c>
      <c r="EM109">
        <v>35.2248</v>
      </c>
      <c r="EN109">
        <v>38.2248</v>
      </c>
      <c r="EO109">
        <v>37.7746</v>
      </c>
      <c r="EP109">
        <v>38.3622</v>
      </c>
      <c r="EQ109">
        <v>37.9122</v>
      </c>
      <c r="ER109">
        <v>0</v>
      </c>
      <c r="ES109">
        <v>0</v>
      </c>
      <c r="ET109">
        <v>0</v>
      </c>
      <c r="EU109">
        <v>1761018808.9</v>
      </c>
      <c r="EV109">
        <v>0</v>
      </c>
      <c r="EW109">
        <v>439.496</v>
      </c>
      <c r="EX109">
        <v>-24.59230785066383</v>
      </c>
      <c r="EY109">
        <v>-24.24615384601279</v>
      </c>
      <c r="EZ109">
        <v>-14.86</v>
      </c>
      <c r="FA109">
        <v>15</v>
      </c>
      <c r="FB109">
        <v>1761018667.1</v>
      </c>
      <c r="FC109" t="s">
        <v>613</v>
      </c>
      <c r="FD109">
        <v>1761018661.6</v>
      </c>
      <c r="FE109">
        <v>1761018667.1</v>
      </c>
      <c r="FF109">
        <v>26</v>
      </c>
      <c r="FG109">
        <v>-0.221</v>
      </c>
      <c r="FH109">
        <v>-0.001</v>
      </c>
      <c r="FI109">
        <v>-1.568</v>
      </c>
      <c r="FJ109">
        <v>0.178</v>
      </c>
      <c r="FK109">
        <v>420</v>
      </c>
      <c r="FL109">
        <v>23</v>
      </c>
      <c r="FM109">
        <v>0.1</v>
      </c>
      <c r="FN109">
        <v>0.08</v>
      </c>
      <c r="FO109">
        <v>0.5822434146341463</v>
      </c>
      <c r="FP109">
        <v>-0.4438454843205576</v>
      </c>
      <c r="FQ109">
        <v>0.06323678521779659</v>
      </c>
      <c r="FR109">
        <v>1</v>
      </c>
      <c r="FS109">
        <v>441.8911764705882</v>
      </c>
      <c r="FT109">
        <v>-37.56302525583243</v>
      </c>
      <c r="FU109">
        <v>6.953347380390795</v>
      </c>
      <c r="FV109">
        <v>0</v>
      </c>
      <c r="FW109">
        <v>0.1728007365853658</v>
      </c>
      <c r="FX109">
        <v>-0.6754823853658534</v>
      </c>
      <c r="FY109">
        <v>0.07012317232333179</v>
      </c>
      <c r="FZ109">
        <v>0</v>
      </c>
      <c r="GA109">
        <v>1</v>
      </c>
      <c r="GB109">
        <v>3</v>
      </c>
      <c r="GC109" t="s">
        <v>431</v>
      </c>
      <c r="GD109">
        <v>3.10933</v>
      </c>
      <c r="GE109">
        <v>2.72987</v>
      </c>
      <c r="GF109">
        <v>0.088953</v>
      </c>
      <c r="GG109">
        <v>0.0886562</v>
      </c>
      <c r="GH109">
        <v>0.107498</v>
      </c>
      <c r="GI109">
        <v>0.108446</v>
      </c>
      <c r="GJ109">
        <v>23919.4</v>
      </c>
      <c r="GK109">
        <v>21668.7</v>
      </c>
      <c r="GL109">
        <v>26811.4</v>
      </c>
      <c r="GM109">
        <v>23981.4</v>
      </c>
      <c r="GN109">
        <v>38233.4</v>
      </c>
      <c r="GO109">
        <v>31535</v>
      </c>
      <c r="GP109">
        <v>46797</v>
      </c>
      <c r="GQ109">
        <v>37906.9</v>
      </c>
      <c r="GR109">
        <v>1.89713</v>
      </c>
      <c r="GS109">
        <v>1.8911</v>
      </c>
      <c r="GT109">
        <v>0.139512</v>
      </c>
      <c r="GU109">
        <v>0</v>
      </c>
      <c r="GV109">
        <v>27.8129</v>
      </c>
      <c r="GW109">
        <v>999.9</v>
      </c>
      <c r="GX109">
        <v>63.8</v>
      </c>
      <c r="GY109">
        <v>28.6</v>
      </c>
      <c r="GZ109">
        <v>27.611</v>
      </c>
      <c r="HA109">
        <v>61.0973</v>
      </c>
      <c r="HB109">
        <v>20.2845</v>
      </c>
      <c r="HC109">
        <v>1</v>
      </c>
      <c r="HD109">
        <v>-0.000863821</v>
      </c>
      <c r="HE109">
        <v>-2.00647</v>
      </c>
      <c r="HF109">
        <v>20.325</v>
      </c>
      <c r="HG109">
        <v>5.21759</v>
      </c>
      <c r="HH109">
        <v>11.98</v>
      </c>
      <c r="HI109">
        <v>4.9654</v>
      </c>
      <c r="HJ109">
        <v>3.276</v>
      </c>
      <c r="HK109">
        <v>9999</v>
      </c>
      <c r="HL109">
        <v>9999</v>
      </c>
      <c r="HM109">
        <v>9999</v>
      </c>
      <c r="HN109">
        <v>999.9</v>
      </c>
      <c r="HO109">
        <v>1.8636</v>
      </c>
      <c r="HP109">
        <v>1.85974</v>
      </c>
      <c r="HQ109">
        <v>1.85802</v>
      </c>
      <c r="HR109">
        <v>1.8594</v>
      </c>
      <c r="HS109">
        <v>1.85959</v>
      </c>
      <c r="HT109">
        <v>1.85802</v>
      </c>
      <c r="HU109">
        <v>1.8571</v>
      </c>
      <c r="HV109">
        <v>1.85208</v>
      </c>
      <c r="HW109">
        <v>0</v>
      </c>
      <c r="HX109">
        <v>0</v>
      </c>
      <c r="HY109">
        <v>0</v>
      </c>
      <c r="HZ109">
        <v>0</v>
      </c>
      <c r="IA109" t="s">
        <v>424</v>
      </c>
      <c r="IB109" t="s">
        <v>425</v>
      </c>
      <c r="IC109" t="s">
        <v>426</v>
      </c>
      <c r="ID109" t="s">
        <v>426</v>
      </c>
      <c r="IE109" t="s">
        <v>426</v>
      </c>
      <c r="IF109" t="s">
        <v>426</v>
      </c>
      <c r="IG109">
        <v>0</v>
      </c>
      <c r="IH109">
        <v>100</v>
      </c>
      <c r="II109">
        <v>100</v>
      </c>
      <c r="IJ109">
        <v>-1.567</v>
      </c>
      <c r="IK109">
        <v>0.1877</v>
      </c>
      <c r="IL109">
        <v>-2.357986366295179</v>
      </c>
      <c r="IM109">
        <v>0.001328113201692861</v>
      </c>
      <c r="IN109">
        <v>1.538283238170363E-06</v>
      </c>
      <c r="IO109">
        <v>-5.795655626708063E-10</v>
      </c>
      <c r="IP109">
        <v>-0.06105361615936408</v>
      </c>
      <c r="IQ109">
        <v>-0.004593102289677449</v>
      </c>
      <c r="IR109">
        <v>0.0008253994458280543</v>
      </c>
      <c r="IS109">
        <v>-7.403632370499484E-06</v>
      </c>
      <c r="IT109">
        <v>2</v>
      </c>
      <c r="IU109">
        <v>1985</v>
      </c>
      <c r="IV109">
        <v>1</v>
      </c>
      <c r="IW109">
        <v>27</v>
      </c>
      <c r="IX109">
        <v>2.5</v>
      </c>
      <c r="IY109">
        <v>2.4</v>
      </c>
      <c r="IZ109">
        <v>1.12793</v>
      </c>
      <c r="JA109">
        <v>2.58057</v>
      </c>
      <c r="JB109">
        <v>1.49658</v>
      </c>
      <c r="JC109">
        <v>2.34131</v>
      </c>
      <c r="JD109">
        <v>1.54907</v>
      </c>
      <c r="JE109">
        <v>2.41455</v>
      </c>
      <c r="JF109">
        <v>31.8927</v>
      </c>
      <c r="JG109">
        <v>14.5348</v>
      </c>
      <c r="JH109">
        <v>18</v>
      </c>
      <c r="JI109">
        <v>482.707</v>
      </c>
      <c r="JJ109">
        <v>508.715</v>
      </c>
      <c r="JK109">
        <v>31.7818</v>
      </c>
      <c r="JL109">
        <v>27.2464</v>
      </c>
      <c r="JM109">
        <v>29.9997</v>
      </c>
      <c r="JN109">
        <v>27.5689</v>
      </c>
      <c r="JO109">
        <v>27.5806</v>
      </c>
      <c r="JP109">
        <v>22.6754</v>
      </c>
      <c r="JQ109">
        <v>18.2677</v>
      </c>
      <c r="JR109">
        <v>83.8417</v>
      </c>
      <c r="JS109">
        <v>31.8058</v>
      </c>
      <c r="JT109">
        <v>420</v>
      </c>
      <c r="JU109">
        <v>23.5272</v>
      </c>
      <c r="JV109">
        <v>102.335</v>
      </c>
      <c r="JW109">
        <v>91.4492</v>
      </c>
    </row>
    <row r="110" spans="1:283">
      <c r="A110">
        <v>92</v>
      </c>
      <c r="B110">
        <v>1761018812.1</v>
      </c>
      <c r="C110">
        <v>742.5999999046326</v>
      </c>
      <c r="D110" t="s">
        <v>614</v>
      </c>
      <c r="E110" t="s">
        <v>615</v>
      </c>
      <c r="F110">
        <v>5</v>
      </c>
      <c r="G110" t="s">
        <v>612</v>
      </c>
      <c r="H110">
        <v>1761018809.266667</v>
      </c>
      <c r="I110">
        <f>(J110)/1000</f>
        <v>0</v>
      </c>
      <c r="J110">
        <f>1000*DJ110*AH110*(DF110-DG110)/(100*CY110*(1000-AH110*DF110))</f>
        <v>0</v>
      </c>
      <c r="K110">
        <f>DJ110*AH110*(DE110-DD110*(1000-AH110*DG110)/(1000-AH110*DF110))/(100*CY110)</f>
        <v>0</v>
      </c>
      <c r="L110">
        <f>DD110 - IF(AH110&gt;1, K110*CY110*100.0/(AJ110), 0)</f>
        <v>0</v>
      </c>
      <c r="M110">
        <f>((S110-I110/2)*L110-K110)/(S110+I110/2)</f>
        <v>0</v>
      </c>
      <c r="N110">
        <f>M110*(DK110+DL110)/1000.0</f>
        <v>0</v>
      </c>
      <c r="O110">
        <f>(DD110 - IF(AH110&gt;1, K110*CY110*100.0/(AJ110), 0))*(DK110+DL110)/1000.0</f>
        <v>0</v>
      </c>
      <c r="P110">
        <f>2.0/((1/R110-1/Q110)+SIGN(R110)*SQRT((1/R110-1/Q110)*(1/R110-1/Q110) + 4*CZ110/((CZ110+1)*(CZ110+1))*(2*1/R110*1/Q110-1/Q110*1/Q110)))</f>
        <v>0</v>
      </c>
      <c r="Q110">
        <f>IF(LEFT(DA110,1)&lt;&gt;"0",IF(LEFT(DA110,1)="1",3.0,DB110),$D$5+$E$5*(DR110*DK110/($K$5*1000))+$F$5*(DR110*DK110/($K$5*1000))*MAX(MIN(CY110,$J$5),$I$5)*MAX(MIN(CY110,$J$5),$I$5)+$G$5*MAX(MIN(CY110,$J$5),$I$5)*(DR110*DK110/($K$5*1000))+$H$5*(DR110*DK110/($K$5*1000))*(DR110*DK110/($K$5*1000)))</f>
        <v>0</v>
      </c>
      <c r="R110">
        <f>I110*(1000-(1000*0.61365*exp(17.502*V110/(240.97+V110))/(DK110+DL110)+DF110)/2)/(1000*0.61365*exp(17.502*V110/(240.97+V110))/(DK110+DL110)-DF110)</f>
        <v>0</v>
      </c>
      <c r="S110">
        <f>1/((CZ110+1)/(P110/1.6)+1/(Q110/1.37)) + CZ110/((CZ110+1)/(P110/1.6) + CZ110/(Q110/1.37))</f>
        <v>0</v>
      </c>
      <c r="T110">
        <f>(CU110*CX110)</f>
        <v>0</v>
      </c>
      <c r="U110">
        <f>(DM110+(T110+2*0.95*5.67E-8*(((DM110+$B$9)+273)^4-(DM110+273)^4)-44100*I110)/(1.84*29.3*Q110+8*0.95*5.67E-8*(DM110+273)^3))</f>
        <v>0</v>
      </c>
      <c r="V110">
        <f>($C$9*DN110+$D$9*DO110+$E$9*U110)</f>
        <v>0</v>
      </c>
      <c r="W110">
        <f>0.61365*exp(17.502*V110/(240.97+V110))</f>
        <v>0</v>
      </c>
      <c r="X110">
        <f>(Y110/Z110*100)</f>
        <v>0</v>
      </c>
      <c r="Y110">
        <f>DF110*(DK110+DL110)/1000</f>
        <v>0</v>
      </c>
      <c r="Z110">
        <f>0.61365*exp(17.502*DM110/(240.97+DM110))</f>
        <v>0</v>
      </c>
      <c r="AA110">
        <f>(W110-DF110*(DK110+DL110)/1000)</f>
        <v>0</v>
      </c>
      <c r="AB110">
        <f>(-I110*44100)</f>
        <v>0</v>
      </c>
      <c r="AC110">
        <f>2*29.3*Q110*0.92*(DM110-V110)</f>
        <v>0</v>
      </c>
      <c r="AD110">
        <f>2*0.95*5.67E-8*(((DM110+$B$9)+273)^4-(V110+273)^4)</f>
        <v>0</v>
      </c>
      <c r="AE110">
        <f>T110+AD110+AB110+AC110</f>
        <v>0</v>
      </c>
      <c r="AF110">
        <v>0</v>
      </c>
      <c r="AG110">
        <v>0</v>
      </c>
      <c r="AH110">
        <f>IF(AF110*$H$15&gt;=AJ110,1.0,(AJ110/(AJ110-AF110*$H$15)))</f>
        <v>0</v>
      </c>
      <c r="AI110">
        <f>(AH110-1)*100</f>
        <v>0</v>
      </c>
      <c r="AJ110">
        <f>MAX(0,($B$15+$C$15*DR110)/(1+$D$15*DR110)*DK110/(DM110+273)*$E$15)</f>
        <v>0</v>
      </c>
      <c r="AK110" t="s">
        <v>420</v>
      </c>
      <c r="AL110" t="s">
        <v>420</v>
      </c>
      <c r="AM110">
        <v>0</v>
      </c>
      <c r="AN110">
        <v>0</v>
      </c>
      <c r="AO110">
        <f>1-AM110/AN110</f>
        <v>0</v>
      </c>
      <c r="AP110">
        <v>0</v>
      </c>
      <c r="AQ110" t="s">
        <v>420</v>
      </c>
      <c r="AR110" t="s">
        <v>420</v>
      </c>
      <c r="AS110">
        <v>0</v>
      </c>
      <c r="AT110">
        <v>0</v>
      </c>
      <c r="AU110">
        <f>1-AS110/AT110</f>
        <v>0</v>
      </c>
      <c r="AV110">
        <v>0.5</v>
      </c>
      <c r="AW110">
        <f>CV110</f>
        <v>0</v>
      </c>
      <c r="AX110">
        <f>K110</f>
        <v>0</v>
      </c>
      <c r="AY110">
        <f>AU110*AV110*AW110</f>
        <v>0</v>
      </c>
      <c r="AZ110">
        <f>(AX110-AP110)/AW110</f>
        <v>0</v>
      </c>
      <c r="BA110">
        <f>(AN110-AT110)/AT110</f>
        <v>0</v>
      </c>
      <c r="BB110">
        <f>AM110/(AO110+AM110/AT110)</f>
        <v>0</v>
      </c>
      <c r="BC110" t="s">
        <v>420</v>
      </c>
      <c r="BD110">
        <v>0</v>
      </c>
      <c r="BE110">
        <f>IF(BD110&lt;&gt;0, BD110, BB110)</f>
        <v>0</v>
      </c>
      <c r="BF110">
        <f>1-BE110/AT110</f>
        <v>0</v>
      </c>
      <c r="BG110">
        <f>(AT110-AS110)/(AT110-BE110)</f>
        <v>0</v>
      </c>
      <c r="BH110">
        <f>(AN110-AT110)/(AN110-BE110)</f>
        <v>0</v>
      </c>
      <c r="BI110">
        <f>(AT110-AS110)/(AT110-AM110)</f>
        <v>0</v>
      </c>
      <c r="BJ110">
        <f>(AN110-AT110)/(AN110-AM110)</f>
        <v>0</v>
      </c>
      <c r="BK110">
        <f>(BG110*BE110/AS110)</f>
        <v>0</v>
      </c>
      <c r="BL110">
        <f>(1-BK110)</f>
        <v>0</v>
      </c>
      <c r="CU110">
        <f>$B$13*DS110+$C$13*DT110+$F$13*EE110*(1-EH110)</f>
        <v>0</v>
      </c>
      <c r="CV110">
        <f>CU110*CW110</f>
        <v>0</v>
      </c>
      <c r="CW110">
        <f>($B$13*$D$11+$C$13*$D$11+$F$13*((ER110+EJ110)/MAX(ER110+EJ110+ES110, 0.1)*$I$11+ES110/MAX(ER110+EJ110+ES110, 0.1)*$J$11))/($B$13+$C$13+$F$13)</f>
        <v>0</v>
      </c>
      <c r="CX110">
        <f>($B$13*$K$11+$C$13*$K$11+$F$13*((ER110+EJ110)/MAX(ER110+EJ110+ES110, 0.1)*$P$11+ES110/MAX(ER110+EJ110+ES110, 0.1)*$Q$11))/($B$13+$C$13+$F$13)</f>
        <v>0</v>
      </c>
      <c r="CY110">
        <v>2.96</v>
      </c>
      <c r="CZ110">
        <v>0.5</v>
      </c>
      <c r="DA110" t="s">
        <v>421</v>
      </c>
      <c r="DB110">
        <v>2</v>
      </c>
      <c r="DC110">
        <v>1761018809.266667</v>
      </c>
      <c r="DD110">
        <v>420.5141111111111</v>
      </c>
      <c r="DE110">
        <v>419.9728888888888</v>
      </c>
      <c r="DF110">
        <v>23.53885555555555</v>
      </c>
      <c r="DG110">
        <v>23.50191111111111</v>
      </c>
      <c r="DH110">
        <v>422.0811111111111</v>
      </c>
      <c r="DI110">
        <v>23.35136666666666</v>
      </c>
      <c r="DJ110">
        <v>499.9934444444445</v>
      </c>
      <c r="DK110">
        <v>90.79587777777778</v>
      </c>
      <c r="DL110">
        <v>0.03815111111111111</v>
      </c>
      <c r="DM110">
        <v>30.23531111111111</v>
      </c>
      <c r="DN110">
        <v>30.09403333333333</v>
      </c>
      <c r="DO110">
        <v>999.9000000000001</v>
      </c>
      <c r="DP110">
        <v>0</v>
      </c>
      <c r="DQ110">
        <v>0</v>
      </c>
      <c r="DR110">
        <v>9996.953333333333</v>
      </c>
      <c r="DS110">
        <v>0</v>
      </c>
      <c r="DT110">
        <v>0.242856</v>
      </c>
      <c r="DU110">
        <v>0.5411646666666666</v>
      </c>
      <c r="DV110">
        <v>430.6511111111111</v>
      </c>
      <c r="DW110">
        <v>430.0805555555555</v>
      </c>
      <c r="DX110">
        <v>0.03694684444444444</v>
      </c>
      <c r="DY110">
        <v>419.9728888888888</v>
      </c>
      <c r="DZ110">
        <v>23.50191111111111</v>
      </c>
      <c r="EA110">
        <v>2.137232222222222</v>
      </c>
      <c r="EB110">
        <v>2.133875555555556</v>
      </c>
      <c r="EC110">
        <v>18.49942222222222</v>
      </c>
      <c r="ED110">
        <v>18.47432222222222</v>
      </c>
      <c r="EE110">
        <v>0.00500078</v>
      </c>
      <c r="EF110">
        <v>0</v>
      </c>
      <c r="EG110">
        <v>0</v>
      </c>
      <c r="EH110">
        <v>0</v>
      </c>
      <c r="EI110">
        <v>436.6222222222222</v>
      </c>
      <c r="EJ110">
        <v>0.00500078</v>
      </c>
      <c r="EK110">
        <v>-14.04444444444444</v>
      </c>
      <c r="EL110">
        <v>-0.4888888888888888</v>
      </c>
      <c r="EM110">
        <v>35.19411111111111</v>
      </c>
      <c r="EN110">
        <v>38.20099999999999</v>
      </c>
      <c r="EO110">
        <v>37.812</v>
      </c>
      <c r="EP110">
        <v>38.32599999999999</v>
      </c>
      <c r="EQ110">
        <v>37.88866666666667</v>
      </c>
      <c r="ER110">
        <v>0</v>
      </c>
      <c r="ES110">
        <v>0</v>
      </c>
      <c r="ET110">
        <v>0</v>
      </c>
      <c r="EU110">
        <v>1761018811.3</v>
      </c>
      <c r="EV110">
        <v>0</v>
      </c>
      <c r="EW110">
        <v>439.836</v>
      </c>
      <c r="EX110">
        <v>-15.98461556613262</v>
      </c>
      <c r="EY110">
        <v>-15.07692324099459</v>
      </c>
      <c r="EZ110">
        <v>-15.764</v>
      </c>
      <c r="FA110">
        <v>15</v>
      </c>
      <c r="FB110">
        <v>1761018667.1</v>
      </c>
      <c r="FC110" t="s">
        <v>613</v>
      </c>
      <c r="FD110">
        <v>1761018661.6</v>
      </c>
      <c r="FE110">
        <v>1761018667.1</v>
      </c>
      <c r="FF110">
        <v>26</v>
      </c>
      <c r="FG110">
        <v>-0.221</v>
      </c>
      <c r="FH110">
        <v>-0.001</v>
      </c>
      <c r="FI110">
        <v>-1.568</v>
      </c>
      <c r="FJ110">
        <v>0.178</v>
      </c>
      <c r="FK110">
        <v>420</v>
      </c>
      <c r="FL110">
        <v>23</v>
      </c>
      <c r="FM110">
        <v>0.1</v>
      </c>
      <c r="FN110">
        <v>0.08</v>
      </c>
      <c r="FO110">
        <v>0.5665298536585366</v>
      </c>
      <c r="FP110">
        <v>-0.2110013728222987</v>
      </c>
      <c r="FQ110">
        <v>0.05085428649585966</v>
      </c>
      <c r="FR110">
        <v>1</v>
      </c>
      <c r="FS110">
        <v>441.1088235294117</v>
      </c>
      <c r="FT110">
        <v>-24.4171123425824</v>
      </c>
      <c r="FU110">
        <v>6.499745137404317</v>
      </c>
      <c r="FV110">
        <v>0</v>
      </c>
      <c r="FW110">
        <v>0.1416253365853659</v>
      </c>
      <c r="FX110">
        <v>-0.8070914257839725</v>
      </c>
      <c r="FY110">
        <v>0.08060839252831195</v>
      </c>
      <c r="FZ110">
        <v>0</v>
      </c>
      <c r="GA110">
        <v>1</v>
      </c>
      <c r="GB110">
        <v>3</v>
      </c>
      <c r="GC110" t="s">
        <v>431</v>
      </c>
      <c r="GD110">
        <v>3.10953</v>
      </c>
      <c r="GE110">
        <v>2.72997</v>
      </c>
      <c r="GF110">
        <v>0.0889499</v>
      </c>
      <c r="GG110">
        <v>0.0886475</v>
      </c>
      <c r="GH110">
        <v>0.107586</v>
      </c>
      <c r="GI110">
        <v>0.10857</v>
      </c>
      <c r="GJ110">
        <v>23919.5</v>
      </c>
      <c r="GK110">
        <v>21668.7</v>
      </c>
      <c r="GL110">
        <v>26811.5</v>
      </c>
      <c r="GM110">
        <v>23981.2</v>
      </c>
      <c r="GN110">
        <v>38229.8</v>
      </c>
      <c r="GO110">
        <v>31530.5</v>
      </c>
      <c r="GP110">
        <v>46797.2</v>
      </c>
      <c r="GQ110">
        <v>37906.8</v>
      </c>
      <c r="GR110">
        <v>1.89732</v>
      </c>
      <c r="GS110">
        <v>1.89083</v>
      </c>
      <c r="GT110">
        <v>0.138842</v>
      </c>
      <c r="GU110">
        <v>0</v>
      </c>
      <c r="GV110">
        <v>27.8172</v>
      </c>
      <c r="GW110">
        <v>999.9</v>
      </c>
      <c r="GX110">
        <v>63.8</v>
      </c>
      <c r="GY110">
        <v>28.6</v>
      </c>
      <c r="GZ110">
        <v>27.6088</v>
      </c>
      <c r="HA110">
        <v>61.1673</v>
      </c>
      <c r="HB110">
        <v>20.0401</v>
      </c>
      <c r="HC110">
        <v>1</v>
      </c>
      <c r="HD110">
        <v>-0.00106961</v>
      </c>
      <c r="HE110">
        <v>-2.02556</v>
      </c>
      <c r="HF110">
        <v>20.3247</v>
      </c>
      <c r="HG110">
        <v>5.21759</v>
      </c>
      <c r="HH110">
        <v>11.9798</v>
      </c>
      <c r="HI110">
        <v>4.9656</v>
      </c>
      <c r="HJ110">
        <v>3.27595</v>
      </c>
      <c r="HK110">
        <v>9999</v>
      </c>
      <c r="HL110">
        <v>9999</v>
      </c>
      <c r="HM110">
        <v>9999</v>
      </c>
      <c r="HN110">
        <v>999.9</v>
      </c>
      <c r="HO110">
        <v>1.86362</v>
      </c>
      <c r="HP110">
        <v>1.85974</v>
      </c>
      <c r="HQ110">
        <v>1.85804</v>
      </c>
      <c r="HR110">
        <v>1.85942</v>
      </c>
      <c r="HS110">
        <v>1.85959</v>
      </c>
      <c r="HT110">
        <v>1.85804</v>
      </c>
      <c r="HU110">
        <v>1.85711</v>
      </c>
      <c r="HV110">
        <v>1.8521</v>
      </c>
      <c r="HW110">
        <v>0</v>
      </c>
      <c r="HX110">
        <v>0</v>
      </c>
      <c r="HY110">
        <v>0</v>
      </c>
      <c r="HZ110">
        <v>0</v>
      </c>
      <c r="IA110" t="s">
        <v>424</v>
      </c>
      <c r="IB110" t="s">
        <v>425</v>
      </c>
      <c r="IC110" t="s">
        <v>426</v>
      </c>
      <c r="ID110" t="s">
        <v>426</v>
      </c>
      <c r="IE110" t="s">
        <v>426</v>
      </c>
      <c r="IF110" t="s">
        <v>426</v>
      </c>
      <c r="IG110">
        <v>0</v>
      </c>
      <c r="IH110">
        <v>100</v>
      </c>
      <c r="II110">
        <v>100</v>
      </c>
      <c r="IJ110">
        <v>-1.567</v>
      </c>
      <c r="IK110">
        <v>0.1882</v>
      </c>
      <c r="IL110">
        <v>-2.357986366295179</v>
      </c>
      <c r="IM110">
        <v>0.001328113201692861</v>
      </c>
      <c r="IN110">
        <v>1.538283238170363E-06</v>
      </c>
      <c r="IO110">
        <v>-5.795655626708063E-10</v>
      </c>
      <c r="IP110">
        <v>-0.06105361615936408</v>
      </c>
      <c r="IQ110">
        <v>-0.004593102289677449</v>
      </c>
      <c r="IR110">
        <v>0.0008253994458280543</v>
      </c>
      <c r="IS110">
        <v>-7.403632370499484E-06</v>
      </c>
      <c r="IT110">
        <v>2</v>
      </c>
      <c r="IU110">
        <v>1985</v>
      </c>
      <c r="IV110">
        <v>1</v>
      </c>
      <c r="IW110">
        <v>27</v>
      </c>
      <c r="IX110">
        <v>2.5</v>
      </c>
      <c r="IY110">
        <v>2.4</v>
      </c>
      <c r="IZ110">
        <v>1.12793</v>
      </c>
      <c r="JA110">
        <v>2.59155</v>
      </c>
      <c r="JB110">
        <v>1.49658</v>
      </c>
      <c r="JC110">
        <v>2.34131</v>
      </c>
      <c r="JD110">
        <v>1.54907</v>
      </c>
      <c r="JE110">
        <v>2.44507</v>
      </c>
      <c r="JF110">
        <v>31.8927</v>
      </c>
      <c r="JG110">
        <v>14.5348</v>
      </c>
      <c r="JH110">
        <v>18</v>
      </c>
      <c r="JI110">
        <v>482.804</v>
      </c>
      <c r="JJ110">
        <v>508.51</v>
      </c>
      <c r="JK110">
        <v>31.7509</v>
      </c>
      <c r="JL110">
        <v>27.2447</v>
      </c>
      <c r="JM110">
        <v>29.9998</v>
      </c>
      <c r="JN110">
        <v>27.5666</v>
      </c>
      <c r="JO110">
        <v>27.5782</v>
      </c>
      <c r="JP110">
        <v>22.6774</v>
      </c>
      <c r="JQ110">
        <v>18.2677</v>
      </c>
      <c r="JR110">
        <v>83.8417</v>
      </c>
      <c r="JS110">
        <v>31.8058</v>
      </c>
      <c r="JT110">
        <v>420</v>
      </c>
      <c r="JU110">
        <v>23.5171</v>
      </c>
      <c r="JV110">
        <v>102.336</v>
      </c>
      <c r="JW110">
        <v>91.44880000000001</v>
      </c>
    </row>
    <row r="111" spans="1:283">
      <c r="A111">
        <v>93</v>
      </c>
      <c r="B111">
        <v>1761018814.1</v>
      </c>
      <c r="C111">
        <v>744.5999999046326</v>
      </c>
      <c r="D111" t="s">
        <v>616</v>
      </c>
      <c r="E111" t="s">
        <v>617</v>
      </c>
      <c r="F111">
        <v>5</v>
      </c>
      <c r="G111" t="s">
        <v>612</v>
      </c>
      <c r="H111">
        <v>1761018811.4125</v>
      </c>
      <c r="I111">
        <f>(J111)/1000</f>
        <v>0</v>
      </c>
      <c r="J111">
        <f>1000*DJ111*AH111*(DF111-DG111)/(100*CY111*(1000-AH111*DF111))</f>
        <v>0</v>
      </c>
      <c r="K111">
        <f>DJ111*AH111*(DE111-DD111*(1000-AH111*DG111)/(1000-AH111*DF111))/(100*CY111)</f>
        <v>0</v>
      </c>
      <c r="L111">
        <f>DD111 - IF(AH111&gt;1, K111*CY111*100.0/(AJ111), 0)</f>
        <v>0</v>
      </c>
      <c r="M111">
        <f>((S111-I111/2)*L111-K111)/(S111+I111/2)</f>
        <v>0</v>
      </c>
      <c r="N111">
        <f>M111*(DK111+DL111)/1000.0</f>
        <v>0</v>
      </c>
      <c r="O111">
        <f>(DD111 - IF(AH111&gt;1, K111*CY111*100.0/(AJ111), 0))*(DK111+DL111)/1000.0</f>
        <v>0</v>
      </c>
      <c r="P111">
        <f>2.0/((1/R111-1/Q111)+SIGN(R111)*SQRT((1/R111-1/Q111)*(1/R111-1/Q111) + 4*CZ111/((CZ111+1)*(CZ111+1))*(2*1/R111*1/Q111-1/Q111*1/Q111)))</f>
        <v>0</v>
      </c>
      <c r="Q111">
        <f>IF(LEFT(DA111,1)&lt;&gt;"0",IF(LEFT(DA111,1)="1",3.0,DB111),$D$5+$E$5*(DR111*DK111/($K$5*1000))+$F$5*(DR111*DK111/($K$5*1000))*MAX(MIN(CY111,$J$5),$I$5)*MAX(MIN(CY111,$J$5),$I$5)+$G$5*MAX(MIN(CY111,$J$5),$I$5)*(DR111*DK111/($K$5*1000))+$H$5*(DR111*DK111/($K$5*1000))*(DR111*DK111/($K$5*1000)))</f>
        <v>0</v>
      </c>
      <c r="R111">
        <f>I111*(1000-(1000*0.61365*exp(17.502*V111/(240.97+V111))/(DK111+DL111)+DF111)/2)/(1000*0.61365*exp(17.502*V111/(240.97+V111))/(DK111+DL111)-DF111)</f>
        <v>0</v>
      </c>
      <c r="S111">
        <f>1/((CZ111+1)/(P111/1.6)+1/(Q111/1.37)) + CZ111/((CZ111+1)/(P111/1.6) + CZ111/(Q111/1.37))</f>
        <v>0</v>
      </c>
      <c r="T111">
        <f>(CU111*CX111)</f>
        <v>0</v>
      </c>
      <c r="U111">
        <f>(DM111+(T111+2*0.95*5.67E-8*(((DM111+$B$9)+273)^4-(DM111+273)^4)-44100*I111)/(1.84*29.3*Q111+8*0.95*5.67E-8*(DM111+273)^3))</f>
        <v>0</v>
      </c>
      <c r="V111">
        <f>($C$9*DN111+$D$9*DO111+$E$9*U111)</f>
        <v>0</v>
      </c>
      <c r="W111">
        <f>0.61365*exp(17.502*V111/(240.97+V111))</f>
        <v>0</v>
      </c>
      <c r="X111">
        <f>(Y111/Z111*100)</f>
        <v>0</v>
      </c>
      <c r="Y111">
        <f>DF111*(DK111+DL111)/1000</f>
        <v>0</v>
      </c>
      <c r="Z111">
        <f>0.61365*exp(17.502*DM111/(240.97+DM111))</f>
        <v>0</v>
      </c>
      <c r="AA111">
        <f>(W111-DF111*(DK111+DL111)/1000)</f>
        <v>0</v>
      </c>
      <c r="AB111">
        <f>(-I111*44100)</f>
        <v>0</v>
      </c>
      <c r="AC111">
        <f>2*29.3*Q111*0.92*(DM111-V111)</f>
        <v>0</v>
      </c>
      <c r="AD111">
        <f>2*0.95*5.67E-8*(((DM111+$B$9)+273)^4-(V111+273)^4)</f>
        <v>0</v>
      </c>
      <c r="AE111">
        <f>T111+AD111+AB111+AC111</f>
        <v>0</v>
      </c>
      <c r="AF111">
        <v>0</v>
      </c>
      <c r="AG111">
        <v>0</v>
      </c>
      <c r="AH111">
        <f>IF(AF111*$H$15&gt;=AJ111,1.0,(AJ111/(AJ111-AF111*$H$15)))</f>
        <v>0</v>
      </c>
      <c r="AI111">
        <f>(AH111-1)*100</f>
        <v>0</v>
      </c>
      <c r="AJ111">
        <f>MAX(0,($B$15+$C$15*DR111)/(1+$D$15*DR111)*DK111/(DM111+273)*$E$15)</f>
        <v>0</v>
      </c>
      <c r="AK111" t="s">
        <v>420</v>
      </c>
      <c r="AL111" t="s">
        <v>420</v>
      </c>
      <c r="AM111">
        <v>0</v>
      </c>
      <c r="AN111">
        <v>0</v>
      </c>
      <c r="AO111">
        <f>1-AM111/AN111</f>
        <v>0</v>
      </c>
      <c r="AP111">
        <v>0</v>
      </c>
      <c r="AQ111" t="s">
        <v>420</v>
      </c>
      <c r="AR111" t="s">
        <v>420</v>
      </c>
      <c r="AS111">
        <v>0</v>
      </c>
      <c r="AT111">
        <v>0</v>
      </c>
      <c r="AU111">
        <f>1-AS111/AT111</f>
        <v>0</v>
      </c>
      <c r="AV111">
        <v>0.5</v>
      </c>
      <c r="AW111">
        <f>CV111</f>
        <v>0</v>
      </c>
      <c r="AX111">
        <f>K111</f>
        <v>0</v>
      </c>
      <c r="AY111">
        <f>AU111*AV111*AW111</f>
        <v>0</v>
      </c>
      <c r="AZ111">
        <f>(AX111-AP111)/AW111</f>
        <v>0</v>
      </c>
      <c r="BA111">
        <f>(AN111-AT111)/AT111</f>
        <v>0</v>
      </c>
      <c r="BB111">
        <f>AM111/(AO111+AM111/AT111)</f>
        <v>0</v>
      </c>
      <c r="BC111" t="s">
        <v>420</v>
      </c>
      <c r="BD111">
        <v>0</v>
      </c>
      <c r="BE111">
        <f>IF(BD111&lt;&gt;0, BD111, BB111)</f>
        <v>0</v>
      </c>
      <c r="BF111">
        <f>1-BE111/AT111</f>
        <v>0</v>
      </c>
      <c r="BG111">
        <f>(AT111-AS111)/(AT111-BE111)</f>
        <v>0</v>
      </c>
      <c r="BH111">
        <f>(AN111-AT111)/(AN111-BE111)</f>
        <v>0</v>
      </c>
      <c r="BI111">
        <f>(AT111-AS111)/(AT111-AM111)</f>
        <v>0</v>
      </c>
      <c r="BJ111">
        <f>(AN111-AT111)/(AN111-AM111)</f>
        <v>0</v>
      </c>
      <c r="BK111">
        <f>(BG111*BE111/AS111)</f>
        <v>0</v>
      </c>
      <c r="BL111">
        <f>(1-BK111)</f>
        <v>0</v>
      </c>
      <c r="CU111">
        <f>$B$13*DS111+$C$13*DT111+$F$13*EE111*(1-EH111)</f>
        <v>0</v>
      </c>
      <c r="CV111">
        <f>CU111*CW111</f>
        <v>0</v>
      </c>
      <c r="CW111">
        <f>($B$13*$D$11+$C$13*$D$11+$F$13*((ER111+EJ111)/MAX(ER111+EJ111+ES111, 0.1)*$I$11+ES111/MAX(ER111+EJ111+ES111, 0.1)*$J$11))/($B$13+$C$13+$F$13)</f>
        <v>0</v>
      </c>
      <c r="CX111">
        <f>($B$13*$K$11+$C$13*$K$11+$F$13*((ER111+EJ111)/MAX(ER111+EJ111+ES111, 0.1)*$P$11+ES111/MAX(ER111+EJ111+ES111, 0.1)*$Q$11))/($B$13+$C$13+$F$13)</f>
        <v>0</v>
      </c>
      <c r="CY111">
        <v>2.96</v>
      </c>
      <c r="CZ111">
        <v>0.5</v>
      </c>
      <c r="DA111" t="s">
        <v>421</v>
      </c>
      <c r="DB111">
        <v>2</v>
      </c>
      <c r="DC111">
        <v>1761018811.4125</v>
      </c>
      <c r="DD111">
        <v>420.5142499999999</v>
      </c>
      <c r="DE111">
        <v>419.942375</v>
      </c>
      <c r="DF111">
        <v>23.5660125</v>
      </c>
      <c r="DG111">
        <v>23.544275</v>
      </c>
      <c r="DH111">
        <v>422.08125</v>
      </c>
      <c r="DI111">
        <v>23.37795</v>
      </c>
      <c r="DJ111">
        <v>500.0175</v>
      </c>
      <c r="DK111">
        <v>90.79740000000001</v>
      </c>
      <c r="DL111">
        <v>0.0381623125</v>
      </c>
      <c r="DM111">
        <v>30.2328125</v>
      </c>
      <c r="DN111">
        <v>30.0835625</v>
      </c>
      <c r="DO111">
        <v>999.9</v>
      </c>
      <c r="DP111">
        <v>0</v>
      </c>
      <c r="DQ111">
        <v>0</v>
      </c>
      <c r="DR111">
        <v>9999.61875</v>
      </c>
      <c r="DS111">
        <v>0</v>
      </c>
      <c r="DT111">
        <v>0.242856</v>
      </c>
      <c r="DU111">
        <v>0.571788875</v>
      </c>
      <c r="DV111">
        <v>430.66325</v>
      </c>
      <c r="DW111">
        <v>430.067875</v>
      </c>
      <c r="DX111">
        <v>0.0217385375</v>
      </c>
      <c r="DY111">
        <v>419.942375</v>
      </c>
      <c r="DZ111">
        <v>23.544275</v>
      </c>
      <c r="EA111">
        <v>2.13973375</v>
      </c>
      <c r="EB111">
        <v>2.1377575</v>
      </c>
      <c r="EC111">
        <v>18.5180875</v>
      </c>
      <c r="ED111">
        <v>18.5033375</v>
      </c>
      <c r="EE111">
        <v>0.00500078</v>
      </c>
      <c r="EF111">
        <v>0</v>
      </c>
      <c r="EG111">
        <v>0</v>
      </c>
      <c r="EH111">
        <v>0</v>
      </c>
      <c r="EI111">
        <v>440.7</v>
      </c>
      <c r="EJ111">
        <v>0.00500078</v>
      </c>
      <c r="EK111">
        <v>-18.4875</v>
      </c>
      <c r="EL111">
        <v>-1.85</v>
      </c>
      <c r="EM111">
        <v>35.17149999999999</v>
      </c>
      <c r="EN111">
        <v>38.16375</v>
      </c>
      <c r="EO111">
        <v>37.81212499999999</v>
      </c>
      <c r="EP111">
        <v>38.273</v>
      </c>
      <c r="EQ111">
        <v>37.85124999999999</v>
      </c>
      <c r="ER111">
        <v>0</v>
      </c>
      <c r="ES111">
        <v>0</v>
      </c>
      <c r="ET111">
        <v>0</v>
      </c>
      <c r="EU111">
        <v>1761018813.1</v>
      </c>
      <c r="EV111">
        <v>0</v>
      </c>
      <c r="EW111">
        <v>439.7615384615385</v>
      </c>
      <c r="EX111">
        <v>-9.798290647072074</v>
      </c>
      <c r="EY111">
        <v>-27.84273515028723</v>
      </c>
      <c r="EZ111">
        <v>-16.54615384615385</v>
      </c>
      <c r="FA111">
        <v>15</v>
      </c>
      <c r="FB111">
        <v>1761018667.1</v>
      </c>
      <c r="FC111" t="s">
        <v>613</v>
      </c>
      <c r="FD111">
        <v>1761018661.6</v>
      </c>
      <c r="FE111">
        <v>1761018667.1</v>
      </c>
      <c r="FF111">
        <v>26</v>
      </c>
      <c r="FG111">
        <v>-0.221</v>
      </c>
      <c r="FH111">
        <v>-0.001</v>
      </c>
      <c r="FI111">
        <v>-1.568</v>
      </c>
      <c r="FJ111">
        <v>0.178</v>
      </c>
      <c r="FK111">
        <v>420</v>
      </c>
      <c r="FL111">
        <v>23</v>
      </c>
      <c r="FM111">
        <v>0.1</v>
      </c>
      <c r="FN111">
        <v>0.08</v>
      </c>
      <c r="FO111">
        <v>0.5621597749999999</v>
      </c>
      <c r="FP111">
        <v>-0.06888780112570585</v>
      </c>
      <c r="FQ111">
        <v>0.04772434434148231</v>
      </c>
      <c r="FR111">
        <v>1</v>
      </c>
      <c r="FS111">
        <v>440.4558823529412</v>
      </c>
      <c r="FT111">
        <v>-13.07715814936584</v>
      </c>
      <c r="FU111">
        <v>6.248914784677348</v>
      </c>
      <c r="FV111">
        <v>0</v>
      </c>
      <c r="FW111">
        <v>0.12225727</v>
      </c>
      <c r="FX111">
        <v>-0.8302592780487809</v>
      </c>
      <c r="FY111">
        <v>0.08058036195782817</v>
      </c>
      <c r="FZ111">
        <v>0</v>
      </c>
      <c r="GA111">
        <v>1</v>
      </c>
      <c r="GB111">
        <v>3</v>
      </c>
      <c r="GC111" t="s">
        <v>431</v>
      </c>
      <c r="GD111">
        <v>3.1096</v>
      </c>
      <c r="GE111">
        <v>2.72972</v>
      </c>
      <c r="GF111">
        <v>0.0889503</v>
      </c>
      <c r="GG111">
        <v>0.0886527</v>
      </c>
      <c r="GH111">
        <v>0.107673</v>
      </c>
      <c r="GI111">
        <v>0.108647</v>
      </c>
      <c r="GJ111">
        <v>23919.5</v>
      </c>
      <c r="GK111">
        <v>21668.7</v>
      </c>
      <c r="GL111">
        <v>26811.4</v>
      </c>
      <c r="GM111">
        <v>23981.3</v>
      </c>
      <c r="GN111">
        <v>38226</v>
      </c>
      <c r="GO111">
        <v>31527.6</v>
      </c>
      <c r="GP111">
        <v>46797.2</v>
      </c>
      <c r="GQ111">
        <v>37906.6</v>
      </c>
      <c r="GR111">
        <v>1.89755</v>
      </c>
      <c r="GS111">
        <v>1.89072</v>
      </c>
      <c r="GT111">
        <v>0.138097</v>
      </c>
      <c r="GU111">
        <v>0</v>
      </c>
      <c r="GV111">
        <v>27.8203</v>
      </c>
      <c r="GW111">
        <v>999.9</v>
      </c>
      <c r="GX111">
        <v>63.8</v>
      </c>
      <c r="GY111">
        <v>28.6</v>
      </c>
      <c r="GZ111">
        <v>27.6109</v>
      </c>
      <c r="HA111">
        <v>61.5073</v>
      </c>
      <c r="HB111">
        <v>20.2484</v>
      </c>
      <c r="HC111">
        <v>1</v>
      </c>
      <c r="HD111">
        <v>-0.00128811</v>
      </c>
      <c r="HE111">
        <v>-2.16274</v>
      </c>
      <c r="HF111">
        <v>20.3231</v>
      </c>
      <c r="HG111">
        <v>5.21759</v>
      </c>
      <c r="HH111">
        <v>11.9798</v>
      </c>
      <c r="HI111">
        <v>4.9656</v>
      </c>
      <c r="HJ111">
        <v>3.27595</v>
      </c>
      <c r="HK111">
        <v>9999</v>
      </c>
      <c r="HL111">
        <v>9999</v>
      </c>
      <c r="HM111">
        <v>9999</v>
      </c>
      <c r="HN111">
        <v>999.9</v>
      </c>
      <c r="HO111">
        <v>1.86362</v>
      </c>
      <c r="HP111">
        <v>1.85974</v>
      </c>
      <c r="HQ111">
        <v>1.85804</v>
      </c>
      <c r="HR111">
        <v>1.85942</v>
      </c>
      <c r="HS111">
        <v>1.85959</v>
      </c>
      <c r="HT111">
        <v>1.85805</v>
      </c>
      <c r="HU111">
        <v>1.85709</v>
      </c>
      <c r="HV111">
        <v>1.85211</v>
      </c>
      <c r="HW111">
        <v>0</v>
      </c>
      <c r="HX111">
        <v>0</v>
      </c>
      <c r="HY111">
        <v>0</v>
      </c>
      <c r="HZ111">
        <v>0</v>
      </c>
      <c r="IA111" t="s">
        <v>424</v>
      </c>
      <c r="IB111" t="s">
        <v>425</v>
      </c>
      <c r="IC111" t="s">
        <v>426</v>
      </c>
      <c r="ID111" t="s">
        <v>426</v>
      </c>
      <c r="IE111" t="s">
        <v>426</v>
      </c>
      <c r="IF111" t="s">
        <v>426</v>
      </c>
      <c r="IG111">
        <v>0</v>
      </c>
      <c r="IH111">
        <v>100</v>
      </c>
      <c r="II111">
        <v>100</v>
      </c>
      <c r="IJ111">
        <v>-1.567</v>
      </c>
      <c r="IK111">
        <v>0.1888</v>
      </c>
      <c r="IL111">
        <v>-2.357986366295179</v>
      </c>
      <c r="IM111">
        <v>0.001328113201692861</v>
      </c>
      <c r="IN111">
        <v>1.538283238170363E-06</v>
      </c>
      <c r="IO111">
        <v>-5.795655626708063E-10</v>
      </c>
      <c r="IP111">
        <v>-0.06105361615936408</v>
      </c>
      <c r="IQ111">
        <v>-0.004593102289677449</v>
      </c>
      <c r="IR111">
        <v>0.0008253994458280543</v>
      </c>
      <c r="IS111">
        <v>-7.403632370499484E-06</v>
      </c>
      <c r="IT111">
        <v>2</v>
      </c>
      <c r="IU111">
        <v>1985</v>
      </c>
      <c r="IV111">
        <v>1</v>
      </c>
      <c r="IW111">
        <v>27</v>
      </c>
      <c r="IX111">
        <v>2.5</v>
      </c>
      <c r="IY111">
        <v>2.5</v>
      </c>
      <c r="IZ111">
        <v>1.12793</v>
      </c>
      <c r="JA111">
        <v>2.58545</v>
      </c>
      <c r="JB111">
        <v>1.49658</v>
      </c>
      <c r="JC111">
        <v>2.34253</v>
      </c>
      <c r="JD111">
        <v>1.54907</v>
      </c>
      <c r="JE111">
        <v>2.38892</v>
      </c>
      <c r="JF111">
        <v>31.8927</v>
      </c>
      <c r="JG111">
        <v>14.5436</v>
      </c>
      <c r="JH111">
        <v>18</v>
      </c>
      <c r="JI111">
        <v>482.916</v>
      </c>
      <c r="JJ111">
        <v>508.422</v>
      </c>
      <c r="JK111">
        <v>31.7243</v>
      </c>
      <c r="JL111">
        <v>27.2424</v>
      </c>
      <c r="JM111">
        <v>29.9998</v>
      </c>
      <c r="JN111">
        <v>27.5642</v>
      </c>
      <c r="JO111">
        <v>27.5759</v>
      </c>
      <c r="JP111">
        <v>22.6783</v>
      </c>
      <c r="JQ111">
        <v>18.2677</v>
      </c>
      <c r="JR111">
        <v>83.8417</v>
      </c>
      <c r="JS111">
        <v>31.7199</v>
      </c>
      <c r="JT111">
        <v>420</v>
      </c>
      <c r="JU111">
        <v>23.5006</v>
      </c>
      <c r="JV111">
        <v>102.336</v>
      </c>
      <c r="JW111">
        <v>91.44880000000001</v>
      </c>
    </row>
    <row r="112" spans="1:283">
      <c r="A112">
        <v>94</v>
      </c>
      <c r="B112">
        <v>1761018816.1</v>
      </c>
      <c r="C112">
        <v>746.5999999046326</v>
      </c>
      <c r="D112" t="s">
        <v>618</v>
      </c>
      <c r="E112" t="s">
        <v>619</v>
      </c>
      <c r="F112">
        <v>5</v>
      </c>
      <c r="G112" t="s">
        <v>612</v>
      </c>
      <c r="H112">
        <v>1761018813.1</v>
      </c>
      <c r="I112">
        <f>(J112)/1000</f>
        <v>0</v>
      </c>
      <c r="J112">
        <f>1000*DJ112*AH112*(DF112-DG112)/(100*CY112*(1000-AH112*DF112))</f>
        <v>0</v>
      </c>
      <c r="K112">
        <f>DJ112*AH112*(DE112-DD112*(1000-AH112*DG112)/(1000-AH112*DF112))/(100*CY112)</f>
        <v>0</v>
      </c>
      <c r="L112">
        <f>DD112 - IF(AH112&gt;1, K112*CY112*100.0/(AJ112), 0)</f>
        <v>0</v>
      </c>
      <c r="M112">
        <f>((S112-I112/2)*L112-K112)/(S112+I112/2)</f>
        <v>0</v>
      </c>
      <c r="N112">
        <f>M112*(DK112+DL112)/1000.0</f>
        <v>0</v>
      </c>
      <c r="O112">
        <f>(DD112 - IF(AH112&gt;1, K112*CY112*100.0/(AJ112), 0))*(DK112+DL112)/1000.0</f>
        <v>0</v>
      </c>
      <c r="P112">
        <f>2.0/((1/R112-1/Q112)+SIGN(R112)*SQRT((1/R112-1/Q112)*(1/R112-1/Q112) + 4*CZ112/((CZ112+1)*(CZ112+1))*(2*1/R112*1/Q112-1/Q112*1/Q112)))</f>
        <v>0</v>
      </c>
      <c r="Q112">
        <f>IF(LEFT(DA112,1)&lt;&gt;"0",IF(LEFT(DA112,1)="1",3.0,DB112),$D$5+$E$5*(DR112*DK112/($K$5*1000))+$F$5*(DR112*DK112/($K$5*1000))*MAX(MIN(CY112,$J$5),$I$5)*MAX(MIN(CY112,$J$5),$I$5)+$G$5*MAX(MIN(CY112,$J$5),$I$5)*(DR112*DK112/($K$5*1000))+$H$5*(DR112*DK112/($K$5*1000))*(DR112*DK112/($K$5*1000)))</f>
        <v>0</v>
      </c>
      <c r="R112">
        <f>I112*(1000-(1000*0.61365*exp(17.502*V112/(240.97+V112))/(DK112+DL112)+DF112)/2)/(1000*0.61365*exp(17.502*V112/(240.97+V112))/(DK112+DL112)-DF112)</f>
        <v>0</v>
      </c>
      <c r="S112">
        <f>1/((CZ112+1)/(P112/1.6)+1/(Q112/1.37)) + CZ112/((CZ112+1)/(P112/1.6) + CZ112/(Q112/1.37))</f>
        <v>0</v>
      </c>
      <c r="T112">
        <f>(CU112*CX112)</f>
        <v>0</v>
      </c>
      <c r="U112">
        <f>(DM112+(T112+2*0.95*5.67E-8*(((DM112+$B$9)+273)^4-(DM112+273)^4)-44100*I112)/(1.84*29.3*Q112+8*0.95*5.67E-8*(DM112+273)^3))</f>
        <v>0</v>
      </c>
      <c r="V112">
        <f>($C$9*DN112+$D$9*DO112+$E$9*U112)</f>
        <v>0</v>
      </c>
      <c r="W112">
        <f>0.61365*exp(17.502*V112/(240.97+V112))</f>
        <v>0</v>
      </c>
      <c r="X112">
        <f>(Y112/Z112*100)</f>
        <v>0</v>
      </c>
      <c r="Y112">
        <f>DF112*(DK112+DL112)/1000</f>
        <v>0</v>
      </c>
      <c r="Z112">
        <f>0.61365*exp(17.502*DM112/(240.97+DM112))</f>
        <v>0</v>
      </c>
      <c r="AA112">
        <f>(W112-DF112*(DK112+DL112)/1000)</f>
        <v>0</v>
      </c>
      <c r="AB112">
        <f>(-I112*44100)</f>
        <v>0</v>
      </c>
      <c r="AC112">
        <f>2*29.3*Q112*0.92*(DM112-V112)</f>
        <v>0</v>
      </c>
      <c r="AD112">
        <f>2*0.95*5.67E-8*(((DM112+$B$9)+273)^4-(V112+273)^4)</f>
        <v>0</v>
      </c>
      <c r="AE112">
        <f>T112+AD112+AB112+AC112</f>
        <v>0</v>
      </c>
      <c r="AF112">
        <v>0</v>
      </c>
      <c r="AG112">
        <v>0</v>
      </c>
      <c r="AH112">
        <f>IF(AF112*$H$15&gt;=AJ112,1.0,(AJ112/(AJ112-AF112*$H$15)))</f>
        <v>0</v>
      </c>
      <c r="AI112">
        <f>(AH112-1)*100</f>
        <v>0</v>
      </c>
      <c r="AJ112">
        <f>MAX(0,($B$15+$C$15*DR112)/(1+$D$15*DR112)*DK112/(DM112+273)*$E$15)</f>
        <v>0</v>
      </c>
      <c r="AK112" t="s">
        <v>420</v>
      </c>
      <c r="AL112" t="s">
        <v>420</v>
      </c>
      <c r="AM112">
        <v>0</v>
      </c>
      <c r="AN112">
        <v>0</v>
      </c>
      <c r="AO112">
        <f>1-AM112/AN112</f>
        <v>0</v>
      </c>
      <c r="AP112">
        <v>0</v>
      </c>
      <c r="AQ112" t="s">
        <v>420</v>
      </c>
      <c r="AR112" t="s">
        <v>420</v>
      </c>
      <c r="AS112">
        <v>0</v>
      </c>
      <c r="AT112">
        <v>0</v>
      </c>
      <c r="AU112">
        <f>1-AS112/AT112</f>
        <v>0</v>
      </c>
      <c r="AV112">
        <v>0.5</v>
      </c>
      <c r="AW112">
        <f>CV112</f>
        <v>0</v>
      </c>
      <c r="AX112">
        <f>K112</f>
        <v>0</v>
      </c>
      <c r="AY112">
        <f>AU112*AV112*AW112</f>
        <v>0</v>
      </c>
      <c r="AZ112">
        <f>(AX112-AP112)/AW112</f>
        <v>0</v>
      </c>
      <c r="BA112">
        <f>(AN112-AT112)/AT112</f>
        <v>0</v>
      </c>
      <c r="BB112">
        <f>AM112/(AO112+AM112/AT112)</f>
        <v>0</v>
      </c>
      <c r="BC112" t="s">
        <v>420</v>
      </c>
      <c r="BD112">
        <v>0</v>
      </c>
      <c r="BE112">
        <f>IF(BD112&lt;&gt;0, BD112, BB112)</f>
        <v>0</v>
      </c>
      <c r="BF112">
        <f>1-BE112/AT112</f>
        <v>0</v>
      </c>
      <c r="BG112">
        <f>(AT112-AS112)/(AT112-BE112)</f>
        <v>0</v>
      </c>
      <c r="BH112">
        <f>(AN112-AT112)/(AN112-BE112)</f>
        <v>0</v>
      </c>
      <c r="BI112">
        <f>(AT112-AS112)/(AT112-AM112)</f>
        <v>0</v>
      </c>
      <c r="BJ112">
        <f>(AN112-AT112)/(AN112-AM112)</f>
        <v>0</v>
      </c>
      <c r="BK112">
        <f>(BG112*BE112/AS112)</f>
        <v>0</v>
      </c>
      <c r="BL112">
        <f>(1-BK112)</f>
        <v>0</v>
      </c>
      <c r="CU112">
        <f>$B$13*DS112+$C$13*DT112+$F$13*EE112*(1-EH112)</f>
        <v>0</v>
      </c>
      <c r="CV112">
        <f>CU112*CW112</f>
        <v>0</v>
      </c>
      <c r="CW112">
        <f>($B$13*$D$11+$C$13*$D$11+$F$13*((ER112+EJ112)/MAX(ER112+EJ112+ES112, 0.1)*$I$11+ES112/MAX(ER112+EJ112+ES112, 0.1)*$J$11))/($B$13+$C$13+$F$13)</f>
        <v>0</v>
      </c>
      <c r="CX112">
        <f>($B$13*$K$11+$C$13*$K$11+$F$13*((ER112+EJ112)/MAX(ER112+EJ112+ES112, 0.1)*$P$11+ES112/MAX(ER112+EJ112+ES112, 0.1)*$Q$11))/($B$13+$C$13+$F$13)</f>
        <v>0</v>
      </c>
      <c r="CY112">
        <v>2.96</v>
      </c>
      <c r="CZ112">
        <v>0.5</v>
      </c>
      <c r="DA112" t="s">
        <v>421</v>
      </c>
      <c r="DB112">
        <v>2</v>
      </c>
      <c r="DC112">
        <v>1761018813.1</v>
      </c>
      <c r="DD112">
        <v>420.4961111111111</v>
      </c>
      <c r="DE112">
        <v>419.919</v>
      </c>
      <c r="DF112">
        <v>23.58837777777778</v>
      </c>
      <c r="DG112">
        <v>23.568</v>
      </c>
      <c r="DH112">
        <v>422.0631111111111</v>
      </c>
      <c r="DI112">
        <v>23.39982222222222</v>
      </c>
      <c r="DJ112">
        <v>500.006</v>
      </c>
      <c r="DK112">
        <v>90.79852222222222</v>
      </c>
      <c r="DL112">
        <v>0.03814552222222222</v>
      </c>
      <c r="DM112">
        <v>30.23111111111112</v>
      </c>
      <c r="DN112">
        <v>30.07847777777778</v>
      </c>
      <c r="DO112">
        <v>999.9000000000001</v>
      </c>
      <c r="DP112">
        <v>0</v>
      </c>
      <c r="DQ112">
        <v>0</v>
      </c>
      <c r="DR112">
        <v>10000.35555555556</v>
      </c>
      <c r="DS112">
        <v>0</v>
      </c>
      <c r="DT112">
        <v>0.242856</v>
      </c>
      <c r="DU112">
        <v>0.5770298888888888</v>
      </c>
      <c r="DV112">
        <v>430.6545555555556</v>
      </c>
      <c r="DW112">
        <v>430.0543333333333</v>
      </c>
      <c r="DX112">
        <v>0.02036922222222222</v>
      </c>
      <c r="DY112">
        <v>419.919</v>
      </c>
      <c r="DZ112">
        <v>23.568</v>
      </c>
      <c r="EA112">
        <v>2.141788888888889</v>
      </c>
      <c r="EB112">
        <v>2.139938888888889</v>
      </c>
      <c r="EC112">
        <v>18.53343333333333</v>
      </c>
      <c r="ED112">
        <v>18.51961111111111</v>
      </c>
      <c r="EE112">
        <v>0.00500078</v>
      </c>
      <c r="EF112">
        <v>0</v>
      </c>
      <c r="EG112">
        <v>0</v>
      </c>
      <c r="EH112">
        <v>0</v>
      </c>
      <c r="EI112">
        <v>439.7222222222222</v>
      </c>
      <c r="EJ112">
        <v>0.00500078</v>
      </c>
      <c r="EK112">
        <v>-18.05555555555556</v>
      </c>
      <c r="EL112">
        <v>-1.766666666666667</v>
      </c>
      <c r="EM112">
        <v>35.15255555555555</v>
      </c>
      <c r="EN112">
        <v>38.14566666666666</v>
      </c>
      <c r="EO112">
        <v>37.68022222222223</v>
      </c>
      <c r="EP112">
        <v>38.23566666666667</v>
      </c>
      <c r="EQ112">
        <v>37.79844444444445</v>
      </c>
      <c r="ER112">
        <v>0</v>
      </c>
      <c r="ES112">
        <v>0</v>
      </c>
      <c r="ET112">
        <v>0</v>
      </c>
      <c r="EU112">
        <v>1761018814.9</v>
      </c>
      <c r="EV112">
        <v>0</v>
      </c>
      <c r="EW112">
        <v>438.872</v>
      </c>
      <c r="EX112">
        <v>-3.546153875050718</v>
      </c>
      <c r="EY112">
        <v>-25.93846167436482</v>
      </c>
      <c r="EZ112">
        <v>-17.144</v>
      </c>
      <c r="FA112">
        <v>15</v>
      </c>
      <c r="FB112">
        <v>1761018667.1</v>
      </c>
      <c r="FC112" t="s">
        <v>613</v>
      </c>
      <c r="FD112">
        <v>1761018661.6</v>
      </c>
      <c r="FE112">
        <v>1761018667.1</v>
      </c>
      <c r="FF112">
        <v>26</v>
      </c>
      <c r="FG112">
        <v>-0.221</v>
      </c>
      <c r="FH112">
        <v>-0.001</v>
      </c>
      <c r="FI112">
        <v>-1.568</v>
      </c>
      <c r="FJ112">
        <v>0.178</v>
      </c>
      <c r="FK112">
        <v>420</v>
      </c>
      <c r="FL112">
        <v>23</v>
      </c>
      <c r="FM112">
        <v>0.1</v>
      </c>
      <c r="FN112">
        <v>0.08</v>
      </c>
      <c r="FO112">
        <v>0.565136487804878</v>
      </c>
      <c r="FP112">
        <v>-0.0741457839721244</v>
      </c>
      <c r="FQ112">
        <v>0.04661339867417059</v>
      </c>
      <c r="FR112">
        <v>1</v>
      </c>
      <c r="FS112">
        <v>439.6882352941176</v>
      </c>
      <c r="FT112">
        <v>-10.93659280083916</v>
      </c>
      <c r="FU112">
        <v>6.229992196477142</v>
      </c>
      <c r="FV112">
        <v>0</v>
      </c>
      <c r="FW112">
        <v>0.09857721707317073</v>
      </c>
      <c r="FX112">
        <v>-0.7343753811846688</v>
      </c>
      <c r="FY112">
        <v>0.07491891104661223</v>
      </c>
      <c r="FZ112">
        <v>0</v>
      </c>
      <c r="GA112">
        <v>1</v>
      </c>
      <c r="GB112">
        <v>3</v>
      </c>
      <c r="GC112" t="s">
        <v>431</v>
      </c>
      <c r="GD112">
        <v>3.10951</v>
      </c>
      <c r="GE112">
        <v>2.72978</v>
      </c>
      <c r="GF112">
        <v>0.08895</v>
      </c>
      <c r="GG112">
        <v>0.0886526</v>
      </c>
      <c r="GH112">
        <v>0.107755</v>
      </c>
      <c r="GI112">
        <v>0.10869</v>
      </c>
      <c r="GJ112">
        <v>23919.5</v>
      </c>
      <c r="GK112">
        <v>21668.8</v>
      </c>
      <c r="GL112">
        <v>26811.5</v>
      </c>
      <c r="GM112">
        <v>23981.4</v>
      </c>
      <c r="GN112">
        <v>38222.5</v>
      </c>
      <c r="GO112">
        <v>31526.2</v>
      </c>
      <c r="GP112">
        <v>46797.3</v>
      </c>
      <c r="GQ112">
        <v>37906.7</v>
      </c>
      <c r="GR112">
        <v>1.8975</v>
      </c>
      <c r="GS112">
        <v>1.89112</v>
      </c>
      <c r="GT112">
        <v>0.138432</v>
      </c>
      <c r="GU112">
        <v>0</v>
      </c>
      <c r="GV112">
        <v>27.8226</v>
      </c>
      <c r="GW112">
        <v>999.9</v>
      </c>
      <c r="GX112">
        <v>63.8</v>
      </c>
      <c r="GY112">
        <v>28.6</v>
      </c>
      <c r="GZ112">
        <v>27.6116</v>
      </c>
      <c r="HA112">
        <v>61.1573</v>
      </c>
      <c r="HB112">
        <v>20.1763</v>
      </c>
      <c r="HC112">
        <v>1</v>
      </c>
      <c r="HD112">
        <v>-0.00122713</v>
      </c>
      <c r="HE112">
        <v>-2.13444</v>
      </c>
      <c r="HF112">
        <v>20.3233</v>
      </c>
      <c r="HG112">
        <v>5.21744</v>
      </c>
      <c r="HH112">
        <v>11.98</v>
      </c>
      <c r="HI112">
        <v>4.9655</v>
      </c>
      <c r="HJ112">
        <v>3.276</v>
      </c>
      <c r="HK112">
        <v>9999</v>
      </c>
      <c r="HL112">
        <v>9999</v>
      </c>
      <c r="HM112">
        <v>9999</v>
      </c>
      <c r="HN112">
        <v>999.9</v>
      </c>
      <c r="HO112">
        <v>1.86361</v>
      </c>
      <c r="HP112">
        <v>1.85974</v>
      </c>
      <c r="HQ112">
        <v>1.85804</v>
      </c>
      <c r="HR112">
        <v>1.85942</v>
      </c>
      <c r="HS112">
        <v>1.85959</v>
      </c>
      <c r="HT112">
        <v>1.85804</v>
      </c>
      <c r="HU112">
        <v>1.85707</v>
      </c>
      <c r="HV112">
        <v>1.85211</v>
      </c>
      <c r="HW112">
        <v>0</v>
      </c>
      <c r="HX112">
        <v>0</v>
      </c>
      <c r="HY112">
        <v>0</v>
      </c>
      <c r="HZ112">
        <v>0</v>
      </c>
      <c r="IA112" t="s">
        <v>424</v>
      </c>
      <c r="IB112" t="s">
        <v>425</v>
      </c>
      <c r="IC112" t="s">
        <v>426</v>
      </c>
      <c r="ID112" t="s">
        <v>426</v>
      </c>
      <c r="IE112" t="s">
        <v>426</v>
      </c>
      <c r="IF112" t="s">
        <v>426</v>
      </c>
      <c r="IG112">
        <v>0</v>
      </c>
      <c r="IH112">
        <v>100</v>
      </c>
      <c r="II112">
        <v>100</v>
      </c>
      <c r="IJ112">
        <v>-1.567</v>
      </c>
      <c r="IK112">
        <v>0.1894</v>
      </c>
      <c r="IL112">
        <v>-2.357986366295179</v>
      </c>
      <c r="IM112">
        <v>0.001328113201692861</v>
      </c>
      <c r="IN112">
        <v>1.538283238170363E-06</v>
      </c>
      <c r="IO112">
        <v>-5.795655626708063E-10</v>
      </c>
      <c r="IP112">
        <v>-0.06105361615936408</v>
      </c>
      <c r="IQ112">
        <v>-0.004593102289677449</v>
      </c>
      <c r="IR112">
        <v>0.0008253994458280543</v>
      </c>
      <c r="IS112">
        <v>-7.403632370499484E-06</v>
      </c>
      <c r="IT112">
        <v>2</v>
      </c>
      <c r="IU112">
        <v>1985</v>
      </c>
      <c r="IV112">
        <v>1</v>
      </c>
      <c r="IW112">
        <v>27</v>
      </c>
      <c r="IX112">
        <v>2.6</v>
      </c>
      <c r="IY112">
        <v>2.5</v>
      </c>
      <c r="IZ112">
        <v>1.12793</v>
      </c>
      <c r="JA112">
        <v>2.58179</v>
      </c>
      <c r="JB112">
        <v>1.49658</v>
      </c>
      <c r="JC112">
        <v>2.34131</v>
      </c>
      <c r="JD112">
        <v>1.54907</v>
      </c>
      <c r="JE112">
        <v>2.41455</v>
      </c>
      <c r="JF112">
        <v>31.8707</v>
      </c>
      <c r="JG112">
        <v>14.5261</v>
      </c>
      <c r="JH112">
        <v>18</v>
      </c>
      <c r="JI112">
        <v>482.869</v>
      </c>
      <c r="JJ112">
        <v>508.667</v>
      </c>
      <c r="JK112">
        <v>31.7065</v>
      </c>
      <c r="JL112">
        <v>27.2401</v>
      </c>
      <c r="JM112">
        <v>29.9999</v>
      </c>
      <c r="JN112">
        <v>27.5619</v>
      </c>
      <c r="JO112">
        <v>27.5731</v>
      </c>
      <c r="JP112">
        <v>22.6796</v>
      </c>
      <c r="JQ112">
        <v>18.2677</v>
      </c>
      <c r="JR112">
        <v>83.8417</v>
      </c>
      <c r="JS112">
        <v>31.7199</v>
      </c>
      <c r="JT112">
        <v>420</v>
      </c>
      <c r="JU112">
        <v>23.4869</v>
      </c>
      <c r="JV112">
        <v>102.336</v>
      </c>
      <c r="JW112">
        <v>91.449</v>
      </c>
    </row>
    <row r="113" spans="1:283">
      <c r="A113">
        <v>95</v>
      </c>
      <c r="B113">
        <v>1761018818.1</v>
      </c>
      <c r="C113">
        <v>748.5999999046326</v>
      </c>
      <c r="D113" t="s">
        <v>620</v>
      </c>
      <c r="E113" t="s">
        <v>621</v>
      </c>
      <c r="F113">
        <v>5</v>
      </c>
      <c r="G113" t="s">
        <v>612</v>
      </c>
      <c r="H113">
        <v>1761018815.1</v>
      </c>
      <c r="I113">
        <f>(J113)/1000</f>
        <v>0</v>
      </c>
      <c r="J113">
        <f>1000*DJ113*AH113*(DF113-DG113)/(100*CY113*(1000-AH113*DF113))</f>
        <v>0</v>
      </c>
      <c r="K113">
        <f>DJ113*AH113*(DE113-DD113*(1000-AH113*DG113)/(1000-AH113*DF113))/(100*CY113)</f>
        <v>0</v>
      </c>
      <c r="L113">
        <f>DD113 - IF(AH113&gt;1, K113*CY113*100.0/(AJ113), 0)</f>
        <v>0</v>
      </c>
      <c r="M113">
        <f>((S113-I113/2)*L113-K113)/(S113+I113/2)</f>
        <v>0</v>
      </c>
      <c r="N113">
        <f>M113*(DK113+DL113)/1000.0</f>
        <v>0</v>
      </c>
      <c r="O113">
        <f>(DD113 - IF(AH113&gt;1, K113*CY113*100.0/(AJ113), 0))*(DK113+DL113)/1000.0</f>
        <v>0</v>
      </c>
      <c r="P113">
        <f>2.0/((1/R113-1/Q113)+SIGN(R113)*SQRT((1/R113-1/Q113)*(1/R113-1/Q113) + 4*CZ113/((CZ113+1)*(CZ113+1))*(2*1/R113*1/Q113-1/Q113*1/Q113)))</f>
        <v>0</v>
      </c>
      <c r="Q113">
        <f>IF(LEFT(DA113,1)&lt;&gt;"0",IF(LEFT(DA113,1)="1",3.0,DB113),$D$5+$E$5*(DR113*DK113/($K$5*1000))+$F$5*(DR113*DK113/($K$5*1000))*MAX(MIN(CY113,$J$5),$I$5)*MAX(MIN(CY113,$J$5),$I$5)+$G$5*MAX(MIN(CY113,$J$5),$I$5)*(DR113*DK113/($K$5*1000))+$H$5*(DR113*DK113/($K$5*1000))*(DR113*DK113/($K$5*1000)))</f>
        <v>0</v>
      </c>
      <c r="R113">
        <f>I113*(1000-(1000*0.61365*exp(17.502*V113/(240.97+V113))/(DK113+DL113)+DF113)/2)/(1000*0.61365*exp(17.502*V113/(240.97+V113))/(DK113+DL113)-DF113)</f>
        <v>0</v>
      </c>
      <c r="S113">
        <f>1/((CZ113+1)/(P113/1.6)+1/(Q113/1.37)) + CZ113/((CZ113+1)/(P113/1.6) + CZ113/(Q113/1.37))</f>
        <v>0</v>
      </c>
      <c r="T113">
        <f>(CU113*CX113)</f>
        <v>0</v>
      </c>
      <c r="U113">
        <f>(DM113+(T113+2*0.95*5.67E-8*(((DM113+$B$9)+273)^4-(DM113+273)^4)-44100*I113)/(1.84*29.3*Q113+8*0.95*5.67E-8*(DM113+273)^3))</f>
        <v>0</v>
      </c>
      <c r="V113">
        <f>($C$9*DN113+$D$9*DO113+$E$9*U113)</f>
        <v>0</v>
      </c>
      <c r="W113">
        <f>0.61365*exp(17.502*V113/(240.97+V113))</f>
        <v>0</v>
      </c>
      <c r="X113">
        <f>(Y113/Z113*100)</f>
        <v>0</v>
      </c>
      <c r="Y113">
        <f>DF113*(DK113+DL113)/1000</f>
        <v>0</v>
      </c>
      <c r="Z113">
        <f>0.61365*exp(17.502*DM113/(240.97+DM113))</f>
        <v>0</v>
      </c>
      <c r="AA113">
        <f>(W113-DF113*(DK113+DL113)/1000)</f>
        <v>0</v>
      </c>
      <c r="AB113">
        <f>(-I113*44100)</f>
        <v>0</v>
      </c>
      <c r="AC113">
        <f>2*29.3*Q113*0.92*(DM113-V113)</f>
        <v>0</v>
      </c>
      <c r="AD113">
        <f>2*0.95*5.67E-8*(((DM113+$B$9)+273)^4-(V113+273)^4)</f>
        <v>0</v>
      </c>
      <c r="AE113">
        <f>T113+AD113+AB113+AC113</f>
        <v>0</v>
      </c>
      <c r="AF113">
        <v>0</v>
      </c>
      <c r="AG113">
        <v>0</v>
      </c>
      <c r="AH113">
        <f>IF(AF113*$H$15&gt;=AJ113,1.0,(AJ113/(AJ113-AF113*$H$15)))</f>
        <v>0</v>
      </c>
      <c r="AI113">
        <f>(AH113-1)*100</f>
        <v>0</v>
      </c>
      <c r="AJ113">
        <f>MAX(0,($B$15+$C$15*DR113)/(1+$D$15*DR113)*DK113/(DM113+273)*$E$15)</f>
        <v>0</v>
      </c>
      <c r="AK113" t="s">
        <v>420</v>
      </c>
      <c r="AL113" t="s">
        <v>420</v>
      </c>
      <c r="AM113">
        <v>0</v>
      </c>
      <c r="AN113">
        <v>0</v>
      </c>
      <c r="AO113">
        <f>1-AM113/AN113</f>
        <v>0</v>
      </c>
      <c r="AP113">
        <v>0</v>
      </c>
      <c r="AQ113" t="s">
        <v>420</v>
      </c>
      <c r="AR113" t="s">
        <v>420</v>
      </c>
      <c r="AS113">
        <v>0</v>
      </c>
      <c r="AT113">
        <v>0</v>
      </c>
      <c r="AU113">
        <f>1-AS113/AT113</f>
        <v>0</v>
      </c>
      <c r="AV113">
        <v>0.5</v>
      </c>
      <c r="AW113">
        <f>CV113</f>
        <v>0</v>
      </c>
      <c r="AX113">
        <f>K113</f>
        <v>0</v>
      </c>
      <c r="AY113">
        <f>AU113*AV113*AW113</f>
        <v>0</v>
      </c>
      <c r="AZ113">
        <f>(AX113-AP113)/AW113</f>
        <v>0</v>
      </c>
      <c r="BA113">
        <f>(AN113-AT113)/AT113</f>
        <v>0</v>
      </c>
      <c r="BB113">
        <f>AM113/(AO113+AM113/AT113)</f>
        <v>0</v>
      </c>
      <c r="BC113" t="s">
        <v>420</v>
      </c>
      <c r="BD113">
        <v>0</v>
      </c>
      <c r="BE113">
        <f>IF(BD113&lt;&gt;0, BD113, BB113)</f>
        <v>0</v>
      </c>
      <c r="BF113">
        <f>1-BE113/AT113</f>
        <v>0</v>
      </c>
      <c r="BG113">
        <f>(AT113-AS113)/(AT113-BE113)</f>
        <v>0</v>
      </c>
      <c r="BH113">
        <f>(AN113-AT113)/(AN113-BE113)</f>
        <v>0</v>
      </c>
      <c r="BI113">
        <f>(AT113-AS113)/(AT113-AM113)</f>
        <v>0</v>
      </c>
      <c r="BJ113">
        <f>(AN113-AT113)/(AN113-AM113)</f>
        <v>0</v>
      </c>
      <c r="BK113">
        <f>(BG113*BE113/AS113)</f>
        <v>0</v>
      </c>
      <c r="BL113">
        <f>(1-BK113)</f>
        <v>0</v>
      </c>
      <c r="CU113">
        <f>$B$13*DS113+$C$13*DT113+$F$13*EE113*(1-EH113)</f>
        <v>0</v>
      </c>
      <c r="CV113">
        <f>CU113*CW113</f>
        <v>0</v>
      </c>
      <c r="CW113">
        <f>($B$13*$D$11+$C$13*$D$11+$F$13*((ER113+EJ113)/MAX(ER113+EJ113+ES113, 0.1)*$I$11+ES113/MAX(ER113+EJ113+ES113, 0.1)*$J$11))/($B$13+$C$13+$F$13)</f>
        <v>0</v>
      </c>
      <c r="CX113">
        <f>($B$13*$K$11+$C$13*$K$11+$F$13*((ER113+EJ113)/MAX(ER113+EJ113+ES113, 0.1)*$P$11+ES113/MAX(ER113+EJ113+ES113, 0.1)*$Q$11))/($B$13+$C$13+$F$13)</f>
        <v>0</v>
      </c>
      <c r="CY113">
        <v>2.96</v>
      </c>
      <c r="CZ113">
        <v>0.5</v>
      </c>
      <c r="DA113" t="s">
        <v>421</v>
      </c>
      <c r="DB113">
        <v>2</v>
      </c>
      <c r="DC113">
        <v>1761018815.1</v>
      </c>
      <c r="DD113">
        <v>420.4855555555555</v>
      </c>
      <c r="DE113">
        <v>419.9061111111111</v>
      </c>
      <c r="DF113">
        <v>23.61463333333333</v>
      </c>
      <c r="DG113">
        <v>23.58716666666667</v>
      </c>
      <c r="DH113">
        <v>422.0525555555556</v>
      </c>
      <c r="DI113">
        <v>23.42552222222222</v>
      </c>
      <c r="DJ113">
        <v>500.02</v>
      </c>
      <c r="DK113">
        <v>90.79911111111112</v>
      </c>
      <c r="DL113">
        <v>0.03811126666666667</v>
      </c>
      <c r="DM113">
        <v>30.22862222222222</v>
      </c>
      <c r="DN113">
        <v>30.07626666666667</v>
      </c>
      <c r="DO113">
        <v>999.9000000000001</v>
      </c>
      <c r="DP113">
        <v>0</v>
      </c>
      <c r="DQ113">
        <v>0</v>
      </c>
      <c r="DR113">
        <v>10000.76666666667</v>
      </c>
      <c r="DS113">
        <v>0</v>
      </c>
      <c r="DT113">
        <v>0.242856</v>
      </c>
      <c r="DU113">
        <v>0.5792272222222222</v>
      </c>
      <c r="DV113">
        <v>430.6552222222223</v>
      </c>
      <c r="DW113">
        <v>430.0496666666667</v>
      </c>
      <c r="DX113">
        <v>0.02745797777777777</v>
      </c>
      <c r="DY113">
        <v>419.9061111111111</v>
      </c>
      <c r="DZ113">
        <v>23.58716666666667</v>
      </c>
      <c r="EA113">
        <v>2.144187777777778</v>
      </c>
      <c r="EB113">
        <v>2.141694444444445</v>
      </c>
      <c r="EC113">
        <v>18.55128888888889</v>
      </c>
      <c r="ED113">
        <v>18.53271111111111</v>
      </c>
      <c r="EE113">
        <v>0.00500078</v>
      </c>
      <c r="EF113">
        <v>0</v>
      </c>
      <c r="EG113">
        <v>0</v>
      </c>
      <c r="EH113">
        <v>0</v>
      </c>
      <c r="EI113">
        <v>436.5777777777778</v>
      </c>
      <c r="EJ113">
        <v>0.00500078</v>
      </c>
      <c r="EK113">
        <v>-20.15555555555556</v>
      </c>
      <c r="EL113">
        <v>-1.733333333333333</v>
      </c>
      <c r="EM113">
        <v>35.13177777777778</v>
      </c>
      <c r="EN113">
        <v>38.10400000000001</v>
      </c>
      <c r="EO113">
        <v>37.57622222222223</v>
      </c>
      <c r="EP113">
        <v>38.18711111111111</v>
      </c>
      <c r="EQ113">
        <v>37.77055555555555</v>
      </c>
      <c r="ER113">
        <v>0</v>
      </c>
      <c r="ES113">
        <v>0</v>
      </c>
      <c r="ET113">
        <v>0</v>
      </c>
      <c r="EU113">
        <v>1761018817.3</v>
      </c>
      <c r="EV113">
        <v>0</v>
      </c>
      <c r="EW113">
        <v>437.384</v>
      </c>
      <c r="EX113">
        <v>-4.746153853324995</v>
      </c>
      <c r="EY113">
        <v>-29.58461560709239</v>
      </c>
      <c r="EZ113">
        <v>-17.964</v>
      </c>
      <c r="FA113">
        <v>15</v>
      </c>
      <c r="FB113">
        <v>1761018667.1</v>
      </c>
      <c r="FC113" t="s">
        <v>613</v>
      </c>
      <c r="FD113">
        <v>1761018661.6</v>
      </c>
      <c r="FE113">
        <v>1761018667.1</v>
      </c>
      <c r="FF113">
        <v>26</v>
      </c>
      <c r="FG113">
        <v>-0.221</v>
      </c>
      <c r="FH113">
        <v>-0.001</v>
      </c>
      <c r="FI113">
        <v>-1.568</v>
      </c>
      <c r="FJ113">
        <v>0.178</v>
      </c>
      <c r="FK113">
        <v>420</v>
      </c>
      <c r="FL113">
        <v>23</v>
      </c>
      <c r="FM113">
        <v>0.1</v>
      </c>
      <c r="FN113">
        <v>0.08</v>
      </c>
      <c r="FO113">
        <v>0.5684898749999999</v>
      </c>
      <c r="FP113">
        <v>-0.1245460975609769</v>
      </c>
      <c r="FQ113">
        <v>0.04597341973259521</v>
      </c>
      <c r="FR113">
        <v>1</v>
      </c>
      <c r="FS113">
        <v>439.6264705882353</v>
      </c>
      <c r="FT113">
        <v>-18.66921314516344</v>
      </c>
      <c r="FU113">
        <v>6.269501754456645</v>
      </c>
      <c r="FV113">
        <v>0</v>
      </c>
      <c r="FW113">
        <v>0.0807291725</v>
      </c>
      <c r="FX113">
        <v>-0.6065367253283306</v>
      </c>
      <c r="FY113">
        <v>0.06311433239150196</v>
      </c>
      <c r="FZ113">
        <v>0</v>
      </c>
      <c r="GA113">
        <v>1</v>
      </c>
      <c r="GB113">
        <v>3</v>
      </c>
      <c r="GC113" t="s">
        <v>431</v>
      </c>
      <c r="GD113">
        <v>3.10964</v>
      </c>
      <c r="GE113">
        <v>2.7298</v>
      </c>
      <c r="GF113">
        <v>0.0889551</v>
      </c>
      <c r="GG113">
        <v>0.088653</v>
      </c>
      <c r="GH113">
        <v>0.107827</v>
      </c>
      <c r="GI113">
        <v>0.108715</v>
      </c>
      <c r="GJ113">
        <v>23919.6</v>
      </c>
      <c r="GK113">
        <v>21668.7</v>
      </c>
      <c r="GL113">
        <v>26811.7</v>
      </c>
      <c r="GM113">
        <v>23981.3</v>
      </c>
      <c r="GN113">
        <v>38219.6</v>
      </c>
      <c r="GO113">
        <v>31525.2</v>
      </c>
      <c r="GP113">
        <v>46797.6</v>
      </c>
      <c r="GQ113">
        <v>37906.7</v>
      </c>
      <c r="GR113">
        <v>1.8974</v>
      </c>
      <c r="GS113">
        <v>1.89107</v>
      </c>
      <c r="GT113">
        <v>0.138208</v>
      </c>
      <c r="GU113">
        <v>0</v>
      </c>
      <c r="GV113">
        <v>27.8239</v>
      </c>
      <c r="GW113">
        <v>999.9</v>
      </c>
      <c r="GX113">
        <v>63.8</v>
      </c>
      <c r="GY113">
        <v>28.6</v>
      </c>
      <c r="GZ113">
        <v>27.6149</v>
      </c>
      <c r="HA113">
        <v>61.1073</v>
      </c>
      <c r="HB113">
        <v>19.988</v>
      </c>
      <c r="HC113">
        <v>1</v>
      </c>
      <c r="HD113">
        <v>-0.00122967</v>
      </c>
      <c r="HE113">
        <v>-2.2072</v>
      </c>
      <c r="HF113">
        <v>20.3223</v>
      </c>
      <c r="HG113">
        <v>5.21774</v>
      </c>
      <c r="HH113">
        <v>11.9798</v>
      </c>
      <c r="HI113">
        <v>4.96555</v>
      </c>
      <c r="HJ113">
        <v>3.27598</v>
      </c>
      <c r="HK113">
        <v>9999</v>
      </c>
      <c r="HL113">
        <v>9999</v>
      </c>
      <c r="HM113">
        <v>9999</v>
      </c>
      <c r="HN113">
        <v>999.9</v>
      </c>
      <c r="HO113">
        <v>1.86361</v>
      </c>
      <c r="HP113">
        <v>1.85974</v>
      </c>
      <c r="HQ113">
        <v>1.85804</v>
      </c>
      <c r="HR113">
        <v>1.85943</v>
      </c>
      <c r="HS113">
        <v>1.85959</v>
      </c>
      <c r="HT113">
        <v>1.85805</v>
      </c>
      <c r="HU113">
        <v>1.85708</v>
      </c>
      <c r="HV113">
        <v>1.85211</v>
      </c>
      <c r="HW113">
        <v>0</v>
      </c>
      <c r="HX113">
        <v>0</v>
      </c>
      <c r="HY113">
        <v>0</v>
      </c>
      <c r="HZ113">
        <v>0</v>
      </c>
      <c r="IA113" t="s">
        <v>424</v>
      </c>
      <c r="IB113" t="s">
        <v>425</v>
      </c>
      <c r="IC113" t="s">
        <v>426</v>
      </c>
      <c r="ID113" t="s">
        <v>426</v>
      </c>
      <c r="IE113" t="s">
        <v>426</v>
      </c>
      <c r="IF113" t="s">
        <v>426</v>
      </c>
      <c r="IG113">
        <v>0</v>
      </c>
      <c r="IH113">
        <v>100</v>
      </c>
      <c r="II113">
        <v>100</v>
      </c>
      <c r="IJ113">
        <v>-1.567</v>
      </c>
      <c r="IK113">
        <v>0.1899</v>
      </c>
      <c r="IL113">
        <v>-2.357986366295179</v>
      </c>
      <c r="IM113">
        <v>0.001328113201692861</v>
      </c>
      <c r="IN113">
        <v>1.538283238170363E-06</v>
      </c>
      <c r="IO113">
        <v>-5.795655626708063E-10</v>
      </c>
      <c r="IP113">
        <v>-0.06105361615936408</v>
      </c>
      <c r="IQ113">
        <v>-0.004593102289677449</v>
      </c>
      <c r="IR113">
        <v>0.0008253994458280543</v>
      </c>
      <c r="IS113">
        <v>-7.403632370499484E-06</v>
      </c>
      <c r="IT113">
        <v>2</v>
      </c>
      <c r="IU113">
        <v>1985</v>
      </c>
      <c r="IV113">
        <v>1</v>
      </c>
      <c r="IW113">
        <v>27</v>
      </c>
      <c r="IX113">
        <v>2.6</v>
      </c>
      <c r="IY113">
        <v>2.5</v>
      </c>
      <c r="IZ113">
        <v>1.12793</v>
      </c>
      <c r="JA113">
        <v>2.59155</v>
      </c>
      <c r="JB113">
        <v>1.49658</v>
      </c>
      <c r="JC113">
        <v>2.34131</v>
      </c>
      <c r="JD113">
        <v>1.54907</v>
      </c>
      <c r="JE113">
        <v>2.40112</v>
      </c>
      <c r="JF113">
        <v>31.8707</v>
      </c>
      <c r="JG113">
        <v>14.5261</v>
      </c>
      <c r="JH113">
        <v>18</v>
      </c>
      <c r="JI113">
        <v>482.794</v>
      </c>
      <c r="JJ113">
        <v>508.607</v>
      </c>
      <c r="JK113">
        <v>31.6808</v>
      </c>
      <c r="JL113">
        <v>27.2378</v>
      </c>
      <c r="JM113">
        <v>29.9999</v>
      </c>
      <c r="JN113">
        <v>27.5596</v>
      </c>
      <c r="JO113">
        <v>27.5702</v>
      </c>
      <c r="JP113">
        <v>22.6818</v>
      </c>
      <c r="JQ113">
        <v>18.5481</v>
      </c>
      <c r="JR113">
        <v>83.8417</v>
      </c>
      <c r="JS113">
        <v>31.6441</v>
      </c>
      <c r="JT113">
        <v>420</v>
      </c>
      <c r="JU113">
        <v>23.4848</v>
      </c>
      <c r="JV113">
        <v>102.336</v>
      </c>
      <c r="JW113">
        <v>91.44889999999999</v>
      </c>
    </row>
    <row r="114" spans="1:283">
      <c r="A114">
        <v>96</v>
      </c>
      <c r="B114">
        <v>1761018820.1</v>
      </c>
      <c r="C114">
        <v>750.5999999046326</v>
      </c>
      <c r="D114" t="s">
        <v>622</v>
      </c>
      <c r="E114" t="s">
        <v>623</v>
      </c>
      <c r="F114">
        <v>5</v>
      </c>
      <c r="G114" t="s">
        <v>612</v>
      </c>
      <c r="H114">
        <v>1761018817.1</v>
      </c>
      <c r="I114">
        <f>(J114)/1000</f>
        <v>0</v>
      </c>
      <c r="J114">
        <f>1000*DJ114*AH114*(DF114-DG114)/(100*CY114*(1000-AH114*DF114))</f>
        <v>0</v>
      </c>
      <c r="K114">
        <f>DJ114*AH114*(DE114-DD114*(1000-AH114*DG114)/(1000-AH114*DF114))/(100*CY114)</f>
        <v>0</v>
      </c>
      <c r="L114">
        <f>DD114 - IF(AH114&gt;1, K114*CY114*100.0/(AJ114), 0)</f>
        <v>0</v>
      </c>
      <c r="M114">
        <f>((S114-I114/2)*L114-K114)/(S114+I114/2)</f>
        <v>0</v>
      </c>
      <c r="N114">
        <f>M114*(DK114+DL114)/1000.0</f>
        <v>0</v>
      </c>
      <c r="O114">
        <f>(DD114 - IF(AH114&gt;1, K114*CY114*100.0/(AJ114), 0))*(DK114+DL114)/1000.0</f>
        <v>0</v>
      </c>
      <c r="P114">
        <f>2.0/((1/R114-1/Q114)+SIGN(R114)*SQRT((1/R114-1/Q114)*(1/R114-1/Q114) + 4*CZ114/((CZ114+1)*(CZ114+1))*(2*1/R114*1/Q114-1/Q114*1/Q114)))</f>
        <v>0</v>
      </c>
      <c r="Q114">
        <f>IF(LEFT(DA114,1)&lt;&gt;"0",IF(LEFT(DA114,1)="1",3.0,DB114),$D$5+$E$5*(DR114*DK114/($K$5*1000))+$F$5*(DR114*DK114/($K$5*1000))*MAX(MIN(CY114,$J$5),$I$5)*MAX(MIN(CY114,$J$5),$I$5)+$G$5*MAX(MIN(CY114,$J$5),$I$5)*(DR114*DK114/($K$5*1000))+$H$5*(DR114*DK114/($K$5*1000))*(DR114*DK114/($K$5*1000)))</f>
        <v>0</v>
      </c>
      <c r="R114">
        <f>I114*(1000-(1000*0.61365*exp(17.502*V114/(240.97+V114))/(DK114+DL114)+DF114)/2)/(1000*0.61365*exp(17.502*V114/(240.97+V114))/(DK114+DL114)-DF114)</f>
        <v>0</v>
      </c>
      <c r="S114">
        <f>1/((CZ114+1)/(P114/1.6)+1/(Q114/1.37)) + CZ114/((CZ114+1)/(P114/1.6) + CZ114/(Q114/1.37))</f>
        <v>0</v>
      </c>
      <c r="T114">
        <f>(CU114*CX114)</f>
        <v>0</v>
      </c>
      <c r="U114">
        <f>(DM114+(T114+2*0.95*5.67E-8*(((DM114+$B$9)+273)^4-(DM114+273)^4)-44100*I114)/(1.84*29.3*Q114+8*0.95*5.67E-8*(DM114+273)^3))</f>
        <v>0</v>
      </c>
      <c r="V114">
        <f>($C$9*DN114+$D$9*DO114+$E$9*U114)</f>
        <v>0</v>
      </c>
      <c r="W114">
        <f>0.61365*exp(17.502*V114/(240.97+V114))</f>
        <v>0</v>
      </c>
      <c r="X114">
        <f>(Y114/Z114*100)</f>
        <v>0</v>
      </c>
      <c r="Y114">
        <f>DF114*(DK114+DL114)/1000</f>
        <v>0</v>
      </c>
      <c r="Z114">
        <f>0.61365*exp(17.502*DM114/(240.97+DM114))</f>
        <v>0</v>
      </c>
      <c r="AA114">
        <f>(W114-DF114*(DK114+DL114)/1000)</f>
        <v>0</v>
      </c>
      <c r="AB114">
        <f>(-I114*44100)</f>
        <v>0</v>
      </c>
      <c r="AC114">
        <f>2*29.3*Q114*0.92*(DM114-V114)</f>
        <v>0</v>
      </c>
      <c r="AD114">
        <f>2*0.95*5.67E-8*(((DM114+$B$9)+273)^4-(V114+273)^4)</f>
        <v>0</v>
      </c>
      <c r="AE114">
        <f>T114+AD114+AB114+AC114</f>
        <v>0</v>
      </c>
      <c r="AF114">
        <v>0</v>
      </c>
      <c r="AG114">
        <v>0</v>
      </c>
      <c r="AH114">
        <f>IF(AF114*$H$15&gt;=AJ114,1.0,(AJ114/(AJ114-AF114*$H$15)))</f>
        <v>0</v>
      </c>
      <c r="AI114">
        <f>(AH114-1)*100</f>
        <v>0</v>
      </c>
      <c r="AJ114">
        <f>MAX(0,($B$15+$C$15*DR114)/(1+$D$15*DR114)*DK114/(DM114+273)*$E$15)</f>
        <v>0</v>
      </c>
      <c r="AK114" t="s">
        <v>420</v>
      </c>
      <c r="AL114" t="s">
        <v>420</v>
      </c>
      <c r="AM114">
        <v>0</v>
      </c>
      <c r="AN114">
        <v>0</v>
      </c>
      <c r="AO114">
        <f>1-AM114/AN114</f>
        <v>0</v>
      </c>
      <c r="AP114">
        <v>0</v>
      </c>
      <c r="AQ114" t="s">
        <v>420</v>
      </c>
      <c r="AR114" t="s">
        <v>420</v>
      </c>
      <c r="AS114">
        <v>0</v>
      </c>
      <c r="AT114">
        <v>0</v>
      </c>
      <c r="AU114">
        <f>1-AS114/AT114</f>
        <v>0</v>
      </c>
      <c r="AV114">
        <v>0.5</v>
      </c>
      <c r="AW114">
        <f>CV114</f>
        <v>0</v>
      </c>
      <c r="AX114">
        <f>K114</f>
        <v>0</v>
      </c>
      <c r="AY114">
        <f>AU114*AV114*AW114</f>
        <v>0</v>
      </c>
      <c r="AZ114">
        <f>(AX114-AP114)/AW114</f>
        <v>0</v>
      </c>
      <c r="BA114">
        <f>(AN114-AT114)/AT114</f>
        <v>0</v>
      </c>
      <c r="BB114">
        <f>AM114/(AO114+AM114/AT114)</f>
        <v>0</v>
      </c>
      <c r="BC114" t="s">
        <v>420</v>
      </c>
      <c r="BD114">
        <v>0</v>
      </c>
      <c r="BE114">
        <f>IF(BD114&lt;&gt;0, BD114, BB114)</f>
        <v>0</v>
      </c>
      <c r="BF114">
        <f>1-BE114/AT114</f>
        <v>0</v>
      </c>
      <c r="BG114">
        <f>(AT114-AS114)/(AT114-BE114)</f>
        <v>0</v>
      </c>
      <c r="BH114">
        <f>(AN114-AT114)/(AN114-BE114)</f>
        <v>0</v>
      </c>
      <c r="BI114">
        <f>(AT114-AS114)/(AT114-AM114)</f>
        <v>0</v>
      </c>
      <c r="BJ114">
        <f>(AN114-AT114)/(AN114-AM114)</f>
        <v>0</v>
      </c>
      <c r="BK114">
        <f>(BG114*BE114/AS114)</f>
        <v>0</v>
      </c>
      <c r="BL114">
        <f>(1-BK114)</f>
        <v>0</v>
      </c>
      <c r="CU114">
        <f>$B$13*DS114+$C$13*DT114+$F$13*EE114*(1-EH114)</f>
        <v>0</v>
      </c>
      <c r="CV114">
        <f>CU114*CW114</f>
        <v>0</v>
      </c>
      <c r="CW114">
        <f>($B$13*$D$11+$C$13*$D$11+$F$13*((ER114+EJ114)/MAX(ER114+EJ114+ES114, 0.1)*$I$11+ES114/MAX(ER114+EJ114+ES114, 0.1)*$J$11))/($B$13+$C$13+$F$13)</f>
        <v>0</v>
      </c>
      <c r="CX114">
        <f>($B$13*$K$11+$C$13*$K$11+$F$13*((ER114+EJ114)/MAX(ER114+EJ114+ES114, 0.1)*$P$11+ES114/MAX(ER114+EJ114+ES114, 0.1)*$Q$11))/($B$13+$C$13+$F$13)</f>
        <v>0</v>
      </c>
      <c r="CY114">
        <v>2.96</v>
      </c>
      <c r="CZ114">
        <v>0.5</v>
      </c>
      <c r="DA114" t="s">
        <v>421</v>
      </c>
      <c r="DB114">
        <v>2</v>
      </c>
      <c r="DC114">
        <v>1761018817.1</v>
      </c>
      <c r="DD114">
        <v>420.4985555555556</v>
      </c>
      <c r="DE114">
        <v>419.9194444444445</v>
      </c>
      <c r="DF114">
        <v>23.63845555555555</v>
      </c>
      <c r="DG114">
        <v>23.59882222222222</v>
      </c>
      <c r="DH114">
        <v>422.0655555555556</v>
      </c>
      <c r="DI114">
        <v>23.44882222222222</v>
      </c>
      <c r="DJ114">
        <v>500.01</v>
      </c>
      <c r="DK114">
        <v>90.7987</v>
      </c>
      <c r="DL114">
        <v>0.03793508888888889</v>
      </c>
      <c r="DM114">
        <v>30.22562222222222</v>
      </c>
      <c r="DN114">
        <v>30.07461111111111</v>
      </c>
      <c r="DO114">
        <v>999.9000000000001</v>
      </c>
      <c r="DP114">
        <v>0</v>
      </c>
      <c r="DQ114">
        <v>0</v>
      </c>
      <c r="DR114">
        <v>10008.75</v>
      </c>
      <c r="DS114">
        <v>0</v>
      </c>
      <c r="DT114">
        <v>0.242856</v>
      </c>
      <c r="DU114">
        <v>0.5790067777777778</v>
      </c>
      <c r="DV114">
        <v>430.6791111111111</v>
      </c>
      <c r="DW114">
        <v>430.0684444444444</v>
      </c>
      <c r="DX114">
        <v>0.03962623333333333</v>
      </c>
      <c r="DY114">
        <v>419.9194444444445</v>
      </c>
      <c r="DZ114">
        <v>23.59882222222222</v>
      </c>
      <c r="EA114">
        <v>2.14634</v>
      </c>
      <c r="EB114">
        <v>2.142743333333333</v>
      </c>
      <c r="EC114">
        <v>18.56733333333334</v>
      </c>
      <c r="ED114">
        <v>18.54053333333333</v>
      </c>
      <c r="EE114">
        <v>0.00500078</v>
      </c>
      <c r="EF114">
        <v>0</v>
      </c>
      <c r="EG114">
        <v>0</v>
      </c>
      <c r="EH114">
        <v>0</v>
      </c>
      <c r="EI114">
        <v>437.2222222222222</v>
      </c>
      <c r="EJ114">
        <v>0.00500078</v>
      </c>
      <c r="EK114">
        <v>-21.02222222222222</v>
      </c>
      <c r="EL114">
        <v>-1.555555555555556</v>
      </c>
      <c r="EM114">
        <v>35.111</v>
      </c>
      <c r="EN114">
        <v>38.083</v>
      </c>
      <c r="EO114">
        <v>37.54144444444445</v>
      </c>
      <c r="EP114">
        <v>38.15244444444444</v>
      </c>
      <c r="EQ114">
        <v>37.729</v>
      </c>
      <c r="ER114">
        <v>0</v>
      </c>
      <c r="ES114">
        <v>0</v>
      </c>
      <c r="ET114">
        <v>0</v>
      </c>
      <c r="EU114">
        <v>1761018819.1</v>
      </c>
      <c r="EV114">
        <v>0</v>
      </c>
      <c r="EW114">
        <v>438.0615384615385</v>
      </c>
      <c r="EX114">
        <v>-16.43076897796147</v>
      </c>
      <c r="EY114">
        <v>-25.31965835800352</v>
      </c>
      <c r="EZ114">
        <v>-18.63076923076923</v>
      </c>
      <c r="FA114">
        <v>15</v>
      </c>
      <c r="FB114">
        <v>1761018667.1</v>
      </c>
      <c r="FC114" t="s">
        <v>613</v>
      </c>
      <c r="FD114">
        <v>1761018661.6</v>
      </c>
      <c r="FE114">
        <v>1761018667.1</v>
      </c>
      <c r="FF114">
        <v>26</v>
      </c>
      <c r="FG114">
        <v>-0.221</v>
      </c>
      <c r="FH114">
        <v>-0.001</v>
      </c>
      <c r="FI114">
        <v>-1.568</v>
      </c>
      <c r="FJ114">
        <v>0.178</v>
      </c>
      <c r="FK114">
        <v>420</v>
      </c>
      <c r="FL114">
        <v>23</v>
      </c>
      <c r="FM114">
        <v>0.1</v>
      </c>
      <c r="FN114">
        <v>0.08</v>
      </c>
      <c r="FO114">
        <v>0.5649935609756098</v>
      </c>
      <c r="FP114">
        <v>0.02464856445993133</v>
      </c>
      <c r="FQ114">
        <v>0.04198822951096883</v>
      </c>
      <c r="FR114">
        <v>1</v>
      </c>
      <c r="FS114">
        <v>438.7088235294118</v>
      </c>
      <c r="FT114">
        <v>-12.67379673222916</v>
      </c>
      <c r="FU114">
        <v>6.272459300365406</v>
      </c>
      <c r="FV114">
        <v>0</v>
      </c>
      <c r="FW114">
        <v>0.06496425365853659</v>
      </c>
      <c r="FX114">
        <v>-0.389430202787456</v>
      </c>
      <c r="FY114">
        <v>0.04775333347288169</v>
      </c>
      <c r="FZ114">
        <v>0</v>
      </c>
      <c r="GA114">
        <v>1</v>
      </c>
      <c r="GB114">
        <v>3</v>
      </c>
      <c r="GC114" t="s">
        <v>431</v>
      </c>
      <c r="GD114">
        <v>3.1095</v>
      </c>
      <c r="GE114">
        <v>2.72943</v>
      </c>
      <c r="GF114">
        <v>0.08895749999999999</v>
      </c>
      <c r="GG114">
        <v>0.0886604</v>
      </c>
      <c r="GH114">
        <v>0.107879</v>
      </c>
      <c r="GI114">
        <v>0.10873</v>
      </c>
      <c r="GJ114">
        <v>23919.6</v>
      </c>
      <c r="GK114">
        <v>21668.5</v>
      </c>
      <c r="GL114">
        <v>26811.8</v>
      </c>
      <c r="GM114">
        <v>23981.2</v>
      </c>
      <c r="GN114">
        <v>38217.3</v>
      </c>
      <c r="GO114">
        <v>31524.5</v>
      </c>
      <c r="GP114">
        <v>46797.6</v>
      </c>
      <c r="GQ114">
        <v>37906.4</v>
      </c>
      <c r="GR114">
        <v>1.89735</v>
      </c>
      <c r="GS114">
        <v>1.89115</v>
      </c>
      <c r="GT114">
        <v>0.13724</v>
      </c>
      <c r="GU114">
        <v>0</v>
      </c>
      <c r="GV114">
        <v>27.824</v>
      </c>
      <c r="GW114">
        <v>999.9</v>
      </c>
      <c r="GX114">
        <v>63.8</v>
      </c>
      <c r="GY114">
        <v>28.6</v>
      </c>
      <c r="GZ114">
        <v>27.6101</v>
      </c>
      <c r="HA114">
        <v>60.9373</v>
      </c>
      <c r="HB114">
        <v>20.2925</v>
      </c>
      <c r="HC114">
        <v>1</v>
      </c>
      <c r="HD114">
        <v>-0.00130335</v>
      </c>
      <c r="HE114">
        <v>-2.16734</v>
      </c>
      <c r="HF114">
        <v>20.3223</v>
      </c>
      <c r="HG114">
        <v>5.21474</v>
      </c>
      <c r="HH114">
        <v>11.9796</v>
      </c>
      <c r="HI114">
        <v>4.965</v>
      </c>
      <c r="HJ114">
        <v>3.27523</v>
      </c>
      <c r="HK114">
        <v>9999</v>
      </c>
      <c r="HL114">
        <v>9999</v>
      </c>
      <c r="HM114">
        <v>9999</v>
      </c>
      <c r="HN114">
        <v>999.9</v>
      </c>
      <c r="HO114">
        <v>1.86362</v>
      </c>
      <c r="HP114">
        <v>1.85974</v>
      </c>
      <c r="HQ114">
        <v>1.85803</v>
      </c>
      <c r="HR114">
        <v>1.85943</v>
      </c>
      <c r="HS114">
        <v>1.85959</v>
      </c>
      <c r="HT114">
        <v>1.85804</v>
      </c>
      <c r="HU114">
        <v>1.85709</v>
      </c>
      <c r="HV114">
        <v>1.8521</v>
      </c>
      <c r="HW114">
        <v>0</v>
      </c>
      <c r="HX114">
        <v>0</v>
      </c>
      <c r="HY114">
        <v>0</v>
      </c>
      <c r="HZ114">
        <v>0</v>
      </c>
      <c r="IA114" t="s">
        <v>424</v>
      </c>
      <c r="IB114" t="s">
        <v>425</v>
      </c>
      <c r="IC114" t="s">
        <v>426</v>
      </c>
      <c r="ID114" t="s">
        <v>426</v>
      </c>
      <c r="IE114" t="s">
        <v>426</v>
      </c>
      <c r="IF114" t="s">
        <v>426</v>
      </c>
      <c r="IG114">
        <v>0</v>
      </c>
      <c r="IH114">
        <v>100</v>
      </c>
      <c r="II114">
        <v>100</v>
      </c>
      <c r="IJ114">
        <v>-1.567</v>
      </c>
      <c r="IK114">
        <v>0.1903</v>
      </c>
      <c r="IL114">
        <v>-2.357986366295179</v>
      </c>
      <c r="IM114">
        <v>0.001328113201692861</v>
      </c>
      <c r="IN114">
        <v>1.538283238170363E-06</v>
      </c>
      <c r="IO114">
        <v>-5.795655626708063E-10</v>
      </c>
      <c r="IP114">
        <v>-0.06105361615936408</v>
      </c>
      <c r="IQ114">
        <v>-0.004593102289677449</v>
      </c>
      <c r="IR114">
        <v>0.0008253994458280543</v>
      </c>
      <c r="IS114">
        <v>-7.403632370499484E-06</v>
      </c>
      <c r="IT114">
        <v>2</v>
      </c>
      <c r="IU114">
        <v>1985</v>
      </c>
      <c r="IV114">
        <v>1</v>
      </c>
      <c r="IW114">
        <v>27</v>
      </c>
      <c r="IX114">
        <v>2.6</v>
      </c>
      <c r="IY114">
        <v>2.5</v>
      </c>
      <c r="IZ114">
        <v>1.12793</v>
      </c>
      <c r="JA114">
        <v>2.58179</v>
      </c>
      <c r="JB114">
        <v>1.49658</v>
      </c>
      <c r="JC114">
        <v>2.34131</v>
      </c>
      <c r="JD114">
        <v>1.54907</v>
      </c>
      <c r="JE114">
        <v>2.41333</v>
      </c>
      <c r="JF114">
        <v>31.8927</v>
      </c>
      <c r="JG114">
        <v>14.5436</v>
      </c>
      <c r="JH114">
        <v>18</v>
      </c>
      <c r="JI114">
        <v>482.746</v>
      </c>
      <c r="JJ114">
        <v>508.635</v>
      </c>
      <c r="JK114">
        <v>31.664</v>
      </c>
      <c r="JL114">
        <v>27.2355</v>
      </c>
      <c r="JM114">
        <v>29.9998</v>
      </c>
      <c r="JN114">
        <v>27.5573</v>
      </c>
      <c r="JO114">
        <v>27.5678</v>
      </c>
      <c r="JP114">
        <v>22.6812</v>
      </c>
      <c r="JQ114">
        <v>18.5481</v>
      </c>
      <c r="JR114">
        <v>83.8417</v>
      </c>
      <c r="JS114">
        <v>31.6441</v>
      </c>
      <c r="JT114">
        <v>420</v>
      </c>
      <c r="JU114">
        <v>23.4848</v>
      </c>
      <c r="JV114">
        <v>102.336</v>
      </c>
      <c r="JW114">
        <v>91.4482</v>
      </c>
    </row>
    <row r="115" spans="1:283">
      <c r="A115">
        <v>97</v>
      </c>
      <c r="B115">
        <v>1761018822.1</v>
      </c>
      <c r="C115">
        <v>752.5999999046326</v>
      </c>
      <c r="D115" t="s">
        <v>624</v>
      </c>
      <c r="E115" t="s">
        <v>625</v>
      </c>
      <c r="F115">
        <v>5</v>
      </c>
      <c r="G115" t="s">
        <v>612</v>
      </c>
      <c r="H115">
        <v>1761018819.1</v>
      </c>
      <c r="I115">
        <f>(J115)/1000</f>
        <v>0</v>
      </c>
      <c r="J115">
        <f>1000*DJ115*AH115*(DF115-DG115)/(100*CY115*(1000-AH115*DF115))</f>
        <v>0</v>
      </c>
      <c r="K115">
        <f>DJ115*AH115*(DE115-DD115*(1000-AH115*DG115)/(1000-AH115*DF115))/(100*CY115)</f>
        <v>0</v>
      </c>
      <c r="L115">
        <f>DD115 - IF(AH115&gt;1, K115*CY115*100.0/(AJ115), 0)</f>
        <v>0</v>
      </c>
      <c r="M115">
        <f>((S115-I115/2)*L115-K115)/(S115+I115/2)</f>
        <v>0</v>
      </c>
      <c r="N115">
        <f>M115*(DK115+DL115)/1000.0</f>
        <v>0</v>
      </c>
      <c r="O115">
        <f>(DD115 - IF(AH115&gt;1, K115*CY115*100.0/(AJ115), 0))*(DK115+DL115)/1000.0</f>
        <v>0</v>
      </c>
      <c r="P115">
        <f>2.0/((1/R115-1/Q115)+SIGN(R115)*SQRT((1/R115-1/Q115)*(1/R115-1/Q115) + 4*CZ115/((CZ115+1)*(CZ115+1))*(2*1/R115*1/Q115-1/Q115*1/Q115)))</f>
        <v>0</v>
      </c>
      <c r="Q115">
        <f>IF(LEFT(DA115,1)&lt;&gt;"0",IF(LEFT(DA115,1)="1",3.0,DB115),$D$5+$E$5*(DR115*DK115/($K$5*1000))+$F$5*(DR115*DK115/($K$5*1000))*MAX(MIN(CY115,$J$5),$I$5)*MAX(MIN(CY115,$J$5),$I$5)+$G$5*MAX(MIN(CY115,$J$5),$I$5)*(DR115*DK115/($K$5*1000))+$H$5*(DR115*DK115/($K$5*1000))*(DR115*DK115/($K$5*1000)))</f>
        <v>0</v>
      </c>
      <c r="R115">
        <f>I115*(1000-(1000*0.61365*exp(17.502*V115/(240.97+V115))/(DK115+DL115)+DF115)/2)/(1000*0.61365*exp(17.502*V115/(240.97+V115))/(DK115+DL115)-DF115)</f>
        <v>0</v>
      </c>
      <c r="S115">
        <f>1/((CZ115+1)/(P115/1.6)+1/(Q115/1.37)) + CZ115/((CZ115+1)/(P115/1.6) + CZ115/(Q115/1.37))</f>
        <v>0</v>
      </c>
      <c r="T115">
        <f>(CU115*CX115)</f>
        <v>0</v>
      </c>
      <c r="U115">
        <f>(DM115+(T115+2*0.95*5.67E-8*(((DM115+$B$9)+273)^4-(DM115+273)^4)-44100*I115)/(1.84*29.3*Q115+8*0.95*5.67E-8*(DM115+273)^3))</f>
        <v>0</v>
      </c>
      <c r="V115">
        <f>($C$9*DN115+$D$9*DO115+$E$9*U115)</f>
        <v>0</v>
      </c>
      <c r="W115">
        <f>0.61365*exp(17.502*V115/(240.97+V115))</f>
        <v>0</v>
      </c>
      <c r="X115">
        <f>(Y115/Z115*100)</f>
        <v>0</v>
      </c>
      <c r="Y115">
        <f>DF115*(DK115+DL115)/1000</f>
        <v>0</v>
      </c>
      <c r="Z115">
        <f>0.61365*exp(17.502*DM115/(240.97+DM115))</f>
        <v>0</v>
      </c>
      <c r="AA115">
        <f>(W115-DF115*(DK115+DL115)/1000)</f>
        <v>0</v>
      </c>
      <c r="AB115">
        <f>(-I115*44100)</f>
        <v>0</v>
      </c>
      <c r="AC115">
        <f>2*29.3*Q115*0.92*(DM115-V115)</f>
        <v>0</v>
      </c>
      <c r="AD115">
        <f>2*0.95*5.67E-8*(((DM115+$B$9)+273)^4-(V115+273)^4)</f>
        <v>0</v>
      </c>
      <c r="AE115">
        <f>T115+AD115+AB115+AC115</f>
        <v>0</v>
      </c>
      <c r="AF115">
        <v>0</v>
      </c>
      <c r="AG115">
        <v>0</v>
      </c>
      <c r="AH115">
        <f>IF(AF115*$H$15&gt;=AJ115,1.0,(AJ115/(AJ115-AF115*$H$15)))</f>
        <v>0</v>
      </c>
      <c r="AI115">
        <f>(AH115-1)*100</f>
        <v>0</v>
      </c>
      <c r="AJ115">
        <f>MAX(0,($B$15+$C$15*DR115)/(1+$D$15*DR115)*DK115/(DM115+273)*$E$15)</f>
        <v>0</v>
      </c>
      <c r="AK115" t="s">
        <v>420</v>
      </c>
      <c r="AL115" t="s">
        <v>420</v>
      </c>
      <c r="AM115">
        <v>0</v>
      </c>
      <c r="AN115">
        <v>0</v>
      </c>
      <c r="AO115">
        <f>1-AM115/AN115</f>
        <v>0</v>
      </c>
      <c r="AP115">
        <v>0</v>
      </c>
      <c r="AQ115" t="s">
        <v>420</v>
      </c>
      <c r="AR115" t="s">
        <v>420</v>
      </c>
      <c r="AS115">
        <v>0</v>
      </c>
      <c r="AT115">
        <v>0</v>
      </c>
      <c r="AU115">
        <f>1-AS115/AT115</f>
        <v>0</v>
      </c>
      <c r="AV115">
        <v>0.5</v>
      </c>
      <c r="AW115">
        <f>CV115</f>
        <v>0</v>
      </c>
      <c r="AX115">
        <f>K115</f>
        <v>0</v>
      </c>
      <c r="AY115">
        <f>AU115*AV115*AW115</f>
        <v>0</v>
      </c>
      <c r="AZ115">
        <f>(AX115-AP115)/AW115</f>
        <v>0</v>
      </c>
      <c r="BA115">
        <f>(AN115-AT115)/AT115</f>
        <v>0</v>
      </c>
      <c r="BB115">
        <f>AM115/(AO115+AM115/AT115)</f>
        <v>0</v>
      </c>
      <c r="BC115" t="s">
        <v>420</v>
      </c>
      <c r="BD115">
        <v>0</v>
      </c>
      <c r="BE115">
        <f>IF(BD115&lt;&gt;0, BD115, BB115)</f>
        <v>0</v>
      </c>
      <c r="BF115">
        <f>1-BE115/AT115</f>
        <v>0</v>
      </c>
      <c r="BG115">
        <f>(AT115-AS115)/(AT115-BE115)</f>
        <v>0</v>
      </c>
      <c r="BH115">
        <f>(AN115-AT115)/(AN115-BE115)</f>
        <v>0</v>
      </c>
      <c r="BI115">
        <f>(AT115-AS115)/(AT115-AM115)</f>
        <v>0</v>
      </c>
      <c r="BJ115">
        <f>(AN115-AT115)/(AN115-AM115)</f>
        <v>0</v>
      </c>
      <c r="BK115">
        <f>(BG115*BE115/AS115)</f>
        <v>0</v>
      </c>
      <c r="BL115">
        <f>(1-BK115)</f>
        <v>0</v>
      </c>
      <c r="CU115">
        <f>$B$13*DS115+$C$13*DT115+$F$13*EE115*(1-EH115)</f>
        <v>0</v>
      </c>
      <c r="CV115">
        <f>CU115*CW115</f>
        <v>0</v>
      </c>
      <c r="CW115">
        <f>($B$13*$D$11+$C$13*$D$11+$F$13*((ER115+EJ115)/MAX(ER115+EJ115+ES115, 0.1)*$I$11+ES115/MAX(ER115+EJ115+ES115, 0.1)*$J$11))/($B$13+$C$13+$F$13)</f>
        <v>0</v>
      </c>
      <c r="CX115">
        <f>($B$13*$K$11+$C$13*$K$11+$F$13*((ER115+EJ115)/MAX(ER115+EJ115+ES115, 0.1)*$P$11+ES115/MAX(ER115+EJ115+ES115, 0.1)*$Q$11))/($B$13+$C$13+$F$13)</f>
        <v>0</v>
      </c>
      <c r="CY115">
        <v>2.96</v>
      </c>
      <c r="CZ115">
        <v>0.5</v>
      </c>
      <c r="DA115" t="s">
        <v>421</v>
      </c>
      <c r="DB115">
        <v>2</v>
      </c>
      <c r="DC115">
        <v>1761018819.1</v>
      </c>
      <c r="DD115">
        <v>420.5252222222222</v>
      </c>
      <c r="DE115">
        <v>419.9525555555555</v>
      </c>
      <c r="DF115">
        <v>23.65796666666667</v>
      </c>
      <c r="DG115">
        <v>23.6057</v>
      </c>
      <c r="DH115">
        <v>422.0922222222222</v>
      </c>
      <c r="DI115">
        <v>23.4679</v>
      </c>
      <c r="DJ115">
        <v>500.0319999999999</v>
      </c>
      <c r="DK115">
        <v>90.79791111111109</v>
      </c>
      <c r="DL115">
        <v>0.03777668888888889</v>
      </c>
      <c r="DM115">
        <v>30.22264444444444</v>
      </c>
      <c r="DN115">
        <v>30.07041111111111</v>
      </c>
      <c r="DO115">
        <v>999.9000000000001</v>
      </c>
      <c r="DP115">
        <v>0</v>
      </c>
      <c r="DQ115">
        <v>0</v>
      </c>
      <c r="DR115">
        <v>10014.57777777778</v>
      </c>
      <c r="DS115">
        <v>0</v>
      </c>
      <c r="DT115">
        <v>0.242856</v>
      </c>
      <c r="DU115">
        <v>0.572659111111111</v>
      </c>
      <c r="DV115">
        <v>430.7151111111111</v>
      </c>
      <c r="DW115">
        <v>430.1054444444445</v>
      </c>
      <c r="DX115">
        <v>0.05224312222222222</v>
      </c>
      <c r="DY115">
        <v>419.9525555555555</v>
      </c>
      <c r="DZ115">
        <v>23.6057</v>
      </c>
      <c r="EA115">
        <v>2.148092222222223</v>
      </c>
      <c r="EB115">
        <v>2.14335</v>
      </c>
      <c r="EC115">
        <v>18.58035555555556</v>
      </c>
      <c r="ED115">
        <v>18.54505555555555</v>
      </c>
      <c r="EE115">
        <v>0.00500078</v>
      </c>
      <c r="EF115">
        <v>0</v>
      </c>
      <c r="EG115">
        <v>0</v>
      </c>
      <c r="EH115">
        <v>0</v>
      </c>
      <c r="EI115">
        <v>435.6888888888889</v>
      </c>
      <c r="EJ115">
        <v>0.00500078</v>
      </c>
      <c r="EK115">
        <v>-21.88888888888889</v>
      </c>
      <c r="EL115">
        <v>-1.822222222222222</v>
      </c>
      <c r="EM115">
        <v>35.09</v>
      </c>
      <c r="EN115">
        <v>38.04133333333333</v>
      </c>
      <c r="EO115">
        <v>37.30533333333333</v>
      </c>
      <c r="EP115">
        <v>38.11077777777777</v>
      </c>
      <c r="EQ115">
        <v>37.74966666666666</v>
      </c>
      <c r="ER115">
        <v>0</v>
      </c>
      <c r="ES115">
        <v>0</v>
      </c>
      <c r="ET115">
        <v>0</v>
      </c>
      <c r="EU115">
        <v>1761018821.5</v>
      </c>
      <c r="EV115">
        <v>0</v>
      </c>
      <c r="EW115">
        <v>437.0346153846154</v>
      </c>
      <c r="EX115">
        <v>-9.022221896661744</v>
      </c>
      <c r="EY115">
        <v>-23.41880336060805</v>
      </c>
      <c r="EZ115">
        <v>-18.98461538461538</v>
      </c>
      <c r="FA115">
        <v>15</v>
      </c>
      <c r="FB115">
        <v>1761018667.1</v>
      </c>
      <c r="FC115" t="s">
        <v>613</v>
      </c>
      <c r="FD115">
        <v>1761018661.6</v>
      </c>
      <c r="FE115">
        <v>1761018667.1</v>
      </c>
      <c r="FF115">
        <v>26</v>
      </c>
      <c r="FG115">
        <v>-0.221</v>
      </c>
      <c r="FH115">
        <v>-0.001</v>
      </c>
      <c r="FI115">
        <v>-1.568</v>
      </c>
      <c r="FJ115">
        <v>0.178</v>
      </c>
      <c r="FK115">
        <v>420</v>
      </c>
      <c r="FL115">
        <v>23</v>
      </c>
      <c r="FM115">
        <v>0.1</v>
      </c>
      <c r="FN115">
        <v>0.08</v>
      </c>
      <c r="FO115">
        <v>0.55647285</v>
      </c>
      <c r="FP115">
        <v>0.2004624540337708</v>
      </c>
      <c r="FQ115">
        <v>0.03075288519842488</v>
      </c>
      <c r="FR115">
        <v>1</v>
      </c>
      <c r="FS115">
        <v>437.7558823529412</v>
      </c>
      <c r="FT115">
        <v>-16.43239108627564</v>
      </c>
      <c r="FU115">
        <v>6.411992035905235</v>
      </c>
      <c r="FV115">
        <v>0</v>
      </c>
      <c r="FW115">
        <v>0.05454867</v>
      </c>
      <c r="FX115">
        <v>-0.22211500412758</v>
      </c>
      <c r="FY115">
        <v>0.03453286548923504</v>
      </c>
      <c r="FZ115">
        <v>0</v>
      </c>
      <c r="GA115">
        <v>1</v>
      </c>
      <c r="GB115">
        <v>3</v>
      </c>
      <c r="GC115" t="s">
        <v>431</v>
      </c>
      <c r="GD115">
        <v>3.10952</v>
      </c>
      <c r="GE115">
        <v>2.7295</v>
      </c>
      <c r="GF115">
        <v>0.0889609</v>
      </c>
      <c r="GG115">
        <v>0.0886709</v>
      </c>
      <c r="GH115">
        <v>0.107918</v>
      </c>
      <c r="GI115">
        <v>0.108735</v>
      </c>
      <c r="GJ115">
        <v>23919.6</v>
      </c>
      <c r="GK115">
        <v>21668.1</v>
      </c>
      <c r="GL115">
        <v>26811.8</v>
      </c>
      <c r="GM115">
        <v>23981.1</v>
      </c>
      <c r="GN115">
        <v>38215.5</v>
      </c>
      <c r="GO115">
        <v>31524</v>
      </c>
      <c r="GP115">
        <v>46797.5</v>
      </c>
      <c r="GQ115">
        <v>37906</v>
      </c>
      <c r="GR115">
        <v>1.89753</v>
      </c>
      <c r="GS115">
        <v>1.8913</v>
      </c>
      <c r="GT115">
        <v>0.137575</v>
      </c>
      <c r="GU115">
        <v>0</v>
      </c>
      <c r="GV115">
        <v>27.824</v>
      </c>
      <c r="GW115">
        <v>999.9</v>
      </c>
      <c r="GX115">
        <v>63.8</v>
      </c>
      <c r="GY115">
        <v>28.6</v>
      </c>
      <c r="GZ115">
        <v>27.6127</v>
      </c>
      <c r="HA115">
        <v>61.2173</v>
      </c>
      <c r="HB115">
        <v>20.1322</v>
      </c>
      <c r="HC115">
        <v>1</v>
      </c>
      <c r="HD115">
        <v>-0.00143547</v>
      </c>
      <c r="HE115">
        <v>-2.11898</v>
      </c>
      <c r="HF115">
        <v>20.3229</v>
      </c>
      <c r="HG115">
        <v>5.21459</v>
      </c>
      <c r="HH115">
        <v>11.9794</v>
      </c>
      <c r="HI115">
        <v>4.9649</v>
      </c>
      <c r="HJ115">
        <v>3.27525</v>
      </c>
      <c r="HK115">
        <v>9999</v>
      </c>
      <c r="HL115">
        <v>9999</v>
      </c>
      <c r="HM115">
        <v>9999</v>
      </c>
      <c r="HN115">
        <v>999.9</v>
      </c>
      <c r="HO115">
        <v>1.86361</v>
      </c>
      <c r="HP115">
        <v>1.85974</v>
      </c>
      <c r="HQ115">
        <v>1.85803</v>
      </c>
      <c r="HR115">
        <v>1.85943</v>
      </c>
      <c r="HS115">
        <v>1.85959</v>
      </c>
      <c r="HT115">
        <v>1.85804</v>
      </c>
      <c r="HU115">
        <v>1.85709</v>
      </c>
      <c r="HV115">
        <v>1.8521</v>
      </c>
      <c r="HW115">
        <v>0</v>
      </c>
      <c r="HX115">
        <v>0</v>
      </c>
      <c r="HY115">
        <v>0</v>
      </c>
      <c r="HZ115">
        <v>0</v>
      </c>
      <c r="IA115" t="s">
        <v>424</v>
      </c>
      <c r="IB115" t="s">
        <v>425</v>
      </c>
      <c r="IC115" t="s">
        <v>426</v>
      </c>
      <c r="ID115" t="s">
        <v>426</v>
      </c>
      <c r="IE115" t="s">
        <v>426</v>
      </c>
      <c r="IF115" t="s">
        <v>426</v>
      </c>
      <c r="IG115">
        <v>0</v>
      </c>
      <c r="IH115">
        <v>100</v>
      </c>
      <c r="II115">
        <v>100</v>
      </c>
      <c r="IJ115">
        <v>-1.567</v>
      </c>
      <c r="IK115">
        <v>0.1905</v>
      </c>
      <c r="IL115">
        <v>-2.357986366295179</v>
      </c>
      <c r="IM115">
        <v>0.001328113201692861</v>
      </c>
      <c r="IN115">
        <v>1.538283238170363E-06</v>
      </c>
      <c r="IO115">
        <v>-5.795655626708063E-10</v>
      </c>
      <c r="IP115">
        <v>-0.06105361615936408</v>
      </c>
      <c r="IQ115">
        <v>-0.004593102289677449</v>
      </c>
      <c r="IR115">
        <v>0.0008253994458280543</v>
      </c>
      <c r="IS115">
        <v>-7.403632370499484E-06</v>
      </c>
      <c r="IT115">
        <v>2</v>
      </c>
      <c r="IU115">
        <v>1985</v>
      </c>
      <c r="IV115">
        <v>1</v>
      </c>
      <c r="IW115">
        <v>27</v>
      </c>
      <c r="IX115">
        <v>2.7</v>
      </c>
      <c r="IY115">
        <v>2.6</v>
      </c>
      <c r="IZ115">
        <v>1.12793</v>
      </c>
      <c r="JA115">
        <v>2.59155</v>
      </c>
      <c r="JB115">
        <v>1.49658</v>
      </c>
      <c r="JC115">
        <v>2.34131</v>
      </c>
      <c r="JD115">
        <v>1.54907</v>
      </c>
      <c r="JE115">
        <v>2.46948</v>
      </c>
      <c r="JF115">
        <v>31.8707</v>
      </c>
      <c r="JG115">
        <v>14.5436</v>
      </c>
      <c r="JH115">
        <v>18</v>
      </c>
      <c r="JI115">
        <v>482.829</v>
      </c>
      <c r="JJ115">
        <v>508.715</v>
      </c>
      <c r="JK115">
        <v>31.6411</v>
      </c>
      <c r="JL115">
        <v>27.2331</v>
      </c>
      <c r="JM115">
        <v>29.9998</v>
      </c>
      <c r="JN115">
        <v>27.5549</v>
      </c>
      <c r="JO115">
        <v>27.5655</v>
      </c>
      <c r="JP115">
        <v>22.6782</v>
      </c>
      <c r="JQ115">
        <v>18.5481</v>
      </c>
      <c r="JR115">
        <v>83.8417</v>
      </c>
      <c r="JS115">
        <v>31.6441</v>
      </c>
      <c r="JT115">
        <v>420</v>
      </c>
      <c r="JU115">
        <v>23.4848</v>
      </c>
      <c r="JV115">
        <v>102.336</v>
      </c>
      <c r="JW115">
        <v>91.44750000000001</v>
      </c>
    </row>
    <row r="116" spans="1:283">
      <c r="A116">
        <v>98</v>
      </c>
      <c r="B116">
        <v>1761018824.1</v>
      </c>
      <c r="C116">
        <v>754.5999999046326</v>
      </c>
      <c r="D116" t="s">
        <v>626</v>
      </c>
      <c r="E116" t="s">
        <v>627</v>
      </c>
      <c r="F116">
        <v>5</v>
      </c>
      <c r="G116" t="s">
        <v>612</v>
      </c>
      <c r="H116">
        <v>1761018821.1</v>
      </c>
      <c r="I116">
        <f>(J116)/1000</f>
        <v>0</v>
      </c>
      <c r="J116">
        <f>1000*DJ116*AH116*(DF116-DG116)/(100*CY116*(1000-AH116*DF116))</f>
        <v>0</v>
      </c>
      <c r="K116">
        <f>DJ116*AH116*(DE116-DD116*(1000-AH116*DG116)/(1000-AH116*DF116))/(100*CY116)</f>
        <v>0</v>
      </c>
      <c r="L116">
        <f>DD116 - IF(AH116&gt;1, K116*CY116*100.0/(AJ116), 0)</f>
        <v>0</v>
      </c>
      <c r="M116">
        <f>((S116-I116/2)*L116-K116)/(S116+I116/2)</f>
        <v>0</v>
      </c>
      <c r="N116">
        <f>M116*(DK116+DL116)/1000.0</f>
        <v>0</v>
      </c>
      <c r="O116">
        <f>(DD116 - IF(AH116&gt;1, K116*CY116*100.0/(AJ116), 0))*(DK116+DL116)/1000.0</f>
        <v>0</v>
      </c>
      <c r="P116">
        <f>2.0/((1/R116-1/Q116)+SIGN(R116)*SQRT((1/R116-1/Q116)*(1/R116-1/Q116) + 4*CZ116/((CZ116+1)*(CZ116+1))*(2*1/R116*1/Q116-1/Q116*1/Q116)))</f>
        <v>0</v>
      </c>
      <c r="Q116">
        <f>IF(LEFT(DA116,1)&lt;&gt;"0",IF(LEFT(DA116,1)="1",3.0,DB116),$D$5+$E$5*(DR116*DK116/($K$5*1000))+$F$5*(DR116*DK116/($K$5*1000))*MAX(MIN(CY116,$J$5),$I$5)*MAX(MIN(CY116,$J$5),$I$5)+$G$5*MAX(MIN(CY116,$J$5),$I$5)*(DR116*DK116/($K$5*1000))+$H$5*(DR116*DK116/($K$5*1000))*(DR116*DK116/($K$5*1000)))</f>
        <v>0</v>
      </c>
      <c r="R116">
        <f>I116*(1000-(1000*0.61365*exp(17.502*V116/(240.97+V116))/(DK116+DL116)+DF116)/2)/(1000*0.61365*exp(17.502*V116/(240.97+V116))/(DK116+DL116)-DF116)</f>
        <v>0</v>
      </c>
      <c r="S116">
        <f>1/((CZ116+1)/(P116/1.6)+1/(Q116/1.37)) + CZ116/((CZ116+1)/(P116/1.6) + CZ116/(Q116/1.37))</f>
        <v>0</v>
      </c>
      <c r="T116">
        <f>(CU116*CX116)</f>
        <v>0</v>
      </c>
      <c r="U116">
        <f>(DM116+(T116+2*0.95*5.67E-8*(((DM116+$B$9)+273)^4-(DM116+273)^4)-44100*I116)/(1.84*29.3*Q116+8*0.95*5.67E-8*(DM116+273)^3))</f>
        <v>0</v>
      </c>
      <c r="V116">
        <f>($C$9*DN116+$D$9*DO116+$E$9*U116)</f>
        <v>0</v>
      </c>
      <c r="W116">
        <f>0.61365*exp(17.502*V116/(240.97+V116))</f>
        <v>0</v>
      </c>
      <c r="X116">
        <f>(Y116/Z116*100)</f>
        <v>0</v>
      </c>
      <c r="Y116">
        <f>DF116*(DK116+DL116)/1000</f>
        <v>0</v>
      </c>
      <c r="Z116">
        <f>0.61365*exp(17.502*DM116/(240.97+DM116))</f>
        <v>0</v>
      </c>
      <c r="AA116">
        <f>(W116-DF116*(DK116+DL116)/1000)</f>
        <v>0</v>
      </c>
      <c r="AB116">
        <f>(-I116*44100)</f>
        <v>0</v>
      </c>
      <c r="AC116">
        <f>2*29.3*Q116*0.92*(DM116-V116)</f>
        <v>0</v>
      </c>
      <c r="AD116">
        <f>2*0.95*5.67E-8*(((DM116+$B$9)+273)^4-(V116+273)^4)</f>
        <v>0</v>
      </c>
      <c r="AE116">
        <f>T116+AD116+AB116+AC116</f>
        <v>0</v>
      </c>
      <c r="AF116">
        <v>0</v>
      </c>
      <c r="AG116">
        <v>0</v>
      </c>
      <c r="AH116">
        <f>IF(AF116*$H$15&gt;=AJ116,1.0,(AJ116/(AJ116-AF116*$H$15)))</f>
        <v>0</v>
      </c>
      <c r="AI116">
        <f>(AH116-1)*100</f>
        <v>0</v>
      </c>
      <c r="AJ116">
        <f>MAX(0,($B$15+$C$15*DR116)/(1+$D$15*DR116)*DK116/(DM116+273)*$E$15)</f>
        <v>0</v>
      </c>
      <c r="AK116" t="s">
        <v>420</v>
      </c>
      <c r="AL116" t="s">
        <v>420</v>
      </c>
      <c r="AM116">
        <v>0</v>
      </c>
      <c r="AN116">
        <v>0</v>
      </c>
      <c r="AO116">
        <f>1-AM116/AN116</f>
        <v>0</v>
      </c>
      <c r="AP116">
        <v>0</v>
      </c>
      <c r="AQ116" t="s">
        <v>420</v>
      </c>
      <c r="AR116" t="s">
        <v>420</v>
      </c>
      <c r="AS116">
        <v>0</v>
      </c>
      <c r="AT116">
        <v>0</v>
      </c>
      <c r="AU116">
        <f>1-AS116/AT116</f>
        <v>0</v>
      </c>
      <c r="AV116">
        <v>0.5</v>
      </c>
      <c r="AW116">
        <f>CV116</f>
        <v>0</v>
      </c>
      <c r="AX116">
        <f>K116</f>
        <v>0</v>
      </c>
      <c r="AY116">
        <f>AU116*AV116*AW116</f>
        <v>0</v>
      </c>
      <c r="AZ116">
        <f>(AX116-AP116)/AW116</f>
        <v>0</v>
      </c>
      <c r="BA116">
        <f>(AN116-AT116)/AT116</f>
        <v>0</v>
      </c>
      <c r="BB116">
        <f>AM116/(AO116+AM116/AT116)</f>
        <v>0</v>
      </c>
      <c r="BC116" t="s">
        <v>420</v>
      </c>
      <c r="BD116">
        <v>0</v>
      </c>
      <c r="BE116">
        <f>IF(BD116&lt;&gt;0, BD116, BB116)</f>
        <v>0</v>
      </c>
      <c r="BF116">
        <f>1-BE116/AT116</f>
        <v>0</v>
      </c>
      <c r="BG116">
        <f>(AT116-AS116)/(AT116-BE116)</f>
        <v>0</v>
      </c>
      <c r="BH116">
        <f>(AN116-AT116)/(AN116-BE116)</f>
        <v>0</v>
      </c>
      <c r="BI116">
        <f>(AT116-AS116)/(AT116-AM116)</f>
        <v>0</v>
      </c>
      <c r="BJ116">
        <f>(AN116-AT116)/(AN116-AM116)</f>
        <v>0</v>
      </c>
      <c r="BK116">
        <f>(BG116*BE116/AS116)</f>
        <v>0</v>
      </c>
      <c r="BL116">
        <f>(1-BK116)</f>
        <v>0</v>
      </c>
      <c r="CU116">
        <f>$B$13*DS116+$C$13*DT116+$F$13*EE116*(1-EH116)</f>
        <v>0</v>
      </c>
      <c r="CV116">
        <f>CU116*CW116</f>
        <v>0</v>
      </c>
      <c r="CW116">
        <f>($B$13*$D$11+$C$13*$D$11+$F$13*((ER116+EJ116)/MAX(ER116+EJ116+ES116, 0.1)*$I$11+ES116/MAX(ER116+EJ116+ES116, 0.1)*$J$11))/($B$13+$C$13+$F$13)</f>
        <v>0</v>
      </c>
      <c r="CX116">
        <f>($B$13*$K$11+$C$13*$K$11+$F$13*((ER116+EJ116)/MAX(ER116+EJ116+ES116, 0.1)*$P$11+ES116/MAX(ER116+EJ116+ES116, 0.1)*$Q$11))/($B$13+$C$13+$F$13)</f>
        <v>0</v>
      </c>
      <c r="CY116">
        <v>2.96</v>
      </c>
      <c r="CZ116">
        <v>0.5</v>
      </c>
      <c r="DA116" t="s">
        <v>421</v>
      </c>
      <c r="DB116">
        <v>2</v>
      </c>
      <c r="DC116">
        <v>1761018821.1</v>
      </c>
      <c r="DD116">
        <v>420.5452222222223</v>
      </c>
      <c r="DE116">
        <v>419.9983333333333</v>
      </c>
      <c r="DF116">
        <v>23.67271111111111</v>
      </c>
      <c r="DG116">
        <v>23.60874444444445</v>
      </c>
      <c r="DH116">
        <v>422.1122222222223</v>
      </c>
      <c r="DI116">
        <v>23.48232222222222</v>
      </c>
      <c r="DJ116">
        <v>500.0286666666667</v>
      </c>
      <c r="DK116">
        <v>90.79767777777778</v>
      </c>
      <c r="DL116">
        <v>0.03782056666666667</v>
      </c>
      <c r="DM116">
        <v>30.22038888888889</v>
      </c>
      <c r="DN116">
        <v>30.06633333333333</v>
      </c>
      <c r="DO116">
        <v>999.9000000000001</v>
      </c>
      <c r="DP116">
        <v>0</v>
      </c>
      <c r="DQ116">
        <v>0</v>
      </c>
      <c r="DR116">
        <v>10006.44222222222</v>
      </c>
      <c r="DS116">
        <v>0</v>
      </c>
      <c r="DT116">
        <v>0.242856</v>
      </c>
      <c r="DU116">
        <v>0.5470546666666667</v>
      </c>
      <c r="DV116">
        <v>430.7422222222222</v>
      </c>
      <c r="DW116">
        <v>430.1536666666667</v>
      </c>
      <c r="DX116">
        <v>0.0639517</v>
      </c>
      <c r="DY116">
        <v>419.9983333333333</v>
      </c>
      <c r="DZ116">
        <v>23.60874444444445</v>
      </c>
      <c r="EA116">
        <v>2.149426666666667</v>
      </c>
      <c r="EB116">
        <v>2.143621111111111</v>
      </c>
      <c r="EC116">
        <v>18.59027777777778</v>
      </c>
      <c r="ED116">
        <v>18.54706666666666</v>
      </c>
      <c r="EE116">
        <v>0.00500078</v>
      </c>
      <c r="EF116">
        <v>0</v>
      </c>
      <c r="EG116">
        <v>0</v>
      </c>
      <c r="EH116">
        <v>0</v>
      </c>
      <c r="EI116">
        <v>437.2111111111111</v>
      </c>
      <c r="EJ116">
        <v>0.00500078</v>
      </c>
      <c r="EK116">
        <v>-21.01111111111111</v>
      </c>
      <c r="EL116">
        <v>-1.5</v>
      </c>
      <c r="EM116">
        <v>35.06911111111111</v>
      </c>
      <c r="EN116">
        <v>38.02066666666666</v>
      </c>
      <c r="EO116">
        <v>37.34</v>
      </c>
      <c r="EP116">
        <v>38.05533333333333</v>
      </c>
      <c r="EQ116">
        <v>37.76355555555555</v>
      </c>
      <c r="ER116">
        <v>0</v>
      </c>
      <c r="ES116">
        <v>0</v>
      </c>
      <c r="ET116">
        <v>0</v>
      </c>
      <c r="EU116">
        <v>1761018823.3</v>
      </c>
      <c r="EV116">
        <v>0</v>
      </c>
      <c r="EW116">
        <v>437.104</v>
      </c>
      <c r="EX116">
        <v>-34.6384611436594</v>
      </c>
      <c r="EY116">
        <v>-13.15384610235341</v>
      </c>
      <c r="EZ116">
        <v>-19.8</v>
      </c>
      <c r="FA116">
        <v>15</v>
      </c>
      <c r="FB116">
        <v>1761018667.1</v>
      </c>
      <c r="FC116" t="s">
        <v>613</v>
      </c>
      <c r="FD116">
        <v>1761018661.6</v>
      </c>
      <c r="FE116">
        <v>1761018667.1</v>
      </c>
      <c r="FF116">
        <v>26</v>
      </c>
      <c r="FG116">
        <v>-0.221</v>
      </c>
      <c r="FH116">
        <v>-0.001</v>
      </c>
      <c r="FI116">
        <v>-1.568</v>
      </c>
      <c r="FJ116">
        <v>0.178</v>
      </c>
      <c r="FK116">
        <v>420</v>
      </c>
      <c r="FL116">
        <v>23</v>
      </c>
      <c r="FM116">
        <v>0.1</v>
      </c>
      <c r="FN116">
        <v>0.08</v>
      </c>
      <c r="FO116">
        <v>0.5511326097560977</v>
      </c>
      <c r="FP116">
        <v>0.1064266620209058</v>
      </c>
      <c r="FQ116">
        <v>0.03339339662551824</v>
      </c>
      <c r="FR116">
        <v>1</v>
      </c>
      <c r="FS116">
        <v>437.0794117647059</v>
      </c>
      <c r="FT116">
        <v>-6.35141322411171</v>
      </c>
      <c r="FU116">
        <v>6.269852208210556</v>
      </c>
      <c r="FV116">
        <v>0</v>
      </c>
      <c r="FW116">
        <v>0.04946573902439024</v>
      </c>
      <c r="FX116">
        <v>-0.03044480905923357</v>
      </c>
      <c r="FY116">
        <v>0.02503325405636814</v>
      </c>
      <c r="FZ116">
        <v>1</v>
      </c>
      <c r="GA116">
        <v>2</v>
      </c>
      <c r="GB116">
        <v>3</v>
      </c>
      <c r="GC116" t="s">
        <v>434</v>
      </c>
      <c r="GD116">
        <v>3.10969</v>
      </c>
      <c r="GE116">
        <v>2.72973</v>
      </c>
      <c r="GF116">
        <v>0.08896080000000001</v>
      </c>
      <c r="GG116">
        <v>0.0886749</v>
      </c>
      <c r="GH116">
        <v>0.107952</v>
      </c>
      <c r="GI116">
        <v>0.108727</v>
      </c>
      <c r="GJ116">
        <v>23919.6</v>
      </c>
      <c r="GK116">
        <v>21667.9</v>
      </c>
      <c r="GL116">
        <v>26811.9</v>
      </c>
      <c r="GM116">
        <v>23981</v>
      </c>
      <c r="GN116">
        <v>38214.2</v>
      </c>
      <c r="GO116">
        <v>31524.1</v>
      </c>
      <c r="GP116">
        <v>46797.8</v>
      </c>
      <c r="GQ116">
        <v>37905.8</v>
      </c>
      <c r="GR116">
        <v>1.8977</v>
      </c>
      <c r="GS116">
        <v>1.8911</v>
      </c>
      <c r="GT116">
        <v>0.137575</v>
      </c>
      <c r="GU116">
        <v>0</v>
      </c>
      <c r="GV116">
        <v>27.824</v>
      </c>
      <c r="GW116">
        <v>999.9</v>
      </c>
      <c r="GX116">
        <v>63.8</v>
      </c>
      <c r="GY116">
        <v>28.6</v>
      </c>
      <c r="GZ116">
        <v>27.6101</v>
      </c>
      <c r="HA116">
        <v>60.9273</v>
      </c>
      <c r="HB116">
        <v>20.0321</v>
      </c>
      <c r="HC116">
        <v>1</v>
      </c>
      <c r="HD116">
        <v>-0.00168699</v>
      </c>
      <c r="HE116">
        <v>-2.17051</v>
      </c>
      <c r="HF116">
        <v>20.3227</v>
      </c>
      <c r="HG116">
        <v>5.21759</v>
      </c>
      <c r="HH116">
        <v>11.9794</v>
      </c>
      <c r="HI116">
        <v>4.9653</v>
      </c>
      <c r="HJ116">
        <v>3.276</v>
      </c>
      <c r="HK116">
        <v>9999</v>
      </c>
      <c r="HL116">
        <v>9999</v>
      </c>
      <c r="HM116">
        <v>9999</v>
      </c>
      <c r="HN116">
        <v>999.9</v>
      </c>
      <c r="HO116">
        <v>1.8636</v>
      </c>
      <c r="HP116">
        <v>1.85974</v>
      </c>
      <c r="HQ116">
        <v>1.85803</v>
      </c>
      <c r="HR116">
        <v>1.85943</v>
      </c>
      <c r="HS116">
        <v>1.85959</v>
      </c>
      <c r="HT116">
        <v>1.85805</v>
      </c>
      <c r="HU116">
        <v>1.85709</v>
      </c>
      <c r="HV116">
        <v>1.8521</v>
      </c>
      <c r="HW116">
        <v>0</v>
      </c>
      <c r="HX116">
        <v>0</v>
      </c>
      <c r="HY116">
        <v>0</v>
      </c>
      <c r="HZ116">
        <v>0</v>
      </c>
      <c r="IA116" t="s">
        <v>424</v>
      </c>
      <c r="IB116" t="s">
        <v>425</v>
      </c>
      <c r="IC116" t="s">
        <v>426</v>
      </c>
      <c r="ID116" t="s">
        <v>426</v>
      </c>
      <c r="IE116" t="s">
        <v>426</v>
      </c>
      <c r="IF116" t="s">
        <v>426</v>
      </c>
      <c r="IG116">
        <v>0</v>
      </c>
      <c r="IH116">
        <v>100</v>
      </c>
      <c r="II116">
        <v>100</v>
      </c>
      <c r="IJ116">
        <v>-1.567</v>
      </c>
      <c r="IK116">
        <v>0.1908</v>
      </c>
      <c r="IL116">
        <v>-2.357986366295179</v>
      </c>
      <c r="IM116">
        <v>0.001328113201692861</v>
      </c>
      <c r="IN116">
        <v>1.538283238170363E-06</v>
      </c>
      <c r="IO116">
        <v>-5.795655626708063E-10</v>
      </c>
      <c r="IP116">
        <v>-0.06105361615936408</v>
      </c>
      <c r="IQ116">
        <v>-0.004593102289677449</v>
      </c>
      <c r="IR116">
        <v>0.0008253994458280543</v>
      </c>
      <c r="IS116">
        <v>-7.403632370499484E-06</v>
      </c>
      <c r="IT116">
        <v>2</v>
      </c>
      <c r="IU116">
        <v>1985</v>
      </c>
      <c r="IV116">
        <v>1</v>
      </c>
      <c r="IW116">
        <v>27</v>
      </c>
      <c r="IX116">
        <v>2.7</v>
      </c>
      <c r="IY116">
        <v>2.6</v>
      </c>
      <c r="IZ116">
        <v>1.12793</v>
      </c>
      <c r="JA116">
        <v>2.59277</v>
      </c>
      <c r="JB116">
        <v>1.49658</v>
      </c>
      <c r="JC116">
        <v>2.34131</v>
      </c>
      <c r="JD116">
        <v>1.54907</v>
      </c>
      <c r="JE116">
        <v>2.37183</v>
      </c>
      <c r="JF116">
        <v>31.8707</v>
      </c>
      <c r="JG116">
        <v>14.5261</v>
      </c>
      <c r="JH116">
        <v>18</v>
      </c>
      <c r="JI116">
        <v>482.912</v>
      </c>
      <c r="JJ116">
        <v>508.561</v>
      </c>
      <c r="JK116">
        <v>31.6177</v>
      </c>
      <c r="JL116">
        <v>27.2309</v>
      </c>
      <c r="JM116">
        <v>29.9998</v>
      </c>
      <c r="JN116">
        <v>27.5526</v>
      </c>
      <c r="JO116">
        <v>27.5632</v>
      </c>
      <c r="JP116">
        <v>22.6794</v>
      </c>
      <c r="JQ116">
        <v>18.819</v>
      </c>
      <c r="JR116">
        <v>83.8417</v>
      </c>
      <c r="JS116">
        <v>31.5781</v>
      </c>
      <c r="JT116">
        <v>420</v>
      </c>
      <c r="JU116">
        <v>23.4848</v>
      </c>
      <c r="JV116">
        <v>102.337</v>
      </c>
      <c r="JW116">
        <v>91.44710000000001</v>
      </c>
    </row>
    <row r="117" spans="1:283">
      <c r="A117">
        <v>99</v>
      </c>
      <c r="B117">
        <v>1761018826.1</v>
      </c>
      <c r="C117">
        <v>756.5999999046326</v>
      </c>
      <c r="D117" t="s">
        <v>628</v>
      </c>
      <c r="E117" t="s">
        <v>629</v>
      </c>
      <c r="F117">
        <v>5</v>
      </c>
      <c r="G117" t="s">
        <v>612</v>
      </c>
      <c r="H117">
        <v>1761018823.1</v>
      </c>
      <c r="I117">
        <f>(J117)/1000</f>
        <v>0</v>
      </c>
      <c r="J117">
        <f>1000*DJ117*AH117*(DF117-DG117)/(100*CY117*(1000-AH117*DF117))</f>
        <v>0</v>
      </c>
      <c r="K117">
        <f>DJ117*AH117*(DE117-DD117*(1000-AH117*DG117)/(1000-AH117*DF117))/(100*CY117)</f>
        <v>0</v>
      </c>
      <c r="L117">
        <f>DD117 - IF(AH117&gt;1, K117*CY117*100.0/(AJ117), 0)</f>
        <v>0</v>
      </c>
      <c r="M117">
        <f>((S117-I117/2)*L117-K117)/(S117+I117/2)</f>
        <v>0</v>
      </c>
      <c r="N117">
        <f>M117*(DK117+DL117)/1000.0</f>
        <v>0</v>
      </c>
      <c r="O117">
        <f>(DD117 - IF(AH117&gt;1, K117*CY117*100.0/(AJ117), 0))*(DK117+DL117)/1000.0</f>
        <v>0</v>
      </c>
      <c r="P117">
        <f>2.0/((1/R117-1/Q117)+SIGN(R117)*SQRT((1/R117-1/Q117)*(1/R117-1/Q117) + 4*CZ117/((CZ117+1)*(CZ117+1))*(2*1/R117*1/Q117-1/Q117*1/Q117)))</f>
        <v>0</v>
      </c>
      <c r="Q117">
        <f>IF(LEFT(DA117,1)&lt;&gt;"0",IF(LEFT(DA117,1)="1",3.0,DB117),$D$5+$E$5*(DR117*DK117/($K$5*1000))+$F$5*(DR117*DK117/($K$5*1000))*MAX(MIN(CY117,$J$5),$I$5)*MAX(MIN(CY117,$J$5),$I$5)+$G$5*MAX(MIN(CY117,$J$5),$I$5)*(DR117*DK117/($K$5*1000))+$H$5*(DR117*DK117/($K$5*1000))*(DR117*DK117/($K$5*1000)))</f>
        <v>0</v>
      </c>
      <c r="R117">
        <f>I117*(1000-(1000*0.61365*exp(17.502*V117/(240.97+V117))/(DK117+DL117)+DF117)/2)/(1000*0.61365*exp(17.502*V117/(240.97+V117))/(DK117+DL117)-DF117)</f>
        <v>0</v>
      </c>
      <c r="S117">
        <f>1/((CZ117+1)/(P117/1.6)+1/(Q117/1.37)) + CZ117/((CZ117+1)/(P117/1.6) + CZ117/(Q117/1.37))</f>
        <v>0</v>
      </c>
      <c r="T117">
        <f>(CU117*CX117)</f>
        <v>0</v>
      </c>
      <c r="U117">
        <f>(DM117+(T117+2*0.95*5.67E-8*(((DM117+$B$9)+273)^4-(DM117+273)^4)-44100*I117)/(1.84*29.3*Q117+8*0.95*5.67E-8*(DM117+273)^3))</f>
        <v>0</v>
      </c>
      <c r="V117">
        <f>($C$9*DN117+$D$9*DO117+$E$9*U117)</f>
        <v>0</v>
      </c>
      <c r="W117">
        <f>0.61365*exp(17.502*V117/(240.97+V117))</f>
        <v>0</v>
      </c>
      <c r="X117">
        <f>(Y117/Z117*100)</f>
        <v>0</v>
      </c>
      <c r="Y117">
        <f>DF117*(DK117+DL117)/1000</f>
        <v>0</v>
      </c>
      <c r="Z117">
        <f>0.61365*exp(17.502*DM117/(240.97+DM117))</f>
        <v>0</v>
      </c>
      <c r="AA117">
        <f>(W117-DF117*(DK117+DL117)/1000)</f>
        <v>0</v>
      </c>
      <c r="AB117">
        <f>(-I117*44100)</f>
        <v>0</v>
      </c>
      <c r="AC117">
        <f>2*29.3*Q117*0.92*(DM117-V117)</f>
        <v>0</v>
      </c>
      <c r="AD117">
        <f>2*0.95*5.67E-8*(((DM117+$B$9)+273)^4-(V117+273)^4)</f>
        <v>0</v>
      </c>
      <c r="AE117">
        <f>T117+AD117+AB117+AC117</f>
        <v>0</v>
      </c>
      <c r="AF117">
        <v>0</v>
      </c>
      <c r="AG117">
        <v>0</v>
      </c>
      <c r="AH117">
        <f>IF(AF117*$H$15&gt;=AJ117,1.0,(AJ117/(AJ117-AF117*$H$15)))</f>
        <v>0</v>
      </c>
      <c r="AI117">
        <f>(AH117-1)*100</f>
        <v>0</v>
      </c>
      <c r="AJ117">
        <f>MAX(0,($B$15+$C$15*DR117)/(1+$D$15*DR117)*DK117/(DM117+273)*$E$15)</f>
        <v>0</v>
      </c>
      <c r="AK117" t="s">
        <v>420</v>
      </c>
      <c r="AL117" t="s">
        <v>420</v>
      </c>
      <c r="AM117">
        <v>0</v>
      </c>
      <c r="AN117">
        <v>0</v>
      </c>
      <c r="AO117">
        <f>1-AM117/AN117</f>
        <v>0</v>
      </c>
      <c r="AP117">
        <v>0</v>
      </c>
      <c r="AQ117" t="s">
        <v>420</v>
      </c>
      <c r="AR117" t="s">
        <v>420</v>
      </c>
      <c r="AS117">
        <v>0</v>
      </c>
      <c r="AT117">
        <v>0</v>
      </c>
      <c r="AU117">
        <f>1-AS117/AT117</f>
        <v>0</v>
      </c>
      <c r="AV117">
        <v>0.5</v>
      </c>
      <c r="AW117">
        <f>CV117</f>
        <v>0</v>
      </c>
      <c r="AX117">
        <f>K117</f>
        <v>0</v>
      </c>
      <c r="AY117">
        <f>AU117*AV117*AW117</f>
        <v>0</v>
      </c>
      <c r="AZ117">
        <f>(AX117-AP117)/AW117</f>
        <v>0</v>
      </c>
      <c r="BA117">
        <f>(AN117-AT117)/AT117</f>
        <v>0</v>
      </c>
      <c r="BB117">
        <f>AM117/(AO117+AM117/AT117)</f>
        <v>0</v>
      </c>
      <c r="BC117" t="s">
        <v>420</v>
      </c>
      <c r="BD117">
        <v>0</v>
      </c>
      <c r="BE117">
        <f>IF(BD117&lt;&gt;0, BD117, BB117)</f>
        <v>0</v>
      </c>
      <c r="BF117">
        <f>1-BE117/AT117</f>
        <v>0</v>
      </c>
      <c r="BG117">
        <f>(AT117-AS117)/(AT117-BE117)</f>
        <v>0</v>
      </c>
      <c r="BH117">
        <f>(AN117-AT117)/(AN117-BE117)</f>
        <v>0</v>
      </c>
      <c r="BI117">
        <f>(AT117-AS117)/(AT117-AM117)</f>
        <v>0</v>
      </c>
      <c r="BJ117">
        <f>(AN117-AT117)/(AN117-AM117)</f>
        <v>0</v>
      </c>
      <c r="BK117">
        <f>(BG117*BE117/AS117)</f>
        <v>0</v>
      </c>
      <c r="BL117">
        <f>(1-BK117)</f>
        <v>0</v>
      </c>
      <c r="CU117">
        <f>$B$13*DS117+$C$13*DT117+$F$13*EE117*(1-EH117)</f>
        <v>0</v>
      </c>
      <c r="CV117">
        <f>CU117*CW117</f>
        <v>0</v>
      </c>
      <c r="CW117">
        <f>($B$13*$D$11+$C$13*$D$11+$F$13*((ER117+EJ117)/MAX(ER117+EJ117+ES117, 0.1)*$I$11+ES117/MAX(ER117+EJ117+ES117, 0.1)*$J$11))/($B$13+$C$13+$F$13)</f>
        <v>0</v>
      </c>
      <c r="CX117">
        <f>($B$13*$K$11+$C$13*$K$11+$F$13*((ER117+EJ117)/MAX(ER117+EJ117+ES117, 0.1)*$P$11+ES117/MAX(ER117+EJ117+ES117, 0.1)*$Q$11))/($B$13+$C$13+$F$13)</f>
        <v>0</v>
      </c>
      <c r="CY117">
        <v>2.96</v>
      </c>
      <c r="CZ117">
        <v>0.5</v>
      </c>
      <c r="DA117" t="s">
        <v>421</v>
      </c>
      <c r="DB117">
        <v>2</v>
      </c>
      <c r="DC117">
        <v>1761018823.1</v>
      </c>
      <c r="DD117">
        <v>420.545</v>
      </c>
      <c r="DE117">
        <v>420.0238888888889</v>
      </c>
      <c r="DF117">
        <v>23.68408888888889</v>
      </c>
      <c r="DG117">
        <v>23.60762222222222</v>
      </c>
      <c r="DH117">
        <v>422.112</v>
      </c>
      <c r="DI117">
        <v>23.49347777777778</v>
      </c>
      <c r="DJ117">
        <v>500.0238888888889</v>
      </c>
      <c r="DK117">
        <v>90.79771111111113</v>
      </c>
      <c r="DL117">
        <v>0.03786827777777777</v>
      </c>
      <c r="DM117">
        <v>30.21861111111112</v>
      </c>
      <c r="DN117">
        <v>30.06306666666667</v>
      </c>
      <c r="DO117">
        <v>999.9000000000001</v>
      </c>
      <c r="DP117">
        <v>0</v>
      </c>
      <c r="DQ117">
        <v>0</v>
      </c>
      <c r="DR117">
        <v>10004.57555555556</v>
      </c>
      <c r="DS117">
        <v>0</v>
      </c>
      <c r="DT117">
        <v>0.242856</v>
      </c>
      <c r="DU117">
        <v>0.5212062222222222</v>
      </c>
      <c r="DV117">
        <v>430.7468888888889</v>
      </c>
      <c r="DW117">
        <v>430.1793333333333</v>
      </c>
      <c r="DX117">
        <v>0.07646942222222222</v>
      </c>
      <c r="DY117">
        <v>420.0238888888889</v>
      </c>
      <c r="DZ117">
        <v>23.60762222222222</v>
      </c>
      <c r="EA117">
        <v>2.150461111111111</v>
      </c>
      <c r="EB117">
        <v>2.14352</v>
      </c>
      <c r="EC117">
        <v>18.59796666666666</v>
      </c>
      <c r="ED117">
        <v>18.5463</v>
      </c>
      <c r="EE117">
        <v>0.00500078</v>
      </c>
      <c r="EF117">
        <v>0</v>
      </c>
      <c r="EG117">
        <v>0</v>
      </c>
      <c r="EH117">
        <v>0</v>
      </c>
      <c r="EI117">
        <v>433.7888888888889</v>
      </c>
      <c r="EJ117">
        <v>0.00500078</v>
      </c>
      <c r="EK117">
        <v>-19.21111111111111</v>
      </c>
      <c r="EL117">
        <v>-0.7888888888888889</v>
      </c>
      <c r="EM117">
        <v>35.02744444444444</v>
      </c>
      <c r="EN117">
        <v>37.97900000000001</v>
      </c>
      <c r="EO117">
        <v>37.04844444444444</v>
      </c>
      <c r="EP117">
        <v>38.02066666666666</v>
      </c>
      <c r="EQ117">
        <v>37.81222222222222</v>
      </c>
      <c r="ER117">
        <v>0</v>
      </c>
      <c r="ES117">
        <v>0</v>
      </c>
      <c r="ET117">
        <v>0</v>
      </c>
      <c r="EU117">
        <v>1761018825.1</v>
      </c>
      <c r="EV117">
        <v>0</v>
      </c>
      <c r="EW117">
        <v>435.85</v>
      </c>
      <c r="EX117">
        <v>-37.31623871849443</v>
      </c>
      <c r="EY117">
        <v>3.271794706641826</v>
      </c>
      <c r="EZ117">
        <v>-19.29615384615385</v>
      </c>
      <c r="FA117">
        <v>15</v>
      </c>
      <c r="FB117">
        <v>1761018667.1</v>
      </c>
      <c r="FC117" t="s">
        <v>613</v>
      </c>
      <c r="FD117">
        <v>1761018661.6</v>
      </c>
      <c r="FE117">
        <v>1761018667.1</v>
      </c>
      <c r="FF117">
        <v>26</v>
      </c>
      <c r="FG117">
        <v>-0.221</v>
      </c>
      <c r="FH117">
        <v>-0.001</v>
      </c>
      <c r="FI117">
        <v>-1.568</v>
      </c>
      <c r="FJ117">
        <v>0.178</v>
      </c>
      <c r="FK117">
        <v>420</v>
      </c>
      <c r="FL117">
        <v>23</v>
      </c>
      <c r="FM117">
        <v>0.1</v>
      </c>
      <c r="FN117">
        <v>0.08</v>
      </c>
      <c r="FO117">
        <v>0.55089725</v>
      </c>
      <c r="FP117">
        <v>-0.05213887429643724</v>
      </c>
      <c r="FQ117">
        <v>0.03494480535126072</v>
      </c>
      <c r="FR117">
        <v>1</v>
      </c>
      <c r="FS117">
        <v>437.0264705882353</v>
      </c>
      <c r="FT117">
        <v>-21.0954925765702</v>
      </c>
      <c r="FU117">
        <v>6.40456219854389</v>
      </c>
      <c r="FV117">
        <v>0</v>
      </c>
      <c r="FW117">
        <v>0.04751210499999999</v>
      </c>
      <c r="FX117">
        <v>0.107244333208255</v>
      </c>
      <c r="FY117">
        <v>0.02261478720176192</v>
      </c>
      <c r="FZ117">
        <v>0</v>
      </c>
      <c r="GA117">
        <v>1</v>
      </c>
      <c r="GB117">
        <v>3</v>
      </c>
      <c r="GC117" t="s">
        <v>431</v>
      </c>
      <c r="GD117">
        <v>3.10961</v>
      </c>
      <c r="GE117">
        <v>2.72942</v>
      </c>
      <c r="GF117">
        <v>0.0889612</v>
      </c>
      <c r="GG117">
        <v>0.0886667</v>
      </c>
      <c r="GH117">
        <v>0.107976</v>
      </c>
      <c r="GI117">
        <v>0.108701</v>
      </c>
      <c r="GJ117">
        <v>23919.6</v>
      </c>
      <c r="GK117">
        <v>21668</v>
      </c>
      <c r="GL117">
        <v>26811.8</v>
      </c>
      <c r="GM117">
        <v>23980.9</v>
      </c>
      <c r="GN117">
        <v>38213.3</v>
      </c>
      <c r="GO117">
        <v>31524.7</v>
      </c>
      <c r="GP117">
        <v>46797.8</v>
      </c>
      <c r="GQ117">
        <v>37905.5</v>
      </c>
      <c r="GR117">
        <v>1.89785</v>
      </c>
      <c r="GS117">
        <v>1.8909</v>
      </c>
      <c r="GT117">
        <v>0.136793</v>
      </c>
      <c r="GU117">
        <v>0</v>
      </c>
      <c r="GV117">
        <v>27.824</v>
      </c>
      <c r="GW117">
        <v>999.9</v>
      </c>
      <c r="GX117">
        <v>63.8</v>
      </c>
      <c r="GY117">
        <v>28.6</v>
      </c>
      <c r="GZ117">
        <v>27.6093</v>
      </c>
      <c r="HA117">
        <v>61.3873</v>
      </c>
      <c r="HB117">
        <v>20.2204</v>
      </c>
      <c r="HC117">
        <v>1</v>
      </c>
      <c r="HD117">
        <v>-0.00192073</v>
      </c>
      <c r="HE117">
        <v>-2.12007</v>
      </c>
      <c r="HF117">
        <v>20.3233</v>
      </c>
      <c r="HG117">
        <v>5.21774</v>
      </c>
      <c r="HH117">
        <v>11.9793</v>
      </c>
      <c r="HI117">
        <v>4.9654</v>
      </c>
      <c r="HJ117">
        <v>3.276</v>
      </c>
      <c r="HK117">
        <v>9999</v>
      </c>
      <c r="HL117">
        <v>9999</v>
      </c>
      <c r="HM117">
        <v>9999</v>
      </c>
      <c r="HN117">
        <v>999.9</v>
      </c>
      <c r="HO117">
        <v>1.86361</v>
      </c>
      <c r="HP117">
        <v>1.85974</v>
      </c>
      <c r="HQ117">
        <v>1.85802</v>
      </c>
      <c r="HR117">
        <v>1.85941</v>
      </c>
      <c r="HS117">
        <v>1.85959</v>
      </c>
      <c r="HT117">
        <v>1.85804</v>
      </c>
      <c r="HU117">
        <v>1.85708</v>
      </c>
      <c r="HV117">
        <v>1.8521</v>
      </c>
      <c r="HW117">
        <v>0</v>
      </c>
      <c r="HX117">
        <v>0</v>
      </c>
      <c r="HY117">
        <v>0</v>
      </c>
      <c r="HZ117">
        <v>0</v>
      </c>
      <c r="IA117" t="s">
        <v>424</v>
      </c>
      <c r="IB117" t="s">
        <v>425</v>
      </c>
      <c r="IC117" t="s">
        <v>426</v>
      </c>
      <c r="ID117" t="s">
        <v>426</v>
      </c>
      <c r="IE117" t="s">
        <v>426</v>
      </c>
      <c r="IF117" t="s">
        <v>426</v>
      </c>
      <c r="IG117">
        <v>0</v>
      </c>
      <c r="IH117">
        <v>100</v>
      </c>
      <c r="II117">
        <v>100</v>
      </c>
      <c r="IJ117">
        <v>-1.567</v>
      </c>
      <c r="IK117">
        <v>0.1909</v>
      </c>
      <c r="IL117">
        <v>-2.357986366295179</v>
      </c>
      <c r="IM117">
        <v>0.001328113201692861</v>
      </c>
      <c r="IN117">
        <v>1.538283238170363E-06</v>
      </c>
      <c r="IO117">
        <v>-5.795655626708063E-10</v>
      </c>
      <c r="IP117">
        <v>-0.06105361615936408</v>
      </c>
      <c r="IQ117">
        <v>-0.004593102289677449</v>
      </c>
      <c r="IR117">
        <v>0.0008253994458280543</v>
      </c>
      <c r="IS117">
        <v>-7.403632370499484E-06</v>
      </c>
      <c r="IT117">
        <v>2</v>
      </c>
      <c r="IU117">
        <v>1985</v>
      </c>
      <c r="IV117">
        <v>1</v>
      </c>
      <c r="IW117">
        <v>27</v>
      </c>
      <c r="IX117">
        <v>2.7</v>
      </c>
      <c r="IY117">
        <v>2.6</v>
      </c>
      <c r="IZ117">
        <v>1.12793</v>
      </c>
      <c r="JA117">
        <v>2.5769</v>
      </c>
      <c r="JB117">
        <v>1.49658</v>
      </c>
      <c r="JC117">
        <v>2.34131</v>
      </c>
      <c r="JD117">
        <v>1.54907</v>
      </c>
      <c r="JE117">
        <v>2.42554</v>
      </c>
      <c r="JF117">
        <v>31.8707</v>
      </c>
      <c r="JG117">
        <v>14.5523</v>
      </c>
      <c r="JH117">
        <v>18</v>
      </c>
      <c r="JI117">
        <v>482.981</v>
      </c>
      <c r="JJ117">
        <v>508.406</v>
      </c>
      <c r="JK117">
        <v>31.5973</v>
      </c>
      <c r="JL117">
        <v>27.2286</v>
      </c>
      <c r="JM117">
        <v>29.9998</v>
      </c>
      <c r="JN117">
        <v>27.5503</v>
      </c>
      <c r="JO117">
        <v>27.5608</v>
      </c>
      <c r="JP117">
        <v>22.6803</v>
      </c>
      <c r="JQ117">
        <v>18.819</v>
      </c>
      <c r="JR117">
        <v>84.2166</v>
      </c>
      <c r="JS117">
        <v>31.5781</v>
      </c>
      <c r="JT117">
        <v>420</v>
      </c>
      <c r="JU117">
        <v>23.4848</v>
      </c>
      <c r="JV117">
        <v>102.337</v>
      </c>
      <c r="JW117">
        <v>91.4464</v>
      </c>
    </row>
    <row r="118" spans="1:283">
      <c r="A118">
        <v>100</v>
      </c>
      <c r="B118">
        <v>1761018828.1</v>
      </c>
      <c r="C118">
        <v>758.5999999046326</v>
      </c>
      <c r="D118" t="s">
        <v>630</v>
      </c>
      <c r="E118" t="s">
        <v>631</v>
      </c>
      <c r="F118">
        <v>5</v>
      </c>
      <c r="G118" t="s">
        <v>612</v>
      </c>
      <c r="H118">
        <v>1761018825.1</v>
      </c>
      <c r="I118">
        <f>(J118)/1000</f>
        <v>0</v>
      </c>
      <c r="J118">
        <f>1000*DJ118*AH118*(DF118-DG118)/(100*CY118*(1000-AH118*DF118))</f>
        <v>0</v>
      </c>
      <c r="K118">
        <f>DJ118*AH118*(DE118-DD118*(1000-AH118*DG118)/(1000-AH118*DF118))/(100*CY118)</f>
        <v>0</v>
      </c>
      <c r="L118">
        <f>DD118 - IF(AH118&gt;1, K118*CY118*100.0/(AJ118), 0)</f>
        <v>0</v>
      </c>
      <c r="M118">
        <f>((S118-I118/2)*L118-K118)/(S118+I118/2)</f>
        <v>0</v>
      </c>
      <c r="N118">
        <f>M118*(DK118+DL118)/1000.0</f>
        <v>0</v>
      </c>
      <c r="O118">
        <f>(DD118 - IF(AH118&gt;1, K118*CY118*100.0/(AJ118), 0))*(DK118+DL118)/1000.0</f>
        <v>0</v>
      </c>
      <c r="P118">
        <f>2.0/((1/R118-1/Q118)+SIGN(R118)*SQRT((1/R118-1/Q118)*(1/R118-1/Q118) + 4*CZ118/((CZ118+1)*(CZ118+1))*(2*1/R118*1/Q118-1/Q118*1/Q118)))</f>
        <v>0</v>
      </c>
      <c r="Q118">
        <f>IF(LEFT(DA118,1)&lt;&gt;"0",IF(LEFT(DA118,1)="1",3.0,DB118),$D$5+$E$5*(DR118*DK118/($K$5*1000))+$F$5*(DR118*DK118/($K$5*1000))*MAX(MIN(CY118,$J$5),$I$5)*MAX(MIN(CY118,$J$5),$I$5)+$G$5*MAX(MIN(CY118,$J$5),$I$5)*(DR118*DK118/($K$5*1000))+$H$5*(DR118*DK118/($K$5*1000))*(DR118*DK118/($K$5*1000)))</f>
        <v>0</v>
      </c>
      <c r="R118">
        <f>I118*(1000-(1000*0.61365*exp(17.502*V118/(240.97+V118))/(DK118+DL118)+DF118)/2)/(1000*0.61365*exp(17.502*V118/(240.97+V118))/(DK118+DL118)-DF118)</f>
        <v>0</v>
      </c>
      <c r="S118">
        <f>1/((CZ118+1)/(P118/1.6)+1/(Q118/1.37)) + CZ118/((CZ118+1)/(P118/1.6) + CZ118/(Q118/1.37))</f>
        <v>0</v>
      </c>
      <c r="T118">
        <f>(CU118*CX118)</f>
        <v>0</v>
      </c>
      <c r="U118">
        <f>(DM118+(T118+2*0.95*5.67E-8*(((DM118+$B$9)+273)^4-(DM118+273)^4)-44100*I118)/(1.84*29.3*Q118+8*0.95*5.67E-8*(DM118+273)^3))</f>
        <v>0</v>
      </c>
      <c r="V118">
        <f>($C$9*DN118+$D$9*DO118+$E$9*U118)</f>
        <v>0</v>
      </c>
      <c r="W118">
        <f>0.61365*exp(17.502*V118/(240.97+V118))</f>
        <v>0</v>
      </c>
      <c r="X118">
        <f>(Y118/Z118*100)</f>
        <v>0</v>
      </c>
      <c r="Y118">
        <f>DF118*(DK118+DL118)/1000</f>
        <v>0</v>
      </c>
      <c r="Z118">
        <f>0.61365*exp(17.502*DM118/(240.97+DM118))</f>
        <v>0</v>
      </c>
      <c r="AA118">
        <f>(W118-DF118*(DK118+DL118)/1000)</f>
        <v>0</v>
      </c>
      <c r="AB118">
        <f>(-I118*44100)</f>
        <v>0</v>
      </c>
      <c r="AC118">
        <f>2*29.3*Q118*0.92*(DM118-V118)</f>
        <v>0</v>
      </c>
      <c r="AD118">
        <f>2*0.95*5.67E-8*(((DM118+$B$9)+273)^4-(V118+273)^4)</f>
        <v>0</v>
      </c>
      <c r="AE118">
        <f>T118+AD118+AB118+AC118</f>
        <v>0</v>
      </c>
      <c r="AF118">
        <v>0</v>
      </c>
      <c r="AG118">
        <v>0</v>
      </c>
      <c r="AH118">
        <f>IF(AF118*$H$15&gt;=AJ118,1.0,(AJ118/(AJ118-AF118*$H$15)))</f>
        <v>0</v>
      </c>
      <c r="AI118">
        <f>(AH118-1)*100</f>
        <v>0</v>
      </c>
      <c r="AJ118">
        <f>MAX(0,($B$15+$C$15*DR118)/(1+$D$15*DR118)*DK118/(DM118+273)*$E$15)</f>
        <v>0</v>
      </c>
      <c r="AK118" t="s">
        <v>420</v>
      </c>
      <c r="AL118" t="s">
        <v>420</v>
      </c>
      <c r="AM118">
        <v>0</v>
      </c>
      <c r="AN118">
        <v>0</v>
      </c>
      <c r="AO118">
        <f>1-AM118/AN118</f>
        <v>0</v>
      </c>
      <c r="AP118">
        <v>0</v>
      </c>
      <c r="AQ118" t="s">
        <v>420</v>
      </c>
      <c r="AR118" t="s">
        <v>420</v>
      </c>
      <c r="AS118">
        <v>0</v>
      </c>
      <c r="AT118">
        <v>0</v>
      </c>
      <c r="AU118">
        <f>1-AS118/AT118</f>
        <v>0</v>
      </c>
      <c r="AV118">
        <v>0.5</v>
      </c>
      <c r="AW118">
        <f>CV118</f>
        <v>0</v>
      </c>
      <c r="AX118">
        <f>K118</f>
        <v>0</v>
      </c>
      <c r="AY118">
        <f>AU118*AV118*AW118</f>
        <v>0</v>
      </c>
      <c r="AZ118">
        <f>(AX118-AP118)/AW118</f>
        <v>0</v>
      </c>
      <c r="BA118">
        <f>(AN118-AT118)/AT118</f>
        <v>0</v>
      </c>
      <c r="BB118">
        <f>AM118/(AO118+AM118/AT118)</f>
        <v>0</v>
      </c>
      <c r="BC118" t="s">
        <v>420</v>
      </c>
      <c r="BD118">
        <v>0</v>
      </c>
      <c r="BE118">
        <f>IF(BD118&lt;&gt;0, BD118, BB118)</f>
        <v>0</v>
      </c>
      <c r="BF118">
        <f>1-BE118/AT118</f>
        <v>0</v>
      </c>
      <c r="BG118">
        <f>(AT118-AS118)/(AT118-BE118)</f>
        <v>0</v>
      </c>
      <c r="BH118">
        <f>(AN118-AT118)/(AN118-BE118)</f>
        <v>0</v>
      </c>
      <c r="BI118">
        <f>(AT118-AS118)/(AT118-AM118)</f>
        <v>0</v>
      </c>
      <c r="BJ118">
        <f>(AN118-AT118)/(AN118-AM118)</f>
        <v>0</v>
      </c>
      <c r="BK118">
        <f>(BG118*BE118/AS118)</f>
        <v>0</v>
      </c>
      <c r="BL118">
        <f>(1-BK118)</f>
        <v>0</v>
      </c>
      <c r="CU118">
        <f>$B$13*DS118+$C$13*DT118+$F$13*EE118*(1-EH118)</f>
        <v>0</v>
      </c>
      <c r="CV118">
        <f>CU118*CW118</f>
        <v>0</v>
      </c>
      <c r="CW118">
        <f>($B$13*$D$11+$C$13*$D$11+$F$13*((ER118+EJ118)/MAX(ER118+EJ118+ES118, 0.1)*$I$11+ES118/MAX(ER118+EJ118+ES118, 0.1)*$J$11))/($B$13+$C$13+$F$13)</f>
        <v>0</v>
      </c>
      <c r="CX118">
        <f>($B$13*$K$11+$C$13*$K$11+$F$13*((ER118+EJ118)/MAX(ER118+EJ118+ES118, 0.1)*$P$11+ES118/MAX(ER118+EJ118+ES118, 0.1)*$Q$11))/($B$13+$C$13+$F$13)</f>
        <v>0</v>
      </c>
      <c r="CY118">
        <v>2.96</v>
      </c>
      <c r="CZ118">
        <v>0.5</v>
      </c>
      <c r="DA118" t="s">
        <v>421</v>
      </c>
      <c r="DB118">
        <v>2</v>
      </c>
      <c r="DC118">
        <v>1761018825.1</v>
      </c>
      <c r="DD118">
        <v>420.5451111111111</v>
      </c>
      <c r="DE118">
        <v>420.0133333333334</v>
      </c>
      <c r="DF118">
        <v>23.69276666666667</v>
      </c>
      <c r="DG118">
        <v>23.60203333333333</v>
      </c>
      <c r="DH118">
        <v>422.1121111111111</v>
      </c>
      <c r="DI118">
        <v>23.50197777777778</v>
      </c>
      <c r="DJ118">
        <v>500.0166666666667</v>
      </c>
      <c r="DK118">
        <v>90.79770000000001</v>
      </c>
      <c r="DL118">
        <v>0.03791965555555556</v>
      </c>
      <c r="DM118">
        <v>30.21747777777777</v>
      </c>
      <c r="DN118">
        <v>30.05821111111111</v>
      </c>
      <c r="DO118">
        <v>999.9000000000001</v>
      </c>
      <c r="DP118">
        <v>0</v>
      </c>
      <c r="DQ118">
        <v>0</v>
      </c>
      <c r="DR118">
        <v>10001.67111111111</v>
      </c>
      <c r="DS118">
        <v>0</v>
      </c>
      <c r="DT118">
        <v>0.242856</v>
      </c>
      <c r="DU118">
        <v>0.5317517777777778</v>
      </c>
      <c r="DV118">
        <v>430.7507777777777</v>
      </c>
      <c r="DW118">
        <v>430.1661111111111</v>
      </c>
      <c r="DX118">
        <v>0.09074638888888889</v>
      </c>
      <c r="DY118">
        <v>420.0133333333334</v>
      </c>
      <c r="DZ118">
        <v>23.60203333333333</v>
      </c>
      <c r="EA118">
        <v>2.15125</v>
      </c>
      <c r="EB118">
        <v>2.143011111111111</v>
      </c>
      <c r="EC118">
        <v>18.60382222222222</v>
      </c>
      <c r="ED118">
        <v>18.54252222222222</v>
      </c>
      <c r="EE118">
        <v>0.00500078</v>
      </c>
      <c r="EF118">
        <v>0</v>
      </c>
      <c r="EG118">
        <v>0</v>
      </c>
      <c r="EH118">
        <v>0</v>
      </c>
      <c r="EI118">
        <v>434.2666666666667</v>
      </c>
      <c r="EJ118">
        <v>0.00500078</v>
      </c>
      <c r="EK118">
        <v>-19.03333333333333</v>
      </c>
      <c r="EL118">
        <v>-0.6</v>
      </c>
      <c r="EM118">
        <v>35.00677777777778</v>
      </c>
      <c r="EN118">
        <v>37.958</v>
      </c>
      <c r="EO118">
        <v>36.89566666666667</v>
      </c>
      <c r="EP118">
        <v>37.993</v>
      </c>
      <c r="EQ118">
        <v>37.70822222222223</v>
      </c>
      <c r="ER118">
        <v>0</v>
      </c>
      <c r="ES118">
        <v>0</v>
      </c>
      <c r="ET118">
        <v>0</v>
      </c>
      <c r="EU118">
        <v>1761018826.9</v>
      </c>
      <c r="EV118">
        <v>0</v>
      </c>
      <c r="EW118">
        <v>434.564</v>
      </c>
      <c r="EX118">
        <v>-21.11538409173186</v>
      </c>
      <c r="EY118">
        <v>7.823076732882809</v>
      </c>
      <c r="EZ118">
        <v>-19.632</v>
      </c>
      <c r="FA118">
        <v>15</v>
      </c>
      <c r="FB118">
        <v>1761018667.1</v>
      </c>
      <c r="FC118" t="s">
        <v>613</v>
      </c>
      <c r="FD118">
        <v>1761018661.6</v>
      </c>
      <c r="FE118">
        <v>1761018667.1</v>
      </c>
      <c r="FF118">
        <v>26</v>
      </c>
      <c r="FG118">
        <v>-0.221</v>
      </c>
      <c r="FH118">
        <v>-0.001</v>
      </c>
      <c r="FI118">
        <v>-1.568</v>
      </c>
      <c r="FJ118">
        <v>0.178</v>
      </c>
      <c r="FK118">
        <v>420</v>
      </c>
      <c r="FL118">
        <v>23</v>
      </c>
      <c r="FM118">
        <v>0.1</v>
      </c>
      <c r="FN118">
        <v>0.08</v>
      </c>
      <c r="FO118">
        <v>0.5560839024390244</v>
      </c>
      <c r="FP118">
        <v>-0.0606498815331</v>
      </c>
      <c r="FQ118">
        <v>0.03447605694575683</v>
      </c>
      <c r="FR118">
        <v>1</v>
      </c>
      <c r="FS118">
        <v>436.1294117647059</v>
      </c>
      <c r="FT118">
        <v>-26.61879267707593</v>
      </c>
      <c r="FU118">
        <v>5.632914270907293</v>
      </c>
      <c r="FV118">
        <v>0</v>
      </c>
      <c r="FW118">
        <v>0.05205853414634146</v>
      </c>
      <c r="FX118">
        <v>0.246333031358885</v>
      </c>
      <c r="FY118">
        <v>0.02827131327051875</v>
      </c>
      <c r="FZ118">
        <v>0</v>
      </c>
      <c r="GA118">
        <v>1</v>
      </c>
      <c r="GB118">
        <v>3</v>
      </c>
      <c r="GC118" t="s">
        <v>431</v>
      </c>
      <c r="GD118">
        <v>3.10942</v>
      </c>
      <c r="GE118">
        <v>2.72967</v>
      </c>
      <c r="GF118">
        <v>0.088964</v>
      </c>
      <c r="GG118">
        <v>0.08866250000000001</v>
      </c>
      <c r="GH118">
        <v>0.107986</v>
      </c>
      <c r="GI118">
        <v>0.10866</v>
      </c>
      <c r="GJ118">
        <v>23919.5</v>
      </c>
      <c r="GK118">
        <v>21668</v>
      </c>
      <c r="GL118">
        <v>26811.8</v>
      </c>
      <c r="GM118">
        <v>23980.7</v>
      </c>
      <c r="GN118">
        <v>38212.9</v>
      </c>
      <c r="GO118">
        <v>31526</v>
      </c>
      <c r="GP118">
        <v>46797.9</v>
      </c>
      <c r="GQ118">
        <v>37905.2</v>
      </c>
      <c r="GR118">
        <v>1.89778</v>
      </c>
      <c r="GS118">
        <v>1.89118</v>
      </c>
      <c r="GT118">
        <v>0.136383</v>
      </c>
      <c r="GU118">
        <v>0</v>
      </c>
      <c r="GV118">
        <v>27.8236</v>
      </c>
      <c r="GW118">
        <v>999.9</v>
      </c>
      <c r="GX118">
        <v>63.8</v>
      </c>
      <c r="GY118">
        <v>28.6</v>
      </c>
      <c r="GZ118">
        <v>27.6152</v>
      </c>
      <c r="HA118">
        <v>61.0973</v>
      </c>
      <c r="HB118">
        <v>20.0561</v>
      </c>
      <c r="HC118">
        <v>1</v>
      </c>
      <c r="HD118">
        <v>-0.0020122</v>
      </c>
      <c r="HE118">
        <v>-2.16461</v>
      </c>
      <c r="HF118">
        <v>20.3237</v>
      </c>
      <c r="HG118">
        <v>5.21789</v>
      </c>
      <c r="HH118">
        <v>11.9794</v>
      </c>
      <c r="HI118">
        <v>4.96535</v>
      </c>
      <c r="HJ118">
        <v>3.276</v>
      </c>
      <c r="HK118">
        <v>9999</v>
      </c>
      <c r="HL118">
        <v>9999</v>
      </c>
      <c r="HM118">
        <v>9999</v>
      </c>
      <c r="HN118">
        <v>999.9</v>
      </c>
      <c r="HO118">
        <v>1.86359</v>
      </c>
      <c r="HP118">
        <v>1.85974</v>
      </c>
      <c r="HQ118">
        <v>1.858</v>
      </c>
      <c r="HR118">
        <v>1.8594</v>
      </c>
      <c r="HS118">
        <v>1.85959</v>
      </c>
      <c r="HT118">
        <v>1.85804</v>
      </c>
      <c r="HU118">
        <v>1.85706</v>
      </c>
      <c r="HV118">
        <v>1.85208</v>
      </c>
      <c r="HW118">
        <v>0</v>
      </c>
      <c r="HX118">
        <v>0</v>
      </c>
      <c r="HY118">
        <v>0</v>
      </c>
      <c r="HZ118">
        <v>0</v>
      </c>
      <c r="IA118" t="s">
        <v>424</v>
      </c>
      <c r="IB118" t="s">
        <v>425</v>
      </c>
      <c r="IC118" t="s">
        <v>426</v>
      </c>
      <c r="ID118" t="s">
        <v>426</v>
      </c>
      <c r="IE118" t="s">
        <v>426</v>
      </c>
      <c r="IF118" t="s">
        <v>426</v>
      </c>
      <c r="IG118">
        <v>0</v>
      </c>
      <c r="IH118">
        <v>100</v>
      </c>
      <c r="II118">
        <v>100</v>
      </c>
      <c r="IJ118">
        <v>-1.566</v>
      </c>
      <c r="IK118">
        <v>0.191</v>
      </c>
      <c r="IL118">
        <v>-2.357986366295179</v>
      </c>
      <c r="IM118">
        <v>0.001328113201692861</v>
      </c>
      <c r="IN118">
        <v>1.538283238170363E-06</v>
      </c>
      <c r="IO118">
        <v>-5.795655626708063E-10</v>
      </c>
      <c r="IP118">
        <v>-0.06105361615936408</v>
      </c>
      <c r="IQ118">
        <v>-0.004593102289677449</v>
      </c>
      <c r="IR118">
        <v>0.0008253994458280543</v>
      </c>
      <c r="IS118">
        <v>-7.403632370499484E-06</v>
      </c>
      <c r="IT118">
        <v>2</v>
      </c>
      <c r="IU118">
        <v>1985</v>
      </c>
      <c r="IV118">
        <v>1</v>
      </c>
      <c r="IW118">
        <v>27</v>
      </c>
      <c r="IX118">
        <v>2.8</v>
      </c>
      <c r="IY118">
        <v>2.7</v>
      </c>
      <c r="IZ118">
        <v>1.12793</v>
      </c>
      <c r="JA118">
        <v>2.57812</v>
      </c>
      <c r="JB118">
        <v>1.49658</v>
      </c>
      <c r="JC118">
        <v>2.34131</v>
      </c>
      <c r="JD118">
        <v>1.54907</v>
      </c>
      <c r="JE118">
        <v>2.45605</v>
      </c>
      <c r="JF118">
        <v>31.8707</v>
      </c>
      <c r="JG118">
        <v>14.5348</v>
      </c>
      <c r="JH118">
        <v>18</v>
      </c>
      <c r="JI118">
        <v>482.915</v>
      </c>
      <c r="JJ118">
        <v>508.57</v>
      </c>
      <c r="JK118">
        <v>31.5699</v>
      </c>
      <c r="JL118">
        <v>27.2263</v>
      </c>
      <c r="JM118">
        <v>29.9997</v>
      </c>
      <c r="JN118">
        <v>27.5474</v>
      </c>
      <c r="JO118">
        <v>27.5585</v>
      </c>
      <c r="JP118">
        <v>22.6784</v>
      </c>
      <c r="JQ118">
        <v>18.819</v>
      </c>
      <c r="JR118">
        <v>84.2166</v>
      </c>
      <c r="JS118">
        <v>31.522</v>
      </c>
      <c r="JT118">
        <v>420</v>
      </c>
      <c r="JU118">
        <v>23.4848</v>
      </c>
      <c r="JV118">
        <v>102.337</v>
      </c>
      <c r="JW118">
        <v>91.44580000000001</v>
      </c>
    </row>
    <row r="119" spans="1:283">
      <c r="A119">
        <v>101</v>
      </c>
      <c r="B119">
        <v>1761018830.1</v>
      </c>
      <c r="C119">
        <v>760.5999999046326</v>
      </c>
      <c r="D119" t="s">
        <v>632</v>
      </c>
      <c r="E119" t="s">
        <v>633</v>
      </c>
      <c r="F119">
        <v>5</v>
      </c>
      <c r="G119" t="s">
        <v>612</v>
      </c>
      <c r="H119">
        <v>1761018827.1</v>
      </c>
      <c r="I119">
        <f>(J119)/1000</f>
        <v>0</v>
      </c>
      <c r="J119">
        <f>1000*DJ119*AH119*(DF119-DG119)/(100*CY119*(1000-AH119*DF119))</f>
        <v>0</v>
      </c>
      <c r="K119">
        <f>DJ119*AH119*(DE119-DD119*(1000-AH119*DG119)/(1000-AH119*DF119))/(100*CY119)</f>
        <v>0</v>
      </c>
      <c r="L119">
        <f>DD119 - IF(AH119&gt;1, K119*CY119*100.0/(AJ119), 0)</f>
        <v>0</v>
      </c>
      <c r="M119">
        <f>((S119-I119/2)*L119-K119)/(S119+I119/2)</f>
        <v>0</v>
      </c>
      <c r="N119">
        <f>M119*(DK119+DL119)/1000.0</f>
        <v>0</v>
      </c>
      <c r="O119">
        <f>(DD119 - IF(AH119&gt;1, K119*CY119*100.0/(AJ119), 0))*(DK119+DL119)/1000.0</f>
        <v>0</v>
      </c>
      <c r="P119">
        <f>2.0/((1/R119-1/Q119)+SIGN(R119)*SQRT((1/R119-1/Q119)*(1/R119-1/Q119) + 4*CZ119/((CZ119+1)*(CZ119+1))*(2*1/R119*1/Q119-1/Q119*1/Q119)))</f>
        <v>0</v>
      </c>
      <c r="Q119">
        <f>IF(LEFT(DA119,1)&lt;&gt;"0",IF(LEFT(DA119,1)="1",3.0,DB119),$D$5+$E$5*(DR119*DK119/($K$5*1000))+$F$5*(DR119*DK119/($K$5*1000))*MAX(MIN(CY119,$J$5),$I$5)*MAX(MIN(CY119,$J$5),$I$5)+$G$5*MAX(MIN(CY119,$J$5),$I$5)*(DR119*DK119/($K$5*1000))+$H$5*(DR119*DK119/($K$5*1000))*(DR119*DK119/($K$5*1000)))</f>
        <v>0</v>
      </c>
      <c r="R119">
        <f>I119*(1000-(1000*0.61365*exp(17.502*V119/(240.97+V119))/(DK119+DL119)+DF119)/2)/(1000*0.61365*exp(17.502*V119/(240.97+V119))/(DK119+DL119)-DF119)</f>
        <v>0</v>
      </c>
      <c r="S119">
        <f>1/((CZ119+1)/(P119/1.6)+1/(Q119/1.37)) + CZ119/((CZ119+1)/(P119/1.6) + CZ119/(Q119/1.37))</f>
        <v>0</v>
      </c>
      <c r="T119">
        <f>(CU119*CX119)</f>
        <v>0</v>
      </c>
      <c r="U119">
        <f>(DM119+(T119+2*0.95*5.67E-8*(((DM119+$B$9)+273)^4-(DM119+273)^4)-44100*I119)/(1.84*29.3*Q119+8*0.95*5.67E-8*(DM119+273)^3))</f>
        <v>0</v>
      </c>
      <c r="V119">
        <f>($C$9*DN119+$D$9*DO119+$E$9*U119)</f>
        <v>0</v>
      </c>
      <c r="W119">
        <f>0.61365*exp(17.502*V119/(240.97+V119))</f>
        <v>0</v>
      </c>
      <c r="X119">
        <f>(Y119/Z119*100)</f>
        <v>0</v>
      </c>
      <c r="Y119">
        <f>DF119*(DK119+DL119)/1000</f>
        <v>0</v>
      </c>
      <c r="Z119">
        <f>0.61365*exp(17.502*DM119/(240.97+DM119))</f>
        <v>0</v>
      </c>
      <c r="AA119">
        <f>(W119-DF119*(DK119+DL119)/1000)</f>
        <v>0</v>
      </c>
      <c r="AB119">
        <f>(-I119*44100)</f>
        <v>0</v>
      </c>
      <c r="AC119">
        <f>2*29.3*Q119*0.92*(DM119-V119)</f>
        <v>0</v>
      </c>
      <c r="AD119">
        <f>2*0.95*5.67E-8*(((DM119+$B$9)+273)^4-(V119+273)^4)</f>
        <v>0</v>
      </c>
      <c r="AE119">
        <f>T119+AD119+AB119+AC119</f>
        <v>0</v>
      </c>
      <c r="AF119">
        <v>0</v>
      </c>
      <c r="AG119">
        <v>0</v>
      </c>
      <c r="AH119">
        <f>IF(AF119*$H$15&gt;=AJ119,1.0,(AJ119/(AJ119-AF119*$H$15)))</f>
        <v>0</v>
      </c>
      <c r="AI119">
        <f>(AH119-1)*100</f>
        <v>0</v>
      </c>
      <c r="AJ119">
        <f>MAX(0,($B$15+$C$15*DR119)/(1+$D$15*DR119)*DK119/(DM119+273)*$E$15)</f>
        <v>0</v>
      </c>
      <c r="AK119" t="s">
        <v>420</v>
      </c>
      <c r="AL119" t="s">
        <v>420</v>
      </c>
      <c r="AM119">
        <v>0</v>
      </c>
      <c r="AN119">
        <v>0</v>
      </c>
      <c r="AO119">
        <f>1-AM119/AN119</f>
        <v>0</v>
      </c>
      <c r="AP119">
        <v>0</v>
      </c>
      <c r="AQ119" t="s">
        <v>420</v>
      </c>
      <c r="AR119" t="s">
        <v>420</v>
      </c>
      <c r="AS119">
        <v>0</v>
      </c>
      <c r="AT119">
        <v>0</v>
      </c>
      <c r="AU119">
        <f>1-AS119/AT119</f>
        <v>0</v>
      </c>
      <c r="AV119">
        <v>0.5</v>
      </c>
      <c r="AW119">
        <f>CV119</f>
        <v>0</v>
      </c>
      <c r="AX119">
        <f>K119</f>
        <v>0</v>
      </c>
      <c r="AY119">
        <f>AU119*AV119*AW119</f>
        <v>0</v>
      </c>
      <c r="AZ119">
        <f>(AX119-AP119)/AW119</f>
        <v>0</v>
      </c>
      <c r="BA119">
        <f>(AN119-AT119)/AT119</f>
        <v>0</v>
      </c>
      <c r="BB119">
        <f>AM119/(AO119+AM119/AT119)</f>
        <v>0</v>
      </c>
      <c r="BC119" t="s">
        <v>420</v>
      </c>
      <c r="BD119">
        <v>0</v>
      </c>
      <c r="BE119">
        <f>IF(BD119&lt;&gt;0, BD119, BB119)</f>
        <v>0</v>
      </c>
      <c r="BF119">
        <f>1-BE119/AT119</f>
        <v>0</v>
      </c>
      <c r="BG119">
        <f>(AT119-AS119)/(AT119-BE119)</f>
        <v>0</v>
      </c>
      <c r="BH119">
        <f>(AN119-AT119)/(AN119-BE119)</f>
        <v>0</v>
      </c>
      <c r="BI119">
        <f>(AT119-AS119)/(AT119-AM119)</f>
        <v>0</v>
      </c>
      <c r="BJ119">
        <f>(AN119-AT119)/(AN119-AM119)</f>
        <v>0</v>
      </c>
      <c r="BK119">
        <f>(BG119*BE119/AS119)</f>
        <v>0</v>
      </c>
      <c r="BL119">
        <f>(1-BK119)</f>
        <v>0</v>
      </c>
      <c r="CU119">
        <f>$B$13*DS119+$C$13*DT119+$F$13*EE119*(1-EH119)</f>
        <v>0</v>
      </c>
      <c r="CV119">
        <f>CU119*CW119</f>
        <v>0</v>
      </c>
      <c r="CW119">
        <f>($B$13*$D$11+$C$13*$D$11+$F$13*((ER119+EJ119)/MAX(ER119+EJ119+ES119, 0.1)*$I$11+ES119/MAX(ER119+EJ119+ES119, 0.1)*$J$11))/($B$13+$C$13+$F$13)</f>
        <v>0</v>
      </c>
      <c r="CX119">
        <f>($B$13*$K$11+$C$13*$K$11+$F$13*((ER119+EJ119)/MAX(ER119+EJ119+ES119, 0.1)*$P$11+ES119/MAX(ER119+EJ119+ES119, 0.1)*$Q$11))/($B$13+$C$13+$F$13)</f>
        <v>0</v>
      </c>
      <c r="CY119">
        <v>2.96</v>
      </c>
      <c r="CZ119">
        <v>0.5</v>
      </c>
      <c r="DA119" t="s">
        <v>421</v>
      </c>
      <c r="DB119">
        <v>2</v>
      </c>
      <c r="DC119">
        <v>1761018827.1</v>
      </c>
      <c r="DD119">
        <v>420.5536666666667</v>
      </c>
      <c r="DE119">
        <v>419.9985555555556</v>
      </c>
      <c r="DF119">
        <v>23.69812222222222</v>
      </c>
      <c r="DG119">
        <v>23.59128888888889</v>
      </c>
      <c r="DH119">
        <v>422.1205555555555</v>
      </c>
      <c r="DI119">
        <v>23.50722222222222</v>
      </c>
      <c r="DJ119">
        <v>499.9958888888889</v>
      </c>
      <c r="DK119">
        <v>90.79706666666668</v>
      </c>
      <c r="DL119">
        <v>0.03803163333333334</v>
      </c>
      <c r="DM119">
        <v>30.21592222222223</v>
      </c>
      <c r="DN119">
        <v>30.05015555555556</v>
      </c>
      <c r="DO119">
        <v>999.9000000000001</v>
      </c>
      <c r="DP119">
        <v>0</v>
      </c>
      <c r="DQ119">
        <v>0</v>
      </c>
      <c r="DR119">
        <v>9995.078888888887</v>
      </c>
      <c r="DS119">
        <v>0</v>
      </c>
      <c r="DT119">
        <v>0.242856</v>
      </c>
      <c r="DU119">
        <v>0.5549723333333333</v>
      </c>
      <c r="DV119">
        <v>430.7617777777778</v>
      </c>
      <c r="DW119">
        <v>430.1462222222222</v>
      </c>
      <c r="DX119">
        <v>0.1068305555555556</v>
      </c>
      <c r="DY119">
        <v>419.9985555555556</v>
      </c>
      <c r="DZ119">
        <v>23.59128888888889</v>
      </c>
      <c r="EA119">
        <v>2.15172</v>
      </c>
      <c r="EB119">
        <v>2.142022222222222</v>
      </c>
      <c r="EC119">
        <v>18.60732222222222</v>
      </c>
      <c r="ED119">
        <v>18.53515555555555</v>
      </c>
      <c r="EE119">
        <v>0.00500078</v>
      </c>
      <c r="EF119">
        <v>0</v>
      </c>
      <c r="EG119">
        <v>0</v>
      </c>
      <c r="EH119">
        <v>0</v>
      </c>
      <c r="EI119">
        <v>430.5666666666667</v>
      </c>
      <c r="EJ119">
        <v>0.00500078</v>
      </c>
      <c r="EK119">
        <v>-17.98888888888889</v>
      </c>
      <c r="EL119">
        <v>-1.133333333333333</v>
      </c>
      <c r="EM119">
        <v>34.993</v>
      </c>
      <c r="EN119">
        <v>37.95099999999999</v>
      </c>
      <c r="EO119">
        <v>36.64566666666666</v>
      </c>
      <c r="EP119">
        <v>37.993</v>
      </c>
      <c r="EQ119">
        <v>37.493</v>
      </c>
      <c r="ER119">
        <v>0</v>
      </c>
      <c r="ES119">
        <v>0</v>
      </c>
      <c r="ET119">
        <v>0</v>
      </c>
      <c r="EU119">
        <v>1761018829.3</v>
      </c>
      <c r="EV119">
        <v>0</v>
      </c>
      <c r="EW119">
        <v>433.252</v>
      </c>
      <c r="EX119">
        <v>-43.19999969127792</v>
      </c>
      <c r="EY119">
        <v>14.84615379433191</v>
      </c>
      <c r="EZ119">
        <v>-19.652</v>
      </c>
      <c r="FA119">
        <v>15</v>
      </c>
      <c r="FB119">
        <v>1761018667.1</v>
      </c>
      <c r="FC119" t="s">
        <v>613</v>
      </c>
      <c r="FD119">
        <v>1761018661.6</v>
      </c>
      <c r="FE119">
        <v>1761018667.1</v>
      </c>
      <c r="FF119">
        <v>26</v>
      </c>
      <c r="FG119">
        <v>-0.221</v>
      </c>
      <c r="FH119">
        <v>-0.001</v>
      </c>
      <c r="FI119">
        <v>-1.568</v>
      </c>
      <c r="FJ119">
        <v>0.178</v>
      </c>
      <c r="FK119">
        <v>420</v>
      </c>
      <c r="FL119">
        <v>23</v>
      </c>
      <c r="FM119">
        <v>0.1</v>
      </c>
      <c r="FN119">
        <v>0.08</v>
      </c>
      <c r="FO119">
        <v>0.561779075</v>
      </c>
      <c r="FP119">
        <v>-0.100102953095685</v>
      </c>
      <c r="FQ119">
        <v>0.0329041880270487</v>
      </c>
      <c r="FR119">
        <v>1</v>
      </c>
      <c r="FS119">
        <v>435.7911764705882</v>
      </c>
      <c r="FT119">
        <v>-33.64247495498302</v>
      </c>
      <c r="FU119">
        <v>6.22950133246724</v>
      </c>
      <c r="FV119">
        <v>0</v>
      </c>
      <c r="FW119">
        <v>0.05773353</v>
      </c>
      <c r="FX119">
        <v>0.3372618529080675</v>
      </c>
      <c r="FY119">
        <v>0.03342793442128305</v>
      </c>
      <c r="FZ119">
        <v>0</v>
      </c>
      <c r="GA119">
        <v>1</v>
      </c>
      <c r="GB119">
        <v>3</v>
      </c>
      <c r="GC119" t="s">
        <v>431</v>
      </c>
      <c r="GD119">
        <v>3.10936</v>
      </c>
      <c r="GE119">
        <v>2.73012</v>
      </c>
      <c r="GF119">
        <v>0.0889655</v>
      </c>
      <c r="GG119">
        <v>0.0886723</v>
      </c>
      <c r="GH119">
        <v>0.107982</v>
      </c>
      <c r="GI119">
        <v>0.108593</v>
      </c>
      <c r="GJ119">
        <v>23919.4</v>
      </c>
      <c r="GK119">
        <v>21667.7</v>
      </c>
      <c r="GL119">
        <v>26811.8</v>
      </c>
      <c r="GM119">
        <v>23980.6</v>
      </c>
      <c r="GN119">
        <v>38212.9</v>
      </c>
      <c r="GO119">
        <v>31528.3</v>
      </c>
      <c r="GP119">
        <v>46797.7</v>
      </c>
      <c r="GQ119">
        <v>37905.2</v>
      </c>
      <c r="GR119">
        <v>1.8976</v>
      </c>
      <c r="GS119">
        <v>1.8915</v>
      </c>
      <c r="GT119">
        <v>0.136048</v>
      </c>
      <c r="GU119">
        <v>0</v>
      </c>
      <c r="GV119">
        <v>27.8224</v>
      </c>
      <c r="GW119">
        <v>999.9</v>
      </c>
      <c r="GX119">
        <v>63.8</v>
      </c>
      <c r="GY119">
        <v>28.6</v>
      </c>
      <c r="GZ119">
        <v>27.6128</v>
      </c>
      <c r="HA119">
        <v>60.9273</v>
      </c>
      <c r="HB119">
        <v>20.1562</v>
      </c>
      <c r="HC119">
        <v>1</v>
      </c>
      <c r="HD119">
        <v>-0.00213669</v>
      </c>
      <c r="HE119">
        <v>-2.13222</v>
      </c>
      <c r="HF119">
        <v>20.325</v>
      </c>
      <c r="HG119">
        <v>5.21819</v>
      </c>
      <c r="HH119">
        <v>11.9798</v>
      </c>
      <c r="HI119">
        <v>4.9654</v>
      </c>
      <c r="HJ119">
        <v>3.27598</v>
      </c>
      <c r="HK119">
        <v>9999</v>
      </c>
      <c r="HL119">
        <v>9999</v>
      </c>
      <c r="HM119">
        <v>9999</v>
      </c>
      <c r="HN119">
        <v>999.9</v>
      </c>
      <c r="HO119">
        <v>1.86361</v>
      </c>
      <c r="HP119">
        <v>1.85974</v>
      </c>
      <c r="HQ119">
        <v>1.85801</v>
      </c>
      <c r="HR119">
        <v>1.85942</v>
      </c>
      <c r="HS119">
        <v>1.85959</v>
      </c>
      <c r="HT119">
        <v>1.85804</v>
      </c>
      <c r="HU119">
        <v>1.85705</v>
      </c>
      <c r="HV119">
        <v>1.85208</v>
      </c>
      <c r="HW119">
        <v>0</v>
      </c>
      <c r="HX119">
        <v>0</v>
      </c>
      <c r="HY119">
        <v>0</v>
      </c>
      <c r="HZ119">
        <v>0</v>
      </c>
      <c r="IA119" t="s">
        <v>424</v>
      </c>
      <c r="IB119" t="s">
        <v>425</v>
      </c>
      <c r="IC119" t="s">
        <v>426</v>
      </c>
      <c r="ID119" t="s">
        <v>426</v>
      </c>
      <c r="IE119" t="s">
        <v>426</v>
      </c>
      <c r="IF119" t="s">
        <v>426</v>
      </c>
      <c r="IG119">
        <v>0</v>
      </c>
      <c r="IH119">
        <v>100</v>
      </c>
      <c r="II119">
        <v>100</v>
      </c>
      <c r="IJ119">
        <v>-1.567</v>
      </c>
      <c r="IK119">
        <v>0.1909</v>
      </c>
      <c r="IL119">
        <v>-2.357986366295179</v>
      </c>
      <c r="IM119">
        <v>0.001328113201692861</v>
      </c>
      <c r="IN119">
        <v>1.538283238170363E-06</v>
      </c>
      <c r="IO119">
        <v>-5.795655626708063E-10</v>
      </c>
      <c r="IP119">
        <v>-0.06105361615936408</v>
      </c>
      <c r="IQ119">
        <v>-0.004593102289677449</v>
      </c>
      <c r="IR119">
        <v>0.0008253994458280543</v>
      </c>
      <c r="IS119">
        <v>-7.403632370499484E-06</v>
      </c>
      <c r="IT119">
        <v>2</v>
      </c>
      <c r="IU119">
        <v>1985</v>
      </c>
      <c r="IV119">
        <v>1</v>
      </c>
      <c r="IW119">
        <v>27</v>
      </c>
      <c r="IX119">
        <v>2.8</v>
      </c>
      <c r="IY119">
        <v>2.7</v>
      </c>
      <c r="IZ119">
        <v>1.12793</v>
      </c>
      <c r="JA119">
        <v>2.59277</v>
      </c>
      <c r="JB119">
        <v>1.49658</v>
      </c>
      <c r="JC119">
        <v>2.34131</v>
      </c>
      <c r="JD119">
        <v>1.54907</v>
      </c>
      <c r="JE119">
        <v>2.33765</v>
      </c>
      <c r="JF119">
        <v>31.8927</v>
      </c>
      <c r="JG119">
        <v>14.5348</v>
      </c>
      <c r="JH119">
        <v>18</v>
      </c>
      <c r="JI119">
        <v>482.792</v>
      </c>
      <c r="JJ119">
        <v>508.767</v>
      </c>
      <c r="JK119">
        <v>31.551</v>
      </c>
      <c r="JL119">
        <v>27.2245</v>
      </c>
      <c r="JM119">
        <v>29.9997</v>
      </c>
      <c r="JN119">
        <v>27.5445</v>
      </c>
      <c r="JO119">
        <v>27.5562</v>
      </c>
      <c r="JP119">
        <v>22.6796</v>
      </c>
      <c r="JQ119">
        <v>18.819</v>
      </c>
      <c r="JR119">
        <v>84.2166</v>
      </c>
      <c r="JS119">
        <v>31.522</v>
      </c>
      <c r="JT119">
        <v>420</v>
      </c>
      <c r="JU119">
        <v>23.4848</v>
      </c>
      <c r="JV119">
        <v>102.337</v>
      </c>
      <c r="JW119">
        <v>91.4456</v>
      </c>
    </row>
    <row r="120" spans="1:283">
      <c r="A120">
        <v>102</v>
      </c>
      <c r="B120">
        <v>1761018832.1</v>
      </c>
      <c r="C120">
        <v>762.5999999046326</v>
      </c>
      <c r="D120" t="s">
        <v>634</v>
      </c>
      <c r="E120" t="s">
        <v>635</v>
      </c>
      <c r="F120">
        <v>5</v>
      </c>
      <c r="G120" t="s">
        <v>612</v>
      </c>
      <c r="H120">
        <v>1761018829.1</v>
      </c>
      <c r="I120">
        <f>(J120)/1000</f>
        <v>0</v>
      </c>
      <c r="J120">
        <f>1000*DJ120*AH120*(DF120-DG120)/(100*CY120*(1000-AH120*DF120))</f>
        <v>0</v>
      </c>
      <c r="K120">
        <f>DJ120*AH120*(DE120-DD120*(1000-AH120*DG120)/(1000-AH120*DF120))/(100*CY120)</f>
        <v>0</v>
      </c>
      <c r="L120">
        <f>DD120 - IF(AH120&gt;1, K120*CY120*100.0/(AJ120), 0)</f>
        <v>0</v>
      </c>
      <c r="M120">
        <f>((S120-I120/2)*L120-K120)/(S120+I120/2)</f>
        <v>0</v>
      </c>
      <c r="N120">
        <f>M120*(DK120+DL120)/1000.0</f>
        <v>0</v>
      </c>
      <c r="O120">
        <f>(DD120 - IF(AH120&gt;1, K120*CY120*100.0/(AJ120), 0))*(DK120+DL120)/1000.0</f>
        <v>0</v>
      </c>
      <c r="P120">
        <f>2.0/((1/R120-1/Q120)+SIGN(R120)*SQRT((1/R120-1/Q120)*(1/R120-1/Q120) + 4*CZ120/((CZ120+1)*(CZ120+1))*(2*1/R120*1/Q120-1/Q120*1/Q120)))</f>
        <v>0</v>
      </c>
      <c r="Q120">
        <f>IF(LEFT(DA120,1)&lt;&gt;"0",IF(LEFT(DA120,1)="1",3.0,DB120),$D$5+$E$5*(DR120*DK120/($K$5*1000))+$F$5*(DR120*DK120/($K$5*1000))*MAX(MIN(CY120,$J$5),$I$5)*MAX(MIN(CY120,$J$5),$I$5)+$G$5*MAX(MIN(CY120,$J$5),$I$5)*(DR120*DK120/($K$5*1000))+$H$5*(DR120*DK120/($K$5*1000))*(DR120*DK120/($K$5*1000)))</f>
        <v>0</v>
      </c>
      <c r="R120">
        <f>I120*(1000-(1000*0.61365*exp(17.502*V120/(240.97+V120))/(DK120+DL120)+DF120)/2)/(1000*0.61365*exp(17.502*V120/(240.97+V120))/(DK120+DL120)-DF120)</f>
        <v>0</v>
      </c>
      <c r="S120">
        <f>1/((CZ120+1)/(P120/1.6)+1/(Q120/1.37)) + CZ120/((CZ120+1)/(P120/1.6) + CZ120/(Q120/1.37))</f>
        <v>0</v>
      </c>
      <c r="T120">
        <f>(CU120*CX120)</f>
        <v>0</v>
      </c>
      <c r="U120">
        <f>(DM120+(T120+2*0.95*5.67E-8*(((DM120+$B$9)+273)^4-(DM120+273)^4)-44100*I120)/(1.84*29.3*Q120+8*0.95*5.67E-8*(DM120+273)^3))</f>
        <v>0</v>
      </c>
      <c r="V120">
        <f>($C$9*DN120+$D$9*DO120+$E$9*U120)</f>
        <v>0</v>
      </c>
      <c r="W120">
        <f>0.61365*exp(17.502*V120/(240.97+V120))</f>
        <v>0</v>
      </c>
      <c r="X120">
        <f>(Y120/Z120*100)</f>
        <v>0</v>
      </c>
      <c r="Y120">
        <f>DF120*(DK120+DL120)/1000</f>
        <v>0</v>
      </c>
      <c r="Z120">
        <f>0.61365*exp(17.502*DM120/(240.97+DM120))</f>
        <v>0</v>
      </c>
      <c r="AA120">
        <f>(W120-DF120*(DK120+DL120)/1000)</f>
        <v>0</v>
      </c>
      <c r="AB120">
        <f>(-I120*44100)</f>
        <v>0</v>
      </c>
      <c r="AC120">
        <f>2*29.3*Q120*0.92*(DM120-V120)</f>
        <v>0</v>
      </c>
      <c r="AD120">
        <f>2*0.95*5.67E-8*(((DM120+$B$9)+273)^4-(V120+273)^4)</f>
        <v>0</v>
      </c>
      <c r="AE120">
        <f>T120+AD120+AB120+AC120</f>
        <v>0</v>
      </c>
      <c r="AF120">
        <v>0</v>
      </c>
      <c r="AG120">
        <v>0</v>
      </c>
      <c r="AH120">
        <f>IF(AF120*$H$15&gt;=AJ120,1.0,(AJ120/(AJ120-AF120*$H$15)))</f>
        <v>0</v>
      </c>
      <c r="AI120">
        <f>(AH120-1)*100</f>
        <v>0</v>
      </c>
      <c r="AJ120">
        <f>MAX(0,($B$15+$C$15*DR120)/(1+$D$15*DR120)*DK120/(DM120+273)*$E$15)</f>
        <v>0</v>
      </c>
      <c r="AK120" t="s">
        <v>420</v>
      </c>
      <c r="AL120" t="s">
        <v>420</v>
      </c>
      <c r="AM120">
        <v>0</v>
      </c>
      <c r="AN120">
        <v>0</v>
      </c>
      <c r="AO120">
        <f>1-AM120/AN120</f>
        <v>0</v>
      </c>
      <c r="AP120">
        <v>0</v>
      </c>
      <c r="AQ120" t="s">
        <v>420</v>
      </c>
      <c r="AR120" t="s">
        <v>420</v>
      </c>
      <c r="AS120">
        <v>0</v>
      </c>
      <c r="AT120">
        <v>0</v>
      </c>
      <c r="AU120">
        <f>1-AS120/AT120</f>
        <v>0</v>
      </c>
      <c r="AV120">
        <v>0.5</v>
      </c>
      <c r="AW120">
        <f>CV120</f>
        <v>0</v>
      </c>
      <c r="AX120">
        <f>K120</f>
        <v>0</v>
      </c>
      <c r="AY120">
        <f>AU120*AV120*AW120</f>
        <v>0</v>
      </c>
      <c r="AZ120">
        <f>(AX120-AP120)/AW120</f>
        <v>0</v>
      </c>
      <c r="BA120">
        <f>(AN120-AT120)/AT120</f>
        <v>0</v>
      </c>
      <c r="BB120">
        <f>AM120/(AO120+AM120/AT120)</f>
        <v>0</v>
      </c>
      <c r="BC120" t="s">
        <v>420</v>
      </c>
      <c r="BD120">
        <v>0</v>
      </c>
      <c r="BE120">
        <f>IF(BD120&lt;&gt;0, BD120, BB120)</f>
        <v>0</v>
      </c>
      <c r="BF120">
        <f>1-BE120/AT120</f>
        <v>0</v>
      </c>
      <c r="BG120">
        <f>(AT120-AS120)/(AT120-BE120)</f>
        <v>0</v>
      </c>
      <c r="BH120">
        <f>(AN120-AT120)/(AN120-BE120)</f>
        <v>0</v>
      </c>
      <c r="BI120">
        <f>(AT120-AS120)/(AT120-AM120)</f>
        <v>0</v>
      </c>
      <c r="BJ120">
        <f>(AN120-AT120)/(AN120-AM120)</f>
        <v>0</v>
      </c>
      <c r="BK120">
        <f>(BG120*BE120/AS120)</f>
        <v>0</v>
      </c>
      <c r="BL120">
        <f>(1-BK120)</f>
        <v>0</v>
      </c>
      <c r="CU120">
        <f>$B$13*DS120+$C$13*DT120+$F$13*EE120*(1-EH120)</f>
        <v>0</v>
      </c>
      <c r="CV120">
        <f>CU120*CW120</f>
        <v>0</v>
      </c>
      <c r="CW120">
        <f>($B$13*$D$11+$C$13*$D$11+$F$13*((ER120+EJ120)/MAX(ER120+EJ120+ES120, 0.1)*$I$11+ES120/MAX(ER120+EJ120+ES120, 0.1)*$J$11))/($B$13+$C$13+$F$13)</f>
        <v>0</v>
      </c>
      <c r="CX120">
        <f>($B$13*$K$11+$C$13*$K$11+$F$13*((ER120+EJ120)/MAX(ER120+EJ120+ES120, 0.1)*$P$11+ES120/MAX(ER120+EJ120+ES120, 0.1)*$Q$11))/($B$13+$C$13+$F$13)</f>
        <v>0</v>
      </c>
      <c r="CY120">
        <v>2.96</v>
      </c>
      <c r="CZ120">
        <v>0.5</v>
      </c>
      <c r="DA120" t="s">
        <v>421</v>
      </c>
      <c r="DB120">
        <v>2</v>
      </c>
      <c r="DC120">
        <v>1761018829.1</v>
      </c>
      <c r="DD120">
        <v>420.5592222222222</v>
      </c>
      <c r="DE120">
        <v>420.0067777777778</v>
      </c>
      <c r="DF120">
        <v>23.6997</v>
      </c>
      <c r="DG120">
        <v>23.57407777777778</v>
      </c>
      <c r="DH120">
        <v>422.1261111111111</v>
      </c>
      <c r="DI120">
        <v>23.50876666666666</v>
      </c>
      <c r="DJ120">
        <v>499.9787777777777</v>
      </c>
      <c r="DK120">
        <v>90.79638888888888</v>
      </c>
      <c r="DL120">
        <v>0.03819186666666666</v>
      </c>
      <c r="DM120">
        <v>30.21288888888889</v>
      </c>
      <c r="DN120">
        <v>30.04313333333333</v>
      </c>
      <c r="DO120">
        <v>999.9000000000001</v>
      </c>
      <c r="DP120">
        <v>0</v>
      </c>
      <c r="DQ120">
        <v>0</v>
      </c>
      <c r="DR120">
        <v>9995.290000000001</v>
      </c>
      <c r="DS120">
        <v>0</v>
      </c>
      <c r="DT120">
        <v>0.242856</v>
      </c>
      <c r="DU120">
        <v>0.5523750000000001</v>
      </c>
      <c r="DV120">
        <v>430.7682222222222</v>
      </c>
      <c r="DW120">
        <v>430.1471111111111</v>
      </c>
      <c r="DX120">
        <v>0.1256094444444444</v>
      </c>
      <c r="DY120">
        <v>420.0067777777778</v>
      </c>
      <c r="DZ120">
        <v>23.57407777777778</v>
      </c>
      <c r="EA120">
        <v>2.151847777777778</v>
      </c>
      <c r="EB120">
        <v>2.140443333333333</v>
      </c>
      <c r="EC120">
        <v>18.60825555555556</v>
      </c>
      <c r="ED120">
        <v>18.52337777777778</v>
      </c>
      <c r="EE120">
        <v>0.00500078</v>
      </c>
      <c r="EF120">
        <v>0</v>
      </c>
      <c r="EG120">
        <v>0</v>
      </c>
      <c r="EH120">
        <v>0</v>
      </c>
      <c r="EI120">
        <v>428.5444444444444</v>
      </c>
      <c r="EJ120">
        <v>0.00500078</v>
      </c>
      <c r="EK120">
        <v>-17.56666666666667</v>
      </c>
      <c r="EL120">
        <v>-1.477777777777778</v>
      </c>
      <c r="EM120">
        <v>34.993</v>
      </c>
      <c r="EN120">
        <v>37.99266666666666</v>
      </c>
      <c r="EO120">
        <v>36.54844444444444</v>
      </c>
      <c r="EP120">
        <v>38.01366666666667</v>
      </c>
      <c r="EQ120">
        <v>37.29155555555556</v>
      </c>
      <c r="ER120">
        <v>0</v>
      </c>
      <c r="ES120">
        <v>0</v>
      </c>
      <c r="ET120">
        <v>0</v>
      </c>
      <c r="EU120">
        <v>1761018831.1</v>
      </c>
      <c r="EV120">
        <v>0</v>
      </c>
      <c r="EW120">
        <v>432.4076923076924</v>
      </c>
      <c r="EX120">
        <v>-29.52478623938904</v>
      </c>
      <c r="EY120">
        <v>7.131624060243593</v>
      </c>
      <c r="EZ120">
        <v>-19.91538461538462</v>
      </c>
      <c r="FA120">
        <v>15</v>
      </c>
      <c r="FB120">
        <v>1761018667.1</v>
      </c>
      <c r="FC120" t="s">
        <v>613</v>
      </c>
      <c r="FD120">
        <v>1761018661.6</v>
      </c>
      <c r="FE120">
        <v>1761018667.1</v>
      </c>
      <c r="FF120">
        <v>26</v>
      </c>
      <c r="FG120">
        <v>-0.221</v>
      </c>
      <c r="FH120">
        <v>-0.001</v>
      </c>
      <c r="FI120">
        <v>-1.568</v>
      </c>
      <c r="FJ120">
        <v>0.178</v>
      </c>
      <c r="FK120">
        <v>420</v>
      </c>
      <c r="FL120">
        <v>23</v>
      </c>
      <c r="FM120">
        <v>0.1</v>
      </c>
      <c r="FN120">
        <v>0.08</v>
      </c>
      <c r="FO120">
        <v>0.5561494390243903</v>
      </c>
      <c r="FP120">
        <v>-0.1841467735191655</v>
      </c>
      <c r="FQ120">
        <v>0.03681484889714275</v>
      </c>
      <c r="FR120">
        <v>1</v>
      </c>
      <c r="FS120">
        <v>434.0647058823529</v>
      </c>
      <c r="FT120">
        <v>-41.26203191903669</v>
      </c>
      <c r="FU120">
        <v>6.799302834198657</v>
      </c>
      <c r="FV120">
        <v>0</v>
      </c>
      <c r="FW120">
        <v>0.07100363658536586</v>
      </c>
      <c r="FX120">
        <v>0.408520699651568</v>
      </c>
      <c r="FY120">
        <v>0.04058326337861973</v>
      </c>
      <c r="FZ120">
        <v>0</v>
      </c>
      <c r="GA120">
        <v>1</v>
      </c>
      <c r="GB120">
        <v>3</v>
      </c>
      <c r="GC120" t="s">
        <v>431</v>
      </c>
      <c r="GD120">
        <v>3.10951</v>
      </c>
      <c r="GE120">
        <v>2.73001</v>
      </c>
      <c r="GF120">
        <v>0.0889648</v>
      </c>
      <c r="GG120">
        <v>0.08867750000000001</v>
      </c>
      <c r="GH120">
        <v>0.107971</v>
      </c>
      <c r="GI120">
        <v>0.10851</v>
      </c>
      <c r="GJ120">
        <v>23919.4</v>
      </c>
      <c r="GK120">
        <v>21667.5</v>
      </c>
      <c r="GL120">
        <v>26811.7</v>
      </c>
      <c r="GM120">
        <v>23980.5</v>
      </c>
      <c r="GN120">
        <v>38213.2</v>
      </c>
      <c r="GO120">
        <v>31531.2</v>
      </c>
      <c r="GP120">
        <v>46797.5</v>
      </c>
      <c r="GQ120">
        <v>37905</v>
      </c>
      <c r="GR120">
        <v>1.89793</v>
      </c>
      <c r="GS120">
        <v>1.89123</v>
      </c>
      <c r="GT120">
        <v>0.135973</v>
      </c>
      <c r="GU120">
        <v>0</v>
      </c>
      <c r="GV120">
        <v>27.8217</v>
      </c>
      <c r="GW120">
        <v>999.9</v>
      </c>
      <c r="GX120">
        <v>63.8</v>
      </c>
      <c r="GY120">
        <v>28.6</v>
      </c>
      <c r="GZ120">
        <v>27.6133</v>
      </c>
      <c r="HA120">
        <v>60.7573</v>
      </c>
      <c r="HB120">
        <v>20.2804</v>
      </c>
      <c r="HC120">
        <v>1</v>
      </c>
      <c r="HD120">
        <v>-0.00241616</v>
      </c>
      <c r="HE120">
        <v>-2.09556</v>
      </c>
      <c r="HF120">
        <v>20.3256</v>
      </c>
      <c r="HG120">
        <v>5.21864</v>
      </c>
      <c r="HH120">
        <v>11.9798</v>
      </c>
      <c r="HI120">
        <v>4.96565</v>
      </c>
      <c r="HJ120">
        <v>3.27598</v>
      </c>
      <c r="HK120">
        <v>9999</v>
      </c>
      <c r="HL120">
        <v>9999</v>
      </c>
      <c r="HM120">
        <v>9999</v>
      </c>
      <c r="HN120">
        <v>999.9</v>
      </c>
      <c r="HO120">
        <v>1.86364</v>
      </c>
      <c r="HP120">
        <v>1.85974</v>
      </c>
      <c r="HQ120">
        <v>1.85802</v>
      </c>
      <c r="HR120">
        <v>1.85941</v>
      </c>
      <c r="HS120">
        <v>1.85959</v>
      </c>
      <c r="HT120">
        <v>1.85805</v>
      </c>
      <c r="HU120">
        <v>1.85708</v>
      </c>
      <c r="HV120">
        <v>1.8521</v>
      </c>
      <c r="HW120">
        <v>0</v>
      </c>
      <c r="HX120">
        <v>0</v>
      </c>
      <c r="HY120">
        <v>0</v>
      </c>
      <c r="HZ120">
        <v>0</v>
      </c>
      <c r="IA120" t="s">
        <v>424</v>
      </c>
      <c r="IB120" t="s">
        <v>425</v>
      </c>
      <c r="IC120" t="s">
        <v>426</v>
      </c>
      <c r="ID120" t="s">
        <v>426</v>
      </c>
      <c r="IE120" t="s">
        <v>426</v>
      </c>
      <c r="IF120" t="s">
        <v>426</v>
      </c>
      <c r="IG120">
        <v>0</v>
      </c>
      <c r="IH120">
        <v>100</v>
      </c>
      <c r="II120">
        <v>100</v>
      </c>
      <c r="IJ120">
        <v>-1.567</v>
      </c>
      <c r="IK120">
        <v>0.1909</v>
      </c>
      <c r="IL120">
        <v>-2.357986366295179</v>
      </c>
      <c r="IM120">
        <v>0.001328113201692861</v>
      </c>
      <c r="IN120">
        <v>1.538283238170363E-06</v>
      </c>
      <c r="IO120">
        <v>-5.795655626708063E-10</v>
      </c>
      <c r="IP120">
        <v>-0.06105361615936408</v>
      </c>
      <c r="IQ120">
        <v>-0.004593102289677449</v>
      </c>
      <c r="IR120">
        <v>0.0008253994458280543</v>
      </c>
      <c r="IS120">
        <v>-7.403632370499484E-06</v>
      </c>
      <c r="IT120">
        <v>2</v>
      </c>
      <c r="IU120">
        <v>1985</v>
      </c>
      <c r="IV120">
        <v>1</v>
      </c>
      <c r="IW120">
        <v>27</v>
      </c>
      <c r="IX120">
        <v>2.8</v>
      </c>
      <c r="IY120">
        <v>2.8</v>
      </c>
      <c r="IZ120">
        <v>1.12793</v>
      </c>
      <c r="JA120">
        <v>2.58057</v>
      </c>
      <c r="JB120">
        <v>1.49658</v>
      </c>
      <c r="JC120">
        <v>2.34131</v>
      </c>
      <c r="JD120">
        <v>1.54907</v>
      </c>
      <c r="JE120">
        <v>2.4585</v>
      </c>
      <c r="JF120">
        <v>31.8927</v>
      </c>
      <c r="JG120">
        <v>14.5523</v>
      </c>
      <c r="JH120">
        <v>18</v>
      </c>
      <c r="JI120">
        <v>482.961</v>
      </c>
      <c r="JJ120">
        <v>508.557</v>
      </c>
      <c r="JK120">
        <v>31.5294</v>
      </c>
      <c r="JL120">
        <v>27.2228</v>
      </c>
      <c r="JM120">
        <v>29.9997</v>
      </c>
      <c r="JN120">
        <v>27.5421</v>
      </c>
      <c r="JO120">
        <v>27.5533</v>
      </c>
      <c r="JP120">
        <v>22.6792</v>
      </c>
      <c r="JQ120">
        <v>18.819</v>
      </c>
      <c r="JR120">
        <v>84.2166</v>
      </c>
      <c r="JS120">
        <v>31.522</v>
      </c>
      <c r="JT120">
        <v>420</v>
      </c>
      <c r="JU120">
        <v>23.4848</v>
      </c>
      <c r="JV120">
        <v>102.336</v>
      </c>
      <c r="JW120">
        <v>91.4453</v>
      </c>
    </row>
    <row r="121" spans="1:283">
      <c r="A121">
        <v>103</v>
      </c>
      <c r="B121">
        <v>1761018834.1</v>
      </c>
      <c r="C121">
        <v>764.5999999046326</v>
      </c>
      <c r="D121" t="s">
        <v>636</v>
      </c>
      <c r="E121" t="s">
        <v>637</v>
      </c>
      <c r="F121">
        <v>5</v>
      </c>
      <c r="G121" t="s">
        <v>612</v>
      </c>
      <c r="H121">
        <v>1761018831.1</v>
      </c>
      <c r="I121">
        <f>(J121)/1000</f>
        <v>0</v>
      </c>
      <c r="J121">
        <f>1000*DJ121*AH121*(DF121-DG121)/(100*CY121*(1000-AH121*DF121))</f>
        <v>0</v>
      </c>
      <c r="K121">
        <f>DJ121*AH121*(DE121-DD121*(1000-AH121*DG121)/(1000-AH121*DF121))/(100*CY121)</f>
        <v>0</v>
      </c>
      <c r="L121">
        <f>DD121 - IF(AH121&gt;1, K121*CY121*100.0/(AJ121), 0)</f>
        <v>0</v>
      </c>
      <c r="M121">
        <f>((S121-I121/2)*L121-K121)/(S121+I121/2)</f>
        <v>0</v>
      </c>
      <c r="N121">
        <f>M121*(DK121+DL121)/1000.0</f>
        <v>0</v>
      </c>
      <c r="O121">
        <f>(DD121 - IF(AH121&gt;1, K121*CY121*100.0/(AJ121), 0))*(DK121+DL121)/1000.0</f>
        <v>0</v>
      </c>
      <c r="P121">
        <f>2.0/((1/R121-1/Q121)+SIGN(R121)*SQRT((1/R121-1/Q121)*(1/R121-1/Q121) + 4*CZ121/((CZ121+1)*(CZ121+1))*(2*1/R121*1/Q121-1/Q121*1/Q121)))</f>
        <v>0</v>
      </c>
      <c r="Q121">
        <f>IF(LEFT(DA121,1)&lt;&gt;"0",IF(LEFT(DA121,1)="1",3.0,DB121),$D$5+$E$5*(DR121*DK121/($K$5*1000))+$F$5*(DR121*DK121/($K$5*1000))*MAX(MIN(CY121,$J$5),$I$5)*MAX(MIN(CY121,$J$5),$I$5)+$G$5*MAX(MIN(CY121,$J$5),$I$5)*(DR121*DK121/($K$5*1000))+$H$5*(DR121*DK121/($K$5*1000))*(DR121*DK121/($K$5*1000)))</f>
        <v>0</v>
      </c>
      <c r="R121">
        <f>I121*(1000-(1000*0.61365*exp(17.502*V121/(240.97+V121))/(DK121+DL121)+DF121)/2)/(1000*0.61365*exp(17.502*V121/(240.97+V121))/(DK121+DL121)-DF121)</f>
        <v>0</v>
      </c>
      <c r="S121">
        <f>1/((CZ121+1)/(P121/1.6)+1/(Q121/1.37)) + CZ121/((CZ121+1)/(P121/1.6) + CZ121/(Q121/1.37))</f>
        <v>0</v>
      </c>
      <c r="T121">
        <f>(CU121*CX121)</f>
        <v>0</v>
      </c>
      <c r="U121">
        <f>(DM121+(T121+2*0.95*5.67E-8*(((DM121+$B$9)+273)^4-(DM121+273)^4)-44100*I121)/(1.84*29.3*Q121+8*0.95*5.67E-8*(DM121+273)^3))</f>
        <v>0</v>
      </c>
      <c r="V121">
        <f>($C$9*DN121+$D$9*DO121+$E$9*U121)</f>
        <v>0</v>
      </c>
      <c r="W121">
        <f>0.61365*exp(17.502*V121/(240.97+V121))</f>
        <v>0</v>
      </c>
      <c r="X121">
        <f>(Y121/Z121*100)</f>
        <v>0</v>
      </c>
      <c r="Y121">
        <f>DF121*(DK121+DL121)/1000</f>
        <v>0</v>
      </c>
      <c r="Z121">
        <f>0.61365*exp(17.502*DM121/(240.97+DM121))</f>
        <v>0</v>
      </c>
      <c r="AA121">
        <f>(W121-DF121*(DK121+DL121)/1000)</f>
        <v>0</v>
      </c>
      <c r="AB121">
        <f>(-I121*44100)</f>
        <v>0</v>
      </c>
      <c r="AC121">
        <f>2*29.3*Q121*0.92*(DM121-V121)</f>
        <v>0</v>
      </c>
      <c r="AD121">
        <f>2*0.95*5.67E-8*(((DM121+$B$9)+273)^4-(V121+273)^4)</f>
        <v>0</v>
      </c>
      <c r="AE121">
        <f>T121+AD121+AB121+AC121</f>
        <v>0</v>
      </c>
      <c r="AF121">
        <v>0</v>
      </c>
      <c r="AG121">
        <v>0</v>
      </c>
      <c r="AH121">
        <f>IF(AF121*$H$15&gt;=AJ121,1.0,(AJ121/(AJ121-AF121*$H$15)))</f>
        <v>0</v>
      </c>
      <c r="AI121">
        <f>(AH121-1)*100</f>
        <v>0</v>
      </c>
      <c r="AJ121">
        <f>MAX(0,($B$15+$C$15*DR121)/(1+$D$15*DR121)*DK121/(DM121+273)*$E$15)</f>
        <v>0</v>
      </c>
      <c r="AK121" t="s">
        <v>420</v>
      </c>
      <c r="AL121" t="s">
        <v>420</v>
      </c>
      <c r="AM121">
        <v>0</v>
      </c>
      <c r="AN121">
        <v>0</v>
      </c>
      <c r="AO121">
        <f>1-AM121/AN121</f>
        <v>0</v>
      </c>
      <c r="AP121">
        <v>0</v>
      </c>
      <c r="AQ121" t="s">
        <v>420</v>
      </c>
      <c r="AR121" t="s">
        <v>420</v>
      </c>
      <c r="AS121">
        <v>0</v>
      </c>
      <c r="AT121">
        <v>0</v>
      </c>
      <c r="AU121">
        <f>1-AS121/AT121</f>
        <v>0</v>
      </c>
      <c r="AV121">
        <v>0.5</v>
      </c>
      <c r="AW121">
        <f>CV121</f>
        <v>0</v>
      </c>
      <c r="AX121">
        <f>K121</f>
        <v>0</v>
      </c>
      <c r="AY121">
        <f>AU121*AV121*AW121</f>
        <v>0</v>
      </c>
      <c r="AZ121">
        <f>(AX121-AP121)/AW121</f>
        <v>0</v>
      </c>
      <c r="BA121">
        <f>(AN121-AT121)/AT121</f>
        <v>0</v>
      </c>
      <c r="BB121">
        <f>AM121/(AO121+AM121/AT121)</f>
        <v>0</v>
      </c>
      <c r="BC121" t="s">
        <v>420</v>
      </c>
      <c r="BD121">
        <v>0</v>
      </c>
      <c r="BE121">
        <f>IF(BD121&lt;&gt;0, BD121, BB121)</f>
        <v>0</v>
      </c>
      <c r="BF121">
        <f>1-BE121/AT121</f>
        <v>0</v>
      </c>
      <c r="BG121">
        <f>(AT121-AS121)/(AT121-BE121)</f>
        <v>0</v>
      </c>
      <c r="BH121">
        <f>(AN121-AT121)/(AN121-BE121)</f>
        <v>0</v>
      </c>
      <c r="BI121">
        <f>(AT121-AS121)/(AT121-AM121)</f>
        <v>0</v>
      </c>
      <c r="BJ121">
        <f>(AN121-AT121)/(AN121-AM121)</f>
        <v>0</v>
      </c>
      <c r="BK121">
        <f>(BG121*BE121/AS121)</f>
        <v>0</v>
      </c>
      <c r="BL121">
        <f>(1-BK121)</f>
        <v>0</v>
      </c>
      <c r="CU121">
        <f>$B$13*DS121+$C$13*DT121+$F$13*EE121*(1-EH121)</f>
        <v>0</v>
      </c>
      <c r="CV121">
        <f>CU121*CW121</f>
        <v>0</v>
      </c>
      <c r="CW121">
        <f>($B$13*$D$11+$C$13*$D$11+$F$13*((ER121+EJ121)/MAX(ER121+EJ121+ES121, 0.1)*$I$11+ES121/MAX(ER121+EJ121+ES121, 0.1)*$J$11))/($B$13+$C$13+$F$13)</f>
        <v>0</v>
      </c>
      <c r="CX121">
        <f>($B$13*$K$11+$C$13*$K$11+$F$13*((ER121+EJ121)/MAX(ER121+EJ121+ES121, 0.1)*$P$11+ES121/MAX(ER121+EJ121+ES121, 0.1)*$Q$11))/($B$13+$C$13+$F$13)</f>
        <v>0</v>
      </c>
      <c r="CY121">
        <v>2.96</v>
      </c>
      <c r="CZ121">
        <v>0.5</v>
      </c>
      <c r="DA121" t="s">
        <v>421</v>
      </c>
      <c r="DB121">
        <v>2</v>
      </c>
      <c r="DC121">
        <v>1761018831.1</v>
      </c>
      <c r="DD121">
        <v>420.5517777777778</v>
      </c>
      <c r="DE121">
        <v>420.0136666666666</v>
      </c>
      <c r="DF121">
        <v>23.69694444444444</v>
      </c>
      <c r="DG121">
        <v>23.55271111111111</v>
      </c>
      <c r="DH121">
        <v>422.1186666666666</v>
      </c>
      <c r="DI121">
        <v>23.50607777777778</v>
      </c>
      <c r="DJ121">
        <v>500.0151111111111</v>
      </c>
      <c r="DK121">
        <v>90.79656666666668</v>
      </c>
      <c r="DL121">
        <v>0.0381637888888889</v>
      </c>
      <c r="DM121">
        <v>30.20894444444444</v>
      </c>
      <c r="DN121">
        <v>30.04254444444445</v>
      </c>
      <c r="DO121">
        <v>999.9000000000001</v>
      </c>
      <c r="DP121">
        <v>0</v>
      </c>
      <c r="DQ121">
        <v>0</v>
      </c>
      <c r="DR121">
        <v>10008.95</v>
      </c>
      <c r="DS121">
        <v>0</v>
      </c>
      <c r="DT121">
        <v>0.242856</v>
      </c>
      <c r="DU121">
        <v>0.5381163333333333</v>
      </c>
      <c r="DV121">
        <v>430.7593333333333</v>
      </c>
      <c r="DW121">
        <v>430.1447777777778</v>
      </c>
      <c r="DX121">
        <v>0.144228</v>
      </c>
      <c r="DY121">
        <v>420.0136666666666</v>
      </c>
      <c r="DZ121">
        <v>23.55271111111111</v>
      </c>
      <c r="EA121">
        <v>2.151601111111111</v>
      </c>
      <c r="EB121">
        <v>2.138507777777778</v>
      </c>
      <c r="EC121">
        <v>18.60643333333333</v>
      </c>
      <c r="ED121">
        <v>18.50893333333333</v>
      </c>
      <c r="EE121">
        <v>0.00500078</v>
      </c>
      <c r="EF121">
        <v>0</v>
      </c>
      <c r="EG121">
        <v>0</v>
      </c>
      <c r="EH121">
        <v>0</v>
      </c>
      <c r="EI121">
        <v>429.3333333333333</v>
      </c>
      <c r="EJ121">
        <v>0.00500078</v>
      </c>
      <c r="EK121">
        <v>-21.23333333333333</v>
      </c>
      <c r="EL121">
        <v>-1.466666666666667</v>
      </c>
      <c r="EM121">
        <v>34.993</v>
      </c>
      <c r="EN121">
        <v>38.04833333333332</v>
      </c>
      <c r="EO121">
        <v>36.50677777777778</v>
      </c>
      <c r="EP121">
        <v>38.06233333333333</v>
      </c>
      <c r="EQ121">
        <v>37.29155555555556</v>
      </c>
      <c r="ER121">
        <v>0</v>
      </c>
      <c r="ES121">
        <v>0</v>
      </c>
      <c r="ET121">
        <v>0</v>
      </c>
      <c r="EU121">
        <v>1761018832.9</v>
      </c>
      <c r="EV121">
        <v>0</v>
      </c>
      <c r="EW121">
        <v>432.436</v>
      </c>
      <c r="EX121">
        <v>-14.61538448267854</v>
      </c>
      <c r="EY121">
        <v>-33.19230756578597</v>
      </c>
      <c r="EZ121">
        <v>-20.896</v>
      </c>
      <c r="FA121">
        <v>15</v>
      </c>
      <c r="FB121">
        <v>1761018667.1</v>
      </c>
      <c r="FC121" t="s">
        <v>613</v>
      </c>
      <c r="FD121">
        <v>1761018661.6</v>
      </c>
      <c r="FE121">
        <v>1761018667.1</v>
      </c>
      <c r="FF121">
        <v>26</v>
      </c>
      <c r="FG121">
        <v>-0.221</v>
      </c>
      <c r="FH121">
        <v>-0.001</v>
      </c>
      <c r="FI121">
        <v>-1.568</v>
      </c>
      <c r="FJ121">
        <v>0.178</v>
      </c>
      <c r="FK121">
        <v>420</v>
      </c>
      <c r="FL121">
        <v>23</v>
      </c>
      <c r="FM121">
        <v>0.1</v>
      </c>
      <c r="FN121">
        <v>0.08</v>
      </c>
      <c r="FO121">
        <v>0.549832175</v>
      </c>
      <c r="FP121">
        <v>-0.1728847767354612</v>
      </c>
      <c r="FQ121">
        <v>0.03664579706725418</v>
      </c>
      <c r="FR121">
        <v>1</v>
      </c>
      <c r="FS121">
        <v>433.3294117647059</v>
      </c>
      <c r="FT121">
        <v>-21.88846440588787</v>
      </c>
      <c r="FU121">
        <v>6.017989180085517</v>
      </c>
      <c r="FV121">
        <v>0</v>
      </c>
      <c r="FW121">
        <v>0.08317695</v>
      </c>
      <c r="FX121">
        <v>0.4415169320825515</v>
      </c>
      <c r="FY121">
        <v>0.04272440122230503</v>
      </c>
      <c r="FZ121">
        <v>0</v>
      </c>
      <c r="GA121">
        <v>1</v>
      </c>
      <c r="GB121">
        <v>3</v>
      </c>
      <c r="GC121" t="s">
        <v>431</v>
      </c>
      <c r="GD121">
        <v>3.10977</v>
      </c>
      <c r="GE121">
        <v>2.72968</v>
      </c>
      <c r="GF121">
        <v>0.08896220000000001</v>
      </c>
      <c r="GG121">
        <v>0.0886575</v>
      </c>
      <c r="GH121">
        <v>0.107946</v>
      </c>
      <c r="GI121">
        <v>0.108452</v>
      </c>
      <c r="GJ121">
        <v>23919.6</v>
      </c>
      <c r="GK121">
        <v>21667.8</v>
      </c>
      <c r="GL121">
        <v>26811.9</v>
      </c>
      <c r="GM121">
        <v>23980.4</v>
      </c>
      <c r="GN121">
        <v>38214.4</v>
      </c>
      <c r="GO121">
        <v>31533.1</v>
      </c>
      <c r="GP121">
        <v>46797.7</v>
      </c>
      <c r="GQ121">
        <v>37904.8</v>
      </c>
      <c r="GR121">
        <v>1.8982</v>
      </c>
      <c r="GS121">
        <v>1.891</v>
      </c>
      <c r="GT121">
        <v>0.13683</v>
      </c>
      <c r="GU121">
        <v>0</v>
      </c>
      <c r="GV121">
        <v>27.8206</v>
      </c>
      <c r="GW121">
        <v>999.9</v>
      </c>
      <c r="GX121">
        <v>63.9</v>
      </c>
      <c r="GY121">
        <v>28.6</v>
      </c>
      <c r="GZ121">
        <v>27.6543</v>
      </c>
      <c r="HA121">
        <v>60.8573</v>
      </c>
      <c r="HB121">
        <v>19.9679</v>
      </c>
      <c r="HC121">
        <v>1</v>
      </c>
      <c r="HD121">
        <v>-0.00259654</v>
      </c>
      <c r="HE121">
        <v>-2.14612</v>
      </c>
      <c r="HF121">
        <v>20.3248</v>
      </c>
      <c r="HG121">
        <v>5.21834</v>
      </c>
      <c r="HH121">
        <v>11.9797</v>
      </c>
      <c r="HI121">
        <v>4.96575</v>
      </c>
      <c r="HJ121">
        <v>3.27598</v>
      </c>
      <c r="HK121">
        <v>9999</v>
      </c>
      <c r="HL121">
        <v>9999</v>
      </c>
      <c r="HM121">
        <v>9999</v>
      </c>
      <c r="HN121">
        <v>999.9</v>
      </c>
      <c r="HO121">
        <v>1.86364</v>
      </c>
      <c r="HP121">
        <v>1.85974</v>
      </c>
      <c r="HQ121">
        <v>1.85802</v>
      </c>
      <c r="HR121">
        <v>1.85942</v>
      </c>
      <c r="HS121">
        <v>1.85959</v>
      </c>
      <c r="HT121">
        <v>1.85805</v>
      </c>
      <c r="HU121">
        <v>1.85709</v>
      </c>
      <c r="HV121">
        <v>1.85211</v>
      </c>
      <c r="HW121">
        <v>0</v>
      </c>
      <c r="HX121">
        <v>0</v>
      </c>
      <c r="HY121">
        <v>0</v>
      </c>
      <c r="HZ121">
        <v>0</v>
      </c>
      <c r="IA121" t="s">
        <v>424</v>
      </c>
      <c r="IB121" t="s">
        <v>425</v>
      </c>
      <c r="IC121" t="s">
        <v>426</v>
      </c>
      <c r="ID121" t="s">
        <v>426</v>
      </c>
      <c r="IE121" t="s">
        <v>426</v>
      </c>
      <c r="IF121" t="s">
        <v>426</v>
      </c>
      <c r="IG121">
        <v>0</v>
      </c>
      <c r="IH121">
        <v>100</v>
      </c>
      <c r="II121">
        <v>100</v>
      </c>
      <c r="IJ121">
        <v>-1.567</v>
      </c>
      <c r="IK121">
        <v>0.1907</v>
      </c>
      <c r="IL121">
        <v>-2.357986366295179</v>
      </c>
      <c r="IM121">
        <v>0.001328113201692861</v>
      </c>
      <c r="IN121">
        <v>1.538283238170363E-06</v>
      </c>
      <c r="IO121">
        <v>-5.795655626708063E-10</v>
      </c>
      <c r="IP121">
        <v>-0.06105361615936408</v>
      </c>
      <c r="IQ121">
        <v>-0.004593102289677449</v>
      </c>
      <c r="IR121">
        <v>0.0008253994458280543</v>
      </c>
      <c r="IS121">
        <v>-7.403632370499484E-06</v>
      </c>
      <c r="IT121">
        <v>2</v>
      </c>
      <c r="IU121">
        <v>1985</v>
      </c>
      <c r="IV121">
        <v>1</v>
      </c>
      <c r="IW121">
        <v>27</v>
      </c>
      <c r="IX121">
        <v>2.9</v>
      </c>
      <c r="IY121">
        <v>2.8</v>
      </c>
      <c r="IZ121">
        <v>1.12793</v>
      </c>
      <c r="JA121">
        <v>2.58667</v>
      </c>
      <c r="JB121">
        <v>1.49658</v>
      </c>
      <c r="JC121">
        <v>2.34131</v>
      </c>
      <c r="JD121">
        <v>1.54907</v>
      </c>
      <c r="JE121">
        <v>2.47192</v>
      </c>
      <c r="JF121">
        <v>31.8927</v>
      </c>
      <c r="JG121">
        <v>14.5436</v>
      </c>
      <c r="JH121">
        <v>18</v>
      </c>
      <c r="JI121">
        <v>483.102</v>
      </c>
      <c r="JJ121">
        <v>508.38</v>
      </c>
      <c r="JK121">
        <v>31.5083</v>
      </c>
      <c r="JL121">
        <v>27.2205</v>
      </c>
      <c r="JM121">
        <v>29.9997</v>
      </c>
      <c r="JN121">
        <v>27.5398</v>
      </c>
      <c r="JO121">
        <v>27.5504</v>
      </c>
      <c r="JP121">
        <v>22.6818</v>
      </c>
      <c r="JQ121">
        <v>18.819</v>
      </c>
      <c r="JR121">
        <v>84.2166</v>
      </c>
      <c r="JS121">
        <v>31.4807</v>
      </c>
      <c r="JT121">
        <v>420</v>
      </c>
      <c r="JU121">
        <v>23.4848</v>
      </c>
      <c r="JV121">
        <v>102.337</v>
      </c>
      <c r="JW121">
        <v>91.4447</v>
      </c>
    </row>
    <row r="122" spans="1:283">
      <c r="A122">
        <v>104</v>
      </c>
      <c r="B122">
        <v>1761018836.1</v>
      </c>
      <c r="C122">
        <v>766.5999999046326</v>
      </c>
      <c r="D122" t="s">
        <v>638</v>
      </c>
      <c r="E122" t="s">
        <v>639</v>
      </c>
      <c r="F122">
        <v>5</v>
      </c>
      <c r="G122" t="s">
        <v>612</v>
      </c>
      <c r="H122">
        <v>1761018833.1</v>
      </c>
      <c r="I122">
        <f>(J122)/1000</f>
        <v>0</v>
      </c>
      <c r="J122">
        <f>1000*DJ122*AH122*(DF122-DG122)/(100*CY122*(1000-AH122*DF122))</f>
        <v>0</v>
      </c>
      <c r="K122">
        <f>DJ122*AH122*(DE122-DD122*(1000-AH122*DG122)/(1000-AH122*DF122))/(100*CY122)</f>
        <v>0</v>
      </c>
      <c r="L122">
        <f>DD122 - IF(AH122&gt;1, K122*CY122*100.0/(AJ122), 0)</f>
        <v>0</v>
      </c>
      <c r="M122">
        <f>((S122-I122/2)*L122-K122)/(S122+I122/2)</f>
        <v>0</v>
      </c>
      <c r="N122">
        <f>M122*(DK122+DL122)/1000.0</f>
        <v>0</v>
      </c>
      <c r="O122">
        <f>(DD122 - IF(AH122&gt;1, K122*CY122*100.0/(AJ122), 0))*(DK122+DL122)/1000.0</f>
        <v>0</v>
      </c>
      <c r="P122">
        <f>2.0/((1/R122-1/Q122)+SIGN(R122)*SQRT((1/R122-1/Q122)*(1/R122-1/Q122) + 4*CZ122/((CZ122+1)*(CZ122+1))*(2*1/R122*1/Q122-1/Q122*1/Q122)))</f>
        <v>0</v>
      </c>
      <c r="Q122">
        <f>IF(LEFT(DA122,1)&lt;&gt;"0",IF(LEFT(DA122,1)="1",3.0,DB122),$D$5+$E$5*(DR122*DK122/($K$5*1000))+$F$5*(DR122*DK122/($K$5*1000))*MAX(MIN(CY122,$J$5),$I$5)*MAX(MIN(CY122,$J$5),$I$5)+$G$5*MAX(MIN(CY122,$J$5),$I$5)*(DR122*DK122/($K$5*1000))+$H$5*(DR122*DK122/($K$5*1000))*(DR122*DK122/($K$5*1000)))</f>
        <v>0</v>
      </c>
      <c r="R122">
        <f>I122*(1000-(1000*0.61365*exp(17.502*V122/(240.97+V122))/(DK122+DL122)+DF122)/2)/(1000*0.61365*exp(17.502*V122/(240.97+V122))/(DK122+DL122)-DF122)</f>
        <v>0</v>
      </c>
      <c r="S122">
        <f>1/((CZ122+1)/(P122/1.6)+1/(Q122/1.37)) + CZ122/((CZ122+1)/(P122/1.6) + CZ122/(Q122/1.37))</f>
        <v>0</v>
      </c>
      <c r="T122">
        <f>(CU122*CX122)</f>
        <v>0</v>
      </c>
      <c r="U122">
        <f>(DM122+(T122+2*0.95*5.67E-8*(((DM122+$B$9)+273)^4-(DM122+273)^4)-44100*I122)/(1.84*29.3*Q122+8*0.95*5.67E-8*(DM122+273)^3))</f>
        <v>0</v>
      </c>
      <c r="V122">
        <f>($C$9*DN122+$D$9*DO122+$E$9*U122)</f>
        <v>0</v>
      </c>
      <c r="W122">
        <f>0.61365*exp(17.502*V122/(240.97+V122))</f>
        <v>0</v>
      </c>
      <c r="X122">
        <f>(Y122/Z122*100)</f>
        <v>0</v>
      </c>
      <c r="Y122">
        <f>DF122*(DK122+DL122)/1000</f>
        <v>0</v>
      </c>
      <c r="Z122">
        <f>0.61365*exp(17.502*DM122/(240.97+DM122))</f>
        <v>0</v>
      </c>
      <c r="AA122">
        <f>(W122-DF122*(DK122+DL122)/1000)</f>
        <v>0</v>
      </c>
      <c r="AB122">
        <f>(-I122*44100)</f>
        <v>0</v>
      </c>
      <c r="AC122">
        <f>2*29.3*Q122*0.92*(DM122-V122)</f>
        <v>0</v>
      </c>
      <c r="AD122">
        <f>2*0.95*5.67E-8*(((DM122+$B$9)+273)^4-(V122+273)^4)</f>
        <v>0</v>
      </c>
      <c r="AE122">
        <f>T122+AD122+AB122+AC122</f>
        <v>0</v>
      </c>
      <c r="AF122">
        <v>0</v>
      </c>
      <c r="AG122">
        <v>0</v>
      </c>
      <c r="AH122">
        <f>IF(AF122*$H$15&gt;=AJ122,1.0,(AJ122/(AJ122-AF122*$H$15)))</f>
        <v>0</v>
      </c>
      <c r="AI122">
        <f>(AH122-1)*100</f>
        <v>0</v>
      </c>
      <c r="AJ122">
        <f>MAX(0,($B$15+$C$15*DR122)/(1+$D$15*DR122)*DK122/(DM122+273)*$E$15)</f>
        <v>0</v>
      </c>
      <c r="AK122" t="s">
        <v>420</v>
      </c>
      <c r="AL122" t="s">
        <v>420</v>
      </c>
      <c r="AM122">
        <v>0</v>
      </c>
      <c r="AN122">
        <v>0</v>
      </c>
      <c r="AO122">
        <f>1-AM122/AN122</f>
        <v>0</v>
      </c>
      <c r="AP122">
        <v>0</v>
      </c>
      <c r="AQ122" t="s">
        <v>420</v>
      </c>
      <c r="AR122" t="s">
        <v>420</v>
      </c>
      <c r="AS122">
        <v>0</v>
      </c>
      <c r="AT122">
        <v>0</v>
      </c>
      <c r="AU122">
        <f>1-AS122/AT122</f>
        <v>0</v>
      </c>
      <c r="AV122">
        <v>0.5</v>
      </c>
      <c r="AW122">
        <f>CV122</f>
        <v>0</v>
      </c>
      <c r="AX122">
        <f>K122</f>
        <v>0</v>
      </c>
      <c r="AY122">
        <f>AU122*AV122*AW122</f>
        <v>0</v>
      </c>
      <c r="AZ122">
        <f>(AX122-AP122)/AW122</f>
        <v>0</v>
      </c>
      <c r="BA122">
        <f>(AN122-AT122)/AT122</f>
        <v>0</v>
      </c>
      <c r="BB122">
        <f>AM122/(AO122+AM122/AT122)</f>
        <v>0</v>
      </c>
      <c r="BC122" t="s">
        <v>420</v>
      </c>
      <c r="BD122">
        <v>0</v>
      </c>
      <c r="BE122">
        <f>IF(BD122&lt;&gt;0, BD122, BB122)</f>
        <v>0</v>
      </c>
      <c r="BF122">
        <f>1-BE122/AT122</f>
        <v>0</v>
      </c>
      <c r="BG122">
        <f>(AT122-AS122)/(AT122-BE122)</f>
        <v>0</v>
      </c>
      <c r="BH122">
        <f>(AN122-AT122)/(AN122-BE122)</f>
        <v>0</v>
      </c>
      <c r="BI122">
        <f>(AT122-AS122)/(AT122-AM122)</f>
        <v>0</v>
      </c>
      <c r="BJ122">
        <f>(AN122-AT122)/(AN122-AM122)</f>
        <v>0</v>
      </c>
      <c r="BK122">
        <f>(BG122*BE122/AS122)</f>
        <v>0</v>
      </c>
      <c r="BL122">
        <f>(1-BK122)</f>
        <v>0</v>
      </c>
      <c r="CU122">
        <f>$B$13*DS122+$C$13*DT122+$F$13*EE122*(1-EH122)</f>
        <v>0</v>
      </c>
      <c r="CV122">
        <f>CU122*CW122</f>
        <v>0</v>
      </c>
      <c r="CW122">
        <f>($B$13*$D$11+$C$13*$D$11+$F$13*((ER122+EJ122)/MAX(ER122+EJ122+ES122, 0.1)*$I$11+ES122/MAX(ER122+EJ122+ES122, 0.1)*$J$11))/($B$13+$C$13+$F$13)</f>
        <v>0</v>
      </c>
      <c r="CX122">
        <f>($B$13*$K$11+$C$13*$K$11+$F$13*((ER122+EJ122)/MAX(ER122+EJ122+ES122, 0.1)*$P$11+ES122/MAX(ER122+EJ122+ES122, 0.1)*$Q$11))/($B$13+$C$13+$F$13)</f>
        <v>0</v>
      </c>
      <c r="CY122">
        <v>2.96</v>
      </c>
      <c r="CZ122">
        <v>0.5</v>
      </c>
      <c r="DA122" t="s">
        <v>421</v>
      </c>
      <c r="DB122">
        <v>2</v>
      </c>
      <c r="DC122">
        <v>1761018833.1</v>
      </c>
      <c r="DD122">
        <v>420.5433333333334</v>
      </c>
      <c r="DE122">
        <v>419.9895555555556</v>
      </c>
      <c r="DF122">
        <v>23.69022222222222</v>
      </c>
      <c r="DG122">
        <v>23.53216666666667</v>
      </c>
      <c r="DH122">
        <v>422.1103333333334</v>
      </c>
      <c r="DI122">
        <v>23.4995</v>
      </c>
      <c r="DJ122">
        <v>500.0856666666666</v>
      </c>
      <c r="DK122">
        <v>90.79707777777779</v>
      </c>
      <c r="DL122">
        <v>0.03799024444444445</v>
      </c>
      <c r="DM122">
        <v>30.2059</v>
      </c>
      <c r="DN122">
        <v>30.04651111111112</v>
      </c>
      <c r="DO122">
        <v>999.9000000000001</v>
      </c>
      <c r="DP122">
        <v>0</v>
      </c>
      <c r="DQ122">
        <v>0</v>
      </c>
      <c r="DR122">
        <v>10019.92222222222</v>
      </c>
      <c r="DS122">
        <v>0</v>
      </c>
      <c r="DT122">
        <v>0.242856</v>
      </c>
      <c r="DU122">
        <v>0.5538837777777776</v>
      </c>
      <c r="DV122">
        <v>430.7477777777777</v>
      </c>
      <c r="DW122">
        <v>430.111</v>
      </c>
      <c r="DX122">
        <v>0.1580593333333334</v>
      </c>
      <c r="DY122">
        <v>419.9895555555556</v>
      </c>
      <c r="DZ122">
        <v>23.53216666666667</v>
      </c>
      <c r="EA122">
        <v>2.151004444444444</v>
      </c>
      <c r="EB122">
        <v>2.136653333333333</v>
      </c>
      <c r="EC122">
        <v>18.60198888888889</v>
      </c>
      <c r="ED122">
        <v>18.49508888888889</v>
      </c>
      <c r="EE122">
        <v>0.00500078</v>
      </c>
      <c r="EF122">
        <v>0</v>
      </c>
      <c r="EG122">
        <v>0</v>
      </c>
      <c r="EH122">
        <v>0</v>
      </c>
      <c r="EI122">
        <v>432.0777777777778</v>
      </c>
      <c r="EJ122">
        <v>0.00500078</v>
      </c>
      <c r="EK122">
        <v>-24.13333333333333</v>
      </c>
      <c r="EL122">
        <v>-1.5</v>
      </c>
      <c r="EM122">
        <v>35.00677777777778</v>
      </c>
      <c r="EN122">
        <v>38.11766666666666</v>
      </c>
      <c r="EO122">
        <v>36.40944444444445</v>
      </c>
      <c r="EP122">
        <v>38.11777777777777</v>
      </c>
      <c r="EQ122">
        <v>37.38177777777778</v>
      </c>
      <c r="ER122">
        <v>0</v>
      </c>
      <c r="ES122">
        <v>0</v>
      </c>
      <c r="ET122">
        <v>0</v>
      </c>
      <c r="EU122">
        <v>1761018835.3</v>
      </c>
      <c r="EV122">
        <v>0</v>
      </c>
      <c r="EW122">
        <v>432.552</v>
      </c>
      <c r="EX122">
        <v>-0.1846152525215863</v>
      </c>
      <c r="EY122">
        <v>-44.93846172472897</v>
      </c>
      <c r="EZ122">
        <v>-21.452</v>
      </c>
      <c r="FA122">
        <v>15</v>
      </c>
      <c r="FB122">
        <v>1761018667.1</v>
      </c>
      <c r="FC122" t="s">
        <v>613</v>
      </c>
      <c r="FD122">
        <v>1761018661.6</v>
      </c>
      <c r="FE122">
        <v>1761018667.1</v>
      </c>
      <c r="FF122">
        <v>26</v>
      </c>
      <c r="FG122">
        <v>-0.221</v>
      </c>
      <c r="FH122">
        <v>-0.001</v>
      </c>
      <c r="FI122">
        <v>-1.568</v>
      </c>
      <c r="FJ122">
        <v>0.178</v>
      </c>
      <c r="FK122">
        <v>420</v>
      </c>
      <c r="FL122">
        <v>23</v>
      </c>
      <c r="FM122">
        <v>0.1</v>
      </c>
      <c r="FN122">
        <v>0.08</v>
      </c>
      <c r="FO122">
        <v>0.5549383414634146</v>
      </c>
      <c r="FP122">
        <v>-0.005742167247387174</v>
      </c>
      <c r="FQ122">
        <v>0.0412765009285888</v>
      </c>
      <c r="FR122">
        <v>1</v>
      </c>
      <c r="FS122">
        <v>433.4352941176471</v>
      </c>
      <c r="FT122">
        <v>-13.00534745658454</v>
      </c>
      <c r="FU122">
        <v>6.139020919875687</v>
      </c>
      <c r="FV122">
        <v>0</v>
      </c>
      <c r="FW122">
        <v>0.09927092682926827</v>
      </c>
      <c r="FX122">
        <v>0.4480348975609756</v>
      </c>
      <c r="FY122">
        <v>0.04443253007316755</v>
      </c>
      <c r="FZ122">
        <v>0</v>
      </c>
      <c r="GA122">
        <v>1</v>
      </c>
      <c r="GB122">
        <v>3</v>
      </c>
      <c r="GC122" t="s">
        <v>431</v>
      </c>
      <c r="GD122">
        <v>3.10962</v>
      </c>
      <c r="GE122">
        <v>2.72967</v>
      </c>
      <c r="GF122">
        <v>0.088965</v>
      </c>
      <c r="GG122">
        <v>0.0886569</v>
      </c>
      <c r="GH122">
        <v>0.107907</v>
      </c>
      <c r="GI122">
        <v>0.108422</v>
      </c>
      <c r="GJ122">
        <v>23919.6</v>
      </c>
      <c r="GK122">
        <v>21667.7</v>
      </c>
      <c r="GL122">
        <v>26812</v>
      </c>
      <c r="GM122">
        <v>23980.2</v>
      </c>
      <c r="GN122">
        <v>38216.2</v>
      </c>
      <c r="GO122">
        <v>31534</v>
      </c>
      <c r="GP122">
        <v>46797.9</v>
      </c>
      <c r="GQ122">
        <v>37904.7</v>
      </c>
      <c r="GR122">
        <v>1.89788</v>
      </c>
      <c r="GS122">
        <v>1.8913</v>
      </c>
      <c r="GT122">
        <v>0.137202</v>
      </c>
      <c r="GU122">
        <v>0</v>
      </c>
      <c r="GV122">
        <v>27.8194</v>
      </c>
      <c r="GW122">
        <v>999.9</v>
      </c>
      <c r="GX122">
        <v>63.9</v>
      </c>
      <c r="GY122">
        <v>28.6</v>
      </c>
      <c r="GZ122">
        <v>27.6555</v>
      </c>
      <c r="HA122">
        <v>61.1373</v>
      </c>
      <c r="HB122">
        <v>20.1482</v>
      </c>
      <c r="HC122">
        <v>1</v>
      </c>
      <c r="HD122">
        <v>-0.00265244</v>
      </c>
      <c r="HE122">
        <v>-2.12739</v>
      </c>
      <c r="HF122">
        <v>20.3251</v>
      </c>
      <c r="HG122">
        <v>5.21849</v>
      </c>
      <c r="HH122">
        <v>11.9798</v>
      </c>
      <c r="HI122">
        <v>4.96565</v>
      </c>
      <c r="HJ122">
        <v>3.27598</v>
      </c>
      <c r="HK122">
        <v>9999</v>
      </c>
      <c r="HL122">
        <v>9999</v>
      </c>
      <c r="HM122">
        <v>9999</v>
      </c>
      <c r="HN122">
        <v>999.9</v>
      </c>
      <c r="HO122">
        <v>1.86362</v>
      </c>
      <c r="HP122">
        <v>1.85974</v>
      </c>
      <c r="HQ122">
        <v>1.85802</v>
      </c>
      <c r="HR122">
        <v>1.85943</v>
      </c>
      <c r="HS122">
        <v>1.85959</v>
      </c>
      <c r="HT122">
        <v>1.85804</v>
      </c>
      <c r="HU122">
        <v>1.85708</v>
      </c>
      <c r="HV122">
        <v>1.85211</v>
      </c>
      <c r="HW122">
        <v>0</v>
      </c>
      <c r="HX122">
        <v>0</v>
      </c>
      <c r="HY122">
        <v>0</v>
      </c>
      <c r="HZ122">
        <v>0</v>
      </c>
      <c r="IA122" t="s">
        <v>424</v>
      </c>
      <c r="IB122" t="s">
        <v>425</v>
      </c>
      <c r="IC122" t="s">
        <v>426</v>
      </c>
      <c r="ID122" t="s">
        <v>426</v>
      </c>
      <c r="IE122" t="s">
        <v>426</v>
      </c>
      <c r="IF122" t="s">
        <v>426</v>
      </c>
      <c r="IG122">
        <v>0</v>
      </c>
      <c r="IH122">
        <v>100</v>
      </c>
      <c r="II122">
        <v>100</v>
      </c>
      <c r="IJ122">
        <v>-1.567</v>
      </c>
      <c r="IK122">
        <v>0.1904</v>
      </c>
      <c r="IL122">
        <v>-2.357986366295179</v>
      </c>
      <c r="IM122">
        <v>0.001328113201692861</v>
      </c>
      <c r="IN122">
        <v>1.538283238170363E-06</v>
      </c>
      <c r="IO122">
        <v>-5.795655626708063E-10</v>
      </c>
      <c r="IP122">
        <v>-0.06105361615936408</v>
      </c>
      <c r="IQ122">
        <v>-0.004593102289677449</v>
      </c>
      <c r="IR122">
        <v>0.0008253994458280543</v>
      </c>
      <c r="IS122">
        <v>-7.403632370499484E-06</v>
      </c>
      <c r="IT122">
        <v>2</v>
      </c>
      <c r="IU122">
        <v>1985</v>
      </c>
      <c r="IV122">
        <v>1</v>
      </c>
      <c r="IW122">
        <v>27</v>
      </c>
      <c r="IX122">
        <v>2.9</v>
      </c>
      <c r="IY122">
        <v>2.8</v>
      </c>
      <c r="IZ122">
        <v>1.12793</v>
      </c>
      <c r="JA122">
        <v>2.59277</v>
      </c>
      <c r="JB122">
        <v>1.49658</v>
      </c>
      <c r="JC122">
        <v>2.34131</v>
      </c>
      <c r="JD122">
        <v>1.54907</v>
      </c>
      <c r="JE122">
        <v>2.34131</v>
      </c>
      <c r="JF122">
        <v>31.8707</v>
      </c>
      <c r="JG122">
        <v>14.5348</v>
      </c>
      <c r="JH122">
        <v>18</v>
      </c>
      <c r="JI122">
        <v>482.896</v>
      </c>
      <c r="JJ122">
        <v>508.561</v>
      </c>
      <c r="JK122">
        <v>31.4923</v>
      </c>
      <c r="JL122">
        <v>27.2182</v>
      </c>
      <c r="JM122">
        <v>29.9997</v>
      </c>
      <c r="JN122">
        <v>27.5375</v>
      </c>
      <c r="JO122">
        <v>27.5481</v>
      </c>
      <c r="JP122">
        <v>22.6802</v>
      </c>
      <c r="JQ122">
        <v>18.819</v>
      </c>
      <c r="JR122">
        <v>84.2166</v>
      </c>
      <c r="JS122">
        <v>31.4807</v>
      </c>
      <c r="JT122">
        <v>420</v>
      </c>
      <c r="JU122">
        <v>23.4848</v>
      </c>
      <c r="JV122">
        <v>102.337</v>
      </c>
      <c r="JW122">
        <v>91.4442</v>
      </c>
    </row>
    <row r="123" spans="1:283">
      <c r="A123">
        <v>105</v>
      </c>
      <c r="B123">
        <v>1761018838.1</v>
      </c>
      <c r="C123">
        <v>768.5999999046326</v>
      </c>
      <c r="D123" t="s">
        <v>640</v>
      </c>
      <c r="E123" t="s">
        <v>641</v>
      </c>
      <c r="F123">
        <v>5</v>
      </c>
      <c r="G123" t="s">
        <v>612</v>
      </c>
      <c r="H123">
        <v>1761018835.1</v>
      </c>
      <c r="I123">
        <f>(J123)/1000</f>
        <v>0</v>
      </c>
      <c r="J123">
        <f>1000*DJ123*AH123*(DF123-DG123)/(100*CY123*(1000-AH123*DF123))</f>
        <v>0</v>
      </c>
      <c r="K123">
        <f>DJ123*AH123*(DE123-DD123*(1000-AH123*DG123)/(1000-AH123*DF123))/(100*CY123)</f>
        <v>0</v>
      </c>
      <c r="L123">
        <f>DD123 - IF(AH123&gt;1, K123*CY123*100.0/(AJ123), 0)</f>
        <v>0</v>
      </c>
      <c r="M123">
        <f>((S123-I123/2)*L123-K123)/(S123+I123/2)</f>
        <v>0</v>
      </c>
      <c r="N123">
        <f>M123*(DK123+DL123)/1000.0</f>
        <v>0</v>
      </c>
      <c r="O123">
        <f>(DD123 - IF(AH123&gt;1, K123*CY123*100.0/(AJ123), 0))*(DK123+DL123)/1000.0</f>
        <v>0</v>
      </c>
      <c r="P123">
        <f>2.0/((1/R123-1/Q123)+SIGN(R123)*SQRT((1/R123-1/Q123)*(1/R123-1/Q123) + 4*CZ123/((CZ123+1)*(CZ123+1))*(2*1/R123*1/Q123-1/Q123*1/Q123)))</f>
        <v>0</v>
      </c>
      <c r="Q123">
        <f>IF(LEFT(DA123,1)&lt;&gt;"0",IF(LEFT(DA123,1)="1",3.0,DB123),$D$5+$E$5*(DR123*DK123/($K$5*1000))+$F$5*(DR123*DK123/($K$5*1000))*MAX(MIN(CY123,$J$5),$I$5)*MAX(MIN(CY123,$J$5),$I$5)+$G$5*MAX(MIN(CY123,$J$5),$I$5)*(DR123*DK123/($K$5*1000))+$H$5*(DR123*DK123/($K$5*1000))*(DR123*DK123/($K$5*1000)))</f>
        <v>0</v>
      </c>
      <c r="R123">
        <f>I123*(1000-(1000*0.61365*exp(17.502*V123/(240.97+V123))/(DK123+DL123)+DF123)/2)/(1000*0.61365*exp(17.502*V123/(240.97+V123))/(DK123+DL123)-DF123)</f>
        <v>0</v>
      </c>
      <c r="S123">
        <f>1/((CZ123+1)/(P123/1.6)+1/(Q123/1.37)) + CZ123/((CZ123+1)/(P123/1.6) + CZ123/(Q123/1.37))</f>
        <v>0</v>
      </c>
      <c r="T123">
        <f>(CU123*CX123)</f>
        <v>0</v>
      </c>
      <c r="U123">
        <f>(DM123+(T123+2*0.95*5.67E-8*(((DM123+$B$9)+273)^4-(DM123+273)^4)-44100*I123)/(1.84*29.3*Q123+8*0.95*5.67E-8*(DM123+273)^3))</f>
        <v>0</v>
      </c>
      <c r="V123">
        <f>($C$9*DN123+$D$9*DO123+$E$9*U123)</f>
        <v>0</v>
      </c>
      <c r="W123">
        <f>0.61365*exp(17.502*V123/(240.97+V123))</f>
        <v>0</v>
      </c>
      <c r="X123">
        <f>(Y123/Z123*100)</f>
        <v>0</v>
      </c>
      <c r="Y123">
        <f>DF123*(DK123+DL123)/1000</f>
        <v>0</v>
      </c>
      <c r="Z123">
        <f>0.61365*exp(17.502*DM123/(240.97+DM123))</f>
        <v>0</v>
      </c>
      <c r="AA123">
        <f>(W123-DF123*(DK123+DL123)/1000)</f>
        <v>0</v>
      </c>
      <c r="AB123">
        <f>(-I123*44100)</f>
        <v>0</v>
      </c>
      <c r="AC123">
        <f>2*29.3*Q123*0.92*(DM123-V123)</f>
        <v>0</v>
      </c>
      <c r="AD123">
        <f>2*0.95*5.67E-8*(((DM123+$B$9)+273)^4-(V123+273)^4)</f>
        <v>0</v>
      </c>
      <c r="AE123">
        <f>T123+AD123+AB123+AC123</f>
        <v>0</v>
      </c>
      <c r="AF123">
        <v>0</v>
      </c>
      <c r="AG123">
        <v>0</v>
      </c>
      <c r="AH123">
        <f>IF(AF123*$H$15&gt;=AJ123,1.0,(AJ123/(AJ123-AF123*$H$15)))</f>
        <v>0</v>
      </c>
      <c r="AI123">
        <f>(AH123-1)*100</f>
        <v>0</v>
      </c>
      <c r="AJ123">
        <f>MAX(0,($B$15+$C$15*DR123)/(1+$D$15*DR123)*DK123/(DM123+273)*$E$15)</f>
        <v>0</v>
      </c>
      <c r="AK123" t="s">
        <v>420</v>
      </c>
      <c r="AL123" t="s">
        <v>420</v>
      </c>
      <c r="AM123">
        <v>0</v>
      </c>
      <c r="AN123">
        <v>0</v>
      </c>
      <c r="AO123">
        <f>1-AM123/AN123</f>
        <v>0</v>
      </c>
      <c r="AP123">
        <v>0</v>
      </c>
      <c r="AQ123" t="s">
        <v>420</v>
      </c>
      <c r="AR123" t="s">
        <v>420</v>
      </c>
      <c r="AS123">
        <v>0</v>
      </c>
      <c r="AT123">
        <v>0</v>
      </c>
      <c r="AU123">
        <f>1-AS123/AT123</f>
        <v>0</v>
      </c>
      <c r="AV123">
        <v>0.5</v>
      </c>
      <c r="AW123">
        <f>CV123</f>
        <v>0</v>
      </c>
      <c r="AX123">
        <f>K123</f>
        <v>0</v>
      </c>
      <c r="AY123">
        <f>AU123*AV123*AW123</f>
        <v>0</v>
      </c>
      <c r="AZ123">
        <f>(AX123-AP123)/AW123</f>
        <v>0</v>
      </c>
      <c r="BA123">
        <f>(AN123-AT123)/AT123</f>
        <v>0</v>
      </c>
      <c r="BB123">
        <f>AM123/(AO123+AM123/AT123)</f>
        <v>0</v>
      </c>
      <c r="BC123" t="s">
        <v>420</v>
      </c>
      <c r="BD123">
        <v>0</v>
      </c>
      <c r="BE123">
        <f>IF(BD123&lt;&gt;0, BD123, BB123)</f>
        <v>0</v>
      </c>
      <c r="BF123">
        <f>1-BE123/AT123</f>
        <v>0</v>
      </c>
      <c r="BG123">
        <f>(AT123-AS123)/(AT123-BE123)</f>
        <v>0</v>
      </c>
      <c r="BH123">
        <f>(AN123-AT123)/(AN123-BE123)</f>
        <v>0</v>
      </c>
      <c r="BI123">
        <f>(AT123-AS123)/(AT123-AM123)</f>
        <v>0</v>
      </c>
      <c r="BJ123">
        <f>(AN123-AT123)/(AN123-AM123)</f>
        <v>0</v>
      </c>
      <c r="BK123">
        <f>(BG123*BE123/AS123)</f>
        <v>0</v>
      </c>
      <c r="BL123">
        <f>(1-BK123)</f>
        <v>0</v>
      </c>
      <c r="CU123">
        <f>$B$13*DS123+$C$13*DT123+$F$13*EE123*(1-EH123)</f>
        <v>0</v>
      </c>
      <c r="CV123">
        <f>CU123*CW123</f>
        <v>0</v>
      </c>
      <c r="CW123">
        <f>($B$13*$D$11+$C$13*$D$11+$F$13*((ER123+EJ123)/MAX(ER123+EJ123+ES123, 0.1)*$I$11+ES123/MAX(ER123+EJ123+ES123, 0.1)*$J$11))/($B$13+$C$13+$F$13)</f>
        <v>0</v>
      </c>
      <c r="CX123">
        <f>($B$13*$K$11+$C$13*$K$11+$F$13*((ER123+EJ123)/MAX(ER123+EJ123+ES123, 0.1)*$P$11+ES123/MAX(ER123+EJ123+ES123, 0.1)*$Q$11))/($B$13+$C$13+$F$13)</f>
        <v>0</v>
      </c>
      <c r="CY123">
        <v>2.96</v>
      </c>
      <c r="CZ123">
        <v>0.5</v>
      </c>
      <c r="DA123" t="s">
        <v>421</v>
      </c>
      <c r="DB123">
        <v>2</v>
      </c>
      <c r="DC123">
        <v>1761018835.1</v>
      </c>
      <c r="DD123">
        <v>420.5483333333334</v>
      </c>
      <c r="DE123">
        <v>419.9615555555555</v>
      </c>
      <c r="DF123">
        <v>23.68036666666667</v>
      </c>
      <c r="DG123">
        <v>23.51738888888889</v>
      </c>
      <c r="DH123">
        <v>422.1153333333334</v>
      </c>
      <c r="DI123">
        <v>23.48985555555556</v>
      </c>
      <c r="DJ123">
        <v>500.0666666666667</v>
      </c>
      <c r="DK123">
        <v>90.79735555555554</v>
      </c>
      <c r="DL123">
        <v>0.03794564444444445</v>
      </c>
      <c r="DM123">
        <v>30.2032</v>
      </c>
      <c r="DN123">
        <v>30.05044444444444</v>
      </c>
      <c r="DO123">
        <v>999.9000000000001</v>
      </c>
      <c r="DP123">
        <v>0</v>
      </c>
      <c r="DQ123">
        <v>0</v>
      </c>
      <c r="DR123">
        <v>10010.75</v>
      </c>
      <c r="DS123">
        <v>0</v>
      </c>
      <c r="DT123">
        <v>0.242856</v>
      </c>
      <c r="DU123">
        <v>0.5869512222222222</v>
      </c>
      <c r="DV123">
        <v>430.7485555555556</v>
      </c>
      <c r="DW123">
        <v>430.0756666666666</v>
      </c>
      <c r="DX123">
        <v>0.1629914444444444</v>
      </c>
      <c r="DY123">
        <v>419.9615555555555</v>
      </c>
      <c r="DZ123">
        <v>23.51738888888889</v>
      </c>
      <c r="EA123">
        <v>2.150116666666667</v>
      </c>
      <c r="EB123">
        <v>2.135316666666667</v>
      </c>
      <c r="EC123">
        <v>18.59538888888889</v>
      </c>
      <c r="ED123">
        <v>18.48511111111111</v>
      </c>
      <c r="EE123">
        <v>0.00500078</v>
      </c>
      <c r="EF123">
        <v>0</v>
      </c>
      <c r="EG123">
        <v>0</v>
      </c>
      <c r="EH123">
        <v>0</v>
      </c>
      <c r="EI123">
        <v>432.2777777777778</v>
      </c>
      <c r="EJ123">
        <v>0.00500078</v>
      </c>
      <c r="EK123">
        <v>-23.94444444444444</v>
      </c>
      <c r="EL123">
        <v>-1.477777777777778</v>
      </c>
      <c r="EM123">
        <v>35.02755555555555</v>
      </c>
      <c r="EN123">
        <v>38.15933333333333</v>
      </c>
      <c r="EO123">
        <v>36.43711111111111</v>
      </c>
      <c r="EP123">
        <v>38.18044444444445</v>
      </c>
      <c r="EQ123">
        <v>37.43722222222222</v>
      </c>
      <c r="ER123">
        <v>0</v>
      </c>
      <c r="ES123">
        <v>0</v>
      </c>
      <c r="ET123">
        <v>0</v>
      </c>
      <c r="EU123">
        <v>1761018837.1</v>
      </c>
      <c r="EV123">
        <v>0</v>
      </c>
      <c r="EW123">
        <v>431.0961538461539</v>
      </c>
      <c r="EX123">
        <v>-10.45128189428184</v>
      </c>
      <c r="EY123">
        <v>-14.36581209848614</v>
      </c>
      <c r="EZ123">
        <v>-20.80769230769231</v>
      </c>
      <c r="FA123">
        <v>15</v>
      </c>
      <c r="FB123">
        <v>1761018667.1</v>
      </c>
      <c r="FC123" t="s">
        <v>613</v>
      </c>
      <c r="FD123">
        <v>1761018661.6</v>
      </c>
      <c r="FE123">
        <v>1761018667.1</v>
      </c>
      <c r="FF123">
        <v>26</v>
      </c>
      <c r="FG123">
        <v>-0.221</v>
      </c>
      <c r="FH123">
        <v>-0.001</v>
      </c>
      <c r="FI123">
        <v>-1.568</v>
      </c>
      <c r="FJ123">
        <v>0.178</v>
      </c>
      <c r="FK123">
        <v>420</v>
      </c>
      <c r="FL123">
        <v>23</v>
      </c>
      <c r="FM123">
        <v>0.1</v>
      </c>
      <c r="FN123">
        <v>0.08</v>
      </c>
      <c r="FO123">
        <v>0.5572122682926829</v>
      </c>
      <c r="FP123">
        <v>0.06422970731707324</v>
      </c>
      <c r="FQ123">
        <v>0.04350522812149855</v>
      </c>
      <c r="FR123">
        <v>1</v>
      </c>
      <c r="FS123">
        <v>432.7970588235294</v>
      </c>
      <c r="FT123">
        <v>-9.239113746801808</v>
      </c>
      <c r="FU123">
        <v>5.939770509238735</v>
      </c>
      <c r="FV123">
        <v>0</v>
      </c>
      <c r="FW123">
        <v>0.1057241731707317</v>
      </c>
      <c r="FX123">
        <v>0.4382071693379792</v>
      </c>
      <c r="FY123">
        <v>0.04359494853914549</v>
      </c>
      <c r="FZ123">
        <v>0</v>
      </c>
      <c r="GA123">
        <v>1</v>
      </c>
      <c r="GB123">
        <v>3</v>
      </c>
      <c r="GC123" t="s">
        <v>431</v>
      </c>
      <c r="GD123">
        <v>3.10936</v>
      </c>
      <c r="GE123">
        <v>2.72972</v>
      </c>
      <c r="GF123">
        <v>0.0889639</v>
      </c>
      <c r="GG123">
        <v>0.08867029999999999</v>
      </c>
      <c r="GH123">
        <v>0.107871</v>
      </c>
      <c r="GI123">
        <v>0.108402</v>
      </c>
      <c r="GJ123">
        <v>23919.7</v>
      </c>
      <c r="GK123">
        <v>21667.5</v>
      </c>
      <c r="GL123">
        <v>26812</v>
      </c>
      <c r="GM123">
        <v>23980.3</v>
      </c>
      <c r="GN123">
        <v>38217.9</v>
      </c>
      <c r="GO123">
        <v>31534.6</v>
      </c>
      <c r="GP123">
        <v>46798</v>
      </c>
      <c r="GQ123">
        <v>37904.6</v>
      </c>
      <c r="GR123">
        <v>1.89767</v>
      </c>
      <c r="GS123">
        <v>1.8916</v>
      </c>
      <c r="GT123">
        <v>0.136532</v>
      </c>
      <c r="GU123">
        <v>0</v>
      </c>
      <c r="GV123">
        <v>27.8193</v>
      </c>
      <c r="GW123">
        <v>999.9</v>
      </c>
      <c r="GX123">
        <v>63.9</v>
      </c>
      <c r="GY123">
        <v>28.6</v>
      </c>
      <c r="GZ123">
        <v>27.6544</v>
      </c>
      <c r="HA123">
        <v>61.3873</v>
      </c>
      <c r="HB123">
        <v>20.2123</v>
      </c>
      <c r="HC123">
        <v>1</v>
      </c>
      <c r="HD123">
        <v>-0.00282266</v>
      </c>
      <c r="HE123">
        <v>-2.16036</v>
      </c>
      <c r="HF123">
        <v>20.3247</v>
      </c>
      <c r="HG123">
        <v>5.21879</v>
      </c>
      <c r="HH123">
        <v>11.98</v>
      </c>
      <c r="HI123">
        <v>4.9655</v>
      </c>
      <c r="HJ123">
        <v>3.276</v>
      </c>
      <c r="HK123">
        <v>9999</v>
      </c>
      <c r="HL123">
        <v>9999</v>
      </c>
      <c r="HM123">
        <v>9999</v>
      </c>
      <c r="HN123">
        <v>999.9</v>
      </c>
      <c r="HO123">
        <v>1.86362</v>
      </c>
      <c r="HP123">
        <v>1.85974</v>
      </c>
      <c r="HQ123">
        <v>1.85802</v>
      </c>
      <c r="HR123">
        <v>1.85941</v>
      </c>
      <c r="HS123">
        <v>1.85959</v>
      </c>
      <c r="HT123">
        <v>1.85803</v>
      </c>
      <c r="HU123">
        <v>1.85709</v>
      </c>
      <c r="HV123">
        <v>1.85211</v>
      </c>
      <c r="HW123">
        <v>0</v>
      </c>
      <c r="HX123">
        <v>0</v>
      </c>
      <c r="HY123">
        <v>0</v>
      </c>
      <c r="HZ123">
        <v>0</v>
      </c>
      <c r="IA123" t="s">
        <v>424</v>
      </c>
      <c r="IB123" t="s">
        <v>425</v>
      </c>
      <c r="IC123" t="s">
        <v>426</v>
      </c>
      <c r="ID123" t="s">
        <v>426</v>
      </c>
      <c r="IE123" t="s">
        <v>426</v>
      </c>
      <c r="IF123" t="s">
        <v>426</v>
      </c>
      <c r="IG123">
        <v>0</v>
      </c>
      <c r="IH123">
        <v>100</v>
      </c>
      <c r="II123">
        <v>100</v>
      </c>
      <c r="IJ123">
        <v>-1.567</v>
      </c>
      <c r="IK123">
        <v>0.1902</v>
      </c>
      <c r="IL123">
        <v>-2.357986366295179</v>
      </c>
      <c r="IM123">
        <v>0.001328113201692861</v>
      </c>
      <c r="IN123">
        <v>1.538283238170363E-06</v>
      </c>
      <c r="IO123">
        <v>-5.795655626708063E-10</v>
      </c>
      <c r="IP123">
        <v>-0.06105361615936408</v>
      </c>
      <c r="IQ123">
        <v>-0.004593102289677449</v>
      </c>
      <c r="IR123">
        <v>0.0008253994458280543</v>
      </c>
      <c r="IS123">
        <v>-7.403632370499484E-06</v>
      </c>
      <c r="IT123">
        <v>2</v>
      </c>
      <c r="IU123">
        <v>1985</v>
      </c>
      <c r="IV123">
        <v>1</v>
      </c>
      <c r="IW123">
        <v>27</v>
      </c>
      <c r="IX123">
        <v>2.9</v>
      </c>
      <c r="IY123">
        <v>2.9</v>
      </c>
      <c r="IZ123">
        <v>1.12793</v>
      </c>
      <c r="JA123">
        <v>2.58301</v>
      </c>
      <c r="JB123">
        <v>1.49658</v>
      </c>
      <c r="JC123">
        <v>2.34131</v>
      </c>
      <c r="JD123">
        <v>1.54907</v>
      </c>
      <c r="JE123">
        <v>2.45117</v>
      </c>
      <c r="JF123">
        <v>31.8927</v>
      </c>
      <c r="JG123">
        <v>14.5523</v>
      </c>
      <c r="JH123">
        <v>18</v>
      </c>
      <c r="JI123">
        <v>482.763</v>
      </c>
      <c r="JJ123">
        <v>508.741</v>
      </c>
      <c r="JK123">
        <v>31.4744</v>
      </c>
      <c r="JL123">
        <v>27.2164</v>
      </c>
      <c r="JM123">
        <v>29.9997</v>
      </c>
      <c r="JN123">
        <v>27.5352</v>
      </c>
      <c r="JO123">
        <v>27.5458</v>
      </c>
      <c r="JP123">
        <v>22.681</v>
      </c>
      <c r="JQ123">
        <v>18.819</v>
      </c>
      <c r="JR123">
        <v>84.2166</v>
      </c>
      <c r="JS123">
        <v>31.4288</v>
      </c>
      <c r="JT123">
        <v>420</v>
      </c>
      <c r="JU123">
        <v>23.4848</v>
      </c>
      <c r="JV123">
        <v>102.337</v>
      </c>
      <c r="JW123">
        <v>91.4442</v>
      </c>
    </row>
    <row r="124" spans="1:283">
      <c r="A124">
        <v>106</v>
      </c>
      <c r="B124">
        <v>1761018840.1</v>
      </c>
      <c r="C124">
        <v>770.5999999046326</v>
      </c>
      <c r="D124" t="s">
        <v>642</v>
      </c>
      <c r="E124" t="s">
        <v>643</v>
      </c>
      <c r="F124">
        <v>5</v>
      </c>
      <c r="G124" t="s">
        <v>612</v>
      </c>
      <c r="H124">
        <v>1761018837.1</v>
      </c>
      <c r="I124">
        <f>(J124)/1000</f>
        <v>0</v>
      </c>
      <c r="J124">
        <f>1000*DJ124*AH124*(DF124-DG124)/(100*CY124*(1000-AH124*DF124))</f>
        <v>0</v>
      </c>
      <c r="K124">
        <f>DJ124*AH124*(DE124-DD124*(1000-AH124*DG124)/(1000-AH124*DF124))/(100*CY124)</f>
        <v>0</v>
      </c>
      <c r="L124">
        <f>DD124 - IF(AH124&gt;1, K124*CY124*100.0/(AJ124), 0)</f>
        <v>0</v>
      </c>
      <c r="M124">
        <f>((S124-I124/2)*L124-K124)/(S124+I124/2)</f>
        <v>0</v>
      </c>
      <c r="N124">
        <f>M124*(DK124+DL124)/1000.0</f>
        <v>0</v>
      </c>
      <c r="O124">
        <f>(DD124 - IF(AH124&gt;1, K124*CY124*100.0/(AJ124), 0))*(DK124+DL124)/1000.0</f>
        <v>0</v>
      </c>
      <c r="P124">
        <f>2.0/((1/R124-1/Q124)+SIGN(R124)*SQRT((1/R124-1/Q124)*(1/R124-1/Q124) + 4*CZ124/((CZ124+1)*(CZ124+1))*(2*1/R124*1/Q124-1/Q124*1/Q124)))</f>
        <v>0</v>
      </c>
      <c r="Q124">
        <f>IF(LEFT(DA124,1)&lt;&gt;"0",IF(LEFT(DA124,1)="1",3.0,DB124),$D$5+$E$5*(DR124*DK124/($K$5*1000))+$F$5*(DR124*DK124/($K$5*1000))*MAX(MIN(CY124,$J$5),$I$5)*MAX(MIN(CY124,$J$5),$I$5)+$G$5*MAX(MIN(CY124,$J$5),$I$5)*(DR124*DK124/($K$5*1000))+$H$5*(DR124*DK124/($K$5*1000))*(DR124*DK124/($K$5*1000)))</f>
        <v>0</v>
      </c>
      <c r="R124">
        <f>I124*(1000-(1000*0.61365*exp(17.502*V124/(240.97+V124))/(DK124+DL124)+DF124)/2)/(1000*0.61365*exp(17.502*V124/(240.97+V124))/(DK124+DL124)-DF124)</f>
        <v>0</v>
      </c>
      <c r="S124">
        <f>1/((CZ124+1)/(P124/1.6)+1/(Q124/1.37)) + CZ124/((CZ124+1)/(P124/1.6) + CZ124/(Q124/1.37))</f>
        <v>0</v>
      </c>
      <c r="T124">
        <f>(CU124*CX124)</f>
        <v>0</v>
      </c>
      <c r="U124">
        <f>(DM124+(T124+2*0.95*5.67E-8*(((DM124+$B$9)+273)^4-(DM124+273)^4)-44100*I124)/(1.84*29.3*Q124+8*0.95*5.67E-8*(DM124+273)^3))</f>
        <v>0</v>
      </c>
      <c r="V124">
        <f>($C$9*DN124+$D$9*DO124+$E$9*U124)</f>
        <v>0</v>
      </c>
      <c r="W124">
        <f>0.61365*exp(17.502*V124/(240.97+V124))</f>
        <v>0</v>
      </c>
      <c r="X124">
        <f>(Y124/Z124*100)</f>
        <v>0</v>
      </c>
      <c r="Y124">
        <f>DF124*(DK124+DL124)/1000</f>
        <v>0</v>
      </c>
      <c r="Z124">
        <f>0.61365*exp(17.502*DM124/(240.97+DM124))</f>
        <v>0</v>
      </c>
      <c r="AA124">
        <f>(W124-DF124*(DK124+DL124)/1000)</f>
        <v>0</v>
      </c>
      <c r="AB124">
        <f>(-I124*44100)</f>
        <v>0</v>
      </c>
      <c r="AC124">
        <f>2*29.3*Q124*0.92*(DM124-V124)</f>
        <v>0</v>
      </c>
      <c r="AD124">
        <f>2*0.95*5.67E-8*(((DM124+$B$9)+273)^4-(V124+273)^4)</f>
        <v>0</v>
      </c>
      <c r="AE124">
        <f>T124+AD124+AB124+AC124</f>
        <v>0</v>
      </c>
      <c r="AF124">
        <v>0</v>
      </c>
      <c r="AG124">
        <v>0</v>
      </c>
      <c r="AH124">
        <f>IF(AF124*$H$15&gt;=AJ124,1.0,(AJ124/(AJ124-AF124*$H$15)))</f>
        <v>0</v>
      </c>
      <c r="AI124">
        <f>(AH124-1)*100</f>
        <v>0</v>
      </c>
      <c r="AJ124">
        <f>MAX(0,($B$15+$C$15*DR124)/(1+$D$15*DR124)*DK124/(DM124+273)*$E$15)</f>
        <v>0</v>
      </c>
      <c r="AK124" t="s">
        <v>420</v>
      </c>
      <c r="AL124" t="s">
        <v>420</v>
      </c>
      <c r="AM124">
        <v>0</v>
      </c>
      <c r="AN124">
        <v>0</v>
      </c>
      <c r="AO124">
        <f>1-AM124/AN124</f>
        <v>0</v>
      </c>
      <c r="AP124">
        <v>0</v>
      </c>
      <c r="AQ124" t="s">
        <v>420</v>
      </c>
      <c r="AR124" t="s">
        <v>420</v>
      </c>
      <c r="AS124">
        <v>0</v>
      </c>
      <c r="AT124">
        <v>0</v>
      </c>
      <c r="AU124">
        <f>1-AS124/AT124</f>
        <v>0</v>
      </c>
      <c r="AV124">
        <v>0.5</v>
      </c>
      <c r="AW124">
        <f>CV124</f>
        <v>0</v>
      </c>
      <c r="AX124">
        <f>K124</f>
        <v>0</v>
      </c>
      <c r="AY124">
        <f>AU124*AV124*AW124</f>
        <v>0</v>
      </c>
      <c r="AZ124">
        <f>(AX124-AP124)/AW124</f>
        <v>0</v>
      </c>
      <c r="BA124">
        <f>(AN124-AT124)/AT124</f>
        <v>0</v>
      </c>
      <c r="BB124">
        <f>AM124/(AO124+AM124/AT124)</f>
        <v>0</v>
      </c>
      <c r="BC124" t="s">
        <v>420</v>
      </c>
      <c r="BD124">
        <v>0</v>
      </c>
      <c r="BE124">
        <f>IF(BD124&lt;&gt;0, BD124, BB124)</f>
        <v>0</v>
      </c>
      <c r="BF124">
        <f>1-BE124/AT124</f>
        <v>0</v>
      </c>
      <c r="BG124">
        <f>(AT124-AS124)/(AT124-BE124)</f>
        <v>0</v>
      </c>
      <c r="BH124">
        <f>(AN124-AT124)/(AN124-BE124)</f>
        <v>0</v>
      </c>
      <c r="BI124">
        <f>(AT124-AS124)/(AT124-AM124)</f>
        <v>0</v>
      </c>
      <c r="BJ124">
        <f>(AN124-AT124)/(AN124-AM124)</f>
        <v>0</v>
      </c>
      <c r="BK124">
        <f>(BG124*BE124/AS124)</f>
        <v>0</v>
      </c>
      <c r="BL124">
        <f>(1-BK124)</f>
        <v>0</v>
      </c>
      <c r="CU124">
        <f>$B$13*DS124+$C$13*DT124+$F$13*EE124*(1-EH124)</f>
        <v>0</v>
      </c>
      <c r="CV124">
        <f>CU124*CW124</f>
        <v>0</v>
      </c>
      <c r="CW124">
        <f>($B$13*$D$11+$C$13*$D$11+$F$13*((ER124+EJ124)/MAX(ER124+EJ124+ES124, 0.1)*$I$11+ES124/MAX(ER124+EJ124+ES124, 0.1)*$J$11))/($B$13+$C$13+$F$13)</f>
        <v>0</v>
      </c>
      <c r="CX124">
        <f>($B$13*$K$11+$C$13*$K$11+$F$13*((ER124+EJ124)/MAX(ER124+EJ124+ES124, 0.1)*$P$11+ES124/MAX(ER124+EJ124+ES124, 0.1)*$Q$11))/($B$13+$C$13+$F$13)</f>
        <v>0</v>
      </c>
      <c r="CY124">
        <v>2.96</v>
      </c>
      <c r="CZ124">
        <v>0.5</v>
      </c>
      <c r="DA124" t="s">
        <v>421</v>
      </c>
      <c r="DB124">
        <v>2</v>
      </c>
      <c r="DC124">
        <v>1761018837.1</v>
      </c>
      <c r="DD124">
        <v>420.5481111111111</v>
      </c>
      <c r="DE124">
        <v>419.9657777777778</v>
      </c>
      <c r="DF124">
        <v>23.66931111111111</v>
      </c>
      <c r="DG124">
        <v>23.50818888888889</v>
      </c>
      <c r="DH124">
        <v>422.1151111111111</v>
      </c>
      <c r="DI124">
        <v>23.47903333333333</v>
      </c>
      <c r="DJ124">
        <v>499.9821111111111</v>
      </c>
      <c r="DK124">
        <v>90.79738888888889</v>
      </c>
      <c r="DL124">
        <v>0.03806216666666667</v>
      </c>
      <c r="DM124">
        <v>30.19926666666667</v>
      </c>
      <c r="DN124">
        <v>30.04836666666667</v>
      </c>
      <c r="DO124">
        <v>999.9000000000001</v>
      </c>
      <c r="DP124">
        <v>0</v>
      </c>
      <c r="DQ124">
        <v>0</v>
      </c>
      <c r="DR124">
        <v>9997.087777777779</v>
      </c>
      <c r="DS124">
        <v>0</v>
      </c>
      <c r="DT124">
        <v>0.242856</v>
      </c>
      <c r="DU124">
        <v>0.5824516666666666</v>
      </c>
      <c r="DV124">
        <v>430.7435555555555</v>
      </c>
      <c r="DW124">
        <v>430.076</v>
      </c>
      <c r="DX124">
        <v>0.161143</v>
      </c>
      <c r="DY124">
        <v>419.9657777777778</v>
      </c>
      <c r="DZ124">
        <v>23.50818888888889</v>
      </c>
      <c r="EA124">
        <v>2.149114444444445</v>
      </c>
      <c r="EB124">
        <v>2.134482222222223</v>
      </c>
      <c r="EC124">
        <v>18.58794444444445</v>
      </c>
      <c r="ED124">
        <v>18.47886666666666</v>
      </c>
      <c r="EE124">
        <v>0.00500078</v>
      </c>
      <c r="EF124">
        <v>0</v>
      </c>
      <c r="EG124">
        <v>0</v>
      </c>
      <c r="EH124">
        <v>0</v>
      </c>
      <c r="EI124">
        <v>429.4333333333333</v>
      </c>
      <c r="EJ124">
        <v>0.00500078</v>
      </c>
      <c r="EK124">
        <v>-20.16666666666667</v>
      </c>
      <c r="EL124">
        <v>-1.211111111111111</v>
      </c>
      <c r="EM124">
        <v>35.05533333333333</v>
      </c>
      <c r="EN124">
        <v>38.22177777777777</v>
      </c>
      <c r="EO124">
        <v>36.458</v>
      </c>
      <c r="EP124">
        <v>38.21511111111111</v>
      </c>
      <c r="EQ124">
        <v>37.35388888888888</v>
      </c>
      <c r="ER124">
        <v>0</v>
      </c>
      <c r="ES124">
        <v>0</v>
      </c>
      <c r="ET124">
        <v>0</v>
      </c>
      <c r="EU124">
        <v>1761018838.9</v>
      </c>
      <c r="EV124">
        <v>0</v>
      </c>
      <c r="EW124">
        <v>429.98</v>
      </c>
      <c r="EX124">
        <v>-3.169230864080234</v>
      </c>
      <c r="EY124">
        <v>-21.40769233151066</v>
      </c>
      <c r="EZ124">
        <v>-20.468</v>
      </c>
      <c r="FA124">
        <v>15</v>
      </c>
      <c r="FB124">
        <v>1761018667.1</v>
      </c>
      <c r="FC124" t="s">
        <v>613</v>
      </c>
      <c r="FD124">
        <v>1761018661.6</v>
      </c>
      <c r="FE124">
        <v>1761018667.1</v>
      </c>
      <c r="FF124">
        <v>26</v>
      </c>
      <c r="FG124">
        <v>-0.221</v>
      </c>
      <c r="FH124">
        <v>-0.001</v>
      </c>
      <c r="FI124">
        <v>-1.568</v>
      </c>
      <c r="FJ124">
        <v>0.178</v>
      </c>
      <c r="FK124">
        <v>420</v>
      </c>
      <c r="FL124">
        <v>23</v>
      </c>
      <c r="FM124">
        <v>0.1</v>
      </c>
      <c r="FN124">
        <v>0.08</v>
      </c>
      <c r="FO124">
        <v>0.5520957073170731</v>
      </c>
      <c r="FP124">
        <v>0.1315943832752613</v>
      </c>
      <c r="FQ124">
        <v>0.04318651376565848</v>
      </c>
      <c r="FR124">
        <v>1</v>
      </c>
      <c r="FS124">
        <v>431.2411764705882</v>
      </c>
      <c r="FT124">
        <v>-16.34530169212316</v>
      </c>
      <c r="FU124">
        <v>6.162367652656343</v>
      </c>
      <c r="FV124">
        <v>0</v>
      </c>
      <c r="FW124">
        <v>0.1223209170731707</v>
      </c>
      <c r="FX124">
        <v>0.3734142543554005</v>
      </c>
      <c r="FY124">
        <v>0.03857942473917679</v>
      </c>
      <c r="FZ124">
        <v>0</v>
      </c>
      <c r="GA124">
        <v>1</v>
      </c>
      <c r="GB124">
        <v>3</v>
      </c>
      <c r="GC124" t="s">
        <v>431</v>
      </c>
      <c r="GD124">
        <v>3.1094</v>
      </c>
      <c r="GE124">
        <v>2.72978</v>
      </c>
      <c r="GF124">
        <v>0.0889606</v>
      </c>
      <c r="GG124">
        <v>0.08867129999999999</v>
      </c>
      <c r="GH124">
        <v>0.107841</v>
      </c>
      <c r="GI124">
        <v>0.108386</v>
      </c>
      <c r="GJ124">
        <v>23919.9</v>
      </c>
      <c r="GK124">
        <v>21667.5</v>
      </c>
      <c r="GL124">
        <v>26812.1</v>
      </c>
      <c r="GM124">
        <v>23980.4</v>
      </c>
      <c r="GN124">
        <v>38219.3</v>
      </c>
      <c r="GO124">
        <v>31535</v>
      </c>
      <c r="GP124">
        <v>46798</v>
      </c>
      <c r="GQ124">
        <v>37904.4</v>
      </c>
      <c r="GR124">
        <v>1.89783</v>
      </c>
      <c r="GS124">
        <v>1.89167</v>
      </c>
      <c r="GT124">
        <v>0.135712</v>
      </c>
      <c r="GU124">
        <v>0</v>
      </c>
      <c r="GV124">
        <v>27.8193</v>
      </c>
      <c r="GW124">
        <v>999.9</v>
      </c>
      <c r="GX124">
        <v>63.9</v>
      </c>
      <c r="GY124">
        <v>28.6</v>
      </c>
      <c r="GZ124">
        <v>27.6561</v>
      </c>
      <c r="HA124">
        <v>60.7373</v>
      </c>
      <c r="HB124">
        <v>20.008</v>
      </c>
      <c r="HC124">
        <v>1</v>
      </c>
      <c r="HD124">
        <v>-0.00310213</v>
      </c>
      <c r="HE124">
        <v>-2.1096</v>
      </c>
      <c r="HF124">
        <v>20.3254</v>
      </c>
      <c r="HG124">
        <v>5.21849</v>
      </c>
      <c r="HH124">
        <v>11.98</v>
      </c>
      <c r="HI124">
        <v>4.9655</v>
      </c>
      <c r="HJ124">
        <v>3.276</v>
      </c>
      <c r="HK124">
        <v>9999</v>
      </c>
      <c r="HL124">
        <v>9999</v>
      </c>
      <c r="HM124">
        <v>9999</v>
      </c>
      <c r="HN124">
        <v>999.9</v>
      </c>
      <c r="HO124">
        <v>1.86362</v>
      </c>
      <c r="HP124">
        <v>1.85974</v>
      </c>
      <c r="HQ124">
        <v>1.85803</v>
      </c>
      <c r="HR124">
        <v>1.85941</v>
      </c>
      <c r="HS124">
        <v>1.85959</v>
      </c>
      <c r="HT124">
        <v>1.85804</v>
      </c>
      <c r="HU124">
        <v>1.8571</v>
      </c>
      <c r="HV124">
        <v>1.8521</v>
      </c>
      <c r="HW124">
        <v>0</v>
      </c>
      <c r="HX124">
        <v>0</v>
      </c>
      <c r="HY124">
        <v>0</v>
      </c>
      <c r="HZ124">
        <v>0</v>
      </c>
      <c r="IA124" t="s">
        <v>424</v>
      </c>
      <c r="IB124" t="s">
        <v>425</v>
      </c>
      <c r="IC124" t="s">
        <v>426</v>
      </c>
      <c r="ID124" t="s">
        <v>426</v>
      </c>
      <c r="IE124" t="s">
        <v>426</v>
      </c>
      <c r="IF124" t="s">
        <v>426</v>
      </c>
      <c r="IG124">
        <v>0</v>
      </c>
      <c r="IH124">
        <v>100</v>
      </c>
      <c r="II124">
        <v>100</v>
      </c>
      <c r="IJ124">
        <v>-1.567</v>
      </c>
      <c r="IK124">
        <v>0.19</v>
      </c>
      <c r="IL124">
        <v>-2.357986366295179</v>
      </c>
      <c r="IM124">
        <v>0.001328113201692861</v>
      </c>
      <c r="IN124">
        <v>1.538283238170363E-06</v>
      </c>
      <c r="IO124">
        <v>-5.795655626708063E-10</v>
      </c>
      <c r="IP124">
        <v>-0.06105361615936408</v>
      </c>
      <c r="IQ124">
        <v>-0.004593102289677449</v>
      </c>
      <c r="IR124">
        <v>0.0008253994458280543</v>
      </c>
      <c r="IS124">
        <v>-7.403632370499484E-06</v>
      </c>
      <c r="IT124">
        <v>2</v>
      </c>
      <c r="IU124">
        <v>1985</v>
      </c>
      <c r="IV124">
        <v>1</v>
      </c>
      <c r="IW124">
        <v>27</v>
      </c>
      <c r="IX124">
        <v>3</v>
      </c>
      <c r="IY124">
        <v>2.9</v>
      </c>
      <c r="IZ124">
        <v>1.12793</v>
      </c>
      <c r="JA124">
        <v>2.58057</v>
      </c>
      <c r="JB124">
        <v>1.49658</v>
      </c>
      <c r="JC124">
        <v>2.34131</v>
      </c>
      <c r="JD124">
        <v>1.54907</v>
      </c>
      <c r="JE124">
        <v>2.47192</v>
      </c>
      <c r="JF124">
        <v>31.8927</v>
      </c>
      <c r="JG124">
        <v>14.5436</v>
      </c>
      <c r="JH124">
        <v>18</v>
      </c>
      <c r="JI124">
        <v>482.831</v>
      </c>
      <c r="JJ124">
        <v>508.771</v>
      </c>
      <c r="JK124">
        <v>31.4603</v>
      </c>
      <c r="JL124">
        <v>27.2147</v>
      </c>
      <c r="JM124">
        <v>29.9997</v>
      </c>
      <c r="JN124">
        <v>27.5328</v>
      </c>
      <c r="JO124">
        <v>27.5435</v>
      </c>
      <c r="JP124">
        <v>22.6825</v>
      </c>
      <c r="JQ124">
        <v>18.819</v>
      </c>
      <c r="JR124">
        <v>84.2166</v>
      </c>
      <c r="JS124">
        <v>31.4288</v>
      </c>
      <c r="JT124">
        <v>420</v>
      </c>
      <c r="JU124">
        <v>23.4863</v>
      </c>
      <c r="JV124">
        <v>102.338</v>
      </c>
      <c r="JW124">
        <v>91.44410000000001</v>
      </c>
    </row>
    <row r="125" spans="1:283">
      <c r="A125">
        <v>107</v>
      </c>
      <c r="B125">
        <v>1761018842.1</v>
      </c>
      <c r="C125">
        <v>772.5999999046326</v>
      </c>
      <c r="D125" t="s">
        <v>644</v>
      </c>
      <c r="E125" t="s">
        <v>645</v>
      </c>
      <c r="F125">
        <v>5</v>
      </c>
      <c r="G125" t="s">
        <v>612</v>
      </c>
      <c r="H125">
        <v>1761018839.1</v>
      </c>
      <c r="I125">
        <f>(J125)/1000</f>
        <v>0</v>
      </c>
      <c r="J125">
        <f>1000*DJ125*AH125*(DF125-DG125)/(100*CY125*(1000-AH125*DF125))</f>
        <v>0</v>
      </c>
      <c r="K125">
        <f>DJ125*AH125*(DE125-DD125*(1000-AH125*DG125)/(1000-AH125*DF125))/(100*CY125)</f>
        <v>0</v>
      </c>
      <c r="L125">
        <f>DD125 - IF(AH125&gt;1, K125*CY125*100.0/(AJ125), 0)</f>
        <v>0</v>
      </c>
      <c r="M125">
        <f>((S125-I125/2)*L125-K125)/(S125+I125/2)</f>
        <v>0</v>
      </c>
      <c r="N125">
        <f>M125*(DK125+DL125)/1000.0</f>
        <v>0</v>
      </c>
      <c r="O125">
        <f>(DD125 - IF(AH125&gt;1, K125*CY125*100.0/(AJ125), 0))*(DK125+DL125)/1000.0</f>
        <v>0</v>
      </c>
      <c r="P125">
        <f>2.0/((1/R125-1/Q125)+SIGN(R125)*SQRT((1/R125-1/Q125)*(1/R125-1/Q125) + 4*CZ125/((CZ125+1)*(CZ125+1))*(2*1/R125*1/Q125-1/Q125*1/Q125)))</f>
        <v>0</v>
      </c>
      <c r="Q125">
        <f>IF(LEFT(DA125,1)&lt;&gt;"0",IF(LEFT(DA125,1)="1",3.0,DB125),$D$5+$E$5*(DR125*DK125/($K$5*1000))+$F$5*(DR125*DK125/($K$5*1000))*MAX(MIN(CY125,$J$5),$I$5)*MAX(MIN(CY125,$J$5),$I$5)+$G$5*MAX(MIN(CY125,$J$5),$I$5)*(DR125*DK125/($K$5*1000))+$H$5*(DR125*DK125/($K$5*1000))*(DR125*DK125/($K$5*1000)))</f>
        <v>0</v>
      </c>
      <c r="R125">
        <f>I125*(1000-(1000*0.61365*exp(17.502*V125/(240.97+V125))/(DK125+DL125)+DF125)/2)/(1000*0.61365*exp(17.502*V125/(240.97+V125))/(DK125+DL125)-DF125)</f>
        <v>0</v>
      </c>
      <c r="S125">
        <f>1/((CZ125+1)/(P125/1.6)+1/(Q125/1.37)) + CZ125/((CZ125+1)/(P125/1.6) + CZ125/(Q125/1.37))</f>
        <v>0</v>
      </c>
      <c r="T125">
        <f>(CU125*CX125)</f>
        <v>0</v>
      </c>
      <c r="U125">
        <f>(DM125+(T125+2*0.95*5.67E-8*(((DM125+$B$9)+273)^4-(DM125+273)^4)-44100*I125)/(1.84*29.3*Q125+8*0.95*5.67E-8*(DM125+273)^3))</f>
        <v>0</v>
      </c>
      <c r="V125">
        <f>($C$9*DN125+$D$9*DO125+$E$9*U125)</f>
        <v>0</v>
      </c>
      <c r="W125">
        <f>0.61365*exp(17.502*V125/(240.97+V125))</f>
        <v>0</v>
      </c>
      <c r="X125">
        <f>(Y125/Z125*100)</f>
        <v>0</v>
      </c>
      <c r="Y125">
        <f>DF125*(DK125+DL125)/1000</f>
        <v>0</v>
      </c>
      <c r="Z125">
        <f>0.61365*exp(17.502*DM125/(240.97+DM125))</f>
        <v>0</v>
      </c>
      <c r="AA125">
        <f>(W125-DF125*(DK125+DL125)/1000)</f>
        <v>0</v>
      </c>
      <c r="AB125">
        <f>(-I125*44100)</f>
        <v>0</v>
      </c>
      <c r="AC125">
        <f>2*29.3*Q125*0.92*(DM125-V125)</f>
        <v>0</v>
      </c>
      <c r="AD125">
        <f>2*0.95*5.67E-8*(((DM125+$B$9)+273)^4-(V125+273)^4)</f>
        <v>0</v>
      </c>
      <c r="AE125">
        <f>T125+AD125+AB125+AC125</f>
        <v>0</v>
      </c>
      <c r="AF125">
        <v>0</v>
      </c>
      <c r="AG125">
        <v>0</v>
      </c>
      <c r="AH125">
        <f>IF(AF125*$H$15&gt;=AJ125,1.0,(AJ125/(AJ125-AF125*$H$15)))</f>
        <v>0</v>
      </c>
      <c r="AI125">
        <f>(AH125-1)*100</f>
        <v>0</v>
      </c>
      <c r="AJ125">
        <f>MAX(0,($B$15+$C$15*DR125)/(1+$D$15*DR125)*DK125/(DM125+273)*$E$15)</f>
        <v>0</v>
      </c>
      <c r="AK125" t="s">
        <v>420</v>
      </c>
      <c r="AL125" t="s">
        <v>420</v>
      </c>
      <c r="AM125">
        <v>0</v>
      </c>
      <c r="AN125">
        <v>0</v>
      </c>
      <c r="AO125">
        <f>1-AM125/AN125</f>
        <v>0</v>
      </c>
      <c r="AP125">
        <v>0</v>
      </c>
      <c r="AQ125" t="s">
        <v>420</v>
      </c>
      <c r="AR125" t="s">
        <v>420</v>
      </c>
      <c r="AS125">
        <v>0</v>
      </c>
      <c r="AT125">
        <v>0</v>
      </c>
      <c r="AU125">
        <f>1-AS125/AT125</f>
        <v>0</v>
      </c>
      <c r="AV125">
        <v>0.5</v>
      </c>
      <c r="AW125">
        <f>CV125</f>
        <v>0</v>
      </c>
      <c r="AX125">
        <f>K125</f>
        <v>0</v>
      </c>
      <c r="AY125">
        <f>AU125*AV125*AW125</f>
        <v>0</v>
      </c>
      <c r="AZ125">
        <f>(AX125-AP125)/AW125</f>
        <v>0</v>
      </c>
      <c r="BA125">
        <f>(AN125-AT125)/AT125</f>
        <v>0</v>
      </c>
      <c r="BB125">
        <f>AM125/(AO125+AM125/AT125)</f>
        <v>0</v>
      </c>
      <c r="BC125" t="s">
        <v>420</v>
      </c>
      <c r="BD125">
        <v>0</v>
      </c>
      <c r="BE125">
        <f>IF(BD125&lt;&gt;0, BD125, BB125)</f>
        <v>0</v>
      </c>
      <c r="BF125">
        <f>1-BE125/AT125</f>
        <v>0</v>
      </c>
      <c r="BG125">
        <f>(AT125-AS125)/(AT125-BE125)</f>
        <v>0</v>
      </c>
      <c r="BH125">
        <f>(AN125-AT125)/(AN125-BE125)</f>
        <v>0</v>
      </c>
      <c r="BI125">
        <f>(AT125-AS125)/(AT125-AM125)</f>
        <v>0</v>
      </c>
      <c r="BJ125">
        <f>(AN125-AT125)/(AN125-AM125)</f>
        <v>0</v>
      </c>
      <c r="BK125">
        <f>(BG125*BE125/AS125)</f>
        <v>0</v>
      </c>
      <c r="BL125">
        <f>(1-BK125)</f>
        <v>0</v>
      </c>
      <c r="CU125">
        <f>$B$13*DS125+$C$13*DT125+$F$13*EE125*(1-EH125)</f>
        <v>0</v>
      </c>
      <c r="CV125">
        <f>CU125*CW125</f>
        <v>0</v>
      </c>
      <c r="CW125">
        <f>($B$13*$D$11+$C$13*$D$11+$F$13*((ER125+EJ125)/MAX(ER125+EJ125+ES125, 0.1)*$I$11+ES125/MAX(ER125+EJ125+ES125, 0.1)*$J$11))/($B$13+$C$13+$F$13)</f>
        <v>0</v>
      </c>
      <c r="CX125">
        <f>($B$13*$K$11+$C$13*$K$11+$F$13*((ER125+EJ125)/MAX(ER125+EJ125+ES125, 0.1)*$P$11+ES125/MAX(ER125+EJ125+ES125, 0.1)*$Q$11))/($B$13+$C$13+$F$13)</f>
        <v>0</v>
      </c>
      <c r="CY125">
        <v>2.96</v>
      </c>
      <c r="CZ125">
        <v>0.5</v>
      </c>
      <c r="DA125" t="s">
        <v>421</v>
      </c>
      <c r="DB125">
        <v>2</v>
      </c>
      <c r="DC125">
        <v>1761018839.1</v>
      </c>
      <c r="DD125">
        <v>420.5354444444445</v>
      </c>
      <c r="DE125">
        <v>419.9876666666667</v>
      </c>
      <c r="DF125">
        <v>23.65891111111111</v>
      </c>
      <c r="DG125">
        <v>23.50227777777778</v>
      </c>
      <c r="DH125">
        <v>422.1024444444445</v>
      </c>
      <c r="DI125">
        <v>23.46885555555555</v>
      </c>
      <c r="DJ125">
        <v>499.9525555555556</v>
      </c>
      <c r="DK125">
        <v>90.79753333333332</v>
      </c>
      <c r="DL125">
        <v>0.03805625555555556</v>
      </c>
      <c r="DM125">
        <v>30.19476666666667</v>
      </c>
      <c r="DN125">
        <v>30.04053333333333</v>
      </c>
      <c r="DO125">
        <v>999.9000000000001</v>
      </c>
      <c r="DP125">
        <v>0</v>
      </c>
      <c r="DQ125">
        <v>0</v>
      </c>
      <c r="DR125">
        <v>9998.127777777778</v>
      </c>
      <c r="DS125">
        <v>0</v>
      </c>
      <c r="DT125">
        <v>0.242856</v>
      </c>
      <c r="DU125">
        <v>0.5477973333333334</v>
      </c>
      <c r="DV125">
        <v>430.726</v>
      </c>
      <c r="DW125">
        <v>430.0957777777778</v>
      </c>
      <c r="DX125">
        <v>0.1566622222222222</v>
      </c>
      <c r="DY125">
        <v>419.9876666666667</v>
      </c>
      <c r="DZ125">
        <v>23.50227777777778</v>
      </c>
      <c r="EA125">
        <v>2.148172222222222</v>
      </c>
      <c r="EB125">
        <v>2.133946666666666</v>
      </c>
      <c r="EC125">
        <v>18.58094444444444</v>
      </c>
      <c r="ED125">
        <v>18.47486666666667</v>
      </c>
      <c r="EE125">
        <v>0.00500078</v>
      </c>
      <c r="EF125">
        <v>0</v>
      </c>
      <c r="EG125">
        <v>0</v>
      </c>
      <c r="EH125">
        <v>0</v>
      </c>
      <c r="EI125">
        <v>427.2888888888889</v>
      </c>
      <c r="EJ125">
        <v>0.00500078</v>
      </c>
      <c r="EK125">
        <v>-18.35555555555555</v>
      </c>
      <c r="EL125">
        <v>-0.711111111111111</v>
      </c>
      <c r="EM125">
        <v>35.05533333333334</v>
      </c>
      <c r="EN125">
        <v>38.25655555555555</v>
      </c>
      <c r="EO125">
        <v>36.50677777777778</v>
      </c>
      <c r="EP125">
        <v>38.27766666666667</v>
      </c>
      <c r="EQ125">
        <v>37.29133333333333</v>
      </c>
      <c r="ER125">
        <v>0</v>
      </c>
      <c r="ES125">
        <v>0</v>
      </c>
      <c r="ET125">
        <v>0</v>
      </c>
      <c r="EU125">
        <v>1761018841.3</v>
      </c>
      <c r="EV125">
        <v>0</v>
      </c>
      <c r="EW125">
        <v>429.792</v>
      </c>
      <c r="EX125">
        <v>-12.44615396672603</v>
      </c>
      <c r="EY125">
        <v>20.3846154499806</v>
      </c>
      <c r="EZ125">
        <v>-21.46</v>
      </c>
      <c r="FA125">
        <v>15</v>
      </c>
      <c r="FB125">
        <v>1761018667.1</v>
      </c>
      <c r="FC125" t="s">
        <v>613</v>
      </c>
      <c r="FD125">
        <v>1761018661.6</v>
      </c>
      <c r="FE125">
        <v>1761018667.1</v>
      </c>
      <c r="FF125">
        <v>26</v>
      </c>
      <c r="FG125">
        <v>-0.221</v>
      </c>
      <c r="FH125">
        <v>-0.001</v>
      </c>
      <c r="FI125">
        <v>-1.568</v>
      </c>
      <c r="FJ125">
        <v>0.178</v>
      </c>
      <c r="FK125">
        <v>420</v>
      </c>
      <c r="FL125">
        <v>23</v>
      </c>
      <c r="FM125">
        <v>0.1</v>
      </c>
      <c r="FN125">
        <v>0.08</v>
      </c>
      <c r="FO125">
        <v>0.54820705</v>
      </c>
      <c r="FP125">
        <v>0.1261583864915559</v>
      </c>
      <c r="FQ125">
        <v>0.04439947019275679</v>
      </c>
      <c r="FR125">
        <v>1</v>
      </c>
      <c r="FS125">
        <v>430.9911764705882</v>
      </c>
      <c r="FT125">
        <v>-18.95339948321137</v>
      </c>
      <c r="FU125">
        <v>6.293384371799574</v>
      </c>
      <c r="FV125">
        <v>0</v>
      </c>
      <c r="FW125">
        <v>0.1308772</v>
      </c>
      <c r="FX125">
        <v>0.3161163849906191</v>
      </c>
      <c r="FY125">
        <v>0.03362095500737598</v>
      </c>
      <c r="FZ125">
        <v>0</v>
      </c>
      <c r="GA125">
        <v>1</v>
      </c>
      <c r="GB125">
        <v>3</v>
      </c>
      <c r="GC125" t="s">
        <v>431</v>
      </c>
      <c r="GD125">
        <v>3.10956</v>
      </c>
      <c r="GE125">
        <v>2.7295</v>
      </c>
      <c r="GF125">
        <v>0.08895980000000001</v>
      </c>
      <c r="GG125">
        <v>0.0886716</v>
      </c>
      <c r="GH125">
        <v>0.107818</v>
      </c>
      <c r="GI125">
        <v>0.10838</v>
      </c>
      <c r="GJ125">
        <v>23920</v>
      </c>
      <c r="GK125">
        <v>21667.4</v>
      </c>
      <c r="GL125">
        <v>26812.2</v>
      </c>
      <c r="GM125">
        <v>23980.2</v>
      </c>
      <c r="GN125">
        <v>38220.4</v>
      </c>
      <c r="GO125">
        <v>31535.2</v>
      </c>
      <c r="GP125">
        <v>46798.3</v>
      </c>
      <c r="GQ125">
        <v>37904.3</v>
      </c>
      <c r="GR125">
        <v>1.89832</v>
      </c>
      <c r="GS125">
        <v>1.8913</v>
      </c>
      <c r="GT125">
        <v>0.135601</v>
      </c>
      <c r="GU125">
        <v>0</v>
      </c>
      <c r="GV125">
        <v>27.8193</v>
      </c>
      <c r="GW125">
        <v>999.9</v>
      </c>
      <c r="GX125">
        <v>63.9</v>
      </c>
      <c r="GY125">
        <v>28.6</v>
      </c>
      <c r="GZ125">
        <v>27.6549</v>
      </c>
      <c r="HA125">
        <v>61.2873</v>
      </c>
      <c r="HB125">
        <v>20.1803</v>
      </c>
      <c r="HC125">
        <v>1</v>
      </c>
      <c r="HD125">
        <v>-0.00330285</v>
      </c>
      <c r="HE125">
        <v>-2.07098</v>
      </c>
      <c r="HF125">
        <v>20.3259</v>
      </c>
      <c r="HG125">
        <v>5.21834</v>
      </c>
      <c r="HH125">
        <v>11.98</v>
      </c>
      <c r="HI125">
        <v>4.96545</v>
      </c>
      <c r="HJ125">
        <v>3.27598</v>
      </c>
      <c r="HK125">
        <v>9999</v>
      </c>
      <c r="HL125">
        <v>9999</v>
      </c>
      <c r="HM125">
        <v>9999</v>
      </c>
      <c r="HN125">
        <v>999.9</v>
      </c>
      <c r="HO125">
        <v>1.86362</v>
      </c>
      <c r="HP125">
        <v>1.85974</v>
      </c>
      <c r="HQ125">
        <v>1.85803</v>
      </c>
      <c r="HR125">
        <v>1.85942</v>
      </c>
      <c r="HS125">
        <v>1.85959</v>
      </c>
      <c r="HT125">
        <v>1.85804</v>
      </c>
      <c r="HU125">
        <v>1.85709</v>
      </c>
      <c r="HV125">
        <v>1.8521</v>
      </c>
      <c r="HW125">
        <v>0</v>
      </c>
      <c r="HX125">
        <v>0</v>
      </c>
      <c r="HY125">
        <v>0</v>
      </c>
      <c r="HZ125">
        <v>0</v>
      </c>
      <c r="IA125" t="s">
        <v>424</v>
      </c>
      <c r="IB125" t="s">
        <v>425</v>
      </c>
      <c r="IC125" t="s">
        <v>426</v>
      </c>
      <c r="ID125" t="s">
        <v>426</v>
      </c>
      <c r="IE125" t="s">
        <v>426</v>
      </c>
      <c r="IF125" t="s">
        <v>426</v>
      </c>
      <c r="IG125">
        <v>0</v>
      </c>
      <c r="IH125">
        <v>100</v>
      </c>
      <c r="II125">
        <v>100</v>
      </c>
      <c r="IJ125">
        <v>-1.566</v>
      </c>
      <c r="IK125">
        <v>0.1898</v>
      </c>
      <c r="IL125">
        <v>-2.357986366295179</v>
      </c>
      <c r="IM125">
        <v>0.001328113201692861</v>
      </c>
      <c r="IN125">
        <v>1.538283238170363E-06</v>
      </c>
      <c r="IO125">
        <v>-5.795655626708063E-10</v>
      </c>
      <c r="IP125">
        <v>-0.06105361615936408</v>
      </c>
      <c r="IQ125">
        <v>-0.004593102289677449</v>
      </c>
      <c r="IR125">
        <v>0.0008253994458280543</v>
      </c>
      <c r="IS125">
        <v>-7.403632370499484E-06</v>
      </c>
      <c r="IT125">
        <v>2</v>
      </c>
      <c r="IU125">
        <v>1985</v>
      </c>
      <c r="IV125">
        <v>1</v>
      </c>
      <c r="IW125">
        <v>27</v>
      </c>
      <c r="IX125">
        <v>3</v>
      </c>
      <c r="IY125">
        <v>2.9</v>
      </c>
      <c r="IZ125">
        <v>1.12793</v>
      </c>
      <c r="JA125">
        <v>2.58789</v>
      </c>
      <c r="JB125">
        <v>1.49658</v>
      </c>
      <c r="JC125">
        <v>2.34131</v>
      </c>
      <c r="JD125">
        <v>1.54907</v>
      </c>
      <c r="JE125">
        <v>2.40967</v>
      </c>
      <c r="JF125">
        <v>31.8927</v>
      </c>
      <c r="JG125">
        <v>14.5348</v>
      </c>
      <c r="JH125">
        <v>18</v>
      </c>
      <c r="JI125">
        <v>483.102</v>
      </c>
      <c r="JJ125">
        <v>508.499</v>
      </c>
      <c r="JK125">
        <v>31.4396</v>
      </c>
      <c r="JL125">
        <v>27.2124</v>
      </c>
      <c r="JM125">
        <v>29.9996</v>
      </c>
      <c r="JN125">
        <v>27.5305</v>
      </c>
      <c r="JO125">
        <v>27.5411</v>
      </c>
      <c r="JP125">
        <v>22.6802</v>
      </c>
      <c r="JQ125">
        <v>18.819</v>
      </c>
      <c r="JR125">
        <v>84.2166</v>
      </c>
      <c r="JS125">
        <v>31.4288</v>
      </c>
      <c r="JT125">
        <v>420</v>
      </c>
      <c r="JU125">
        <v>23.4895</v>
      </c>
      <c r="JV125">
        <v>102.338</v>
      </c>
      <c r="JW125">
        <v>91.44370000000001</v>
      </c>
    </row>
    <row r="126" spans="1:283">
      <c r="A126">
        <v>108</v>
      </c>
      <c r="B126">
        <v>1761018844.1</v>
      </c>
      <c r="C126">
        <v>774.5999999046326</v>
      </c>
      <c r="D126" t="s">
        <v>646</v>
      </c>
      <c r="E126" t="s">
        <v>647</v>
      </c>
      <c r="F126">
        <v>5</v>
      </c>
      <c r="G126" t="s">
        <v>612</v>
      </c>
      <c r="H126">
        <v>1761018841.1</v>
      </c>
      <c r="I126">
        <f>(J126)/1000</f>
        <v>0</v>
      </c>
      <c r="J126">
        <f>1000*DJ126*AH126*(DF126-DG126)/(100*CY126*(1000-AH126*DF126))</f>
        <v>0</v>
      </c>
      <c r="K126">
        <f>DJ126*AH126*(DE126-DD126*(1000-AH126*DG126)/(1000-AH126*DF126))/(100*CY126)</f>
        <v>0</v>
      </c>
      <c r="L126">
        <f>DD126 - IF(AH126&gt;1, K126*CY126*100.0/(AJ126), 0)</f>
        <v>0</v>
      </c>
      <c r="M126">
        <f>((S126-I126/2)*L126-K126)/(S126+I126/2)</f>
        <v>0</v>
      </c>
      <c r="N126">
        <f>M126*(DK126+DL126)/1000.0</f>
        <v>0</v>
      </c>
      <c r="O126">
        <f>(DD126 - IF(AH126&gt;1, K126*CY126*100.0/(AJ126), 0))*(DK126+DL126)/1000.0</f>
        <v>0</v>
      </c>
      <c r="P126">
        <f>2.0/((1/R126-1/Q126)+SIGN(R126)*SQRT((1/R126-1/Q126)*(1/R126-1/Q126) + 4*CZ126/((CZ126+1)*(CZ126+1))*(2*1/R126*1/Q126-1/Q126*1/Q126)))</f>
        <v>0</v>
      </c>
      <c r="Q126">
        <f>IF(LEFT(DA126,1)&lt;&gt;"0",IF(LEFT(DA126,1)="1",3.0,DB126),$D$5+$E$5*(DR126*DK126/($K$5*1000))+$F$5*(DR126*DK126/($K$5*1000))*MAX(MIN(CY126,$J$5),$I$5)*MAX(MIN(CY126,$J$5),$I$5)+$G$5*MAX(MIN(CY126,$J$5),$I$5)*(DR126*DK126/($K$5*1000))+$H$5*(DR126*DK126/($K$5*1000))*(DR126*DK126/($K$5*1000)))</f>
        <v>0</v>
      </c>
      <c r="R126">
        <f>I126*(1000-(1000*0.61365*exp(17.502*V126/(240.97+V126))/(DK126+DL126)+DF126)/2)/(1000*0.61365*exp(17.502*V126/(240.97+V126))/(DK126+DL126)-DF126)</f>
        <v>0</v>
      </c>
      <c r="S126">
        <f>1/((CZ126+1)/(P126/1.6)+1/(Q126/1.37)) + CZ126/((CZ126+1)/(P126/1.6) + CZ126/(Q126/1.37))</f>
        <v>0</v>
      </c>
      <c r="T126">
        <f>(CU126*CX126)</f>
        <v>0</v>
      </c>
      <c r="U126">
        <f>(DM126+(T126+2*0.95*5.67E-8*(((DM126+$B$9)+273)^4-(DM126+273)^4)-44100*I126)/(1.84*29.3*Q126+8*0.95*5.67E-8*(DM126+273)^3))</f>
        <v>0</v>
      </c>
      <c r="V126">
        <f>($C$9*DN126+$D$9*DO126+$E$9*U126)</f>
        <v>0</v>
      </c>
      <c r="W126">
        <f>0.61365*exp(17.502*V126/(240.97+V126))</f>
        <v>0</v>
      </c>
      <c r="X126">
        <f>(Y126/Z126*100)</f>
        <v>0</v>
      </c>
      <c r="Y126">
        <f>DF126*(DK126+DL126)/1000</f>
        <v>0</v>
      </c>
      <c r="Z126">
        <f>0.61365*exp(17.502*DM126/(240.97+DM126))</f>
        <v>0</v>
      </c>
      <c r="AA126">
        <f>(W126-DF126*(DK126+DL126)/1000)</f>
        <v>0</v>
      </c>
      <c r="AB126">
        <f>(-I126*44100)</f>
        <v>0</v>
      </c>
      <c r="AC126">
        <f>2*29.3*Q126*0.92*(DM126-V126)</f>
        <v>0</v>
      </c>
      <c r="AD126">
        <f>2*0.95*5.67E-8*(((DM126+$B$9)+273)^4-(V126+273)^4)</f>
        <v>0</v>
      </c>
      <c r="AE126">
        <f>T126+AD126+AB126+AC126</f>
        <v>0</v>
      </c>
      <c r="AF126">
        <v>0</v>
      </c>
      <c r="AG126">
        <v>0</v>
      </c>
      <c r="AH126">
        <f>IF(AF126*$H$15&gt;=AJ126,1.0,(AJ126/(AJ126-AF126*$H$15)))</f>
        <v>0</v>
      </c>
      <c r="AI126">
        <f>(AH126-1)*100</f>
        <v>0</v>
      </c>
      <c r="AJ126">
        <f>MAX(0,($B$15+$C$15*DR126)/(1+$D$15*DR126)*DK126/(DM126+273)*$E$15)</f>
        <v>0</v>
      </c>
      <c r="AK126" t="s">
        <v>420</v>
      </c>
      <c r="AL126" t="s">
        <v>420</v>
      </c>
      <c r="AM126">
        <v>0</v>
      </c>
      <c r="AN126">
        <v>0</v>
      </c>
      <c r="AO126">
        <f>1-AM126/AN126</f>
        <v>0</v>
      </c>
      <c r="AP126">
        <v>0</v>
      </c>
      <c r="AQ126" t="s">
        <v>420</v>
      </c>
      <c r="AR126" t="s">
        <v>420</v>
      </c>
      <c r="AS126">
        <v>0</v>
      </c>
      <c r="AT126">
        <v>0</v>
      </c>
      <c r="AU126">
        <f>1-AS126/AT126</f>
        <v>0</v>
      </c>
      <c r="AV126">
        <v>0.5</v>
      </c>
      <c r="AW126">
        <f>CV126</f>
        <v>0</v>
      </c>
      <c r="AX126">
        <f>K126</f>
        <v>0</v>
      </c>
      <c r="AY126">
        <f>AU126*AV126*AW126</f>
        <v>0</v>
      </c>
      <c r="AZ126">
        <f>(AX126-AP126)/AW126</f>
        <v>0</v>
      </c>
      <c r="BA126">
        <f>(AN126-AT126)/AT126</f>
        <v>0</v>
      </c>
      <c r="BB126">
        <f>AM126/(AO126+AM126/AT126)</f>
        <v>0</v>
      </c>
      <c r="BC126" t="s">
        <v>420</v>
      </c>
      <c r="BD126">
        <v>0</v>
      </c>
      <c r="BE126">
        <f>IF(BD126&lt;&gt;0, BD126, BB126)</f>
        <v>0</v>
      </c>
      <c r="BF126">
        <f>1-BE126/AT126</f>
        <v>0</v>
      </c>
      <c r="BG126">
        <f>(AT126-AS126)/(AT126-BE126)</f>
        <v>0</v>
      </c>
      <c r="BH126">
        <f>(AN126-AT126)/(AN126-BE126)</f>
        <v>0</v>
      </c>
      <c r="BI126">
        <f>(AT126-AS126)/(AT126-AM126)</f>
        <v>0</v>
      </c>
      <c r="BJ126">
        <f>(AN126-AT126)/(AN126-AM126)</f>
        <v>0</v>
      </c>
      <c r="BK126">
        <f>(BG126*BE126/AS126)</f>
        <v>0</v>
      </c>
      <c r="BL126">
        <f>(1-BK126)</f>
        <v>0</v>
      </c>
      <c r="CU126">
        <f>$B$13*DS126+$C$13*DT126+$F$13*EE126*(1-EH126)</f>
        <v>0</v>
      </c>
      <c r="CV126">
        <f>CU126*CW126</f>
        <v>0</v>
      </c>
      <c r="CW126">
        <f>($B$13*$D$11+$C$13*$D$11+$F$13*((ER126+EJ126)/MAX(ER126+EJ126+ES126, 0.1)*$I$11+ES126/MAX(ER126+EJ126+ES126, 0.1)*$J$11))/($B$13+$C$13+$F$13)</f>
        <v>0</v>
      </c>
      <c r="CX126">
        <f>($B$13*$K$11+$C$13*$K$11+$F$13*((ER126+EJ126)/MAX(ER126+EJ126+ES126, 0.1)*$P$11+ES126/MAX(ER126+EJ126+ES126, 0.1)*$Q$11))/($B$13+$C$13+$F$13)</f>
        <v>0</v>
      </c>
      <c r="CY126">
        <v>2.96</v>
      </c>
      <c r="CZ126">
        <v>0.5</v>
      </c>
      <c r="DA126" t="s">
        <v>421</v>
      </c>
      <c r="DB126">
        <v>2</v>
      </c>
      <c r="DC126">
        <v>1761018841.1</v>
      </c>
      <c r="DD126">
        <v>420.514</v>
      </c>
      <c r="DE126">
        <v>419.9938888888889</v>
      </c>
      <c r="DF126">
        <v>23.65001111111111</v>
      </c>
      <c r="DG126">
        <v>23.49873333333333</v>
      </c>
      <c r="DH126">
        <v>422.081</v>
      </c>
      <c r="DI126">
        <v>23.46013333333333</v>
      </c>
      <c r="DJ126">
        <v>499.9857777777778</v>
      </c>
      <c r="DK126">
        <v>90.79747777777779</v>
      </c>
      <c r="DL126">
        <v>0.03791276666666667</v>
      </c>
      <c r="DM126">
        <v>30.1919</v>
      </c>
      <c r="DN126">
        <v>30.03366666666667</v>
      </c>
      <c r="DO126">
        <v>999.9000000000001</v>
      </c>
      <c r="DP126">
        <v>0</v>
      </c>
      <c r="DQ126">
        <v>0</v>
      </c>
      <c r="DR126">
        <v>10000.42444444444</v>
      </c>
      <c r="DS126">
        <v>0</v>
      </c>
      <c r="DT126">
        <v>0.242856</v>
      </c>
      <c r="DU126">
        <v>0.5200433333333333</v>
      </c>
      <c r="DV126">
        <v>430.700111111111</v>
      </c>
      <c r="DW126">
        <v>430.1006666666667</v>
      </c>
      <c r="DX126">
        <v>0.1512958888888889</v>
      </c>
      <c r="DY126">
        <v>419.9938888888889</v>
      </c>
      <c r="DZ126">
        <v>23.49873333333333</v>
      </c>
      <c r="EA126">
        <v>2.147362222222222</v>
      </c>
      <c r="EB126">
        <v>2.133624444444444</v>
      </c>
      <c r="EC126">
        <v>18.57492222222222</v>
      </c>
      <c r="ED126">
        <v>18.47246666666667</v>
      </c>
      <c r="EE126">
        <v>0.00500078</v>
      </c>
      <c r="EF126">
        <v>0</v>
      </c>
      <c r="EG126">
        <v>0</v>
      </c>
      <c r="EH126">
        <v>0</v>
      </c>
      <c r="EI126">
        <v>430.1555555555555</v>
      </c>
      <c r="EJ126">
        <v>0.00500078</v>
      </c>
      <c r="EK126">
        <v>-21.58888888888889</v>
      </c>
      <c r="EL126">
        <v>-0.8666666666666667</v>
      </c>
      <c r="EM126">
        <v>35.07622222222222</v>
      </c>
      <c r="EN126">
        <v>38.31922222222222</v>
      </c>
      <c r="EO126">
        <v>36.52066666666667</v>
      </c>
      <c r="EP126">
        <v>38.31933333333333</v>
      </c>
      <c r="EQ126">
        <v>37.27055555555555</v>
      </c>
      <c r="ER126">
        <v>0</v>
      </c>
      <c r="ES126">
        <v>0</v>
      </c>
      <c r="ET126">
        <v>0</v>
      </c>
      <c r="EU126">
        <v>1761018843.1</v>
      </c>
      <c r="EV126">
        <v>0</v>
      </c>
      <c r="EW126">
        <v>430.5500000000001</v>
      </c>
      <c r="EX126">
        <v>-6.656410347703335</v>
      </c>
      <c r="EY126">
        <v>13.66837610394819</v>
      </c>
      <c r="EZ126">
        <v>-21.77692307692308</v>
      </c>
      <c r="FA126">
        <v>15</v>
      </c>
      <c r="FB126">
        <v>1761018667.1</v>
      </c>
      <c r="FC126" t="s">
        <v>613</v>
      </c>
      <c r="FD126">
        <v>1761018661.6</v>
      </c>
      <c r="FE126">
        <v>1761018667.1</v>
      </c>
      <c r="FF126">
        <v>26</v>
      </c>
      <c r="FG126">
        <v>-0.221</v>
      </c>
      <c r="FH126">
        <v>-0.001</v>
      </c>
      <c r="FI126">
        <v>-1.568</v>
      </c>
      <c r="FJ126">
        <v>0.178</v>
      </c>
      <c r="FK126">
        <v>420</v>
      </c>
      <c r="FL126">
        <v>23</v>
      </c>
      <c r="FM126">
        <v>0.1</v>
      </c>
      <c r="FN126">
        <v>0.08</v>
      </c>
      <c r="FO126">
        <v>0.5468422195121951</v>
      </c>
      <c r="FP126">
        <v>-0.0190164459930307</v>
      </c>
      <c r="FQ126">
        <v>0.04431586353226517</v>
      </c>
      <c r="FR126">
        <v>1</v>
      </c>
      <c r="FS126">
        <v>430.6</v>
      </c>
      <c r="FT126">
        <v>-9.485103035506929</v>
      </c>
      <c r="FU126">
        <v>5.981736910846904</v>
      </c>
      <c r="FV126">
        <v>0</v>
      </c>
      <c r="FW126">
        <v>0.1386900243902439</v>
      </c>
      <c r="FX126">
        <v>0.2098992146341464</v>
      </c>
      <c r="FY126">
        <v>0.02683704161830845</v>
      </c>
      <c r="FZ126">
        <v>0</v>
      </c>
      <c r="GA126">
        <v>1</v>
      </c>
      <c r="GB126">
        <v>3</v>
      </c>
      <c r="GC126" t="s">
        <v>431</v>
      </c>
      <c r="GD126">
        <v>3.1095</v>
      </c>
      <c r="GE126">
        <v>2.72919</v>
      </c>
      <c r="GF126">
        <v>0.0889562</v>
      </c>
      <c r="GG126">
        <v>0.0886692</v>
      </c>
      <c r="GH126">
        <v>0.107796</v>
      </c>
      <c r="GI126">
        <v>0.108373</v>
      </c>
      <c r="GJ126">
        <v>23920.1</v>
      </c>
      <c r="GK126">
        <v>21667.4</v>
      </c>
      <c r="GL126">
        <v>26812.2</v>
      </c>
      <c r="GM126">
        <v>23980.2</v>
      </c>
      <c r="GN126">
        <v>38221.6</v>
      </c>
      <c r="GO126">
        <v>31535.3</v>
      </c>
      <c r="GP126">
        <v>46798.5</v>
      </c>
      <c r="GQ126">
        <v>37904.1</v>
      </c>
      <c r="GR126">
        <v>1.89828</v>
      </c>
      <c r="GS126">
        <v>1.89135</v>
      </c>
      <c r="GT126">
        <v>0.13575</v>
      </c>
      <c r="GU126">
        <v>0</v>
      </c>
      <c r="GV126">
        <v>27.8193</v>
      </c>
      <c r="GW126">
        <v>999.9</v>
      </c>
      <c r="GX126">
        <v>63.9</v>
      </c>
      <c r="GY126">
        <v>28.6</v>
      </c>
      <c r="GZ126">
        <v>27.6534</v>
      </c>
      <c r="HA126">
        <v>60.9973</v>
      </c>
      <c r="HB126">
        <v>20.2163</v>
      </c>
      <c r="HC126">
        <v>1</v>
      </c>
      <c r="HD126">
        <v>-0.00332825</v>
      </c>
      <c r="HE126">
        <v>-2.11929</v>
      </c>
      <c r="HF126">
        <v>20.3253</v>
      </c>
      <c r="HG126">
        <v>5.21849</v>
      </c>
      <c r="HH126">
        <v>11.98</v>
      </c>
      <c r="HI126">
        <v>4.9656</v>
      </c>
      <c r="HJ126">
        <v>3.27595</v>
      </c>
      <c r="HK126">
        <v>9999</v>
      </c>
      <c r="HL126">
        <v>9999</v>
      </c>
      <c r="HM126">
        <v>9999</v>
      </c>
      <c r="HN126">
        <v>999.9</v>
      </c>
      <c r="HO126">
        <v>1.8636</v>
      </c>
      <c r="HP126">
        <v>1.85974</v>
      </c>
      <c r="HQ126">
        <v>1.85803</v>
      </c>
      <c r="HR126">
        <v>1.85942</v>
      </c>
      <c r="HS126">
        <v>1.85959</v>
      </c>
      <c r="HT126">
        <v>1.85803</v>
      </c>
      <c r="HU126">
        <v>1.85705</v>
      </c>
      <c r="HV126">
        <v>1.85209</v>
      </c>
      <c r="HW126">
        <v>0</v>
      </c>
      <c r="HX126">
        <v>0</v>
      </c>
      <c r="HY126">
        <v>0</v>
      </c>
      <c r="HZ126">
        <v>0</v>
      </c>
      <c r="IA126" t="s">
        <v>424</v>
      </c>
      <c r="IB126" t="s">
        <v>425</v>
      </c>
      <c r="IC126" t="s">
        <v>426</v>
      </c>
      <c r="ID126" t="s">
        <v>426</v>
      </c>
      <c r="IE126" t="s">
        <v>426</v>
      </c>
      <c r="IF126" t="s">
        <v>426</v>
      </c>
      <c r="IG126">
        <v>0</v>
      </c>
      <c r="IH126">
        <v>100</v>
      </c>
      <c r="II126">
        <v>100</v>
      </c>
      <c r="IJ126">
        <v>-1.567</v>
      </c>
      <c r="IK126">
        <v>0.1896</v>
      </c>
      <c r="IL126">
        <v>-2.357986366295179</v>
      </c>
      <c r="IM126">
        <v>0.001328113201692861</v>
      </c>
      <c r="IN126">
        <v>1.538283238170363E-06</v>
      </c>
      <c r="IO126">
        <v>-5.795655626708063E-10</v>
      </c>
      <c r="IP126">
        <v>-0.06105361615936408</v>
      </c>
      <c r="IQ126">
        <v>-0.004593102289677449</v>
      </c>
      <c r="IR126">
        <v>0.0008253994458280543</v>
      </c>
      <c r="IS126">
        <v>-7.403632370499484E-06</v>
      </c>
      <c r="IT126">
        <v>2</v>
      </c>
      <c r="IU126">
        <v>1985</v>
      </c>
      <c r="IV126">
        <v>1</v>
      </c>
      <c r="IW126">
        <v>27</v>
      </c>
      <c r="IX126">
        <v>3</v>
      </c>
      <c r="IY126">
        <v>3</v>
      </c>
      <c r="IZ126">
        <v>1.12793</v>
      </c>
      <c r="JA126">
        <v>2.58301</v>
      </c>
      <c r="JB126">
        <v>1.49658</v>
      </c>
      <c r="JC126">
        <v>2.34131</v>
      </c>
      <c r="JD126">
        <v>1.54907</v>
      </c>
      <c r="JE126">
        <v>2.47681</v>
      </c>
      <c r="JF126">
        <v>31.8927</v>
      </c>
      <c r="JG126">
        <v>14.5523</v>
      </c>
      <c r="JH126">
        <v>18</v>
      </c>
      <c r="JI126">
        <v>483.055</v>
      </c>
      <c r="JJ126">
        <v>508.512</v>
      </c>
      <c r="JK126">
        <v>31.4197</v>
      </c>
      <c r="JL126">
        <v>27.2101</v>
      </c>
      <c r="JM126">
        <v>29.9997</v>
      </c>
      <c r="JN126">
        <v>27.5282</v>
      </c>
      <c r="JO126">
        <v>27.5388</v>
      </c>
      <c r="JP126">
        <v>22.6835</v>
      </c>
      <c r="JQ126">
        <v>18.819</v>
      </c>
      <c r="JR126">
        <v>84.2166</v>
      </c>
      <c r="JS126">
        <v>31.3956</v>
      </c>
      <c r="JT126">
        <v>420</v>
      </c>
      <c r="JU126">
        <v>23.4967</v>
      </c>
      <c r="JV126">
        <v>102.338</v>
      </c>
      <c r="JW126">
        <v>91.4435</v>
      </c>
    </row>
    <row r="127" spans="1:283">
      <c r="A127">
        <v>109</v>
      </c>
      <c r="B127">
        <v>1761018846.1</v>
      </c>
      <c r="C127">
        <v>776.5999999046326</v>
      </c>
      <c r="D127" t="s">
        <v>648</v>
      </c>
      <c r="E127" t="s">
        <v>649</v>
      </c>
      <c r="F127">
        <v>5</v>
      </c>
      <c r="G127" t="s">
        <v>612</v>
      </c>
      <c r="H127">
        <v>1761018843.1</v>
      </c>
      <c r="I127">
        <f>(J127)/1000</f>
        <v>0</v>
      </c>
      <c r="J127">
        <f>1000*DJ127*AH127*(DF127-DG127)/(100*CY127*(1000-AH127*DF127))</f>
        <v>0</v>
      </c>
      <c r="K127">
        <f>DJ127*AH127*(DE127-DD127*(1000-AH127*DG127)/(1000-AH127*DF127))/(100*CY127)</f>
        <v>0</v>
      </c>
      <c r="L127">
        <f>DD127 - IF(AH127&gt;1, K127*CY127*100.0/(AJ127), 0)</f>
        <v>0</v>
      </c>
      <c r="M127">
        <f>((S127-I127/2)*L127-K127)/(S127+I127/2)</f>
        <v>0</v>
      </c>
      <c r="N127">
        <f>M127*(DK127+DL127)/1000.0</f>
        <v>0</v>
      </c>
      <c r="O127">
        <f>(DD127 - IF(AH127&gt;1, K127*CY127*100.0/(AJ127), 0))*(DK127+DL127)/1000.0</f>
        <v>0</v>
      </c>
      <c r="P127">
        <f>2.0/((1/R127-1/Q127)+SIGN(R127)*SQRT((1/R127-1/Q127)*(1/R127-1/Q127) + 4*CZ127/((CZ127+1)*(CZ127+1))*(2*1/R127*1/Q127-1/Q127*1/Q127)))</f>
        <v>0</v>
      </c>
      <c r="Q127">
        <f>IF(LEFT(DA127,1)&lt;&gt;"0",IF(LEFT(DA127,1)="1",3.0,DB127),$D$5+$E$5*(DR127*DK127/($K$5*1000))+$F$5*(DR127*DK127/($K$5*1000))*MAX(MIN(CY127,$J$5),$I$5)*MAX(MIN(CY127,$J$5),$I$5)+$G$5*MAX(MIN(CY127,$J$5),$I$5)*(DR127*DK127/($K$5*1000))+$H$5*(DR127*DK127/($K$5*1000))*(DR127*DK127/($K$5*1000)))</f>
        <v>0</v>
      </c>
      <c r="R127">
        <f>I127*(1000-(1000*0.61365*exp(17.502*V127/(240.97+V127))/(DK127+DL127)+DF127)/2)/(1000*0.61365*exp(17.502*V127/(240.97+V127))/(DK127+DL127)-DF127)</f>
        <v>0</v>
      </c>
      <c r="S127">
        <f>1/((CZ127+1)/(P127/1.6)+1/(Q127/1.37)) + CZ127/((CZ127+1)/(P127/1.6) + CZ127/(Q127/1.37))</f>
        <v>0</v>
      </c>
      <c r="T127">
        <f>(CU127*CX127)</f>
        <v>0</v>
      </c>
      <c r="U127">
        <f>(DM127+(T127+2*0.95*5.67E-8*(((DM127+$B$9)+273)^4-(DM127+273)^4)-44100*I127)/(1.84*29.3*Q127+8*0.95*5.67E-8*(DM127+273)^3))</f>
        <v>0</v>
      </c>
      <c r="V127">
        <f>($C$9*DN127+$D$9*DO127+$E$9*U127)</f>
        <v>0</v>
      </c>
      <c r="W127">
        <f>0.61365*exp(17.502*V127/(240.97+V127))</f>
        <v>0</v>
      </c>
      <c r="X127">
        <f>(Y127/Z127*100)</f>
        <v>0</v>
      </c>
      <c r="Y127">
        <f>DF127*(DK127+DL127)/1000</f>
        <v>0</v>
      </c>
      <c r="Z127">
        <f>0.61365*exp(17.502*DM127/(240.97+DM127))</f>
        <v>0</v>
      </c>
      <c r="AA127">
        <f>(W127-DF127*(DK127+DL127)/1000)</f>
        <v>0</v>
      </c>
      <c r="AB127">
        <f>(-I127*44100)</f>
        <v>0</v>
      </c>
      <c r="AC127">
        <f>2*29.3*Q127*0.92*(DM127-V127)</f>
        <v>0</v>
      </c>
      <c r="AD127">
        <f>2*0.95*5.67E-8*(((DM127+$B$9)+273)^4-(V127+273)^4)</f>
        <v>0</v>
      </c>
      <c r="AE127">
        <f>T127+AD127+AB127+AC127</f>
        <v>0</v>
      </c>
      <c r="AF127">
        <v>0</v>
      </c>
      <c r="AG127">
        <v>0</v>
      </c>
      <c r="AH127">
        <f>IF(AF127*$H$15&gt;=AJ127,1.0,(AJ127/(AJ127-AF127*$H$15)))</f>
        <v>0</v>
      </c>
      <c r="AI127">
        <f>(AH127-1)*100</f>
        <v>0</v>
      </c>
      <c r="AJ127">
        <f>MAX(0,($B$15+$C$15*DR127)/(1+$D$15*DR127)*DK127/(DM127+273)*$E$15)</f>
        <v>0</v>
      </c>
      <c r="AK127" t="s">
        <v>420</v>
      </c>
      <c r="AL127" t="s">
        <v>420</v>
      </c>
      <c r="AM127">
        <v>0</v>
      </c>
      <c r="AN127">
        <v>0</v>
      </c>
      <c r="AO127">
        <f>1-AM127/AN127</f>
        <v>0</v>
      </c>
      <c r="AP127">
        <v>0</v>
      </c>
      <c r="AQ127" t="s">
        <v>420</v>
      </c>
      <c r="AR127" t="s">
        <v>420</v>
      </c>
      <c r="AS127">
        <v>0</v>
      </c>
      <c r="AT127">
        <v>0</v>
      </c>
      <c r="AU127">
        <f>1-AS127/AT127</f>
        <v>0</v>
      </c>
      <c r="AV127">
        <v>0.5</v>
      </c>
      <c r="AW127">
        <f>CV127</f>
        <v>0</v>
      </c>
      <c r="AX127">
        <f>K127</f>
        <v>0</v>
      </c>
      <c r="AY127">
        <f>AU127*AV127*AW127</f>
        <v>0</v>
      </c>
      <c r="AZ127">
        <f>(AX127-AP127)/AW127</f>
        <v>0</v>
      </c>
      <c r="BA127">
        <f>(AN127-AT127)/AT127</f>
        <v>0</v>
      </c>
      <c r="BB127">
        <f>AM127/(AO127+AM127/AT127)</f>
        <v>0</v>
      </c>
      <c r="BC127" t="s">
        <v>420</v>
      </c>
      <c r="BD127">
        <v>0</v>
      </c>
      <c r="BE127">
        <f>IF(BD127&lt;&gt;0, BD127, BB127)</f>
        <v>0</v>
      </c>
      <c r="BF127">
        <f>1-BE127/AT127</f>
        <v>0</v>
      </c>
      <c r="BG127">
        <f>(AT127-AS127)/(AT127-BE127)</f>
        <v>0</v>
      </c>
      <c r="BH127">
        <f>(AN127-AT127)/(AN127-BE127)</f>
        <v>0</v>
      </c>
      <c r="BI127">
        <f>(AT127-AS127)/(AT127-AM127)</f>
        <v>0</v>
      </c>
      <c r="BJ127">
        <f>(AN127-AT127)/(AN127-AM127)</f>
        <v>0</v>
      </c>
      <c r="BK127">
        <f>(BG127*BE127/AS127)</f>
        <v>0</v>
      </c>
      <c r="BL127">
        <f>(1-BK127)</f>
        <v>0</v>
      </c>
      <c r="CU127">
        <f>$B$13*DS127+$C$13*DT127+$F$13*EE127*(1-EH127)</f>
        <v>0</v>
      </c>
      <c r="CV127">
        <f>CU127*CW127</f>
        <v>0</v>
      </c>
      <c r="CW127">
        <f>($B$13*$D$11+$C$13*$D$11+$F$13*((ER127+EJ127)/MAX(ER127+EJ127+ES127, 0.1)*$I$11+ES127/MAX(ER127+EJ127+ES127, 0.1)*$J$11))/($B$13+$C$13+$F$13)</f>
        <v>0</v>
      </c>
      <c r="CX127">
        <f>($B$13*$K$11+$C$13*$K$11+$F$13*((ER127+EJ127)/MAX(ER127+EJ127+ES127, 0.1)*$P$11+ES127/MAX(ER127+EJ127+ES127, 0.1)*$Q$11))/($B$13+$C$13+$F$13)</f>
        <v>0</v>
      </c>
      <c r="CY127">
        <v>2.96</v>
      </c>
      <c r="CZ127">
        <v>0.5</v>
      </c>
      <c r="DA127" t="s">
        <v>421</v>
      </c>
      <c r="DB127">
        <v>2</v>
      </c>
      <c r="DC127">
        <v>1761018843.1</v>
      </c>
      <c r="DD127">
        <v>420.4964444444445</v>
      </c>
      <c r="DE127">
        <v>419.9927777777778</v>
      </c>
      <c r="DF127">
        <v>23.64233333333333</v>
      </c>
      <c r="DG127">
        <v>23.49665555555556</v>
      </c>
      <c r="DH127">
        <v>422.0634444444445</v>
      </c>
      <c r="DI127">
        <v>23.45261111111111</v>
      </c>
      <c r="DJ127">
        <v>500.0253333333333</v>
      </c>
      <c r="DK127">
        <v>90.79702222222222</v>
      </c>
      <c r="DL127">
        <v>0.03773781111111111</v>
      </c>
      <c r="DM127">
        <v>30.19045555555556</v>
      </c>
      <c r="DN127">
        <v>30.03173333333333</v>
      </c>
      <c r="DO127">
        <v>999.9000000000001</v>
      </c>
      <c r="DP127">
        <v>0</v>
      </c>
      <c r="DQ127">
        <v>0</v>
      </c>
      <c r="DR127">
        <v>9997.297777777778</v>
      </c>
      <c r="DS127">
        <v>0</v>
      </c>
      <c r="DT127">
        <v>0.242856</v>
      </c>
      <c r="DU127">
        <v>0.5036587777777778</v>
      </c>
      <c r="DV127">
        <v>430.6786666666667</v>
      </c>
      <c r="DW127">
        <v>430.0986666666666</v>
      </c>
      <c r="DX127">
        <v>0.1456852222222222</v>
      </c>
      <c r="DY127">
        <v>419.9927777777778</v>
      </c>
      <c r="DZ127">
        <v>23.49665555555556</v>
      </c>
      <c r="EA127">
        <v>2.146654444444445</v>
      </c>
      <c r="EB127">
        <v>2.133425555555556</v>
      </c>
      <c r="EC127">
        <v>18.56963333333333</v>
      </c>
      <c r="ED127">
        <v>18.47097777777778</v>
      </c>
      <c r="EE127">
        <v>0.00500078</v>
      </c>
      <c r="EF127">
        <v>0</v>
      </c>
      <c r="EG127">
        <v>0</v>
      </c>
      <c r="EH127">
        <v>0</v>
      </c>
      <c r="EI127">
        <v>429.4555555555556</v>
      </c>
      <c r="EJ127">
        <v>0.00500078</v>
      </c>
      <c r="EK127">
        <v>-19.86666666666666</v>
      </c>
      <c r="EL127">
        <v>-0.3777777777777778</v>
      </c>
      <c r="EM127">
        <v>35.08311111111111</v>
      </c>
      <c r="EN127">
        <v>38.36088888888889</v>
      </c>
      <c r="EO127">
        <v>36.722</v>
      </c>
      <c r="EP127">
        <v>38.38177777777778</v>
      </c>
      <c r="EQ127">
        <v>37.333</v>
      </c>
      <c r="ER127">
        <v>0</v>
      </c>
      <c r="ES127">
        <v>0</v>
      </c>
      <c r="ET127">
        <v>0</v>
      </c>
      <c r="EU127">
        <v>1761018844.9</v>
      </c>
      <c r="EV127">
        <v>0</v>
      </c>
      <c r="EW127">
        <v>430.48</v>
      </c>
      <c r="EX127">
        <v>-33.70769203104065</v>
      </c>
      <c r="EY127">
        <v>49.67692283765797</v>
      </c>
      <c r="EZ127">
        <v>-21.568</v>
      </c>
      <c r="FA127">
        <v>15</v>
      </c>
      <c r="FB127">
        <v>1761018667.1</v>
      </c>
      <c r="FC127" t="s">
        <v>613</v>
      </c>
      <c r="FD127">
        <v>1761018661.6</v>
      </c>
      <c r="FE127">
        <v>1761018667.1</v>
      </c>
      <c r="FF127">
        <v>26</v>
      </c>
      <c r="FG127">
        <v>-0.221</v>
      </c>
      <c r="FH127">
        <v>-0.001</v>
      </c>
      <c r="FI127">
        <v>-1.568</v>
      </c>
      <c r="FJ127">
        <v>0.178</v>
      </c>
      <c r="FK127">
        <v>420</v>
      </c>
      <c r="FL127">
        <v>23</v>
      </c>
      <c r="FM127">
        <v>0.1</v>
      </c>
      <c r="FN127">
        <v>0.08</v>
      </c>
      <c r="FO127">
        <v>0.547486875</v>
      </c>
      <c r="FP127">
        <v>-0.2006086266416515</v>
      </c>
      <c r="FQ127">
        <v>0.04486104273653672</v>
      </c>
      <c r="FR127">
        <v>1</v>
      </c>
      <c r="FS127">
        <v>429.585294117647</v>
      </c>
      <c r="FT127">
        <v>-7.644003063610127</v>
      </c>
      <c r="FU127">
        <v>6.013422846038646</v>
      </c>
      <c r="FV127">
        <v>0</v>
      </c>
      <c r="FW127">
        <v>0.144349425</v>
      </c>
      <c r="FX127">
        <v>0.1222383984990619</v>
      </c>
      <c r="FY127">
        <v>0.02030013796366604</v>
      </c>
      <c r="FZ127">
        <v>0</v>
      </c>
      <c r="GA127">
        <v>1</v>
      </c>
      <c r="GB127">
        <v>3</v>
      </c>
      <c r="GC127" t="s">
        <v>431</v>
      </c>
      <c r="GD127">
        <v>3.1095</v>
      </c>
      <c r="GE127">
        <v>2.72935</v>
      </c>
      <c r="GF127">
        <v>0.0889558</v>
      </c>
      <c r="GG127">
        <v>0.0886715</v>
      </c>
      <c r="GH127">
        <v>0.107772</v>
      </c>
      <c r="GI127">
        <v>0.108371</v>
      </c>
      <c r="GJ127">
        <v>23920.3</v>
      </c>
      <c r="GK127">
        <v>21667.5</v>
      </c>
      <c r="GL127">
        <v>26812.4</v>
      </c>
      <c r="GM127">
        <v>23980.3</v>
      </c>
      <c r="GN127">
        <v>38222.8</v>
      </c>
      <c r="GO127">
        <v>31535.3</v>
      </c>
      <c r="GP127">
        <v>46798.8</v>
      </c>
      <c r="GQ127">
        <v>37904.1</v>
      </c>
      <c r="GR127">
        <v>1.89793</v>
      </c>
      <c r="GS127">
        <v>1.89172</v>
      </c>
      <c r="GT127">
        <v>0.135675</v>
      </c>
      <c r="GU127">
        <v>0</v>
      </c>
      <c r="GV127">
        <v>27.8198</v>
      </c>
      <c r="GW127">
        <v>999.9</v>
      </c>
      <c r="GX127">
        <v>63.9</v>
      </c>
      <c r="GY127">
        <v>28.6</v>
      </c>
      <c r="GZ127">
        <v>27.6549</v>
      </c>
      <c r="HA127">
        <v>61.0373</v>
      </c>
      <c r="HB127">
        <v>19.996</v>
      </c>
      <c r="HC127">
        <v>1</v>
      </c>
      <c r="HD127">
        <v>-0.00356707</v>
      </c>
      <c r="HE127">
        <v>-2.10916</v>
      </c>
      <c r="HF127">
        <v>20.3254</v>
      </c>
      <c r="HG127">
        <v>5.21864</v>
      </c>
      <c r="HH127">
        <v>11.9798</v>
      </c>
      <c r="HI127">
        <v>4.96575</v>
      </c>
      <c r="HJ127">
        <v>3.27598</v>
      </c>
      <c r="HK127">
        <v>9999</v>
      </c>
      <c r="HL127">
        <v>9999</v>
      </c>
      <c r="HM127">
        <v>9999</v>
      </c>
      <c r="HN127">
        <v>999.9</v>
      </c>
      <c r="HO127">
        <v>1.86359</v>
      </c>
      <c r="HP127">
        <v>1.85974</v>
      </c>
      <c r="HQ127">
        <v>1.85803</v>
      </c>
      <c r="HR127">
        <v>1.85942</v>
      </c>
      <c r="HS127">
        <v>1.85959</v>
      </c>
      <c r="HT127">
        <v>1.85803</v>
      </c>
      <c r="HU127">
        <v>1.85702</v>
      </c>
      <c r="HV127">
        <v>1.8521</v>
      </c>
      <c r="HW127">
        <v>0</v>
      </c>
      <c r="HX127">
        <v>0</v>
      </c>
      <c r="HY127">
        <v>0</v>
      </c>
      <c r="HZ127">
        <v>0</v>
      </c>
      <c r="IA127" t="s">
        <v>424</v>
      </c>
      <c r="IB127" t="s">
        <v>425</v>
      </c>
      <c r="IC127" t="s">
        <v>426</v>
      </c>
      <c r="ID127" t="s">
        <v>426</v>
      </c>
      <c r="IE127" t="s">
        <v>426</v>
      </c>
      <c r="IF127" t="s">
        <v>426</v>
      </c>
      <c r="IG127">
        <v>0</v>
      </c>
      <c r="IH127">
        <v>100</v>
      </c>
      <c r="II127">
        <v>100</v>
      </c>
      <c r="IJ127">
        <v>-1.567</v>
      </c>
      <c r="IK127">
        <v>0.1895</v>
      </c>
      <c r="IL127">
        <v>-2.357986366295179</v>
      </c>
      <c r="IM127">
        <v>0.001328113201692861</v>
      </c>
      <c r="IN127">
        <v>1.538283238170363E-06</v>
      </c>
      <c r="IO127">
        <v>-5.795655626708063E-10</v>
      </c>
      <c r="IP127">
        <v>-0.06105361615936408</v>
      </c>
      <c r="IQ127">
        <v>-0.004593102289677449</v>
      </c>
      <c r="IR127">
        <v>0.0008253994458280543</v>
      </c>
      <c r="IS127">
        <v>-7.403632370499484E-06</v>
      </c>
      <c r="IT127">
        <v>2</v>
      </c>
      <c r="IU127">
        <v>1985</v>
      </c>
      <c r="IV127">
        <v>1</v>
      </c>
      <c r="IW127">
        <v>27</v>
      </c>
      <c r="IX127">
        <v>3.1</v>
      </c>
      <c r="IY127">
        <v>3</v>
      </c>
      <c r="IZ127">
        <v>1.12793</v>
      </c>
      <c r="JA127">
        <v>2.58545</v>
      </c>
      <c r="JB127">
        <v>1.49658</v>
      </c>
      <c r="JC127">
        <v>2.34131</v>
      </c>
      <c r="JD127">
        <v>1.54907</v>
      </c>
      <c r="JE127">
        <v>2.47437</v>
      </c>
      <c r="JF127">
        <v>31.8707</v>
      </c>
      <c r="JG127">
        <v>14.5348</v>
      </c>
      <c r="JH127">
        <v>18</v>
      </c>
      <c r="JI127">
        <v>482.835</v>
      </c>
      <c r="JJ127">
        <v>508.743</v>
      </c>
      <c r="JK127">
        <v>31.4053</v>
      </c>
      <c r="JL127">
        <v>27.2083</v>
      </c>
      <c r="JM127">
        <v>29.9997</v>
      </c>
      <c r="JN127">
        <v>27.5259</v>
      </c>
      <c r="JO127">
        <v>27.5365</v>
      </c>
      <c r="JP127">
        <v>22.682</v>
      </c>
      <c r="JQ127">
        <v>18.819</v>
      </c>
      <c r="JR127">
        <v>84.2166</v>
      </c>
      <c r="JS127">
        <v>31.3956</v>
      </c>
      <c r="JT127">
        <v>420</v>
      </c>
      <c r="JU127">
        <v>23.5052</v>
      </c>
      <c r="JV127">
        <v>102.339</v>
      </c>
      <c r="JW127">
        <v>91.4436</v>
      </c>
    </row>
    <row r="128" spans="1:283">
      <c r="A128">
        <v>110</v>
      </c>
      <c r="B128">
        <v>1761018848.1</v>
      </c>
      <c r="C128">
        <v>778.5999999046326</v>
      </c>
      <c r="D128" t="s">
        <v>650</v>
      </c>
      <c r="E128" t="s">
        <v>651</v>
      </c>
      <c r="F128">
        <v>5</v>
      </c>
      <c r="G128" t="s">
        <v>612</v>
      </c>
      <c r="H128">
        <v>1761018845.1</v>
      </c>
      <c r="I128">
        <f>(J128)/1000</f>
        <v>0</v>
      </c>
      <c r="J128">
        <f>1000*DJ128*AH128*(DF128-DG128)/(100*CY128*(1000-AH128*DF128))</f>
        <v>0</v>
      </c>
      <c r="K128">
        <f>DJ128*AH128*(DE128-DD128*(1000-AH128*DG128)/(1000-AH128*DF128))/(100*CY128)</f>
        <v>0</v>
      </c>
      <c r="L128">
        <f>DD128 - IF(AH128&gt;1, K128*CY128*100.0/(AJ128), 0)</f>
        <v>0</v>
      </c>
      <c r="M128">
        <f>((S128-I128/2)*L128-K128)/(S128+I128/2)</f>
        <v>0</v>
      </c>
      <c r="N128">
        <f>M128*(DK128+DL128)/1000.0</f>
        <v>0</v>
      </c>
      <c r="O128">
        <f>(DD128 - IF(AH128&gt;1, K128*CY128*100.0/(AJ128), 0))*(DK128+DL128)/1000.0</f>
        <v>0</v>
      </c>
      <c r="P128">
        <f>2.0/((1/R128-1/Q128)+SIGN(R128)*SQRT((1/R128-1/Q128)*(1/R128-1/Q128) + 4*CZ128/((CZ128+1)*(CZ128+1))*(2*1/R128*1/Q128-1/Q128*1/Q128)))</f>
        <v>0</v>
      </c>
      <c r="Q128">
        <f>IF(LEFT(DA128,1)&lt;&gt;"0",IF(LEFT(DA128,1)="1",3.0,DB128),$D$5+$E$5*(DR128*DK128/($K$5*1000))+$F$5*(DR128*DK128/($K$5*1000))*MAX(MIN(CY128,$J$5),$I$5)*MAX(MIN(CY128,$J$5),$I$5)+$G$5*MAX(MIN(CY128,$J$5),$I$5)*(DR128*DK128/($K$5*1000))+$H$5*(DR128*DK128/($K$5*1000))*(DR128*DK128/($K$5*1000)))</f>
        <v>0</v>
      </c>
      <c r="R128">
        <f>I128*(1000-(1000*0.61365*exp(17.502*V128/(240.97+V128))/(DK128+DL128)+DF128)/2)/(1000*0.61365*exp(17.502*V128/(240.97+V128))/(DK128+DL128)-DF128)</f>
        <v>0</v>
      </c>
      <c r="S128">
        <f>1/((CZ128+1)/(P128/1.6)+1/(Q128/1.37)) + CZ128/((CZ128+1)/(P128/1.6) + CZ128/(Q128/1.37))</f>
        <v>0</v>
      </c>
      <c r="T128">
        <f>(CU128*CX128)</f>
        <v>0</v>
      </c>
      <c r="U128">
        <f>(DM128+(T128+2*0.95*5.67E-8*(((DM128+$B$9)+273)^4-(DM128+273)^4)-44100*I128)/(1.84*29.3*Q128+8*0.95*5.67E-8*(DM128+273)^3))</f>
        <v>0</v>
      </c>
      <c r="V128">
        <f>($C$9*DN128+$D$9*DO128+$E$9*U128)</f>
        <v>0</v>
      </c>
      <c r="W128">
        <f>0.61365*exp(17.502*V128/(240.97+V128))</f>
        <v>0</v>
      </c>
      <c r="X128">
        <f>(Y128/Z128*100)</f>
        <v>0</v>
      </c>
      <c r="Y128">
        <f>DF128*(DK128+DL128)/1000</f>
        <v>0</v>
      </c>
      <c r="Z128">
        <f>0.61365*exp(17.502*DM128/(240.97+DM128))</f>
        <v>0</v>
      </c>
      <c r="AA128">
        <f>(W128-DF128*(DK128+DL128)/1000)</f>
        <v>0</v>
      </c>
      <c r="AB128">
        <f>(-I128*44100)</f>
        <v>0</v>
      </c>
      <c r="AC128">
        <f>2*29.3*Q128*0.92*(DM128-V128)</f>
        <v>0</v>
      </c>
      <c r="AD128">
        <f>2*0.95*5.67E-8*(((DM128+$B$9)+273)^4-(V128+273)^4)</f>
        <v>0</v>
      </c>
      <c r="AE128">
        <f>T128+AD128+AB128+AC128</f>
        <v>0</v>
      </c>
      <c r="AF128">
        <v>0</v>
      </c>
      <c r="AG128">
        <v>0</v>
      </c>
      <c r="AH128">
        <f>IF(AF128*$H$15&gt;=AJ128,1.0,(AJ128/(AJ128-AF128*$H$15)))</f>
        <v>0</v>
      </c>
      <c r="AI128">
        <f>(AH128-1)*100</f>
        <v>0</v>
      </c>
      <c r="AJ128">
        <f>MAX(0,($B$15+$C$15*DR128)/(1+$D$15*DR128)*DK128/(DM128+273)*$E$15)</f>
        <v>0</v>
      </c>
      <c r="AK128" t="s">
        <v>420</v>
      </c>
      <c r="AL128" t="s">
        <v>420</v>
      </c>
      <c r="AM128">
        <v>0</v>
      </c>
      <c r="AN128">
        <v>0</v>
      </c>
      <c r="AO128">
        <f>1-AM128/AN128</f>
        <v>0</v>
      </c>
      <c r="AP128">
        <v>0</v>
      </c>
      <c r="AQ128" t="s">
        <v>420</v>
      </c>
      <c r="AR128" t="s">
        <v>420</v>
      </c>
      <c r="AS128">
        <v>0</v>
      </c>
      <c r="AT128">
        <v>0</v>
      </c>
      <c r="AU128">
        <f>1-AS128/AT128</f>
        <v>0</v>
      </c>
      <c r="AV128">
        <v>0.5</v>
      </c>
      <c r="AW128">
        <f>CV128</f>
        <v>0</v>
      </c>
      <c r="AX128">
        <f>K128</f>
        <v>0</v>
      </c>
      <c r="AY128">
        <f>AU128*AV128*AW128</f>
        <v>0</v>
      </c>
      <c r="AZ128">
        <f>(AX128-AP128)/AW128</f>
        <v>0</v>
      </c>
      <c r="BA128">
        <f>(AN128-AT128)/AT128</f>
        <v>0</v>
      </c>
      <c r="BB128">
        <f>AM128/(AO128+AM128/AT128)</f>
        <v>0</v>
      </c>
      <c r="BC128" t="s">
        <v>420</v>
      </c>
      <c r="BD128">
        <v>0</v>
      </c>
      <c r="BE128">
        <f>IF(BD128&lt;&gt;0, BD128, BB128)</f>
        <v>0</v>
      </c>
      <c r="BF128">
        <f>1-BE128/AT128</f>
        <v>0</v>
      </c>
      <c r="BG128">
        <f>(AT128-AS128)/(AT128-BE128)</f>
        <v>0</v>
      </c>
      <c r="BH128">
        <f>(AN128-AT128)/(AN128-BE128)</f>
        <v>0</v>
      </c>
      <c r="BI128">
        <f>(AT128-AS128)/(AT128-AM128)</f>
        <v>0</v>
      </c>
      <c r="BJ128">
        <f>(AN128-AT128)/(AN128-AM128)</f>
        <v>0</v>
      </c>
      <c r="BK128">
        <f>(BG128*BE128/AS128)</f>
        <v>0</v>
      </c>
      <c r="BL128">
        <f>(1-BK128)</f>
        <v>0</v>
      </c>
      <c r="CU128">
        <f>$B$13*DS128+$C$13*DT128+$F$13*EE128*(1-EH128)</f>
        <v>0</v>
      </c>
      <c r="CV128">
        <f>CU128*CW128</f>
        <v>0</v>
      </c>
      <c r="CW128">
        <f>($B$13*$D$11+$C$13*$D$11+$F$13*((ER128+EJ128)/MAX(ER128+EJ128+ES128, 0.1)*$I$11+ES128/MAX(ER128+EJ128+ES128, 0.1)*$J$11))/($B$13+$C$13+$F$13)</f>
        <v>0</v>
      </c>
      <c r="CX128">
        <f>($B$13*$K$11+$C$13*$K$11+$F$13*((ER128+EJ128)/MAX(ER128+EJ128+ES128, 0.1)*$P$11+ES128/MAX(ER128+EJ128+ES128, 0.1)*$Q$11))/($B$13+$C$13+$F$13)</f>
        <v>0</v>
      </c>
      <c r="CY128">
        <v>2.96</v>
      </c>
      <c r="CZ128">
        <v>0.5</v>
      </c>
      <c r="DA128" t="s">
        <v>421</v>
      </c>
      <c r="DB128">
        <v>2</v>
      </c>
      <c r="DC128">
        <v>1761018845.1</v>
      </c>
      <c r="DD128">
        <v>420.4903333333333</v>
      </c>
      <c r="DE128">
        <v>420.001</v>
      </c>
      <c r="DF128">
        <v>23.63511111111111</v>
      </c>
      <c r="DG128">
        <v>23.49542222222222</v>
      </c>
      <c r="DH128">
        <v>422.0573333333333</v>
      </c>
      <c r="DI128">
        <v>23.44555555555555</v>
      </c>
      <c r="DJ128">
        <v>500.0321111111112</v>
      </c>
      <c r="DK128">
        <v>90.79672222222221</v>
      </c>
      <c r="DL128">
        <v>0.03765696666666667</v>
      </c>
      <c r="DM128">
        <v>30.1885</v>
      </c>
      <c r="DN128">
        <v>30.03165555555556</v>
      </c>
      <c r="DO128">
        <v>999.9000000000001</v>
      </c>
      <c r="DP128">
        <v>0</v>
      </c>
      <c r="DQ128">
        <v>0</v>
      </c>
      <c r="DR128">
        <v>9993.963333333333</v>
      </c>
      <c r="DS128">
        <v>0</v>
      </c>
      <c r="DT128">
        <v>0.242856</v>
      </c>
      <c r="DU128">
        <v>0.4894069999999999</v>
      </c>
      <c r="DV128">
        <v>430.6693333333333</v>
      </c>
      <c r="DW128">
        <v>430.1065555555556</v>
      </c>
      <c r="DX128">
        <v>0.1396972222222222</v>
      </c>
      <c r="DY128">
        <v>420.001</v>
      </c>
      <c r="DZ128">
        <v>23.49542222222222</v>
      </c>
      <c r="EA128">
        <v>2.145991111111111</v>
      </c>
      <c r="EB128">
        <v>2.133306666666666</v>
      </c>
      <c r="EC128">
        <v>18.5647</v>
      </c>
      <c r="ED128">
        <v>18.4701</v>
      </c>
      <c r="EE128">
        <v>0.00500078</v>
      </c>
      <c r="EF128">
        <v>0</v>
      </c>
      <c r="EG128">
        <v>0</v>
      </c>
      <c r="EH128">
        <v>0</v>
      </c>
      <c r="EI128">
        <v>431.3666666666667</v>
      </c>
      <c r="EJ128">
        <v>0.00500078</v>
      </c>
      <c r="EK128">
        <v>-22.88888888888889</v>
      </c>
      <c r="EL128">
        <v>-0.8222222222222223</v>
      </c>
      <c r="EM128">
        <v>35.111</v>
      </c>
      <c r="EN128">
        <v>38.42344444444444</v>
      </c>
      <c r="EO128">
        <v>36.76355555555555</v>
      </c>
      <c r="EP128">
        <v>38.43044444444445</v>
      </c>
      <c r="EQ128">
        <v>37.38866666666667</v>
      </c>
      <c r="ER128">
        <v>0</v>
      </c>
      <c r="ES128">
        <v>0</v>
      </c>
      <c r="ET128">
        <v>0</v>
      </c>
      <c r="EU128">
        <v>1761018847.3</v>
      </c>
      <c r="EV128">
        <v>0</v>
      </c>
      <c r="EW128">
        <v>430.176</v>
      </c>
      <c r="EX128">
        <v>-3.976922798085944</v>
      </c>
      <c r="EY128">
        <v>-4.176923224794317</v>
      </c>
      <c r="EZ128">
        <v>-21.416</v>
      </c>
      <c r="FA128">
        <v>15</v>
      </c>
      <c r="FB128">
        <v>1761018667.1</v>
      </c>
      <c r="FC128" t="s">
        <v>613</v>
      </c>
      <c r="FD128">
        <v>1761018661.6</v>
      </c>
      <c r="FE128">
        <v>1761018667.1</v>
      </c>
      <c r="FF128">
        <v>26</v>
      </c>
      <c r="FG128">
        <v>-0.221</v>
      </c>
      <c r="FH128">
        <v>-0.001</v>
      </c>
      <c r="FI128">
        <v>-1.568</v>
      </c>
      <c r="FJ128">
        <v>0.178</v>
      </c>
      <c r="FK128">
        <v>420</v>
      </c>
      <c r="FL128">
        <v>23</v>
      </c>
      <c r="FM128">
        <v>0.1</v>
      </c>
      <c r="FN128">
        <v>0.08</v>
      </c>
      <c r="FO128">
        <v>0.5369612195121951</v>
      </c>
      <c r="FP128">
        <v>-0.2792300487804871</v>
      </c>
      <c r="FQ128">
        <v>0.04837879877591623</v>
      </c>
      <c r="FR128">
        <v>1</v>
      </c>
      <c r="FS128">
        <v>430.2</v>
      </c>
      <c r="FT128">
        <v>1.176470586806389</v>
      </c>
      <c r="FU128">
        <v>6.110838971956016</v>
      </c>
      <c r="FV128">
        <v>0</v>
      </c>
      <c r="FW128">
        <v>0.1475343414634146</v>
      </c>
      <c r="FX128">
        <v>0.0136285296167247</v>
      </c>
      <c r="FY128">
        <v>0.01460908396255105</v>
      </c>
      <c r="FZ128">
        <v>1</v>
      </c>
      <c r="GA128">
        <v>2</v>
      </c>
      <c r="GB128">
        <v>3</v>
      </c>
      <c r="GC128" t="s">
        <v>434</v>
      </c>
      <c r="GD128">
        <v>3.10962</v>
      </c>
      <c r="GE128">
        <v>2.72938</v>
      </c>
      <c r="GF128">
        <v>0.088963</v>
      </c>
      <c r="GG128">
        <v>0.0886768</v>
      </c>
      <c r="GH128">
        <v>0.10775</v>
      </c>
      <c r="GI128">
        <v>0.108371</v>
      </c>
      <c r="GJ128">
        <v>23920.2</v>
      </c>
      <c r="GK128">
        <v>21667.3</v>
      </c>
      <c r="GL128">
        <v>26812.5</v>
      </c>
      <c r="GM128">
        <v>23980.3</v>
      </c>
      <c r="GN128">
        <v>38223.9</v>
      </c>
      <c r="GO128">
        <v>31535.3</v>
      </c>
      <c r="GP128">
        <v>46798.9</v>
      </c>
      <c r="GQ128">
        <v>37904.1</v>
      </c>
      <c r="GR128">
        <v>1.89823</v>
      </c>
      <c r="GS128">
        <v>1.89137</v>
      </c>
      <c r="GT128">
        <v>0.135005</v>
      </c>
      <c r="GU128">
        <v>0</v>
      </c>
      <c r="GV128">
        <v>27.821</v>
      </c>
      <c r="GW128">
        <v>999.9</v>
      </c>
      <c r="GX128">
        <v>63.9</v>
      </c>
      <c r="GY128">
        <v>28.6</v>
      </c>
      <c r="GZ128">
        <v>27.6542</v>
      </c>
      <c r="HA128">
        <v>60.8973</v>
      </c>
      <c r="HB128">
        <v>20.2244</v>
      </c>
      <c r="HC128">
        <v>1</v>
      </c>
      <c r="HD128">
        <v>-0.00382368</v>
      </c>
      <c r="HE128">
        <v>-2.13973</v>
      </c>
      <c r="HF128">
        <v>20.325</v>
      </c>
      <c r="HG128">
        <v>5.21864</v>
      </c>
      <c r="HH128">
        <v>11.9797</v>
      </c>
      <c r="HI128">
        <v>4.9657</v>
      </c>
      <c r="HJ128">
        <v>3.276</v>
      </c>
      <c r="HK128">
        <v>9999</v>
      </c>
      <c r="HL128">
        <v>9999</v>
      </c>
      <c r="HM128">
        <v>9999</v>
      </c>
      <c r="HN128">
        <v>999.9</v>
      </c>
      <c r="HO128">
        <v>1.86357</v>
      </c>
      <c r="HP128">
        <v>1.85974</v>
      </c>
      <c r="HQ128">
        <v>1.85802</v>
      </c>
      <c r="HR128">
        <v>1.8594</v>
      </c>
      <c r="HS128">
        <v>1.85959</v>
      </c>
      <c r="HT128">
        <v>1.85803</v>
      </c>
      <c r="HU128">
        <v>1.85703</v>
      </c>
      <c r="HV128">
        <v>1.8521</v>
      </c>
      <c r="HW128">
        <v>0</v>
      </c>
      <c r="HX128">
        <v>0</v>
      </c>
      <c r="HY128">
        <v>0</v>
      </c>
      <c r="HZ128">
        <v>0</v>
      </c>
      <c r="IA128" t="s">
        <v>424</v>
      </c>
      <c r="IB128" t="s">
        <v>425</v>
      </c>
      <c r="IC128" t="s">
        <v>426</v>
      </c>
      <c r="ID128" t="s">
        <v>426</v>
      </c>
      <c r="IE128" t="s">
        <v>426</v>
      </c>
      <c r="IF128" t="s">
        <v>426</v>
      </c>
      <c r="IG128">
        <v>0</v>
      </c>
      <c r="IH128">
        <v>100</v>
      </c>
      <c r="II128">
        <v>100</v>
      </c>
      <c r="IJ128">
        <v>-1.567</v>
      </c>
      <c r="IK128">
        <v>0.1893</v>
      </c>
      <c r="IL128">
        <v>-2.357986366295179</v>
      </c>
      <c r="IM128">
        <v>0.001328113201692861</v>
      </c>
      <c r="IN128">
        <v>1.538283238170363E-06</v>
      </c>
      <c r="IO128">
        <v>-5.795655626708063E-10</v>
      </c>
      <c r="IP128">
        <v>-0.06105361615936408</v>
      </c>
      <c r="IQ128">
        <v>-0.004593102289677449</v>
      </c>
      <c r="IR128">
        <v>0.0008253994458280543</v>
      </c>
      <c r="IS128">
        <v>-7.403632370499484E-06</v>
      </c>
      <c r="IT128">
        <v>2</v>
      </c>
      <c r="IU128">
        <v>1985</v>
      </c>
      <c r="IV128">
        <v>1</v>
      </c>
      <c r="IW128">
        <v>27</v>
      </c>
      <c r="IX128">
        <v>3.1</v>
      </c>
      <c r="IY128">
        <v>3</v>
      </c>
      <c r="IZ128">
        <v>1.12793</v>
      </c>
      <c r="JA128">
        <v>2.58179</v>
      </c>
      <c r="JB128">
        <v>1.49658</v>
      </c>
      <c r="JC128">
        <v>2.34131</v>
      </c>
      <c r="JD128">
        <v>1.54907</v>
      </c>
      <c r="JE128">
        <v>2.41455</v>
      </c>
      <c r="JF128">
        <v>31.8707</v>
      </c>
      <c r="JG128">
        <v>14.5436</v>
      </c>
      <c r="JH128">
        <v>18</v>
      </c>
      <c r="JI128">
        <v>482.99</v>
      </c>
      <c r="JJ128">
        <v>508.488</v>
      </c>
      <c r="JK128">
        <v>31.3901</v>
      </c>
      <c r="JL128">
        <v>27.2066</v>
      </c>
      <c r="JM128">
        <v>29.9997</v>
      </c>
      <c r="JN128">
        <v>27.5235</v>
      </c>
      <c r="JO128">
        <v>27.5342</v>
      </c>
      <c r="JP128">
        <v>22.6787</v>
      </c>
      <c r="JQ128">
        <v>18.819</v>
      </c>
      <c r="JR128">
        <v>84.2166</v>
      </c>
      <c r="JS128">
        <v>31.365</v>
      </c>
      <c r="JT128">
        <v>420</v>
      </c>
      <c r="JU128">
        <v>23.5157</v>
      </c>
      <c r="JV128">
        <v>102.339</v>
      </c>
      <c r="JW128">
        <v>91.4435</v>
      </c>
    </row>
    <row r="129" spans="1:283">
      <c r="A129">
        <v>111</v>
      </c>
      <c r="B129">
        <v>1761018850.1</v>
      </c>
      <c r="C129">
        <v>780.5999999046326</v>
      </c>
      <c r="D129" t="s">
        <v>652</v>
      </c>
      <c r="E129" t="s">
        <v>653</v>
      </c>
      <c r="F129">
        <v>5</v>
      </c>
      <c r="G129" t="s">
        <v>612</v>
      </c>
      <c r="H129">
        <v>1761018847.1</v>
      </c>
      <c r="I129">
        <f>(J129)/1000</f>
        <v>0</v>
      </c>
      <c r="J129">
        <f>1000*DJ129*AH129*(DF129-DG129)/(100*CY129*(1000-AH129*DF129))</f>
        <v>0</v>
      </c>
      <c r="K129">
        <f>DJ129*AH129*(DE129-DD129*(1000-AH129*DG129)/(1000-AH129*DF129))/(100*CY129)</f>
        <v>0</v>
      </c>
      <c r="L129">
        <f>DD129 - IF(AH129&gt;1, K129*CY129*100.0/(AJ129), 0)</f>
        <v>0</v>
      </c>
      <c r="M129">
        <f>((S129-I129/2)*L129-K129)/(S129+I129/2)</f>
        <v>0</v>
      </c>
      <c r="N129">
        <f>M129*(DK129+DL129)/1000.0</f>
        <v>0</v>
      </c>
      <c r="O129">
        <f>(DD129 - IF(AH129&gt;1, K129*CY129*100.0/(AJ129), 0))*(DK129+DL129)/1000.0</f>
        <v>0</v>
      </c>
      <c r="P129">
        <f>2.0/((1/R129-1/Q129)+SIGN(R129)*SQRT((1/R129-1/Q129)*(1/R129-1/Q129) + 4*CZ129/((CZ129+1)*(CZ129+1))*(2*1/R129*1/Q129-1/Q129*1/Q129)))</f>
        <v>0</v>
      </c>
      <c r="Q129">
        <f>IF(LEFT(DA129,1)&lt;&gt;"0",IF(LEFT(DA129,1)="1",3.0,DB129),$D$5+$E$5*(DR129*DK129/($K$5*1000))+$F$5*(DR129*DK129/($K$5*1000))*MAX(MIN(CY129,$J$5),$I$5)*MAX(MIN(CY129,$J$5),$I$5)+$G$5*MAX(MIN(CY129,$J$5),$I$5)*(DR129*DK129/($K$5*1000))+$H$5*(DR129*DK129/($K$5*1000))*(DR129*DK129/($K$5*1000)))</f>
        <v>0</v>
      </c>
      <c r="R129">
        <f>I129*(1000-(1000*0.61365*exp(17.502*V129/(240.97+V129))/(DK129+DL129)+DF129)/2)/(1000*0.61365*exp(17.502*V129/(240.97+V129))/(DK129+DL129)-DF129)</f>
        <v>0</v>
      </c>
      <c r="S129">
        <f>1/((CZ129+1)/(P129/1.6)+1/(Q129/1.37)) + CZ129/((CZ129+1)/(P129/1.6) + CZ129/(Q129/1.37))</f>
        <v>0</v>
      </c>
      <c r="T129">
        <f>(CU129*CX129)</f>
        <v>0</v>
      </c>
      <c r="U129">
        <f>(DM129+(T129+2*0.95*5.67E-8*(((DM129+$B$9)+273)^4-(DM129+273)^4)-44100*I129)/(1.84*29.3*Q129+8*0.95*5.67E-8*(DM129+273)^3))</f>
        <v>0</v>
      </c>
      <c r="V129">
        <f>($C$9*DN129+$D$9*DO129+$E$9*U129)</f>
        <v>0</v>
      </c>
      <c r="W129">
        <f>0.61365*exp(17.502*V129/(240.97+V129))</f>
        <v>0</v>
      </c>
      <c r="X129">
        <f>(Y129/Z129*100)</f>
        <v>0</v>
      </c>
      <c r="Y129">
        <f>DF129*(DK129+DL129)/1000</f>
        <v>0</v>
      </c>
      <c r="Z129">
        <f>0.61365*exp(17.502*DM129/(240.97+DM129))</f>
        <v>0</v>
      </c>
      <c r="AA129">
        <f>(W129-DF129*(DK129+DL129)/1000)</f>
        <v>0</v>
      </c>
      <c r="AB129">
        <f>(-I129*44100)</f>
        <v>0</v>
      </c>
      <c r="AC129">
        <f>2*29.3*Q129*0.92*(DM129-V129)</f>
        <v>0</v>
      </c>
      <c r="AD129">
        <f>2*0.95*5.67E-8*(((DM129+$B$9)+273)^4-(V129+273)^4)</f>
        <v>0</v>
      </c>
      <c r="AE129">
        <f>T129+AD129+AB129+AC129</f>
        <v>0</v>
      </c>
      <c r="AF129">
        <v>0</v>
      </c>
      <c r="AG129">
        <v>0</v>
      </c>
      <c r="AH129">
        <f>IF(AF129*$H$15&gt;=AJ129,1.0,(AJ129/(AJ129-AF129*$H$15)))</f>
        <v>0</v>
      </c>
      <c r="AI129">
        <f>(AH129-1)*100</f>
        <v>0</v>
      </c>
      <c r="AJ129">
        <f>MAX(0,($B$15+$C$15*DR129)/(1+$D$15*DR129)*DK129/(DM129+273)*$E$15)</f>
        <v>0</v>
      </c>
      <c r="AK129" t="s">
        <v>420</v>
      </c>
      <c r="AL129" t="s">
        <v>420</v>
      </c>
      <c r="AM129">
        <v>0</v>
      </c>
      <c r="AN129">
        <v>0</v>
      </c>
      <c r="AO129">
        <f>1-AM129/AN129</f>
        <v>0</v>
      </c>
      <c r="AP129">
        <v>0</v>
      </c>
      <c r="AQ129" t="s">
        <v>420</v>
      </c>
      <c r="AR129" t="s">
        <v>420</v>
      </c>
      <c r="AS129">
        <v>0</v>
      </c>
      <c r="AT129">
        <v>0</v>
      </c>
      <c r="AU129">
        <f>1-AS129/AT129</f>
        <v>0</v>
      </c>
      <c r="AV129">
        <v>0.5</v>
      </c>
      <c r="AW129">
        <f>CV129</f>
        <v>0</v>
      </c>
      <c r="AX129">
        <f>K129</f>
        <v>0</v>
      </c>
      <c r="AY129">
        <f>AU129*AV129*AW129</f>
        <v>0</v>
      </c>
      <c r="AZ129">
        <f>(AX129-AP129)/AW129</f>
        <v>0</v>
      </c>
      <c r="BA129">
        <f>(AN129-AT129)/AT129</f>
        <v>0</v>
      </c>
      <c r="BB129">
        <f>AM129/(AO129+AM129/AT129)</f>
        <v>0</v>
      </c>
      <c r="BC129" t="s">
        <v>420</v>
      </c>
      <c r="BD129">
        <v>0</v>
      </c>
      <c r="BE129">
        <f>IF(BD129&lt;&gt;0, BD129, BB129)</f>
        <v>0</v>
      </c>
      <c r="BF129">
        <f>1-BE129/AT129</f>
        <v>0</v>
      </c>
      <c r="BG129">
        <f>(AT129-AS129)/(AT129-BE129)</f>
        <v>0</v>
      </c>
      <c r="BH129">
        <f>(AN129-AT129)/(AN129-BE129)</f>
        <v>0</v>
      </c>
      <c r="BI129">
        <f>(AT129-AS129)/(AT129-AM129)</f>
        <v>0</v>
      </c>
      <c r="BJ129">
        <f>(AN129-AT129)/(AN129-AM129)</f>
        <v>0</v>
      </c>
      <c r="BK129">
        <f>(BG129*BE129/AS129)</f>
        <v>0</v>
      </c>
      <c r="BL129">
        <f>(1-BK129)</f>
        <v>0</v>
      </c>
      <c r="CU129">
        <f>$B$13*DS129+$C$13*DT129+$F$13*EE129*(1-EH129)</f>
        <v>0</v>
      </c>
      <c r="CV129">
        <f>CU129*CW129</f>
        <v>0</v>
      </c>
      <c r="CW129">
        <f>($B$13*$D$11+$C$13*$D$11+$F$13*((ER129+EJ129)/MAX(ER129+EJ129+ES129, 0.1)*$I$11+ES129/MAX(ER129+EJ129+ES129, 0.1)*$J$11))/($B$13+$C$13+$F$13)</f>
        <v>0</v>
      </c>
      <c r="CX129">
        <f>($B$13*$K$11+$C$13*$K$11+$F$13*((ER129+EJ129)/MAX(ER129+EJ129+ES129, 0.1)*$P$11+ES129/MAX(ER129+EJ129+ES129, 0.1)*$Q$11))/($B$13+$C$13+$F$13)</f>
        <v>0</v>
      </c>
      <c r="CY129">
        <v>2.96</v>
      </c>
      <c r="CZ129">
        <v>0.5</v>
      </c>
      <c r="DA129" t="s">
        <v>421</v>
      </c>
      <c r="DB129">
        <v>2</v>
      </c>
      <c r="DC129">
        <v>1761018847.1</v>
      </c>
      <c r="DD129">
        <v>420.4997777777778</v>
      </c>
      <c r="DE129">
        <v>420.0148888888888</v>
      </c>
      <c r="DF129">
        <v>23.62773333333333</v>
      </c>
      <c r="DG129">
        <v>23.49377777777778</v>
      </c>
      <c r="DH129">
        <v>422.0667777777778</v>
      </c>
      <c r="DI129">
        <v>23.43832222222222</v>
      </c>
      <c r="DJ129">
        <v>500.0302222222222</v>
      </c>
      <c r="DK129">
        <v>90.79699999999998</v>
      </c>
      <c r="DL129">
        <v>0.0377039</v>
      </c>
      <c r="DM129">
        <v>30.18532222222222</v>
      </c>
      <c r="DN129">
        <v>30.02524444444444</v>
      </c>
      <c r="DO129">
        <v>999.9000000000001</v>
      </c>
      <c r="DP129">
        <v>0</v>
      </c>
      <c r="DQ129">
        <v>0</v>
      </c>
      <c r="DR129">
        <v>9994.792222222222</v>
      </c>
      <c r="DS129">
        <v>0</v>
      </c>
      <c r="DT129">
        <v>0.242856</v>
      </c>
      <c r="DU129">
        <v>0.4851446666666667</v>
      </c>
      <c r="DV129">
        <v>430.6757777777778</v>
      </c>
      <c r="DW129">
        <v>430.12</v>
      </c>
      <c r="DX129">
        <v>0.1339631111111111</v>
      </c>
      <c r="DY129">
        <v>420.0148888888888</v>
      </c>
      <c r="DZ129">
        <v>23.49377777777778</v>
      </c>
      <c r="EA129">
        <v>2.145326666666667</v>
      </c>
      <c r="EB129">
        <v>2.133162222222222</v>
      </c>
      <c r="EC129">
        <v>18.55976666666667</v>
      </c>
      <c r="ED129">
        <v>18.46901111111111</v>
      </c>
      <c r="EE129">
        <v>0.00500078</v>
      </c>
      <c r="EF129">
        <v>0</v>
      </c>
      <c r="EG129">
        <v>0</v>
      </c>
      <c r="EH129">
        <v>0</v>
      </c>
      <c r="EI129">
        <v>432.3666666666666</v>
      </c>
      <c r="EJ129">
        <v>0.00500078</v>
      </c>
      <c r="EK129">
        <v>-22.95555555555556</v>
      </c>
      <c r="EL129">
        <v>-1.122222222222222</v>
      </c>
      <c r="EM129">
        <v>35.118</v>
      </c>
      <c r="EN129">
        <v>38.47888888888889</v>
      </c>
      <c r="EO129">
        <v>36.84688888888888</v>
      </c>
      <c r="EP129">
        <v>38.48588888888889</v>
      </c>
      <c r="EQ129">
        <v>37.36788888888889</v>
      </c>
      <c r="ER129">
        <v>0</v>
      </c>
      <c r="ES129">
        <v>0</v>
      </c>
      <c r="ET129">
        <v>0</v>
      </c>
      <c r="EU129">
        <v>1761018849.1</v>
      </c>
      <c r="EV129">
        <v>0</v>
      </c>
      <c r="EW129">
        <v>430.2192307692308</v>
      </c>
      <c r="EX129">
        <v>26.21196608822414</v>
      </c>
      <c r="EY129">
        <v>-24.44102565557212</v>
      </c>
      <c r="EZ129">
        <v>-20.78846153846154</v>
      </c>
      <c r="FA129">
        <v>15</v>
      </c>
      <c r="FB129">
        <v>1761018667.1</v>
      </c>
      <c r="FC129" t="s">
        <v>613</v>
      </c>
      <c r="FD129">
        <v>1761018661.6</v>
      </c>
      <c r="FE129">
        <v>1761018667.1</v>
      </c>
      <c r="FF129">
        <v>26</v>
      </c>
      <c r="FG129">
        <v>-0.221</v>
      </c>
      <c r="FH129">
        <v>-0.001</v>
      </c>
      <c r="FI129">
        <v>-1.568</v>
      </c>
      <c r="FJ129">
        <v>0.178</v>
      </c>
      <c r="FK129">
        <v>420</v>
      </c>
      <c r="FL129">
        <v>23</v>
      </c>
      <c r="FM129">
        <v>0.1</v>
      </c>
      <c r="FN129">
        <v>0.08</v>
      </c>
      <c r="FO129">
        <v>0.529272425</v>
      </c>
      <c r="FP129">
        <v>-0.2587978424015021</v>
      </c>
      <c r="FQ129">
        <v>0.0474281862482045</v>
      </c>
      <c r="FR129">
        <v>1</v>
      </c>
      <c r="FS129">
        <v>430.6176470588236</v>
      </c>
      <c r="FT129">
        <v>8.938120784825827</v>
      </c>
      <c r="FU129">
        <v>6.051760589148721</v>
      </c>
      <c r="FV129">
        <v>0</v>
      </c>
      <c r="FW129">
        <v>0.149190325</v>
      </c>
      <c r="FX129">
        <v>-0.0698254896810509</v>
      </c>
      <c r="FY129">
        <v>0.01209005182037592</v>
      </c>
      <c r="FZ129">
        <v>1</v>
      </c>
      <c r="GA129">
        <v>2</v>
      </c>
      <c r="GB129">
        <v>3</v>
      </c>
      <c r="GC129" t="s">
        <v>434</v>
      </c>
      <c r="GD129">
        <v>3.10959</v>
      </c>
      <c r="GE129">
        <v>2.7294</v>
      </c>
      <c r="GF129">
        <v>0.0889644</v>
      </c>
      <c r="GG129">
        <v>0.0886754</v>
      </c>
      <c r="GH129">
        <v>0.107727</v>
      </c>
      <c r="GI129">
        <v>0.108361</v>
      </c>
      <c r="GJ129">
        <v>23920.2</v>
      </c>
      <c r="GK129">
        <v>21667.4</v>
      </c>
      <c r="GL129">
        <v>26812.5</v>
      </c>
      <c r="GM129">
        <v>23980.3</v>
      </c>
      <c r="GN129">
        <v>38225</v>
      </c>
      <c r="GO129">
        <v>31535.5</v>
      </c>
      <c r="GP129">
        <v>46799</v>
      </c>
      <c r="GQ129">
        <v>37903.9</v>
      </c>
      <c r="GR129">
        <v>1.89842</v>
      </c>
      <c r="GS129">
        <v>1.89123</v>
      </c>
      <c r="GT129">
        <v>0.133961</v>
      </c>
      <c r="GU129">
        <v>0</v>
      </c>
      <c r="GV129">
        <v>27.8217</v>
      </c>
      <c r="GW129">
        <v>999.9</v>
      </c>
      <c r="GX129">
        <v>63.9</v>
      </c>
      <c r="GY129">
        <v>28.6</v>
      </c>
      <c r="GZ129">
        <v>27.6537</v>
      </c>
      <c r="HA129">
        <v>61.0873</v>
      </c>
      <c r="HB129">
        <v>20.0841</v>
      </c>
      <c r="HC129">
        <v>1</v>
      </c>
      <c r="HD129">
        <v>-0.00387703</v>
      </c>
      <c r="HE129">
        <v>-2.12367</v>
      </c>
      <c r="HF129">
        <v>20.3251</v>
      </c>
      <c r="HG129">
        <v>5.21879</v>
      </c>
      <c r="HH129">
        <v>11.9798</v>
      </c>
      <c r="HI129">
        <v>4.96555</v>
      </c>
      <c r="HJ129">
        <v>3.27598</v>
      </c>
      <c r="HK129">
        <v>9999</v>
      </c>
      <c r="HL129">
        <v>9999</v>
      </c>
      <c r="HM129">
        <v>9999</v>
      </c>
      <c r="HN129">
        <v>999.9</v>
      </c>
      <c r="HO129">
        <v>1.86357</v>
      </c>
      <c r="HP129">
        <v>1.85974</v>
      </c>
      <c r="HQ129">
        <v>1.858</v>
      </c>
      <c r="HR129">
        <v>1.85938</v>
      </c>
      <c r="HS129">
        <v>1.85959</v>
      </c>
      <c r="HT129">
        <v>1.85802</v>
      </c>
      <c r="HU129">
        <v>1.85704</v>
      </c>
      <c r="HV129">
        <v>1.85208</v>
      </c>
      <c r="HW129">
        <v>0</v>
      </c>
      <c r="HX129">
        <v>0</v>
      </c>
      <c r="HY129">
        <v>0</v>
      </c>
      <c r="HZ129">
        <v>0</v>
      </c>
      <c r="IA129" t="s">
        <v>424</v>
      </c>
      <c r="IB129" t="s">
        <v>425</v>
      </c>
      <c r="IC129" t="s">
        <v>426</v>
      </c>
      <c r="ID129" t="s">
        <v>426</v>
      </c>
      <c r="IE129" t="s">
        <v>426</v>
      </c>
      <c r="IF129" t="s">
        <v>426</v>
      </c>
      <c r="IG129">
        <v>0</v>
      </c>
      <c r="IH129">
        <v>100</v>
      </c>
      <c r="II129">
        <v>100</v>
      </c>
      <c r="IJ129">
        <v>-1.567</v>
      </c>
      <c r="IK129">
        <v>0.1892</v>
      </c>
      <c r="IL129">
        <v>-2.357986366295179</v>
      </c>
      <c r="IM129">
        <v>0.001328113201692861</v>
      </c>
      <c r="IN129">
        <v>1.538283238170363E-06</v>
      </c>
      <c r="IO129">
        <v>-5.795655626708063E-10</v>
      </c>
      <c r="IP129">
        <v>-0.06105361615936408</v>
      </c>
      <c r="IQ129">
        <v>-0.004593102289677449</v>
      </c>
      <c r="IR129">
        <v>0.0008253994458280543</v>
      </c>
      <c r="IS129">
        <v>-7.403632370499484E-06</v>
      </c>
      <c r="IT129">
        <v>2</v>
      </c>
      <c r="IU129">
        <v>1985</v>
      </c>
      <c r="IV129">
        <v>1</v>
      </c>
      <c r="IW129">
        <v>27</v>
      </c>
      <c r="IX129">
        <v>3.1</v>
      </c>
      <c r="IY129">
        <v>3</v>
      </c>
      <c r="IZ129">
        <v>1.12793</v>
      </c>
      <c r="JA129">
        <v>2.58423</v>
      </c>
      <c r="JB129">
        <v>1.49658</v>
      </c>
      <c r="JC129">
        <v>2.34131</v>
      </c>
      <c r="JD129">
        <v>1.54907</v>
      </c>
      <c r="JE129">
        <v>2.46338</v>
      </c>
      <c r="JF129">
        <v>31.8927</v>
      </c>
      <c r="JG129">
        <v>14.5436</v>
      </c>
      <c r="JH129">
        <v>18</v>
      </c>
      <c r="JI129">
        <v>483.088</v>
      </c>
      <c r="JJ129">
        <v>508.367</v>
      </c>
      <c r="JK129">
        <v>31.3798</v>
      </c>
      <c r="JL129">
        <v>27.2043</v>
      </c>
      <c r="JM129">
        <v>29.9997</v>
      </c>
      <c r="JN129">
        <v>27.5212</v>
      </c>
      <c r="JO129">
        <v>27.5319</v>
      </c>
      <c r="JP129">
        <v>22.6809</v>
      </c>
      <c r="JQ129">
        <v>18.819</v>
      </c>
      <c r="JR129">
        <v>84.2166</v>
      </c>
      <c r="JS129">
        <v>31.365</v>
      </c>
      <c r="JT129">
        <v>420</v>
      </c>
      <c r="JU129">
        <v>23.5244</v>
      </c>
      <c r="JV129">
        <v>102.339</v>
      </c>
      <c r="JW129">
        <v>91.4432</v>
      </c>
    </row>
    <row r="130" spans="1:283">
      <c r="A130">
        <v>112</v>
      </c>
      <c r="B130">
        <v>1761018852.1</v>
      </c>
      <c r="C130">
        <v>782.5999999046326</v>
      </c>
      <c r="D130" t="s">
        <v>654</v>
      </c>
      <c r="E130" t="s">
        <v>655</v>
      </c>
      <c r="F130">
        <v>5</v>
      </c>
      <c r="G130" t="s">
        <v>612</v>
      </c>
      <c r="H130">
        <v>1761018849.1</v>
      </c>
      <c r="I130">
        <f>(J130)/1000</f>
        <v>0</v>
      </c>
      <c r="J130">
        <f>1000*DJ130*AH130*(DF130-DG130)/(100*CY130*(1000-AH130*DF130))</f>
        <v>0</v>
      </c>
      <c r="K130">
        <f>DJ130*AH130*(DE130-DD130*(1000-AH130*DG130)/(1000-AH130*DF130))/(100*CY130)</f>
        <v>0</v>
      </c>
      <c r="L130">
        <f>DD130 - IF(AH130&gt;1, K130*CY130*100.0/(AJ130), 0)</f>
        <v>0</v>
      </c>
      <c r="M130">
        <f>((S130-I130/2)*L130-K130)/(S130+I130/2)</f>
        <v>0</v>
      </c>
      <c r="N130">
        <f>M130*(DK130+DL130)/1000.0</f>
        <v>0</v>
      </c>
      <c r="O130">
        <f>(DD130 - IF(AH130&gt;1, K130*CY130*100.0/(AJ130), 0))*(DK130+DL130)/1000.0</f>
        <v>0</v>
      </c>
      <c r="P130">
        <f>2.0/((1/R130-1/Q130)+SIGN(R130)*SQRT((1/R130-1/Q130)*(1/R130-1/Q130) + 4*CZ130/((CZ130+1)*(CZ130+1))*(2*1/R130*1/Q130-1/Q130*1/Q130)))</f>
        <v>0</v>
      </c>
      <c r="Q130">
        <f>IF(LEFT(DA130,1)&lt;&gt;"0",IF(LEFT(DA130,1)="1",3.0,DB130),$D$5+$E$5*(DR130*DK130/($K$5*1000))+$F$5*(DR130*DK130/($K$5*1000))*MAX(MIN(CY130,$J$5),$I$5)*MAX(MIN(CY130,$J$5),$I$5)+$G$5*MAX(MIN(CY130,$J$5),$I$5)*(DR130*DK130/($K$5*1000))+$H$5*(DR130*DK130/($K$5*1000))*(DR130*DK130/($K$5*1000)))</f>
        <v>0</v>
      </c>
      <c r="R130">
        <f>I130*(1000-(1000*0.61365*exp(17.502*V130/(240.97+V130))/(DK130+DL130)+DF130)/2)/(1000*0.61365*exp(17.502*V130/(240.97+V130))/(DK130+DL130)-DF130)</f>
        <v>0</v>
      </c>
      <c r="S130">
        <f>1/((CZ130+1)/(P130/1.6)+1/(Q130/1.37)) + CZ130/((CZ130+1)/(P130/1.6) + CZ130/(Q130/1.37))</f>
        <v>0</v>
      </c>
      <c r="T130">
        <f>(CU130*CX130)</f>
        <v>0</v>
      </c>
      <c r="U130">
        <f>(DM130+(T130+2*0.95*5.67E-8*(((DM130+$B$9)+273)^4-(DM130+273)^4)-44100*I130)/(1.84*29.3*Q130+8*0.95*5.67E-8*(DM130+273)^3))</f>
        <v>0</v>
      </c>
      <c r="V130">
        <f>($C$9*DN130+$D$9*DO130+$E$9*U130)</f>
        <v>0</v>
      </c>
      <c r="W130">
        <f>0.61365*exp(17.502*V130/(240.97+V130))</f>
        <v>0</v>
      </c>
      <c r="X130">
        <f>(Y130/Z130*100)</f>
        <v>0</v>
      </c>
      <c r="Y130">
        <f>DF130*(DK130+DL130)/1000</f>
        <v>0</v>
      </c>
      <c r="Z130">
        <f>0.61365*exp(17.502*DM130/(240.97+DM130))</f>
        <v>0</v>
      </c>
      <c r="AA130">
        <f>(W130-DF130*(DK130+DL130)/1000)</f>
        <v>0</v>
      </c>
      <c r="AB130">
        <f>(-I130*44100)</f>
        <v>0</v>
      </c>
      <c r="AC130">
        <f>2*29.3*Q130*0.92*(DM130-V130)</f>
        <v>0</v>
      </c>
      <c r="AD130">
        <f>2*0.95*5.67E-8*(((DM130+$B$9)+273)^4-(V130+273)^4)</f>
        <v>0</v>
      </c>
      <c r="AE130">
        <f>T130+AD130+AB130+AC130</f>
        <v>0</v>
      </c>
      <c r="AF130">
        <v>0</v>
      </c>
      <c r="AG130">
        <v>0</v>
      </c>
      <c r="AH130">
        <f>IF(AF130*$H$15&gt;=AJ130,1.0,(AJ130/(AJ130-AF130*$H$15)))</f>
        <v>0</v>
      </c>
      <c r="AI130">
        <f>(AH130-1)*100</f>
        <v>0</v>
      </c>
      <c r="AJ130">
        <f>MAX(0,($B$15+$C$15*DR130)/(1+$D$15*DR130)*DK130/(DM130+273)*$E$15)</f>
        <v>0</v>
      </c>
      <c r="AK130" t="s">
        <v>420</v>
      </c>
      <c r="AL130" t="s">
        <v>420</v>
      </c>
      <c r="AM130">
        <v>0</v>
      </c>
      <c r="AN130">
        <v>0</v>
      </c>
      <c r="AO130">
        <f>1-AM130/AN130</f>
        <v>0</v>
      </c>
      <c r="AP130">
        <v>0</v>
      </c>
      <c r="AQ130" t="s">
        <v>420</v>
      </c>
      <c r="AR130" t="s">
        <v>420</v>
      </c>
      <c r="AS130">
        <v>0</v>
      </c>
      <c r="AT130">
        <v>0</v>
      </c>
      <c r="AU130">
        <f>1-AS130/AT130</f>
        <v>0</v>
      </c>
      <c r="AV130">
        <v>0.5</v>
      </c>
      <c r="AW130">
        <f>CV130</f>
        <v>0</v>
      </c>
      <c r="AX130">
        <f>K130</f>
        <v>0</v>
      </c>
      <c r="AY130">
        <f>AU130*AV130*AW130</f>
        <v>0</v>
      </c>
      <c r="AZ130">
        <f>(AX130-AP130)/AW130</f>
        <v>0</v>
      </c>
      <c r="BA130">
        <f>(AN130-AT130)/AT130</f>
        <v>0</v>
      </c>
      <c r="BB130">
        <f>AM130/(AO130+AM130/AT130)</f>
        <v>0</v>
      </c>
      <c r="BC130" t="s">
        <v>420</v>
      </c>
      <c r="BD130">
        <v>0</v>
      </c>
      <c r="BE130">
        <f>IF(BD130&lt;&gt;0, BD130, BB130)</f>
        <v>0</v>
      </c>
      <c r="BF130">
        <f>1-BE130/AT130</f>
        <v>0</v>
      </c>
      <c r="BG130">
        <f>(AT130-AS130)/(AT130-BE130)</f>
        <v>0</v>
      </c>
      <c r="BH130">
        <f>(AN130-AT130)/(AN130-BE130)</f>
        <v>0</v>
      </c>
      <c r="BI130">
        <f>(AT130-AS130)/(AT130-AM130)</f>
        <v>0</v>
      </c>
      <c r="BJ130">
        <f>(AN130-AT130)/(AN130-AM130)</f>
        <v>0</v>
      </c>
      <c r="BK130">
        <f>(BG130*BE130/AS130)</f>
        <v>0</v>
      </c>
      <c r="BL130">
        <f>(1-BK130)</f>
        <v>0</v>
      </c>
      <c r="CU130">
        <f>$B$13*DS130+$C$13*DT130+$F$13*EE130*(1-EH130)</f>
        <v>0</v>
      </c>
      <c r="CV130">
        <f>CU130*CW130</f>
        <v>0</v>
      </c>
      <c r="CW130">
        <f>($B$13*$D$11+$C$13*$D$11+$F$13*((ER130+EJ130)/MAX(ER130+EJ130+ES130, 0.1)*$I$11+ES130/MAX(ER130+EJ130+ES130, 0.1)*$J$11))/($B$13+$C$13+$F$13)</f>
        <v>0</v>
      </c>
      <c r="CX130">
        <f>($B$13*$K$11+$C$13*$K$11+$F$13*((ER130+EJ130)/MAX(ER130+EJ130+ES130, 0.1)*$P$11+ES130/MAX(ER130+EJ130+ES130, 0.1)*$Q$11))/($B$13+$C$13+$F$13)</f>
        <v>0</v>
      </c>
      <c r="CY130">
        <v>2.96</v>
      </c>
      <c r="CZ130">
        <v>0.5</v>
      </c>
      <c r="DA130" t="s">
        <v>421</v>
      </c>
      <c r="DB130">
        <v>2</v>
      </c>
      <c r="DC130">
        <v>1761018849.1</v>
      </c>
      <c r="DD130">
        <v>420.5127777777778</v>
      </c>
      <c r="DE130">
        <v>420.02</v>
      </c>
      <c r="DF130">
        <v>23.61991111111111</v>
      </c>
      <c r="DG130">
        <v>23.49177777777778</v>
      </c>
      <c r="DH130">
        <v>422.0796666666667</v>
      </c>
      <c r="DI130">
        <v>23.43068888888889</v>
      </c>
      <c r="DJ130">
        <v>500.0372222222222</v>
      </c>
      <c r="DK130">
        <v>90.7976</v>
      </c>
      <c r="DL130">
        <v>0.03778462222222222</v>
      </c>
      <c r="DM130">
        <v>30.18122222222222</v>
      </c>
      <c r="DN130">
        <v>30.01416666666667</v>
      </c>
      <c r="DO130">
        <v>999.9000000000001</v>
      </c>
      <c r="DP130">
        <v>0</v>
      </c>
      <c r="DQ130">
        <v>0</v>
      </c>
      <c r="DR130">
        <v>9994.789999999999</v>
      </c>
      <c r="DS130">
        <v>0</v>
      </c>
      <c r="DT130">
        <v>0.242856</v>
      </c>
      <c r="DU130">
        <v>0.4928826666666667</v>
      </c>
      <c r="DV130">
        <v>430.6855555555555</v>
      </c>
      <c r="DW130">
        <v>430.1242222222222</v>
      </c>
      <c r="DX130">
        <v>0.1281558888888889</v>
      </c>
      <c r="DY130">
        <v>420.02</v>
      </c>
      <c r="DZ130">
        <v>23.49177777777778</v>
      </c>
      <c r="EA130">
        <v>2.144631111111111</v>
      </c>
      <c r="EB130">
        <v>2.132993333333333</v>
      </c>
      <c r="EC130">
        <v>18.5546</v>
      </c>
      <c r="ED130">
        <v>18.46775555555556</v>
      </c>
      <c r="EE130">
        <v>0.00500078</v>
      </c>
      <c r="EF130">
        <v>0</v>
      </c>
      <c r="EG130">
        <v>0</v>
      </c>
      <c r="EH130">
        <v>0</v>
      </c>
      <c r="EI130">
        <v>434.9111111111111</v>
      </c>
      <c r="EJ130">
        <v>0.00500078</v>
      </c>
      <c r="EK130">
        <v>-25.9</v>
      </c>
      <c r="EL130">
        <v>-2.122222222222222</v>
      </c>
      <c r="EM130">
        <v>35.125</v>
      </c>
      <c r="EN130">
        <v>38.52744444444445</v>
      </c>
      <c r="EO130">
        <v>36.7011111111111</v>
      </c>
      <c r="EP130">
        <v>38.54844444444444</v>
      </c>
      <c r="EQ130">
        <v>37.28455555555556</v>
      </c>
      <c r="ER130">
        <v>0</v>
      </c>
      <c r="ES130">
        <v>0</v>
      </c>
      <c r="ET130">
        <v>0</v>
      </c>
      <c r="EU130">
        <v>1761018850.9</v>
      </c>
      <c r="EV130">
        <v>0</v>
      </c>
      <c r="EW130">
        <v>430.348</v>
      </c>
      <c r="EX130">
        <v>41.46153850720057</v>
      </c>
      <c r="EY130">
        <v>-35.63076889750053</v>
      </c>
      <c r="EZ130">
        <v>-21.088</v>
      </c>
      <c r="FA130">
        <v>15</v>
      </c>
      <c r="FB130">
        <v>1761018667.1</v>
      </c>
      <c r="FC130" t="s">
        <v>613</v>
      </c>
      <c r="FD130">
        <v>1761018661.6</v>
      </c>
      <c r="FE130">
        <v>1761018667.1</v>
      </c>
      <c r="FF130">
        <v>26</v>
      </c>
      <c r="FG130">
        <v>-0.221</v>
      </c>
      <c r="FH130">
        <v>-0.001</v>
      </c>
      <c r="FI130">
        <v>-1.568</v>
      </c>
      <c r="FJ130">
        <v>0.178</v>
      </c>
      <c r="FK130">
        <v>420</v>
      </c>
      <c r="FL130">
        <v>23</v>
      </c>
      <c r="FM130">
        <v>0.1</v>
      </c>
      <c r="FN130">
        <v>0.08</v>
      </c>
      <c r="FO130">
        <v>0.5275700000000001</v>
      </c>
      <c r="FP130">
        <v>-0.3023019094076654</v>
      </c>
      <c r="FQ130">
        <v>0.04681524882489235</v>
      </c>
      <c r="FR130">
        <v>1</v>
      </c>
      <c r="FS130">
        <v>431.4411764705882</v>
      </c>
      <c r="FT130">
        <v>0.5133690520548143</v>
      </c>
      <c r="FU130">
        <v>6.061116071127631</v>
      </c>
      <c r="FV130">
        <v>1</v>
      </c>
      <c r="FW130">
        <v>0.1472851219512195</v>
      </c>
      <c r="FX130">
        <v>-0.1350536027874562</v>
      </c>
      <c r="FY130">
        <v>0.01405994330938702</v>
      </c>
      <c r="FZ130">
        <v>0</v>
      </c>
      <c r="GA130">
        <v>2</v>
      </c>
      <c r="GB130">
        <v>3</v>
      </c>
      <c r="GC130" t="s">
        <v>434</v>
      </c>
      <c r="GD130">
        <v>3.10948</v>
      </c>
      <c r="GE130">
        <v>2.72944</v>
      </c>
      <c r="GF130">
        <v>0.0889626</v>
      </c>
      <c r="GG130">
        <v>0.0886706</v>
      </c>
      <c r="GH130">
        <v>0.107703</v>
      </c>
      <c r="GI130">
        <v>0.108356</v>
      </c>
      <c r="GJ130">
        <v>23920.3</v>
      </c>
      <c r="GK130">
        <v>21667.4</v>
      </c>
      <c r="GL130">
        <v>26812.6</v>
      </c>
      <c r="GM130">
        <v>23980.2</v>
      </c>
      <c r="GN130">
        <v>38226.1</v>
      </c>
      <c r="GO130">
        <v>31535.5</v>
      </c>
      <c r="GP130">
        <v>46799.1</v>
      </c>
      <c r="GQ130">
        <v>37903.7</v>
      </c>
      <c r="GR130">
        <v>1.89815</v>
      </c>
      <c r="GS130">
        <v>1.89158</v>
      </c>
      <c r="GT130">
        <v>0.133738</v>
      </c>
      <c r="GU130">
        <v>0</v>
      </c>
      <c r="GV130">
        <v>27.8217</v>
      </c>
      <c r="GW130">
        <v>999.9</v>
      </c>
      <c r="GX130">
        <v>63.9</v>
      </c>
      <c r="GY130">
        <v>28.6</v>
      </c>
      <c r="GZ130">
        <v>27.6549</v>
      </c>
      <c r="HA130">
        <v>61.0373</v>
      </c>
      <c r="HB130">
        <v>20.0401</v>
      </c>
      <c r="HC130">
        <v>1</v>
      </c>
      <c r="HD130">
        <v>-0.00410061</v>
      </c>
      <c r="HE130">
        <v>-2.11146</v>
      </c>
      <c r="HF130">
        <v>20.3253</v>
      </c>
      <c r="HG130">
        <v>5.21849</v>
      </c>
      <c r="HH130">
        <v>11.9798</v>
      </c>
      <c r="HI130">
        <v>4.9655</v>
      </c>
      <c r="HJ130">
        <v>3.27598</v>
      </c>
      <c r="HK130">
        <v>9999</v>
      </c>
      <c r="HL130">
        <v>9999</v>
      </c>
      <c r="HM130">
        <v>9999</v>
      </c>
      <c r="HN130">
        <v>999.9</v>
      </c>
      <c r="HO130">
        <v>1.8636</v>
      </c>
      <c r="HP130">
        <v>1.85974</v>
      </c>
      <c r="HQ130">
        <v>1.858</v>
      </c>
      <c r="HR130">
        <v>1.85939</v>
      </c>
      <c r="HS130">
        <v>1.85959</v>
      </c>
      <c r="HT130">
        <v>1.85803</v>
      </c>
      <c r="HU130">
        <v>1.85703</v>
      </c>
      <c r="HV130">
        <v>1.85209</v>
      </c>
      <c r="HW130">
        <v>0</v>
      </c>
      <c r="HX130">
        <v>0</v>
      </c>
      <c r="HY130">
        <v>0</v>
      </c>
      <c r="HZ130">
        <v>0</v>
      </c>
      <c r="IA130" t="s">
        <v>424</v>
      </c>
      <c r="IB130" t="s">
        <v>425</v>
      </c>
      <c r="IC130" t="s">
        <v>426</v>
      </c>
      <c r="ID130" t="s">
        <v>426</v>
      </c>
      <c r="IE130" t="s">
        <v>426</v>
      </c>
      <c r="IF130" t="s">
        <v>426</v>
      </c>
      <c r="IG130">
        <v>0</v>
      </c>
      <c r="IH130">
        <v>100</v>
      </c>
      <c r="II130">
        <v>100</v>
      </c>
      <c r="IJ130">
        <v>-1.567</v>
      </c>
      <c r="IK130">
        <v>0.189</v>
      </c>
      <c r="IL130">
        <v>-2.357986366295179</v>
      </c>
      <c r="IM130">
        <v>0.001328113201692861</v>
      </c>
      <c r="IN130">
        <v>1.538283238170363E-06</v>
      </c>
      <c r="IO130">
        <v>-5.795655626708063E-10</v>
      </c>
      <c r="IP130">
        <v>-0.06105361615936408</v>
      </c>
      <c r="IQ130">
        <v>-0.004593102289677449</v>
      </c>
      <c r="IR130">
        <v>0.0008253994458280543</v>
      </c>
      <c r="IS130">
        <v>-7.403632370499484E-06</v>
      </c>
      <c r="IT130">
        <v>2</v>
      </c>
      <c r="IU130">
        <v>1985</v>
      </c>
      <c r="IV130">
        <v>1</v>
      </c>
      <c r="IW130">
        <v>27</v>
      </c>
      <c r="IX130">
        <v>3.2</v>
      </c>
      <c r="IY130">
        <v>3.1</v>
      </c>
      <c r="IZ130">
        <v>1.12793</v>
      </c>
      <c r="JA130">
        <v>2.58789</v>
      </c>
      <c r="JB130">
        <v>1.49658</v>
      </c>
      <c r="JC130">
        <v>2.34131</v>
      </c>
      <c r="JD130">
        <v>1.54907</v>
      </c>
      <c r="JE130">
        <v>2.44385</v>
      </c>
      <c r="JF130">
        <v>31.8707</v>
      </c>
      <c r="JG130">
        <v>14.5261</v>
      </c>
      <c r="JH130">
        <v>18</v>
      </c>
      <c r="JI130">
        <v>482.911</v>
      </c>
      <c r="JJ130">
        <v>508.581</v>
      </c>
      <c r="JK130">
        <v>31.3668</v>
      </c>
      <c r="JL130">
        <v>27.2021</v>
      </c>
      <c r="JM130">
        <v>29.9997</v>
      </c>
      <c r="JN130">
        <v>27.5189</v>
      </c>
      <c r="JO130">
        <v>27.5296</v>
      </c>
      <c r="JP130">
        <v>22.6831</v>
      </c>
      <c r="JQ130">
        <v>18.819</v>
      </c>
      <c r="JR130">
        <v>84.59529999999999</v>
      </c>
      <c r="JS130">
        <v>31.365</v>
      </c>
      <c r="JT130">
        <v>420</v>
      </c>
      <c r="JU130">
        <v>23.537</v>
      </c>
      <c r="JV130">
        <v>102.34</v>
      </c>
      <c r="JW130">
        <v>91.4427</v>
      </c>
    </row>
    <row r="131" spans="1:283">
      <c r="A131">
        <v>113</v>
      </c>
      <c r="B131">
        <v>1761018854.1</v>
      </c>
      <c r="C131">
        <v>784.5999999046326</v>
      </c>
      <c r="D131" t="s">
        <v>656</v>
      </c>
      <c r="E131" t="s">
        <v>657</v>
      </c>
      <c r="F131">
        <v>5</v>
      </c>
      <c r="G131" t="s">
        <v>612</v>
      </c>
      <c r="H131">
        <v>1761018851.1</v>
      </c>
      <c r="I131">
        <f>(J131)/1000</f>
        <v>0</v>
      </c>
      <c r="J131">
        <f>1000*DJ131*AH131*(DF131-DG131)/(100*CY131*(1000-AH131*DF131))</f>
        <v>0</v>
      </c>
      <c r="K131">
        <f>DJ131*AH131*(DE131-DD131*(1000-AH131*DG131)/(1000-AH131*DF131))/(100*CY131)</f>
        <v>0</v>
      </c>
      <c r="L131">
        <f>DD131 - IF(AH131&gt;1, K131*CY131*100.0/(AJ131), 0)</f>
        <v>0</v>
      </c>
      <c r="M131">
        <f>((S131-I131/2)*L131-K131)/(S131+I131/2)</f>
        <v>0</v>
      </c>
      <c r="N131">
        <f>M131*(DK131+DL131)/1000.0</f>
        <v>0</v>
      </c>
      <c r="O131">
        <f>(DD131 - IF(AH131&gt;1, K131*CY131*100.0/(AJ131), 0))*(DK131+DL131)/1000.0</f>
        <v>0</v>
      </c>
      <c r="P131">
        <f>2.0/((1/R131-1/Q131)+SIGN(R131)*SQRT((1/R131-1/Q131)*(1/R131-1/Q131) + 4*CZ131/((CZ131+1)*(CZ131+1))*(2*1/R131*1/Q131-1/Q131*1/Q131)))</f>
        <v>0</v>
      </c>
      <c r="Q131">
        <f>IF(LEFT(DA131,1)&lt;&gt;"0",IF(LEFT(DA131,1)="1",3.0,DB131),$D$5+$E$5*(DR131*DK131/($K$5*1000))+$F$5*(DR131*DK131/($K$5*1000))*MAX(MIN(CY131,$J$5),$I$5)*MAX(MIN(CY131,$J$5),$I$5)+$G$5*MAX(MIN(CY131,$J$5),$I$5)*(DR131*DK131/($K$5*1000))+$H$5*(DR131*DK131/($K$5*1000))*(DR131*DK131/($K$5*1000)))</f>
        <v>0</v>
      </c>
      <c r="R131">
        <f>I131*(1000-(1000*0.61365*exp(17.502*V131/(240.97+V131))/(DK131+DL131)+DF131)/2)/(1000*0.61365*exp(17.502*V131/(240.97+V131))/(DK131+DL131)-DF131)</f>
        <v>0</v>
      </c>
      <c r="S131">
        <f>1/((CZ131+1)/(P131/1.6)+1/(Q131/1.37)) + CZ131/((CZ131+1)/(P131/1.6) + CZ131/(Q131/1.37))</f>
        <v>0</v>
      </c>
      <c r="T131">
        <f>(CU131*CX131)</f>
        <v>0</v>
      </c>
      <c r="U131">
        <f>(DM131+(T131+2*0.95*5.67E-8*(((DM131+$B$9)+273)^4-(DM131+273)^4)-44100*I131)/(1.84*29.3*Q131+8*0.95*5.67E-8*(DM131+273)^3))</f>
        <v>0</v>
      </c>
      <c r="V131">
        <f>($C$9*DN131+$D$9*DO131+$E$9*U131)</f>
        <v>0</v>
      </c>
      <c r="W131">
        <f>0.61365*exp(17.502*V131/(240.97+V131))</f>
        <v>0</v>
      </c>
      <c r="X131">
        <f>(Y131/Z131*100)</f>
        <v>0</v>
      </c>
      <c r="Y131">
        <f>DF131*(DK131+DL131)/1000</f>
        <v>0</v>
      </c>
      <c r="Z131">
        <f>0.61365*exp(17.502*DM131/(240.97+DM131))</f>
        <v>0</v>
      </c>
      <c r="AA131">
        <f>(W131-DF131*(DK131+DL131)/1000)</f>
        <v>0</v>
      </c>
      <c r="AB131">
        <f>(-I131*44100)</f>
        <v>0</v>
      </c>
      <c r="AC131">
        <f>2*29.3*Q131*0.92*(DM131-V131)</f>
        <v>0</v>
      </c>
      <c r="AD131">
        <f>2*0.95*5.67E-8*(((DM131+$B$9)+273)^4-(V131+273)^4)</f>
        <v>0</v>
      </c>
      <c r="AE131">
        <f>T131+AD131+AB131+AC131</f>
        <v>0</v>
      </c>
      <c r="AF131">
        <v>0</v>
      </c>
      <c r="AG131">
        <v>0</v>
      </c>
      <c r="AH131">
        <f>IF(AF131*$H$15&gt;=AJ131,1.0,(AJ131/(AJ131-AF131*$H$15)))</f>
        <v>0</v>
      </c>
      <c r="AI131">
        <f>(AH131-1)*100</f>
        <v>0</v>
      </c>
      <c r="AJ131">
        <f>MAX(0,($B$15+$C$15*DR131)/(1+$D$15*DR131)*DK131/(DM131+273)*$E$15)</f>
        <v>0</v>
      </c>
      <c r="AK131" t="s">
        <v>420</v>
      </c>
      <c r="AL131" t="s">
        <v>420</v>
      </c>
      <c r="AM131">
        <v>0</v>
      </c>
      <c r="AN131">
        <v>0</v>
      </c>
      <c r="AO131">
        <f>1-AM131/AN131</f>
        <v>0</v>
      </c>
      <c r="AP131">
        <v>0</v>
      </c>
      <c r="AQ131" t="s">
        <v>420</v>
      </c>
      <c r="AR131" t="s">
        <v>420</v>
      </c>
      <c r="AS131">
        <v>0</v>
      </c>
      <c r="AT131">
        <v>0</v>
      </c>
      <c r="AU131">
        <f>1-AS131/AT131</f>
        <v>0</v>
      </c>
      <c r="AV131">
        <v>0.5</v>
      </c>
      <c r="AW131">
        <f>CV131</f>
        <v>0</v>
      </c>
      <c r="AX131">
        <f>K131</f>
        <v>0</v>
      </c>
      <c r="AY131">
        <f>AU131*AV131*AW131</f>
        <v>0</v>
      </c>
      <c r="AZ131">
        <f>(AX131-AP131)/AW131</f>
        <v>0</v>
      </c>
      <c r="BA131">
        <f>(AN131-AT131)/AT131</f>
        <v>0</v>
      </c>
      <c r="BB131">
        <f>AM131/(AO131+AM131/AT131)</f>
        <v>0</v>
      </c>
      <c r="BC131" t="s">
        <v>420</v>
      </c>
      <c r="BD131">
        <v>0</v>
      </c>
      <c r="BE131">
        <f>IF(BD131&lt;&gt;0, BD131, BB131)</f>
        <v>0</v>
      </c>
      <c r="BF131">
        <f>1-BE131/AT131</f>
        <v>0</v>
      </c>
      <c r="BG131">
        <f>(AT131-AS131)/(AT131-BE131)</f>
        <v>0</v>
      </c>
      <c r="BH131">
        <f>(AN131-AT131)/(AN131-BE131)</f>
        <v>0</v>
      </c>
      <c r="BI131">
        <f>(AT131-AS131)/(AT131-AM131)</f>
        <v>0</v>
      </c>
      <c r="BJ131">
        <f>(AN131-AT131)/(AN131-AM131)</f>
        <v>0</v>
      </c>
      <c r="BK131">
        <f>(BG131*BE131/AS131)</f>
        <v>0</v>
      </c>
      <c r="BL131">
        <f>(1-BK131)</f>
        <v>0</v>
      </c>
      <c r="CU131">
        <f>$B$13*DS131+$C$13*DT131+$F$13*EE131*(1-EH131)</f>
        <v>0</v>
      </c>
      <c r="CV131">
        <f>CU131*CW131</f>
        <v>0</v>
      </c>
      <c r="CW131">
        <f>($B$13*$D$11+$C$13*$D$11+$F$13*((ER131+EJ131)/MAX(ER131+EJ131+ES131, 0.1)*$I$11+ES131/MAX(ER131+EJ131+ES131, 0.1)*$J$11))/($B$13+$C$13+$F$13)</f>
        <v>0</v>
      </c>
      <c r="CX131">
        <f>($B$13*$K$11+$C$13*$K$11+$F$13*((ER131+EJ131)/MAX(ER131+EJ131+ES131, 0.1)*$P$11+ES131/MAX(ER131+EJ131+ES131, 0.1)*$Q$11))/($B$13+$C$13+$F$13)</f>
        <v>0</v>
      </c>
      <c r="CY131">
        <v>2.96</v>
      </c>
      <c r="CZ131">
        <v>0.5</v>
      </c>
      <c r="DA131" t="s">
        <v>421</v>
      </c>
      <c r="DB131">
        <v>2</v>
      </c>
      <c r="DC131">
        <v>1761018851.1</v>
      </c>
      <c r="DD131">
        <v>420.521</v>
      </c>
      <c r="DE131">
        <v>419.9992222222222</v>
      </c>
      <c r="DF131">
        <v>23.61214444444445</v>
      </c>
      <c r="DG131">
        <v>23.4897</v>
      </c>
      <c r="DH131">
        <v>422.0877777777778</v>
      </c>
      <c r="DI131">
        <v>23.42306666666666</v>
      </c>
      <c r="DJ131">
        <v>499.9997777777778</v>
      </c>
      <c r="DK131">
        <v>90.79803333333334</v>
      </c>
      <c r="DL131">
        <v>0.03783954444444444</v>
      </c>
      <c r="DM131">
        <v>30.17683333333333</v>
      </c>
      <c r="DN131">
        <v>30.00478888888889</v>
      </c>
      <c r="DO131">
        <v>999.9000000000001</v>
      </c>
      <c r="DP131">
        <v>0</v>
      </c>
      <c r="DQ131">
        <v>0</v>
      </c>
      <c r="DR131">
        <v>9992.709999999999</v>
      </c>
      <c r="DS131">
        <v>0</v>
      </c>
      <c r="DT131">
        <v>0.242856</v>
      </c>
      <c r="DU131">
        <v>0.52181</v>
      </c>
      <c r="DV131">
        <v>430.6904444444444</v>
      </c>
      <c r="DW131">
        <v>430.1022222222222</v>
      </c>
      <c r="DX131">
        <v>0.1224534444444444</v>
      </c>
      <c r="DY131">
        <v>419.9992222222222</v>
      </c>
      <c r="DZ131">
        <v>23.4897</v>
      </c>
      <c r="EA131">
        <v>2.143936666666667</v>
      </c>
      <c r="EB131">
        <v>2.132816666666667</v>
      </c>
      <c r="EC131">
        <v>18.54942222222222</v>
      </c>
      <c r="ED131">
        <v>18.46642222222222</v>
      </c>
      <c r="EE131">
        <v>0.00500078</v>
      </c>
      <c r="EF131">
        <v>0</v>
      </c>
      <c r="EG131">
        <v>0</v>
      </c>
      <c r="EH131">
        <v>0</v>
      </c>
      <c r="EI131">
        <v>431.3111111111111</v>
      </c>
      <c r="EJ131">
        <v>0.00500078</v>
      </c>
      <c r="EK131">
        <v>-20.43333333333333</v>
      </c>
      <c r="EL131">
        <v>-1.455555555555555</v>
      </c>
      <c r="EM131">
        <v>35.13877777777778</v>
      </c>
      <c r="EN131">
        <v>38.56911111111111</v>
      </c>
      <c r="EO131">
        <v>36.73588888888889</v>
      </c>
      <c r="EP131">
        <v>38.60388888888889</v>
      </c>
      <c r="EQ131">
        <v>37.16655555555556</v>
      </c>
      <c r="ER131">
        <v>0</v>
      </c>
      <c r="ES131">
        <v>0</v>
      </c>
      <c r="ET131">
        <v>0</v>
      </c>
      <c r="EU131">
        <v>1761018853.3</v>
      </c>
      <c r="EV131">
        <v>0</v>
      </c>
      <c r="EW131">
        <v>430.508</v>
      </c>
      <c r="EX131">
        <v>3.976923295096544</v>
      </c>
      <c r="EY131">
        <v>13.65384638020269</v>
      </c>
      <c r="EZ131">
        <v>-21.084</v>
      </c>
      <c r="FA131">
        <v>15</v>
      </c>
      <c r="FB131">
        <v>1761018667.1</v>
      </c>
      <c r="FC131" t="s">
        <v>613</v>
      </c>
      <c r="FD131">
        <v>1761018661.6</v>
      </c>
      <c r="FE131">
        <v>1761018667.1</v>
      </c>
      <c r="FF131">
        <v>26</v>
      </c>
      <c r="FG131">
        <v>-0.221</v>
      </c>
      <c r="FH131">
        <v>-0.001</v>
      </c>
      <c r="FI131">
        <v>-1.568</v>
      </c>
      <c r="FJ131">
        <v>0.178</v>
      </c>
      <c r="FK131">
        <v>420</v>
      </c>
      <c r="FL131">
        <v>23</v>
      </c>
      <c r="FM131">
        <v>0.1</v>
      </c>
      <c r="FN131">
        <v>0.08</v>
      </c>
      <c r="FO131">
        <v>0.530204025</v>
      </c>
      <c r="FP131">
        <v>-0.3245911857410873</v>
      </c>
      <c r="FQ131">
        <v>0.04750391918120414</v>
      </c>
      <c r="FR131">
        <v>1</v>
      </c>
      <c r="FS131">
        <v>430.6058823529411</v>
      </c>
      <c r="FT131">
        <v>-2.114591145677529</v>
      </c>
      <c r="FU131">
        <v>6.287987669146276</v>
      </c>
      <c r="FV131">
        <v>0</v>
      </c>
      <c r="FW131">
        <v>0.14405865</v>
      </c>
      <c r="FX131">
        <v>-0.1615033621013135</v>
      </c>
      <c r="FY131">
        <v>0.01559354418268984</v>
      </c>
      <c r="FZ131">
        <v>0</v>
      </c>
      <c r="GA131">
        <v>1</v>
      </c>
      <c r="GB131">
        <v>3</v>
      </c>
      <c r="GC131" t="s">
        <v>431</v>
      </c>
      <c r="GD131">
        <v>3.10942</v>
      </c>
      <c r="GE131">
        <v>2.72931</v>
      </c>
      <c r="GF131">
        <v>0.0889649</v>
      </c>
      <c r="GG131">
        <v>0.08867</v>
      </c>
      <c r="GH131">
        <v>0.10768</v>
      </c>
      <c r="GI131">
        <v>0.108353</v>
      </c>
      <c r="GJ131">
        <v>23920.3</v>
      </c>
      <c r="GK131">
        <v>21667.2</v>
      </c>
      <c r="GL131">
        <v>26812.7</v>
      </c>
      <c r="GM131">
        <v>23979.9</v>
      </c>
      <c r="GN131">
        <v>38227</v>
      </c>
      <c r="GO131">
        <v>31535.4</v>
      </c>
      <c r="GP131">
        <v>46799</v>
      </c>
      <c r="GQ131">
        <v>37903.4</v>
      </c>
      <c r="GR131">
        <v>1.89818</v>
      </c>
      <c r="GS131">
        <v>1.89163</v>
      </c>
      <c r="GT131">
        <v>0.13385</v>
      </c>
      <c r="GU131">
        <v>0</v>
      </c>
      <c r="GV131">
        <v>27.8212</v>
      </c>
      <c r="GW131">
        <v>999.9</v>
      </c>
      <c r="GX131">
        <v>63.9</v>
      </c>
      <c r="GY131">
        <v>28.6</v>
      </c>
      <c r="GZ131">
        <v>27.656</v>
      </c>
      <c r="HA131">
        <v>61.4073</v>
      </c>
      <c r="HB131">
        <v>20.2444</v>
      </c>
      <c r="HC131">
        <v>1</v>
      </c>
      <c r="HD131">
        <v>-0.00436738</v>
      </c>
      <c r="HE131">
        <v>-2.16631</v>
      </c>
      <c r="HF131">
        <v>20.3245</v>
      </c>
      <c r="HG131">
        <v>5.21864</v>
      </c>
      <c r="HH131">
        <v>11.9797</v>
      </c>
      <c r="HI131">
        <v>4.96565</v>
      </c>
      <c r="HJ131">
        <v>3.27595</v>
      </c>
      <c r="HK131">
        <v>9999</v>
      </c>
      <c r="HL131">
        <v>9999</v>
      </c>
      <c r="HM131">
        <v>9999</v>
      </c>
      <c r="HN131">
        <v>999.9</v>
      </c>
      <c r="HO131">
        <v>1.8636</v>
      </c>
      <c r="HP131">
        <v>1.85974</v>
      </c>
      <c r="HQ131">
        <v>1.85802</v>
      </c>
      <c r="HR131">
        <v>1.8594</v>
      </c>
      <c r="HS131">
        <v>1.85959</v>
      </c>
      <c r="HT131">
        <v>1.85804</v>
      </c>
      <c r="HU131">
        <v>1.85703</v>
      </c>
      <c r="HV131">
        <v>1.85208</v>
      </c>
      <c r="HW131">
        <v>0</v>
      </c>
      <c r="HX131">
        <v>0</v>
      </c>
      <c r="HY131">
        <v>0</v>
      </c>
      <c r="HZ131">
        <v>0</v>
      </c>
      <c r="IA131" t="s">
        <v>424</v>
      </c>
      <c r="IB131" t="s">
        <v>425</v>
      </c>
      <c r="IC131" t="s">
        <v>426</v>
      </c>
      <c r="ID131" t="s">
        <v>426</v>
      </c>
      <c r="IE131" t="s">
        <v>426</v>
      </c>
      <c r="IF131" t="s">
        <v>426</v>
      </c>
      <c r="IG131">
        <v>0</v>
      </c>
      <c r="IH131">
        <v>100</v>
      </c>
      <c r="II131">
        <v>100</v>
      </c>
      <c r="IJ131">
        <v>-1.567</v>
      </c>
      <c r="IK131">
        <v>0.1888</v>
      </c>
      <c r="IL131">
        <v>-2.357986366295179</v>
      </c>
      <c r="IM131">
        <v>0.001328113201692861</v>
      </c>
      <c r="IN131">
        <v>1.538283238170363E-06</v>
      </c>
      <c r="IO131">
        <v>-5.795655626708063E-10</v>
      </c>
      <c r="IP131">
        <v>-0.06105361615936408</v>
      </c>
      <c r="IQ131">
        <v>-0.004593102289677449</v>
      </c>
      <c r="IR131">
        <v>0.0008253994458280543</v>
      </c>
      <c r="IS131">
        <v>-7.403632370499484E-06</v>
      </c>
      <c r="IT131">
        <v>2</v>
      </c>
      <c r="IU131">
        <v>1985</v>
      </c>
      <c r="IV131">
        <v>1</v>
      </c>
      <c r="IW131">
        <v>27</v>
      </c>
      <c r="IX131">
        <v>3.2</v>
      </c>
      <c r="IY131">
        <v>3.1</v>
      </c>
      <c r="IZ131">
        <v>1.12793</v>
      </c>
      <c r="JA131">
        <v>2.58301</v>
      </c>
      <c r="JB131">
        <v>1.49658</v>
      </c>
      <c r="JC131">
        <v>2.34131</v>
      </c>
      <c r="JD131">
        <v>1.54907</v>
      </c>
      <c r="JE131">
        <v>2.42065</v>
      </c>
      <c r="JF131">
        <v>31.8927</v>
      </c>
      <c r="JG131">
        <v>14.5436</v>
      </c>
      <c r="JH131">
        <v>18</v>
      </c>
      <c r="JI131">
        <v>482.907</v>
      </c>
      <c r="JJ131">
        <v>508.594</v>
      </c>
      <c r="JK131">
        <v>31.355</v>
      </c>
      <c r="JL131">
        <v>27.2003</v>
      </c>
      <c r="JM131">
        <v>29.9997</v>
      </c>
      <c r="JN131">
        <v>27.5166</v>
      </c>
      <c r="JO131">
        <v>27.5272</v>
      </c>
      <c r="JP131">
        <v>22.6823</v>
      </c>
      <c r="JQ131">
        <v>18.819</v>
      </c>
      <c r="JR131">
        <v>84.59529999999999</v>
      </c>
      <c r="JS131">
        <v>31.3601</v>
      </c>
      <c r="JT131">
        <v>420</v>
      </c>
      <c r="JU131">
        <v>23.5459</v>
      </c>
      <c r="JV131">
        <v>102.34</v>
      </c>
      <c r="JW131">
        <v>91.44199999999999</v>
      </c>
    </row>
    <row r="132" spans="1:283">
      <c r="A132">
        <v>114</v>
      </c>
      <c r="B132">
        <v>1761018856.1</v>
      </c>
      <c r="C132">
        <v>786.5999999046326</v>
      </c>
      <c r="D132" t="s">
        <v>658</v>
      </c>
      <c r="E132" t="s">
        <v>659</v>
      </c>
      <c r="F132">
        <v>5</v>
      </c>
      <c r="G132" t="s">
        <v>612</v>
      </c>
      <c r="H132">
        <v>1761018853.1</v>
      </c>
      <c r="I132">
        <f>(J132)/1000</f>
        <v>0</v>
      </c>
      <c r="J132">
        <f>1000*DJ132*AH132*(DF132-DG132)/(100*CY132*(1000-AH132*DF132))</f>
        <v>0</v>
      </c>
      <c r="K132">
        <f>DJ132*AH132*(DE132-DD132*(1000-AH132*DG132)/(1000-AH132*DF132))/(100*CY132)</f>
        <v>0</v>
      </c>
      <c r="L132">
        <f>DD132 - IF(AH132&gt;1, K132*CY132*100.0/(AJ132), 0)</f>
        <v>0</v>
      </c>
      <c r="M132">
        <f>((S132-I132/2)*L132-K132)/(S132+I132/2)</f>
        <v>0</v>
      </c>
      <c r="N132">
        <f>M132*(DK132+DL132)/1000.0</f>
        <v>0</v>
      </c>
      <c r="O132">
        <f>(DD132 - IF(AH132&gt;1, K132*CY132*100.0/(AJ132), 0))*(DK132+DL132)/1000.0</f>
        <v>0</v>
      </c>
      <c r="P132">
        <f>2.0/((1/R132-1/Q132)+SIGN(R132)*SQRT((1/R132-1/Q132)*(1/R132-1/Q132) + 4*CZ132/((CZ132+1)*(CZ132+1))*(2*1/R132*1/Q132-1/Q132*1/Q132)))</f>
        <v>0</v>
      </c>
      <c r="Q132">
        <f>IF(LEFT(DA132,1)&lt;&gt;"0",IF(LEFT(DA132,1)="1",3.0,DB132),$D$5+$E$5*(DR132*DK132/($K$5*1000))+$F$5*(DR132*DK132/($K$5*1000))*MAX(MIN(CY132,$J$5),$I$5)*MAX(MIN(CY132,$J$5),$I$5)+$G$5*MAX(MIN(CY132,$J$5),$I$5)*(DR132*DK132/($K$5*1000))+$H$5*(DR132*DK132/($K$5*1000))*(DR132*DK132/($K$5*1000)))</f>
        <v>0</v>
      </c>
      <c r="R132">
        <f>I132*(1000-(1000*0.61365*exp(17.502*V132/(240.97+V132))/(DK132+DL132)+DF132)/2)/(1000*0.61365*exp(17.502*V132/(240.97+V132))/(DK132+DL132)-DF132)</f>
        <v>0</v>
      </c>
      <c r="S132">
        <f>1/((CZ132+1)/(P132/1.6)+1/(Q132/1.37)) + CZ132/((CZ132+1)/(P132/1.6) + CZ132/(Q132/1.37))</f>
        <v>0</v>
      </c>
      <c r="T132">
        <f>(CU132*CX132)</f>
        <v>0</v>
      </c>
      <c r="U132">
        <f>(DM132+(T132+2*0.95*5.67E-8*(((DM132+$B$9)+273)^4-(DM132+273)^4)-44100*I132)/(1.84*29.3*Q132+8*0.95*5.67E-8*(DM132+273)^3))</f>
        <v>0</v>
      </c>
      <c r="V132">
        <f>($C$9*DN132+$D$9*DO132+$E$9*U132)</f>
        <v>0</v>
      </c>
      <c r="W132">
        <f>0.61365*exp(17.502*V132/(240.97+V132))</f>
        <v>0</v>
      </c>
      <c r="X132">
        <f>(Y132/Z132*100)</f>
        <v>0</v>
      </c>
      <c r="Y132">
        <f>DF132*(DK132+DL132)/1000</f>
        <v>0</v>
      </c>
      <c r="Z132">
        <f>0.61365*exp(17.502*DM132/(240.97+DM132))</f>
        <v>0</v>
      </c>
      <c r="AA132">
        <f>(W132-DF132*(DK132+DL132)/1000)</f>
        <v>0</v>
      </c>
      <c r="AB132">
        <f>(-I132*44100)</f>
        <v>0</v>
      </c>
      <c r="AC132">
        <f>2*29.3*Q132*0.92*(DM132-V132)</f>
        <v>0</v>
      </c>
      <c r="AD132">
        <f>2*0.95*5.67E-8*(((DM132+$B$9)+273)^4-(V132+273)^4)</f>
        <v>0</v>
      </c>
      <c r="AE132">
        <f>T132+AD132+AB132+AC132</f>
        <v>0</v>
      </c>
      <c r="AF132">
        <v>0</v>
      </c>
      <c r="AG132">
        <v>0</v>
      </c>
      <c r="AH132">
        <f>IF(AF132*$H$15&gt;=AJ132,1.0,(AJ132/(AJ132-AF132*$H$15)))</f>
        <v>0</v>
      </c>
      <c r="AI132">
        <f>(AH132-1)*100</f>
        <v>0</v>
      </c>
      <c r="AJ132">
        <f>MAX(0,($B$15+$C$15*DR132)/(1+$D$15*DR132)*DK132/(DM132+273)*$E$15)</f>
        <v>0</v>
      </c>
      <c r="AK132" t="s">
        <v>420</v>
      </c>
      <c r="AL132" t="s">
        <v>420</v>
      </c>
      <c r="AM132">
        <v>0</v>
      </c>
      <c r="AN132">
        <v>0</v>
      </c>
      <c r="AO132">
        <f>1-AM132/AN132</f>
        <v>0</v>
      </c>
      <c r="AP132">
        <v>0</v>
      </c>
      <c r="AQ132" t="s">
        <v>420</v>
      </c>
      <c r="AR132" t="s">
        <v>420</v>
      </c>
      <c r="AS132">
        <v>0</v>
      </c>
      <c r="AT132">
        <v>0</v>
      </c>
      <c r="AU132">
        <f>1-AS132/AT132</f>
        <v>0</v>
      </c>
      <c r="AV132">
        <v>0.5</v>
      </c>
      <c r="AW132">
        <f>CV132</f>
        <v>0</v>
      </c>
      <c r="AX132">
        <f>K132</f>
        <v>0</v>
      </c>
      <c r="AY132">
        <f>AU132*AV132*AW132</f>
        <v>0</v>
      </c>
      <c r="AZ132">
        <f>(AX132-AP132)/AW132</f>
        <v>0</v>
      </c>
      <c r="BA132">
        <f>(AN132-AT132)/AT132</f>
        <v>0</v>
      </c>
      <c r="BB132">
        <f>AM132/(AO132+AM132/AT132)</f>
        <v>0</v>
      </c>
      <c r="BC132" t="s">
        <v>420</v>
      </c>
      <c r="BD132">
        <v>0</v>
      </c>
      <c r="BE132">
        <f>IF(BD132&lt;&gt;0, BD132, BB132)</f>
        <v>0</v>
      </c>
      <c r="BF132">
        <f>1-BE132/AT132</f>
        <v>0</v>
      </c>
      <c r="BG132">
        <f>(AT132-AS132)/(AT132-BE132)</f>
        <v>0</v>
      </c>
      <c r="BH132">
        <f>(AN132-AT132)/(AN132-BE132)</f>
        <v>0</v>
      </c>
      <c r="BI132">
        <f>(AT132-AS132)/(AT132-AM132)</f>
        <v>0</v>
      </c>
      <c r="BJ132">
        <f>(AN132-AT132)/(AN132-AM132)</f>
        <v>0</v>
      </c>
      <c r="BK132">
        <f>(BG132*BE132/AS132)</f>
        <v>0</v>
      </c>
      <c r="BL132">
        <f>(1-BK132)</f>
        <v>0</v>
      </c>
      <c r="CU132">
        <f>$B$13*DS132+$C$13*DT132+$F$13*EE132*(1-EH132)</f>
        <v>0</v>
      </c>
      <c r="CV132">
        <f>CU132*CW132</f>
        <v>0</v>
      </c>
      <c r="CW132">
        <f>($B$13*$D$11+$C$13*$D$11+$F$13*((ER132+EJ132)/MAX(ER132+EJ132+ES132, 0.1)*$I$11+ES132/MAX(ER132+EJ132+ES132, 0.1)*$J$11))/($B$13+$C$13+$F$13)</f>
        <v>0</v>
      </c>
      <c r="CX132">
        <f>($B$13*$K$11+$C$13*$K$11+$F$13*((ER132+EJ132)/MAX(ER132+EJ132+ES132, 0.1)*$P$11+ES132/MAX(ER132+EJ132+ES132, 0.1)*$Q$11))/($B$13+$C$13+$F$13)</f>
        <v>0</v>
      </c>
      <c r="CY132">
        <v>2.96</v>
      </c>
      <c r="CZ132">
        <v>0.5</v>
      </c>
      <c r="DA132" t="s">
        <v>421</v>
      </c>
      <c r="DB132">
        <v>2</v>
      </c>
      <c r="DC132">
        <v>1761018853.1</v>
      </c>
      <c r="DD132">
        <v>420.5194444444444</v>
      </c>
      <c r="DE132">
        <v>419.9762222222222</v>
      </c>
      <c r="DF132">
        <v>23.60506666666667</v>
      </c>
      <c r="DG132">
        <v>23.48785555555556</v>
      </c>
      <c r="DH132">
        <v>422.0862222222222</v>
      </c>
      <c r="DI132">
        <v>23.41615555555556</v>
      </c>
      <c r="DJ132">
        <v>499.9602222222222</v>
      </c>
      <c r="DK132">
        <v>90.79824444444445</v>
      </c>
      <c r="DL132">
        <v>0.03781955555555556</v>
      </c>
      <c r="DM132">
        <v>30.17211111111111</v>
      </c>
      <c r="DN132">
        <v>30.00052222222222</v>
      </c>
      <c r="DO132">
        <v>999.9000000000001</v>
      </c>
      <c r="DP132">
        <v>0</v>
      </c>
      <c r="DQ132">
        <v>0</v>
      </c>
      <c r="DR132">
        <v>9989.167777777775</v>
      </c>
      <c r="DS132">
        <v>0</v>
      </c>
      <c r="DT132">
        <v>0.242856</v>
      </c>
      <c r="DU132">
        <v>0.5431791111111112</v>
      </c>
      <c r="DV132">
        <v>430.6857777777778</v>
      </c>
      <c r="DW132">
        <v>430.0777777777778</v>
      </c>
      <c r="DX132">
        <v>0.1172096666666667</v>
      </c>
      <c r="DY132">
        <v>419.9762222222222</v>
      </c>
      <c r="DZ132">
        <v>23.48785555555556</v>
      </c>
      <c r="EA132">
        <v>2.143301111111112</v>
      </c>
      <c r="EB132">
        <v>2.132656666666667</v>
      </c>
      <c r="EC132">
        <v>18.54466666666667</v>
      </c>
      <c r="ED132">
        <v>18.46522222222222</v>
      </c>
      <c r="EE132">
        <v>0.00500078</v>
      </c>
      <c r="EF132">
        <v>0</v>
      </c>
      <c r="EG132">
        <v>0</v>
      </c>
      <c r="EH132">
        <v>0</v>
      </c>
      <c r="EI132">
        <v>428.1</v>
      </c>
      <c r="EJ132">
        <v>0.00500078</v>
      </c>
      <c r="EK132">
        <v>-20.72222222222222</v>
      </c>
      <c r="EL132">
        <v>-1.3</v>
      </c>
      <c r="EM132">
        <v>35.14555555555555</v>
      </c>
      <c r="EN132">
        <v>38.597</v>
      </c>
      <c r="EO132">
        <v>36.69433333333333</v>
      </c>
      <c r="EP132">
        <v>38.67333333333333</v>
      </c>
      <c r="EQ132">
        <v>37.12477777777778</v>
      </c>
      <c r="ER132">
        <v>0</v>
      </c>
      <c r="ES132">
        <v>0</v>
      </c>
      <c r="ET132">
        <v>0</v>
      </c>
      <c r="EU132">
        <v>1761018855.1</v>
      </c>
      <c r="EV132">
        <v>0</v>
      </c>
      <c r="EW132">
        <v>430.2961538461538</v>
      </c>
      <c r="EX132">
        <v>-4.591452782285413</v>
      </c>
      <c r="EY132">
        <v>-1.661538288568719</v>
      </c>
      <c r="EZ132">
        <v>-21.28461538461538</v>
      </c>
      <c r="FA132">
        <v>15</v>
      </c>
      <c r="FB132">
        <v>1761018667.1</v>
      </c>
      <c r="FC132" t="s">
        <v>613</v>
      </c>
      <c r="FD132">
        <v>1761018661.6</v>
      </c>
      <c r="FE132">
        <v>1761018667.1</v>
      </c>
      <c r="FF132">
        <v>26</v>
      </c>
      <c r="FG132">
        <v>-0.221</v>
      </c>
      <c r="FH132">
        <v>-0.001</v>
      </c>
      <c r="FI132">
        <v>-1.568</v>
      </c>
      <c r="FJ132">
        <v>0.178</v>
      </c>
      <c r="FK132">
        <v>420</v>
      </c>
      <c r="FL132">
        <v>23</v>
      </c>
      <c r="FM132">
        <v>0.1</v>
      </c>
      <c r="FN132">
        <v>0.08</v>
      </c>
      <c r="FO132">
        <v>0.5265205365853658</v>
      </c>
      <c r="FP132">
        <v>-0.09883490592334454</v>
      </c>
      <c r="FQ132">
        <v>0.04133946926163938</v>
      </c>
      <c r="FR132">
        <v>1</v>
      </c>
      <c r="FS132">
        <v>429.8882352941176</v>
      </c>
      <c r="FT132">
        <v>5.903743391820805</v>
      </c>
      <c r="FU132">
        <v>6.04039172404661</v>
      </c>
      <c r="FV132">
        <v>0</v>
      </c>
      <c r="FW132">
        <v>0.1381295609756098</v>
      </c>
      <c r="FX132">
        <v>-0.1674872822299648</v>
      </c>
      <c r="FY132">
        <v>0.01653653973603317</v>
      </c>
      <c r="FZ132">
        <v>0</v>
      </c>
      <c r="GA132">
        <v>1</v>
      </c>
      <c r="GB132">
        <v>3</v>
      </c>
      <c r="GC132" t="s">
        <v>431</v>
      </c>
      <c r="GD132">
        <v>3.1094</v>
      </c>
      <c r="GE132">
        <v>2.72939</v>
      </c>
      <c r="GF132">
        <v>0.08896569999999999</v>
      </c>
      <c r="GG132">
        <v>0.0886757</v>
      </c>
      <c r="GH132">
        <v>0.107666</v>
      </c>
      <c r="GI132">
        <v>0.108347</v>
      </c>
      <c r="GJ132">
        <v>23920.3</v>
      </c>
      <c r="GK132">
        <v>21667</v>
      </c>
      <c r="GL132">
        <v>26812.7</v>
      </c>
      <c r="GM132">
        <v>23979.9</v>
      </c>
      <c r="GN132">
        <v>38227.6</v>
      </c>
      <c r="GO132">
        <v>31535.6</v>
      </c>
      <c r="GP132">
        <v>46799.1</v>
      </c>
      <c r="GQ132">
        <v>37903.4</v>
      </c>
      <c r="GR132">
        <v>1.89802</v>
      </c>
      <c r="GS132">
        <v>1.89175</v>
      </c>
      <c r="GT132">
        <v>0.133589</v>
      </c>
      <c r="GU132">
        <v>0</v>
      </c>
      <c r="GV132">
        <v>27.8195</v>
      </c>
      <c r="GW132">
        <v>999.9</v>
      </c>
      <c r="GX132">
        <v>63.9</v>
      </c>
      <c r="GY132">
        <v>28.6</v>
      </c>
      <c r="GZ132">
        <v>27.6542</v>
      </c>
      <c r="HA132">
        <v>61.4173</v>
      </c>
      <c r="HB132">
        <v>20.0801</v>
      </c>
      <c r="HC132">
        <v>1</v>
      </c>
      <c r="HD132">
        <v>-0.00443089</v>
      </c>
      <c r="HE132">
        <v>-2.19089</v>
      </c>
      <c r="HF132">
        <v>20.3242</v>
      </c>
      <c r="HG132">
        <v>5.21879</v>
      </c>
      <c r="HH132">
        <v>11.9798</v>
      </c>
      <c r="HI132">
        <v>4.96565</v>
      </c>
      <c r="HJ132">
        <v>3.27595</v>
      </c>
      <c r="HK132">
        <v>9999</v>
      </c>
      <c r="HL132">
        <v>9999</v>
      </c>
      <c r="HM132">
        <v>9999</v>
      </c>
      <c r="HN132">
        <v>999.9</v>
      </c>
      <c r="HO132">
        <v>1.86359</v>
      </c>
      <c r="HP132">
        <v>1.85974</v>
      </c>
      <c r="HQ132">
        <v>1.858</v>
      </c>
      <c r="HR132">
        <v>1.85938</v>
      </c>
      <c r="HS132">
        <v>1.85959</v>
      </c>
      <c r="HT132">
        <v>1.85803</v>
      </c>
      <c r="HU132">
        <v>1.85703</v>
      </c>
      <c r="HV132">
        <v>1.85208</v>
      </c>
      <c r="HW132">
        <v>0</v>
      </c>
      <c r="HX132">
        <v>0</v>
      </c>
      <c r="HY132">
        <v>0</v>
      </c>
      <c r="HZ132">
        <v>0</v>
      </c>
      <c r="IA132" t="s">
        <v>424</v>
      </c>
      <c r="IB132" t="s">
        <v>425</v>
      </c>
      <c r="IC132" t="s">
        <v>426</v>
      </c>
      <c r="ID132" t="s">
        <v>426</v>
      </c>
      <c r="IE132" t="s">
        <v>426</v>
      </c>
      <c r="IF132" t="s">
        <v>426</v>
      </c>
      <c r="IG132">
        <v>0</v>
      </c>
      <c r="IH132">
        <v>100</v>
      </c>
      <c r="II132">
        <v>100</v>
      </c>
      <c r="IJ132">
        <v>-1.567</v>
      </c>
      <c r="IK132">
        <v>0.1887</v>
      </c>
      <c r="IL132">
        <v>-2.357986366295179</v>
      </c>
      <c r="IM132">
        <v>0.001328113201692861</v>
      </c>
      <c r="IN132">
        <v>1.538283238170363E-06</v>
      </c>
      <c r="IO132">
        <v>-5.795655626708063E-10</v>
      </c>
      <c r="IP132">
        <v>-0.06105361615936408</v>
      </c>
      <c r="IQ132">
        <v>-0.004593102289677449</v>
      </c>
      <c r="IR132">
        <v>0.0008253994458280543</v>
      </c>
      <c r="IS132">
        <v>-7.403632370499484E-06</v>
      </c>
      <c r="IT132">
        <v>2</v>
      </c>
      <c r="IU132">
        <v>1985</v>
      </c>
      <c r="IV132">
        <v>1</v>
      </c>
      <c r="IW132">
        <v>27</v>
      </c>
      <c r="IX132">
        <v>3.2</v>
      </c>
      <c r="IY132">
        <v>3.1</v>
      </c>
      <c r="IZ132">
        <v>1.12793</v>
      </c>
      <c r="JA132">
        <v>2.58423</v>
      </c>
      <c r="JB132">
        <v>1.49658</v>
      </c>
      <c r="JC132">
        <v>2.34131</v>
      </c>
      <c r="JD132">
        <v>1.54907</v>
      </c>
      <c r="JE132">
        <v>2.46582</v>
      </c>
      <c r="JF132">
        <v>31.8927</v>
      </c>
      <c r="JG132">
        <v>14.5436</v>
      </c>
      <c r="JH132">
        <v>18</v>
      </c>
      <c r="JI132">
        <v>482.803</v>
      </c>
      <c r="JJ132">
        <v>508.657</v>
      </c>
      <c r="JK132">
        <v>31.351</v>
      </c>
      <c r="JL132">
        <v>27.1986</v>
      </c>
      <c r="JM132">
        <v>29.9997</v>
      </c>
      <c r="JN132">
        <v>27.5143</v>
      </c>
      <c r="JO132">
        <v>27.5249</v>
      </c>
      <c r="JP132">
        <v>22.6803</v>
      </c>
      <c r="JQ132">
        <v>18.819</v>
      </c>
      <c r="JR132">
        <v>84.59529999999999</v>
      </c>
      <c r="JS132">
        <v>31.3601</v>
      </c>
      <c r="JT132">
        <v>420</v>
      </c>
      <c r="JU132">
        <v>23.5562</v>
      </c>
      <c r="JV132">
        <v>102.34</v>
      </c>
      <c r="JW132">
        <v>91.4418</v>
      </c>
    </row>
    <row r="133" spans="1:283">
      <c r="A133">
        <v>115</v>
      </c>
      <c r="B133">
        <v>1761018858.1</v>
      </c>
      <c r="C133">
        <v>788.5999999046326</v>
      </c>
      <c r="D133" t="s">
        <v>660</v>
      </c>
      <c r="E133" t="s">
        <v>661</v>
      </c>
      <c r="F133">
        <v>5</v>
      </c>
      <c r="G133" t="s">
        <v>612</v>
      </c>
      <c r="H133">
        <v>1761018855.1</v>
      </c>
      <c r="I133">
        <f>(J133)/1000</f>
        <v>0</v>
      </c>
      <c r="J133">
        <f>1000*DJ133*AH133*(DF133-DG133)/(100*CY133*(1000-AH133*DF133))</f>
        <v>0</v>
      </c>
      <c r="K133">
        <f>DJ133*AH133*(DE133-DD133*(1000-AH133*DG133)/(1000-AH133*DF133))/(100*CY133)</f>
        <v>0</v>
      </c>
      <c r="L133">
        <f>DD133 - IF(AH133&gt;1, K133*CY133*100.0/(AJ133), 0)</f>
        <v>0</v>
      </c>
      <c r="M133">
        <f>((S133-I133/2)*L133-K133)/(S133+I133/2)</f>
        <v>0</v>
      </c>
      <c r="N133">
        <f>M133*(DK133+DL133)/1000.0</f>
        <v>0</v>
      </c>
      <c r="O133">
        <f>(DD133 - IF(AH133&gt;1, K133*CY133*100.0/(AJ133), 0))*(DK133+DL133)/1000.0</f>
        <v>0</v>
      </c>
      <c r="P133">
        <f>2.0/((1/R133-1/Q133)+SIGN(R133)*SQRT((1/R133-1/Q133)*(1/R133-1/Q133) + 4*CZ133/((CZ133+1)*(CZ133+1))*(2*1/R133*1/Q133-1/Q133*1/Q133)))</f>
        <v>0</v>
      </c>
      <c r="Q133">
        <f>IF(LEFT(DA133,1)&lt;&gt;"0",IF(LEFT(DA133,1)="1",3.0,DB133),$D$5+$E$5*(DR133*DK133/($K$5*1000))+$F$5*(DR133*DK133/($K$5*1000))*MAX(MIN(CY133,$J$5),$I$5)*MAX(MIN(CY133,$J$5),$I$5)+$G$5*MAX(MIN(CY133,$J$5),$I$5)*(DR133*DK133/($K$5*1000))+$H$5*(DR133*DK133/($K$5*1000))*(DR133*DK133/($K$5*1000)))</f>
        <v>0</v>
      </c>
      <c r="R133">
        <f>I133*(1000-(1000*0.61365*exp(17.502*V133/(240.97+V133))/(DK133+DL133)+DF133)/2)/(1000*0.61365*exp(17.502*V133/(240.97+V133))/(DK133+DL133)-DF133)</f>
        <v>0</v>
      </c>
      <c r="S133">
        <f>1/((CZ133+1)/(P133/1.6)+1/(Q133/1.37)) + CZ133/((CZ133+1)/(P133/1.6) + CZ133/(Q133/1.37))</f>
        <v>0</v>
      </c>
      <c r="T133">
        <f>(CU133*CX133)</f>
        <v>0</v>
      </c>
      <c r="U133">
        <f>(DM133+(T133+2*0.95*5.67E-8*(((DM133+$B$9)+273)^4-(DM133+273)^4)-44100*I133)/(1.84*29.3*Q133+8*0.95*5.67E-8*(DM133+273)^3))</f>
        <v>0</v>
      </c>
      <c r="V133">
        <f>($C$9*DN133+$D$9*DO133+$E$9*U133)</f>
        <v>0</v>
      </c>
      <c r="W133">
        <f>0.61365*exp(17.502*V133/(240.97+V133))</f>
        <v>0</v>
      </c>
      <c r="X133">
        <f>(Y133/Z133*100)</f>
        <v>0</v>
      </c>
      <c r="Y133">
        <f>DF133*(DK133+DL133)/1000</f>
        <v>0</v>
      </c>
      <c r="Z133">
        <f>0.61365*exp(17.502*DM133/(240.97+DM133))</f>
        <v>0</v>
      </c>
      <c r="AA133">
        <f>(W133-DF133*(DK133+DL133)/1000)</f>
        <v>0</v>
      </c>
      <c r="AB133">
        <f>(-I133*44100)</f>
        <v>0</v>
      </c>
      <c r="AC133">
        <f>2*29.3*Q133*0.92*(DM133-V133)</f>
        <v>0</v>
      </c>
      <c r="AD133">
        <f>2*0.95*5.67E-8*(((DM133+$B$9)+273)^4-(V133+273)^4)</f>
        <v>0</v>
      </c>
      <c r="AE133">
        <f>T133+AD133+AB133+AC133</f>
        <v>0</v>
      </c>
      <c r="AF133">
        <v>0</v>
      </c>
      <c r="AG133">
        <v>0</v>
      </c>
      <c r="AH133">
        <f>IF(AF133*$H$15&gt;=AJ133,1.0,(AJ133/(AJ133-AF133*$H$15)))</f>
        <v>0</v>
      </c>
      <c r="AI133">
        <f>(AH133-1)*100</f>
        <v>0</v>
      </c>
      <c r="AJ133">
        <f>MAX(0,($B$15+$C$15*DR133)/(1+$D$15*DR133)*DK133/(DM133+273)*$E$15)</f>
        <v>0</v>
      </c>
      <c r="AK133" t="s">
        <v>420</v>
      </c>
      <c r="AL133" t="s">
        <v>420</v>
      </c>
      <c r="AM133">
        <v>0</v>
      </c>
      <c r="AN133">
        <v>0</v>
      </c>
      <c r="AO133">
        <f>1-AM133/AN133</f>
        <v>0</v>
      </c>
      <c r="AP133">
        <v>0</v>
      </c>
      <c r="AQ133" t="s">
        <v>420</v>
      </c>
      <c r="AR133" t="s">
        <v>420</v>
      </c>
      <c r="AS133">
        <v>0</v>
      </c>
      <c r="AT133">
        <v>0</v>
      </c>
      <c r="AU133">
        <f>1-AS133/AT133</f>
        <v>0</v>
      </c>
      <c r="AV133">
        <v>0.5</v>
      </c>
      <c r="AW133">
        <f>CV133</f>
        <v>0</v>
      </c>
      <c r="AX133">
        <f>K133</f>
        <v>0</v>
      </c>
      <c r="AY133">
        <f>AU133*AV133*AW133</f>
        <v>0</v>
      </c>
      <c r="AZ133">
        <f>(AX133-AP133)/AW133</f>
        <v>0</v>
      </c>
      <c r="BA133">
        <f>(AN133-AT133)/AT133</f>
        <v>0</v>
      </c>
      <c r="BB133">
        <f>AM133/(AO133+AM133/AT133)</f>
        <v>0</v>
      </c>
      <c r="BC133" t="s">
        <v>420</v>
      </c>
      <c r="BD133">
        <v>0</v>
      </c>
      <c r="BE133">
        <f>IF(BD133&lt;&gt;0, BD133, BB133)</f>
        <v>0</v>
      </c>
      <c r="BF133">
        <f>1-BE133/AT133</f>
        <v>0</v>
      </c>
      <c r="BG133">
        <f>(AT133-AS133)/(AT133-BE133)</f>
        <v>0</v>
      </c>
      <c r="BH133">
        <f>(AN133-AT133)/(AN133-BE133)</f>
        <v>0</v>
      </c>
      <c r="BI133">
        <f>(AT133-AS133)/(AT133-AM133)</f>
        <v>0</v>
      </c>
      <c r="BJ133">
        <f>(AN133-AT133)/(AN133-AM133)</f>
        <v>0</v>
      </c>
      <c r="BK133">
        <f>(BG133*BE133/AS133)</f>
        <v>0</v>
      </c>
      <c r="BL133">
        <f>(1-BK133)</f>
        <v>0</v>
      </c>
      <c r="CU133">
        <f>$B$13*DS133+$C$13*DT133+$F$13*EE133*(1-EH133)</f>
        <v>0</v>
      </c>
      <c r="CV133">
        <f>CU133*CW133</f>
        <v>0</v>
      </c>
      <c r="CW133">
        <f>($B$13*$D$11+$C$13*$D$11+$F$13*((ER133+EJ133)/MAX(ER133+EJ133+ES133, 0.1)*$I$11+ES133/MAX(ER133+EJ133+ES133, 0.1)*$J$11))/($B$13+$C$13+$F$13)</f>
        <v>0</v>
      </c>
      <c r="CX133">
        <f>($B$13*$K$11+$C$13*$K$11+$F$13*((ER133+EJ133)/MAX(ER133+EJ133+ES133, 0.1)*$P$11+ES133/MAX(ER133+EJ133+ES133, 0.1)*$Q$11))/($B$13+$C$13+$F$13)</f>
        <v>0</v>
      </c>
      <c r="CY133">
        <v>2.96</v>
      </c>
      <c r="CZ133">
        <v>0.5</v>
      </c>
      <c r="DA133" t="s">
        <v>421</v>
      </c>
      <c r="DB133">
        <v>2</v>
      </c>
      <c r="DC133">
        <v>1761018855.1</v>
      </c>
      <c r="DD133">
        <v>420.5162222222223</v>
      </c>
      <c r="DE133">
        <v>419.9711111111112</v>
      </c>
      <c r="DF133">
        <v>23.5992</v>
      </c>
      <c r="DG133">
        <v>23.4867</v>
      </c>
      <c r="DH133">
        <v>422.083</v>
      </c>
      <c r="DI133">
        <v>23.4104</v>
      </c>
      <c r="DJ133">
        <v>499.9036666666667</v>
      </c>
      <c r="DK133">
        <v>90.79818888888889</v>
      </c>
      <c r="DL133">
        <v>0.03790941111111111</v>
      </c>
      <c r="DM133">
        <v>30.16732222222222</v>
      </c>
      <c r="DN133">
        <v>29.99935555555555</v>
      </c>
      <c r="DO133">
        <v>999.9000000000001</v>
      </c>
      <c r="DP133">
        <v>0</v>
      </c>
      <c r="DQ133">
        <v>0</v>
      </c>
      <c r="DR133">
        <v>9983.124444444444</v>
      </c>
      <c r="DS133">
        <v>0</v>
      </c>
      <c r="DT133">
        <v>0.242856</v>
      </c>
      <c r="DU133">
        <v>0.5450711111111112</v>
      </c>
      <c r="DV133">
        <v>430.68</v>
      </c>
      <c r="DW133">
        <v>430.0721111111111</v>
      </c>
      <c r="DX133">
        <v>0.1124963333333333</v>
      </c>
      <c r="DY133">
        <v>419.9711111111112</v>
      </c>
      <c r="DZ133">
        <v>23.4867</v>
      </c>
      <c r="EA133">
        <v>2.142767777777778</v>
      </c>
      <c r="EB133">
        <v>2.13255</v>
      </c>
      <c r="EC133">
        <v>18.5407</v>
      </c>
      <c r="ED133">
        <v>18.46441111111111</v>
      </c>
      <c r="EE133">
        <v>0.00500078</v>
      </c>
      <c r="EF133">
        <v>0</v>
      </c>
      <c r="EG133">
        <v>0</v>
      </c>
      <c r="EH133">
        <v>0</v>
      </c>
      <c r="EI133">
        <v>425.1444444444444</v>
      </c>
      <c r="EJ133">
        <v>0.00500078</v>
      </c>
      <c r="EK133">
        <v>-15.91111111111111</v>
      </c>
      <c r="EL133">
        <v>-0.5</v>
      </c>
      <c r="EM133">
        <v>35.18022222222222</v>
      </c>
      <c r="EN133">
        <v>38.63866666666667</v>
      </c>
      <c r="EO133">
        <v>36.73588888888889</v>
      </c>
      <c r="EP133">
        <v>38.722</v>
      </c>
      <c r="EQ133">
        <v>37.09688888888889</v>
      </c>
      <c r="ER133">
        <v>0</v>
      </c>
      <c r="ES133">
        <v>0</v>
      </c>
      <c r="ET133">
        <v>0</v>
      </c>
      <c r="EU133">
        <v>1761018856.9</v>
      </c>
      <c r="EV133">
        <v>0</v>
      </c>
      <c r="EW133">
        <v>429.748</v>
      </c>
      <c r="EX133">
        <v>-27.0846154583277</v>
      </c>
      <c r="EY133">
        <v>37.41538492650434</v>
      </c>
      <c r="EZ133">
        <v>-20.164</v>
      </c>
      <c r="FA133">
        <v>15</v>
      </c>
      <c r="FB133">
        <v>1761018667.1</v>
      </c>
      <c r="FC133" t="s">
        <v>613</v>
      </c>
      <c r="FD133">
        <v>1761018661.6</v>
      </c>
      <c r="FE133">
        <v>1761018667.1</v>
      </c>
      <c r="FF133">
        <v>26</v>
      </c>
      <c r="FG133">
        <v>-0.221</v>
      </c>
      <c r="FH133">
        <v>-0.001</v>
      </c>
      <c r="FI133">
        <v>-1.568</v>
      </c>
      <c r="FJ133">
        <v>0.178</v>
      </c>
      <c r="FK133">
        <v>420</v>
      </c>
      <c r="FL133">
        <v>23</v>
      </c>
      <c r="FM133">
        <v>0.1</v>
      </c>
      <c r="FN133">
        <v>0.08</v>
      </c>
      <c r="FO133">
        <v>0.51619645</v>
      </c>
      <c r="FP133">
        <v>0.05413587242026294</v>
      </c>
      <c r="FQ133">
        <v>0.02882376539329135</v>
      </c>
      <c r="FR133">
        <v>1</v>
      </c>
      <c r="FS133">
        <v>429.2558823529412</v>
      </c>
      <c r="FT133">
        <v>2.825057332100384</v>
      </c>
      <c r="FU133">
        <v>6.749735993811843</v>
      </c>
      <c r="FV133">
        <v>0</v>
      </c>
      <c r="FW133">
        <v>0.133514375</v>
      </c>
      <c r="FX133">
        <v>-0.167372926829269</v>
      </c>
      <c r="FY133">
        <v>0.01612576099706228</v>
      </c>
      <c r="FZ133">
        <v>0</v>
      </c>
      <c r="GA133">
        <v>1</v>
      </c>
      <c r="GB133">
        <v>3</v>
      </c>
      <c r="GC133" t="s">
        <v>431</v>
      </c>
      <c r="GD133">
        <v>3.1093</v>
      </c>
      <c r="GE133">
        <v>2.72994</v>
      </c>
      <c r="GF133">
        <v>0.0889631</v>
      </c>
      <c r="GG133">
        <v>0.0886738</v>
      </c>
      <c r="GH133">
        <v>0.107655</v>
      </c>
      <c r="GI133">
        <v>0.108342</v>
      </c>
      <c r="GJ133">
        <v>23920.4</v>
      </c>
      <c r="GK133">
        <v>21667</v>
      </c>
      <c r="GL133">
        <v>26812.7</v>
      </c>
      <c r="GM133">
        <v>23979.8</v>
      </c>
      <c r="GN133">
        <v>38228.3</v>
      </c>
      <c r="GO133">
        <v>31535.8</v>
      </c>
      <c r="GP133">
        <v>46799.3</v>
      </c>
      <c r="GQ133">
        <v>37903.4</v>
      </c>
      <c r="GR133">
        <v>1.89772</v>
      </c>
      <c r="GS133">
        <v>1.89207</v>
      </c>
      <c r="GT133">
        <v>0.133291</v>
      </c>
      <c r="GU133">
        <v>0</v>
      </c>
      <c r="GV133">
        <v>27.8172</v>
      </c>
      <c r="GW133">
        <v>999.9</v>
      </c>
      <c r="GX133">
        <v>63.9</v>
      </c>
      <c r="GY133">
        <v>28.6</v>
      </c>
      <c r="GZ133">
        <v>27.6542</v>
      </c>
      <c r="HA133">
        <v>61.3073</v>
      </c>
      <c r="HB133">
        <v>20.1482</v>
      </c>
      <c r="HC133">
        <v>1</v>
      </c>
      <c r="HD133">
        <v>-0.00452236</v>
      </c>
      <c r="HE133">
        <v>-2.21159</v>
      </c>
      <c r="HF133">
        <v>20.3238</v>
      </c>
      <c r="HG133">
        <v>5.21834</v>
      </c>
      <c r="HH133">
        <v>11.98</v>
      </c>
      <c r="HI133">
        <v>4.96555</v>
      </c>
      <c r="HJ133">
        <v>3.27598</v>
      </c>
      <c r="HK133">
        <v>9999</v>
      </c>
      <c r="HL133">
        <v>9999</v>
      </c>
      <c r="HM133">
        <v>9999</v>
      </c>
      <c r="HN133">
        <v>999.9</v>
      </c>
      <c r="HO133">
        <v>1.86358</v>
      </c>
      <c r="HP133">
        <v>1.85974</v>
      </c>
      <c r="HQ133">
        <v>1.85801</v>
      </c>
      <c r="HR133">
        <v>1.85939</v>
      </c>
      <c r="HS133">
        <v>1.85959</v>
      </c>
      <c r="HT133">
        <v>1.85803</v>
      </c>
      <c r="HU133">
        <v>1.85705</v>
      </c>
      <c r="HV133">
        <v>1.8521</v>
      </c>
      <c r="HW133">
        <v>0</v>
      </c>
      <c r="HX133">
        <v>0</v>
      </c>
      <c r="HY133">
        <v>0</v>
      </c>
      <c r="HZ133">
        <v>0</v>
      </c>
      <c r="IA133" t="s">
        <v>424</v>
      </c>
      <c r="IB133" t="s">
        <v>425</v>
      </c>
      <c r="IC133" t="s">
        <v>426</v>
      </c>
      <c r="ID133" t="s">
        <v>426</v>
      </c>
      <c r="IE133" t="s">
        <v>426</v>
      </c>
      <c r="IF133" t="s">
        <v>426</v>
      </c>
      <c r="IG133">
        <v>0</v>
      </c>
      <c r="IH133">
        <v>100</v>
      </c>
      <c r="II133">
        <v>100</v>
      </c>
      <c r="IJ133">
        <v>-1.567</v>
      </c>
      <c r="IK133">
        <v>0.1886</v>
      </c>
      <c r="IL133">
        <v>-2.357986366295179</v>
      </c>
      <c r="IM133">
        <v>0.001328113201692861</v>
      </c>
      <c r="IN133">
        <v>1.538283238170363E-06</v>
      </c>
      <c r="IO133">
        <v>-5.795655626708063E-10</v>
      </c>
      <c r="IP133">
        <v>-0.06105361615936408</v>
      </c>
      <c r="IQ133">
        <v>-0.004593102289677449</v>
      </c>
      <c r="IR133">
        <v>0.0008253994458280543</v>
      </c>
      <c r="IS133">
        <v>-7.403632370499484E-06</v>
      </c>
      <c r="IT133">
        <v>2</v>
      </c>
      <c r="IU133">
        <v>1985</v>
      </c>
      <c r="IV133">
        <v>1</v>
      </c>
      <c r="IW133">
        <v>27</v>
      </c>
      <c r="IX133">
        <v>3.3</v>
      </c>
      <c r="IY133">
        <v>3.2</v>
      </c>
      <c r="IZ133">
        <v>1.12793</v>
      </c>
      <c r="JA133">
        <v>2.58911</v>
      </c>
      <c r="JB133">
        <v>1.49658</v>
      </c>
      <c r="JC133">
        <v>2.34131</v>
      </c>
      <c r="JD133">
        <v>1.54907</v>
      </c>
      <c r="JE133">
        <v>2.44751</v>
      </c>
      <c r="JF133">
        <v>31.8707</v>
      </c>
      <c r="JG133">
        <v>14.5261</v>
      </c>
      <c r="JH133">
        <v>18</v>
      </c>
      <c r="JI133">
        <v>482.612</v>
      </c>
      <c r="JJ133">
        <v>508.854</v>
      </c>
      <c r="JK133">
        <v>31.3492</v>
      </c>
      <c r="JL133">
        <v>27.1963</v>
      </c>
      <c r="JM133">
        <v>29.9997</v>
      </c>
      <c r="JN133">
        <v>27.5119</v>
      </c>
      <c r="JO133">
        <v>27.5226</v>
      </c>
      <c r="JP133">
        <v>22.6828</v>
      </c>
      <c r="JQ133">
        <v>18.819</v>
      </c>
      <c r="JR133">
        <v>84.59529999999999</v>
      </c>
      <c r="JS133">
        <v>31.7302</v>
      </c>
      <c r="JT133">
        <v>420</v>
      </c>
      <c r="JU133">
        <v>23.5644</v>
      </c>
      <c r="JV133">
        <v>102.34</v>
      </c>
      <c r="JW133">
        <v>91.4418</v>
      </c>
    </row>
    <row r="134" spans="1:283">
      <c r="A134">
        <v>116</v>
      </c>
      <c r="B134">
        <v>1761018860.1</v>
      </c>
      <c r="C134">
        <v>790.5999999046326</v>
      </c>
      <c r="D134" t="s">
        <v>662</v>
      </c>
      <c r="E134" t="s">
        <v>663</v>
      </c>
      <c r="F134">
        <v>5</v>
      </c>
      <c r="G134" t="s">
        <v>612</v>
      </c>
      <c r="H134">
        <v>1761018857.1</v>
      </c>
      <c r="I134">
        <f>(J134)/1000</f>
        <v>0</v>
      </c>
      <c r="J134">
        <f>1000*DJ134*AH134*(DF134-DG134)/(100*CY134*(1000-AH134*DF134))</f>
        <v>0</v>
      </c>
      <c r="K134">
        <f>DJ134*AH134*(DE134-DD134*(1000-AH134*DG134)/(1000-AH134*DF134))/(100*CY134)</f>
        <v>0</v>
      </c>
      <c r="L134">
        <f>DD134 - IF(AH134&gt;1, K134*CY134*100.0/(AJ134), 0)</f>
        <v>0</v>
      </c>
      <c r="M134">
        <f>((S134-I134/2)*L134-K134)/(S134+I134/2)</f>
        <v>0</v>
      </c>
      <c r="N134">
        <f>M134*(DK134+DL134)/1000.0</f>
        <v>0</v>
      </c>
      <c r="O134">
        <f>(DD134 - IF(AH134&gt;1, K134*CY134*100.0/(AJ134), 0))*(DK134+DL134)/1000.0</f>
        <v>0</v>
      </c>
      <c r="P134">
        <f>2.0/((1/R134-1/Q134)+SIGN(R134)*SQRT((1/R134-1/Q134)*(1/R134-1/Q134) + 4*CZ134/((CZ134+1)*(CZ134+1))*(2*1/R134*1/Q134-1/Q134*1/Q134)))</f>
        <v>0</v>
      </c>
      <c r="Q134">
        <f>IF(LEFT(DA134,1)&lt;&gt;"0",IF(LEFT(DA134,1)="1",3.0,DB134),$D$5+$E$5*(DR134*DK134/($K$5*1000))+$F$5*(DR134*DK134/($K$5*1000))*MAX(MIN(CY134,$J$5),$I$5)*MAX(MIN(CY134,$J$5),$I$5)+$G$5*MAX(MIN(CY134,$J$5),$I$5)*(DR134*DK134/($K$5*1000))+$H$5*(DR134*DK134/($K$5*1000))*(DR134*DK134/($K$5*1000)))</f>
        <v>0</v>
      </c>
      <c r="R134">
        <f>I134*(1000-(1000*0.61365*exp(17.502*V134/(240.97+V134))/(DK134+DL134)+DF134)/2)/(1000*0.61365*exp(17.502*V134/(240.97+V134))/(DK134+DL134)-DF134)</f>
        <v>0</v>
      </c>
      <c r="S134">
        <f>1/((CZ134+1)/(P134/1.6)+1/(Q134/1.37)) + CZ134/((CZ134+1)/(P134/1.6) + CZ134/(Q134/1.37))</f>
        <v>0</v>
      </c>
      <c r="T134">
        <f>(CU134*CX134)</f>
        <v>0</v>
      </c>
      <c r="U134">
        <f>(DM134+(T134+2*0.95*5.67E-8*(((DM134+$B$9)+273)^4-(DM134+273)^4)-44100*I134)/(1.84*29.3*Q134+8*0.95*5.67E-8*(DM134+273)^3))</f>
        <v>0</v>
      </c>
      <c r="V134">
        <f>($C$9*DN134+$D$9*DO134+$E$9*U134)</f>
        <v>0</v>
      </c>
      <c r="W134">
        <f>0.61365*exp(17.502*V134/(240.97+V134))</f>
        <v>0</v>
      </c>
      <c r="X134">
        <f>(Y134/Z134*100)</f>
        <v>0</v>
      </c>
      <c r="Y134">
        <f>DF134*(DK134+DL134)/1000</f>
        <v>0</v>
      </c>
      <c r="Z134">
        <f>0.61365*exp(17.502*DM134/(240.97+DM134))</f>
        <v>0</v>
      </c>
      <c r="AA134">
        <f>(W134-DF134*(DK134+DL134)/1000)</f>
        <v>0</v>
      </c>
      <c r="AB134">
        <f>(-I134*44100)</f>
        <v>0</v>
      </c>
      <c r="AC134">
        <f>2*29.3*Q134*0.92*(DM134-V134)</f>
        <v>0</v>
      </c>
      <c r="AD134">
        <f>2*0.95*5.67E-8*(((DM134+$B$9)+273)^4-(V134+273)^4)</f>
        <v>0</v>
      </c>
      <c r="AE134">
        <f>T134+AD134+AB134+AC134</f>
        <v>0</v>
      </c>
      <c r="AF134">
        <v>0</v>
      </c>
      <c r="AG134">
        <v>0</v>
      </c>
      <c r="AH134">
        <f>IF(AF134*$H$15&gt;=AJ134,1.0,(AJ134/(AJ134-AF134*$H$15)))</f>
        <v>0</v>
      </c>
      <c r="AI134">
        <f>(AH134-1)*100</f>
        <v>0</v>
      </c>
      <c r="AJ134">
        <f>MAX(0,($B$15+$C$15*DR134)/(1+$D$15*DR134)*DK134/(DM134+273)*$E$15)</f>
        <v>0</v>
      </c>
      <c r="AK134" t="s">
        <v>420</v>
      </c>
      <c r="AL134" t="s">
        <v>420</v>
      </c>
      <c r="AM134">
        <v>0</v>
      </c>
      <c r="AN134">
        <v>0</v>
      </c>
      <c r="AO134">
        <f>1-AM134/AN134</f>
        <v>0</v>
      </c>
      <c r="AP134">
        <v>0</v>
      </c>
      <c r="AQ134" t="s">
        <v>420</v>
      </c>
      <c r="AR134" t="s">
        <v>420</v>
      </c>
      <c r="AS134">
        <v>0</v>
      </c>
      <c r="AT134">
        <v>0</v>
      </c>
      <c r="AU134">
        <f>1-AS134/AT134</f>
        <v>0</v>
      </c>
      <c r="AV134">
        <v>0.5</v>
      </c>
      <c r="AW134">
        <f>CV134</f>
        <v>0</v>
      </c>
      <c r="AX134">
        <f>K134</f>
        <v>0</v>
      </c>
      <c r="AY134">
        <f>AU134*AV134*AW134</f>
        <v>0</v>
      </c>
      <c r="AZ134">
        <f>(AX134-AP134)/AW134</f>
        <v>0</v>
      </c>
      <c r="BA134">
        <f>(AN134-AT134)/AT134</f>
        <v>0</v>
      </c>
      <c r="BB134">
        <f>AM134/(AO134+AM134/AT134)</f>
        <v>0</v>
      </c>
      <c r="BC134" t="s">
        <v>420</v>
      </c>
      <c r="BD134">
        <v>0</v>
      </c>
      <c r="BE134">
        <f>IF(BD134&lt;&gt;0, BD134, BB134)</f>
        <v>0</v>
      </c>
      <c r="BF134">
        <f>1-BE134/AT134</f>
        <v>0</v>
      </c>
      <c r="BG134">
        <f>(AT134-AS134)/(AT134-BE134)</f>
        <v>0</v>
      </c>
      <c r="BH134">
        <f>(AN134-AT134)/(AN134-BE134)</f>
        <v>0</v>
      </c>
      <c r="BI134">
        <f>(AT134-AS134)/(AT134-AM134)</f>
        <v>0</v>
      </c>
      <c r="BJ134">
        <f>(AN134-AT134)/(AN134-AM134)</f>
        <v>0</v>
      </c>
      <c r="BK134">
        <f>(BG134*BE134/AS134)</f>
        <v>0</v>
      </c>
      <c r="BL134">
        <f>(1-BK134)</f>
        <v>0</v>
      </c>
      <c r="CU134">
        <f>$B$13*DS134+$C$13*DT134+$F$13*EE134*(1-EH134)</f>
        <v>0</v>
      </c>
      <c r="CV134">
        <f>CU134*CW134</f>
        <v>0</v>
      </c>
      <c r="CW134">
        <f>($B$13*$D$11+$C$13*$D$11+$F$13*((ER134+EJ134)/MAX(ER134+EJ134+ES134, 0.1)*$I$11+ES134/MAX(ER134+EJ134+ES134, 0.1)*$J$11))/($B$13+$C$13+$F$13)</f>
        <v>0</v>
      </c>
      <c r="CX134">
        <f>($B$13*$K$11+$C$13*$K$11+$F$13*((ER134+EJ134)/MAX(ER134+EJ134+ES134, 0.1)*$P$11+ES134/MAX(ER134+EJ134+ES134, 0.1)*$Q$11))/($B$13+$C$13+$F$13)</f>
        <v>0</v>
      </c>
      <c r="CY134">
        <v>2.96</v>
      </c>
      <c r="CZ134">
        <v>0.5</v>
      </c>
      <c r="DA134" t="s">
        <v>421</v>
      </c>
      <c r="DB134">
        <v>2</v>
      </c>
      <c r="DC134">
        <v>1761018857.1</v>
      </c>
      <c r="DD134">
        <v>420.5092222222222</v>
      </c>
      <c r="DE134">
        <v>419.9887777777778</v>
      </c>
      <c r="DF134">
        <v>23.59486666666666</v>
      </c>
      <c r="DG134">
        <v>23.48504444444444</v>
      </c>
      <c r="DH134">
        <v>422.0761111111111</v>
      </c>
      <c r="DI134">
        <v>23.40617777777778</v>
      </c>
      <c r="DJ134">
        <v>499.8827777777777</v>
      </c>
      <c r="DK134">
        <v>90.7978</v>
      </c>
      <c r="DL134">
        <v>0.03807182222222222</v>
      </c>
      <c r="DM134">
        <v>30.16206666666666</v>
      </c>
      <c r="DN134">
        <v>29.99544444444444</v>
      </c>
      <c r="DO134">
        <v>999.9000000000001</v>
      </c>
      <c r="DP134">
        <v>0</v>
      </c>
      <c r="DQ134">
        <v>0</v>
      </c>
      <c r="DR134">
        <v>9985.416666666666</v>
      </c>
      <c r="DS134">
        <v>0</v>
      </c>
      <c r="DT134">
        <v>0.242856</v>
      </c>
      <c r="DU134">
        <v>0.5203789999999999</v>
      </c>
      <c r="DV134">
        <v>430.6708888888889</v>
      </c>
      <c r="DW134">
        <v>430.0893333333334</v>
      </c>
      <c r="DX134">
        <v>0.1098263333333333</v>
      </c>
      <c r="DY134">
        <v>419.9887777777778</v>
      </c>
      <c r="DZ134">
        <v>23.48504444444444</v>
      </c>
      <c r="EA134">
        <v>2.142365555555556</v>
      </c>
      <c r="EB134">
        <v>2.13239</v>
      </c>
      <c r="EC134">
        <v>18.5377</v>
      </c>
      <c r="ED134">
        <v>18.46321111111111</v>
      </c>
      <c r="EE134">
        <v>0.00500078</v>
      </c>
      <c r="EF134">
        <v>0</v>
      </c>
      <c r="EG134">
        <v>0</v>
      </c>
      <c r="EH134">
        <v>0</v>
      </c>
      <c r="EI134">
        <v>425.3888888888889</v>
      </c>
      <c r="EJ134">
        <v>0.00500078</v>
      </c>
      <c r="EK134">
        <v>-16.33333333333333</v>
      </c>
      <c r="EL134">
        <v>-0.6222222222222222</v>
      </c>
      <c r="EM134">
        <v>35.18711111111111</v>
      </c>
      <c r="EN134">
        <v>38.68033333333333</v>
      </c>
      <c r="EO134">
        <v>36.67333333333333</v>
      </c>
      <c r="EP134">
        <v>38.77766666666667</v>
      </c>
      <c r="EQ134">
        <v>37.17322222222222</v>
      </c>
      <c r="ER134">
        <v>0</v>
      </c>
      <c r="ES134">
        <v>0</v>
      </c>
      <c r="ET134">
        <v>0</v>
      </c>
      <c r="EU134">
        <v>1761018859.3</v>
      </c>
      <c r="EV134">
        <v>0</v>
      </c>
      <c r="EW134">
        <v>429.2160000000001</v>
      </c>
      <c r="EX134">
        <v>-57.12307715025717</v>
      </c>
      <c r="EY134">
        <v>48.66923141622922</v>
      </c>
      <c r="EZ134">
        <v>-19.428</v>
      </c>
      <c r="FA134">
        <v>15</v>
      </c>
      <c r="FB134">
        <v>1761018667.1</v>
      </c>
      <c r="FC134" t="s">
        <v>613</v>
      </c>
      <c r="FD134">
        <v>1761018661.6</v>
      </c>
      <c r="FE134">
        <v>1761018667.1</v>
      </c>
      <c r="FF134">
        <v>26</v>
      </c>
      <c r="FG134">
        <v>-0.221</v>
      </c>
      <c r="FH134">
        <v>-0.001</v>
      </c>
      <c r="FI134">
        <v>-1.568</v>
      </c>
      <c r="FJ134">
        <v>0.178</v>
      </c>
      <c r="FK134">
        <v>420</v>
      </c>
      <c r="FL134">
        <v>23</v>
      </c>
      <c r="FM134">
        <v>0.1</v>
      </c>
      <c r="FN134">
        <v>0.08</v>
      </c>
      <c r="FO134">
        <v>0.5113659756097562</v>
      </c>
      <c r="FP134">
        <v>0.0689915331010454</v>
      </c>
      <c r="FQ134">
        <v>0.02775035107797061</v>
      </c>
      <c r="FR134">
        <v>1</v>
      </c>
      <c r="FS134">
        <v>429.1823529411765</v>
      </c>
      <c r="FT134">
        <v>-16.35752486091653</v>
      </c>
      <c r="FU134">
        <v>6.704584497729685</v>
      </c>
      <c r="FV134">
        <v>0</v>
      </c>
      <c r="FW134">
        <v>0.1280640975609756</v>
      </c>
      <c r="FX134">
        <v>-0.1551231219512196</v>
      </c>
      <c r="FY134">
        <v>0.01543959544333647</v>
      </c>
      <c r="FZ134">
        <v>0</v>
      </c>
      <c r="GA134">
        <v>1</v>
      </c>
      <c r="GB134">
        <v>3</v>
      </c>
      <c r="GC134" t="s">
        <v>431</v>
      </c>
      <c r="GD134">
        <v>3.10934</v>
      </c>
      <c r="GE134">
        <v>2.73008</v>
      </c>
      <c r="GF134">
        <v>0.0889604</v>
      </c>
      <c r="GG134">
        <v>0.0886753</v>
      </c>
      <c r="GH134">
        <v>0.107646</v>
      </c>
      <c r="GI134">
        <v>0.108333</v>
      </c>
      <c r="GJ134">
        <v>23920.6</v>
      </c>
      <c r="GK134">
        <v>21666.9</v>
      </c>
      <c r="GL134">
        <v>26812.8</v>
      </c>
      <c r="GM134">
        <v>23979.8</v>
      </c>
      <c r="GN134">
        <v>38228.9</v>
      </c>
      <c r="GO134">
        <v>31536</v>
      </c>
      <c r="GP134">
        <v>46799.6</v>
      </c>
      <c r="GQ134">
        <v>37903.3</v>
      </c>
      <c r="GR134">
        <v>1.89815</v>
      </c>
      <c r="GS134">
        <v>1.8918</v>
      </c>
      <c r="GT134">
        <v>0.133403</v>
      </c>
      <c r="GU134">
        <v>0</v>
      </c>
      <c r="GV134">
        <v>27.8148</v>
      </c>
      <c r="GW134">
        <v>999.9</v>
      </c>
      <c r="GX134">
        <v>63.9</v>
      </c>
      <c r="GY134">
        <v>28.6</v>
      </c>
      <c r="GZ134">
        <v>27.6554</v>
      </c>
      <c r="HA134">
        <v>61.3473</v>
      </c>
      <c r="HB134">
        <v>20.3486</v>
      </c>
      <c r="HC134">
        <v>1</v>
      </c>
      <c r="HD134">
        <v>-0.0046062</v>
      </c>
      <c r="HE134">
        <v>-3.05178</v>
      </c>
      <c r="HF134">
        <v>20.3076</v>
      </c>
      <c r="HG134">
        <v>5.21849</v>
      </c>
      <c r="HH134">
        <v>11.98</v>
      </c>
      <c r="HI134">
        <v>4.96565</v>
      </c>
      <c r="HJ134">
        <v>3.27598</v>
      </c>
      <c r="HK134">
        <v>9999</v>
      </c>
      <c r="HL134">
        <v>9999</v>
      </c>
      <c r="HM134">
        <v>9999</v>
      </c>
      <c r="HN134">
        <v>999.9</v>
      </c>
      <c r="HO134">
        <v>1.86357</v>
      </c>
      <c r="HP134">
        <v>1.85974</v>
      </c>
      <c r="HQ134">
        <v>1.85798</v>
      </c>
      <c r="HR134">
        <v>1.8594</v>
      </c>
      <c r="HS134">
        <v>1.85959</v>
      </c>
      <c r="HT134">
        <v>1.85802</v>
      </c>
      <c r="HU134">
        <v>1.85705</v>
      </c>
      <c r="HV134">
        <v>1.85209</v>
      </c>
      <c r="HW134">
        <v>0</v>
      </c>
      <c r="HX134">
        <v>0</v>
      </c>
      <c r="HY134">
        <v>0</v>
      </c>
      <c r="HZ134">
        <v>0</v>
      </c>
      <c r="IA134" t="s">
        <v>424</v>
      </c>
      <c r="IB134" t="s">
        <v>425</v>
      </c>
      <c r="IC134" t="s">
        <v>426</v>
      </c>
      <c r="ID134" t="s">
        <v>426</v>
      </c>
      <c r="IE134" t="s">
        <v>426</v>
      </c>
      <c r="IF134" t="s">
        <v>426</v>
      </c>
      <c r="IG134">
        <v>0</v>
      </c>
      <c r="IH134">
        <v>100</v>
      </c>
      <c r="II134">
        <v>100</v>
      </c>
      <c r="IJ134">
        <v>-1.567</v>
      </c>
      <c r="IK134">
        <v>0.1886</v>
      </c>
      <c r="IL134">
        <v>-2.357986366295179</v>
      </c>
      <c r="IM134">
        <v>0.001328113201692861</v>
      </c>
      <c r="IN134">
        <v>1.538283238170363E-06</v>
      </c>
      <c r="IO134">
        <v>-5.795655626708063E-10</v>
      </c>
      <c r="IP134">
        <v>-0.06105361615936408</v>
      </c>
      <c r="IQ134">
        <v>-0.004593102289677449</v>
      </c>
      <c r="IR134">
        <v>0.0008253994458280543</v>
      </c>
      <c r="IS134">
        <v>-7.403632370499484E-06</v>
      </c>
      <c r="IT134">
        <v>2</v>
      </c>
      <c r="IU134">
        <v>1985</v>
      </c>
      <c r="IV134">
        <v>1</v>
      </c>
      <c r="IW134">
        <v>27</v>
      </c>
      <c r="IX134">
        <v>3.3</v>
      </c>
      <c r="IY134">
        <v>3.2</v>
      </c>
      <c r="IZ134">
        <v>1.12793</v>
      </c>
      <c r="JA134">
        <v>2.57935</v>
      </c>
      <c r="JB134">
        <v>1.49658</v>
      </c>
      <c r="JC134">
        <v>2.34131</v>
      </c>
      <c r="JD134">
        <v>1.54907</v>
      </c>
      <c r="JE134">
        <v>2.46582</v>
      </c>
      <c r="JF134">
        <v>31.8927</v>
      </c>
      <c r="JG134">
        <v>14.5173</v>
      </c>
      <c r="JH134">
        <v>18</v>
      </c>
      <c r="JI134">
        <v>482.839</v>
      </c>
      <c r="JJ134">
        <v>508.649</v>
      </c>
      <c r="JK134">
        <v>31.3813</v>
      </c>
      <c r="JL134">
        <v>27.1946</v>
      </c>
      <c r="JM134">
        <v>29.9998</v>
      </c>
      <c r="JN134">
        <v>27.5096</v>
      </c>
      <c r="JO134">
        <v>27.5203</v>
      </c>
      <c r="JP134">
        <v>22.6816</v>
      </c>
      <c r="JQ134">
        <v>18.819</v>
      </c>
      <c r="JR134">
        <v>84.59529999999999</v>
      </c>
      <c r="JS134">
        <v>31.7302</v>
      </c>
      <c r="JT134">
        <v>420</v>
      </c>
      <c r="JU134">
        <v>23.577</v>
      </c>
      <c r="JV134">
        <v>102.341</v>
      </c>
      <c r="JW134">
        <v>91.44159999999999</v>
      </c>
    </row>
    <row r="135" spans="1:283">
      <c r="A135">
        <v>117</v>
      </c>
      <c r="B135">
        <v>1761018862.1</v>
      </c>
      <c r="C135">
        <v>792.5999999046326</v>
      </c>
      <c r="D135" t="s">
        <v>664</v>
      </c>
      <c r="E135" t="s">
        <v>665</v>
      </c>
      <c r="F135">
        <v>5</v>
      </c>
      <c r="G135" t="s">
        <v>612</v>
      </c>
      <c r="H135">
        <v>1761018859.1</v>
      </c>
      <c r="I135">
        <f>(J135)/1000</f>
        <v>0</v>
      </c>
      <c r="J135">
        <f>1000*DJ135*AH135*(DF135-DG135)/(100*CY135*(1000-AH135*DF135))</f>
        <v>0</v>
      </c>
      <c r="K135">
        <f>DJ135*AH135*(DE135-DD135*(1000-AH135*DG135)/(1000-AH135*DF135))/(100*CY135)</f>
        <v>0</v>
      </c>
      <c r="L135">
        <f>DD135 - IF(AH135&gt;1, K135*CY135*100.0/(AJ135), 0)</f>
        <v>0</v>
      </c>
      <c r="M135">
        <f>((S135-I135/2)*L135-K135)/(S135+I135/2)</f>
        <v>0</v>
      </c>
      <c r="N135">
        <f>M135*(DK135+DL135)/1000.0</f>
        <v>0</v>
      </c>
      <c r="O135">
        <f>(DD135 - IF(AH135&gt;1, K135*CY135*100.0/(AJ135), 0))*(DK135+DL135)/1000.0</f>
        <v>0</v>
      </c>
      <c r="P135">
        <f>2.0/((1/R135-1/Q135)+SIGN(R135)*SQRT((1/R135-1/Q135)*(1/R135-1/Q135) + 4*CZ135/((CZ135+1)*(CZ135+1))*(2*1/R135*1/Q135-1/Q135*1/Q135)))</f>
        <v>0</v>
      </c>
      <c r="Q135">
        <f>IF(LEFT(DA135,1)&lt;&gt;"0",IF(LEFT(DA135,1)="1",3.0,DB135),$D$5+$E$5*(DR135*DK135/($K$5*1000))+$F$5*(DR135*DK135/($K$5*1000))*MAX(MIN(CY135,$J$5),$I$5)*MAX(MIN(CY135,$J$5),$I$5)+$G$5*MAX(MIN(CY135,$J$5),$I$5)*(DR135*DK135/($K$5*1000))+$H$5*(DR135*DK135/($K$5*1000))*(DR135*DK135/($K$5*1000)))</f>
        <v>0</v>
      </c>
      <c r="R135">
        <f>I135*(1000-(1000*0.61365*exp(17.502*V135/(240.97+V135))/(DK135+DL135)+DF135)/2)/(1000*0.61365*exp(17.502*V135/(240.97+V135))/(DK135+DL135)-DF135)</f>
        <v>0</v>
      </c>
      <c r="S135">
        <f>1/((CZ135+1)/(P135/1.6)+1/(Q135/1.37)) + CZ135/((CZ135+1)/(P135/1.6) + CZ135/(Q135/1.37))</f>
        <v>0</v>
      </c>
      <c r="T135">
        <f>(CU135*CX135)</f>
        <v>0</v>
      </c>
      <c r="U135">
        <f>(DM135+(T135+2*0.95*5.67E-8*(((DM135+$B$9)+273)^4-(DM135+273)^4)-44100*I135)/(1.84*29.3*Q135+8*0.95*5.67E-8*(DM135+273)^3))</f>
        <v>0</v>
      </c>
      <c r="V135">
        <f>($C$9*DN135+$D$9*DO135+$E$9*U135)</f>
        <v>0</v>
      </c>
      <c r="W135">
        <f>0.61365*exp(17.502*V135/(240.97+V135))</f>
        <v>0</v>
      </c>
      <c r="X135">
        <f>(Y135/Z135*100)</f>
        <v>0</v>
      </c>
      <c r="Y135">
        <f>DF135*(DK135+DL135)/1000</f>
        <v>0</v>
      </c>
      <c r="Z135">
        <f>0.61365*exp(17.502*DM135/(240.97+DM135))</f>
        <v>0</v>
      </c>
      <c r="AA135">
        <f>(W135-DF135*(DK135+DL135)/1000)</f>
        <v>0</v>
      </c>
      <c r="AB135">
        <f>(-I135*44100)</f>
        <v>0</v>
      </c>
      <c r="AC135">
        <f>2*29.3*Q135*0.92*(DM135-V135)</f>
        <v>0</v>
      </c>
      <c r="AD135">
        <f>2*0.95*5.67E-8*(((DM135+$B$9)+273)^4-(V135+273)^4)</f>
        <v>0</v>
      </c>
      <c r="AE135">
        <f>T135+AD135+AB135+AC135</f>
        <v>0</v>
      </c>
      <c r="AF135">
        <v>0</v>
      </c>
      <c r="AG135">
        <v>0</v>
      </c>
      <c r="AH135">
        <f>IF(AF135*$H$15&gt;=AJ135,1.0,(AJ135/(AJ135-AF135*$H$15)))</f>
        <v>0</v>
      </c>
      <c r="AI135">
        <f>(AH135-1)*100</f>
        <v>0</v>
      </c>
      <c r="AJ135">
        <f>MAX(0,($B$15+$C$15*DR135)/(1+$D$15*DR135)*DK135/(DM135+273)*$E$15)</f>
        <v>0</v>
      </c>
      <c r="AK135" t="s">
        <v>420</v>
      </c>
      <c r="AL135" t="s">
        <v>420</v>
      </c>
      <c r="AM135">
        <v>0</v>
      </c>
      <c r="AN135">
        <v>0</v>
      </c>
      <c r="AO135">
        <f>1-AM135/AN135</f>
        <v>0</v>
      </c>
      <c r="AP135">
        <v>0</v>
      </c>
      <c r="AQ135" t="s">
        <v>420</v>
      </c>
      <c r="AR135" t="s">
        <v>420</v>
      </c>
      <c r="AS135">
        <v>0</v>
      </c>
      <c r="AT135">
        <v>0</v>
      </c>
      <c r="AU135">
        <f>1-AS135/AT135</f>
        <v>0</v>
      </c>
      <c r="AV135">
        <v>0.5</v>
      </c>
      <c r="AW135">
        <f>CV135</f>
        <v>0</v>
      </c>
      <c r="AX135">
        <f>K135</f>
        <v>0</v>
      </c>
      <c r="AY135">
        <f>AU135*AV135*AW135</f>
        <v>0</v>
      </c>
      <c r="AZ135">
        <f>(AX135-AP135)/AW135</f>
        <v>0</v>
      </c>
      <c r="BA135">
        <f>(AN135-AT135)/AT135</f>
        <v>0</v>
      </c>
      <c r="BB135">
        <f>AM135/(AO135+AM135/AT135)</f>
        <v>0</v>
      </c>
      <c r="BC135" t="s">
        <v>420</v>
      </c>
      <c r="BD135">
        <v>0</v>
      </c>
      <c r="BE135">
        <f>IF(BD135&lt;&gt;0, BD135, BB135)</f>
        <v>0</v>
      </c>
      <c r="BF135">
        <f>1-BE135/AT135</f>
        <v>0</v>
      </c>
      <c r="BG135">
        <f>(AT135-AS135)/(AT135-BE135)</f>
        <v>0</v>
      </c>
      <c r="BH135">
        <f>(AN135-AT135)/(AN135-BE135)</f>
        <v>0</v>
      </c>
      <c r="BI135">
        <f>(AT135-AS135)/(AT135-AM135)</f>
        <v>0</v>
      </c>
      <c r="BJ135">
        <f>(AN135-AT135)/(AN135-AM135)</f>
        <v>0</v>
      </c>
      <c r="BK135">
        <f>(BG135*BE135/AS135)</f>
        <v>0</v>
      </c>
      <c r="BL135">
        <f>(1-BK135)</f>
        <v>0</v>
      </c>
      <c r="CU135">
        <f>$B$13*DS135+$C$13*DT135+$F$13*EE135*(1-EH135)</f>
        <v>0</v>
      </c>
      <c r="CV135">
        <f>CU135*CW135</f>
        <v>0</v>
      </c>
      <c r="CW135">
        <f>($B$13*$D$11+$C$13*$D$11+$F$13*((ER135+EJ135)/MAX(ER135+EJ135+ES135, 0.1)*$I$11+ES135/MAX(ER135+EJ135+ES135, 0.1)*$J$11))/($B$13+$C$13+$F$13)</f>
        <v>0</v>
      </c>
      <c r="CX135">
        <f>($B$13*$K$11+$C$13*$K$11+$F$13*((ER135+EJ135)/MAX(ER135+EJ135+ES135, 0.1)*$P$11+ES135/MAX(ER135+EJ135+ES135, 0.1)*$Q$11))/($B$13+$C$13+$F$13)</f>
        <v>0</v>
      </c>
      <c r="CY135">
        <v>2.96</v>
      </c>
      <c r="CZ135">
        <v>0.5</v>
      </c>
      <c r="DA135" t="s">
        <v>421</v>
      </c>
      <c r="DB135">
        <v>2</v>
      </c>
      <c r="DC135">
        <v>1761018859.1</v>
      </c>
      <c r="DD135">
        <v>420.4945555555556</v>
      </c>
      <c r="DE135">
        <v>420.0103333333333</v>
      </c>
      <c r="DF135">
        <v>23.59142222222222</v>
      </c>
      <c r="DG135">
        <v>23.48248888888889</v>
      </c>
      <c r="DH135">
        <v>422.0614444444444</v>
      </c>
      <c r="DI135">
        <v>23.4028</v>
      </c>
      <c r="DJ135">
        <v>499.9046666666666</v>
      </c>
      <c r="DK135">
        <v>90.79745555555557</v>
      </c>
      <c r="DL135">
        <v>0.03824871111111111</v>
      </c>
      <c r="DM135">
        <v>30.15667777777778</v>
      </c>
      <c r="DN135">
        <v>29.99233333333334</v>
      </c>
      <c r="DO135">
        <v>999.9000000000001</v>
      </c>
      <c r="DP135">
        <v>0</v>
      </c>
      <c r="DQ135">
        <v>0</v>
      </c>
      <c r="DR135">
        <v>9993.394444444444</v>
      </c>
      <c r="DS135">
        <v>0</v>
      </c>
      <c r="DT135">
        <v>0.242856</v>
      </c>
      <c r="DU135">
        <v>0.4840732222222222</v>
      </c>
      <c r="DV135">
        <v>430.6543333333333</v>
      </c>
      <c r="DW135">
        <v>430.1104444444445</v>
      </c>
      <c r="DX135">
        <v>0.1089373333333333</v>
      </c>
      <c r="DY135">
        <v>420.0103333333333</v>
      </c>
      <c r="DZ135">
        <v>23.48248888888889</v>
      </c>
      <c r="EA135">
        <v>2.142042222222222</v>
      </c>
      <c r="EB135">
        <v>2.132148888888889</v>
      </c>
      <c r="EC135">
        <v>18.53531111111111</v>
      </c>
      <c r="ED135">
        <v>18.46141111111111</v>
      </c>
      <c r="EE135">
        <v>0.00500078</v>
      </c>
      <c r="EF135">
        <v>0</v>
      </c>
      <c r="EG135">
        <v>0</v>
      </c>
      <c r="EH135">
        <v>0</v>
      </c>
      <c r="EI135">
        <v>427.7777777777778</v>
      </c>
      <c r="EJ135">
        <v>0.00500078</v>
      </c>
      <c r="EK135">
        <v>-15.18888888888889</v>
      </c>
      <c r="EL135">
        <v>-0.08888888888888884</v>
      </c>
      <c r="EM135">
        <v>35.20811111111111</v>
      </c>
      <c r="EN135">
        <v>38.73577777777778</v>
      </c>
      <c r="EO135">
        <v>36.69411111111111</v>
      </c>
      <c r="EP135">
        <v>38.83322222222223</v>
      </c>
      <c r="EQ135">
        <v>37.22877777777777</v>
      </c>
      <c r="ER135">
        <v>0</v>
      </c>
      <c r="ES135">
        <v>0</v>
      </c>
      <c r="ET135">
        <v>0</v>
      </c>
      <c r="EU135">
        <v>1761018861.1</v>
      </c>
      <c r="EV135">
        <v>0</v>
      </c>
      <c r="EW135">
        <v>429.3269230769231</v>
      </c>
      <c r="EX135">
        <v>-33.29572654977494</v>
      </c>
      <c r="EY135">
        <v>28.82735081730562</v>
      </c>
      <c r="EZ135">
        <v>-19.76923076923077</v>
      </c>
      <c r="FA135">
        <v>15</v>
      </c>
      <c r="FB135">
        <v>1761018667.1</v>
      </c>
      <c r="FC135" t="s">
        <v>613</v>
      </c>
      <c r="FD135">
        <v>1761018661.6</v>
      </c>
      <c r="FE135">
        <v>1761018667.1</v>
      </c>
      <c r="FF135">
        <v>26</v>
      </c>
      <c r="FG135">
        <v>-0.221</v>
      </c>
      <c r="FH135">
        <v>-0.001</v>
      </c>
      <c r="FI135">
        <v>-1.568</v>
      </c>
      <c r="FJ135">
        <v>0.178</v>
      </c>
      <c r="FK135">
        <v>420</v>
      </c>
      <c r="FL135">
        <v>23</v>
      </c>
      <c r="FM135">
        <v>0.1</v>
      </c>
      <c r="FN135">
        <v>0.08</v>
      </c>
      <c r="FO135">
        <v>0.50775915</v>
      </c>
      <c r="FP135">
        <v>0.03996315196998111</v>
      </c>
      <c r="FQ135">
        <v>0.02983752996776878</v>
      </c>
      <c r="FR135">
        <v>1</v>
      </c>
      <c r="FS135">
        <v>429.0617647058824</v>
      </c>
      <c r="FT135">
        <v>-17.7035904661817</v>
      </c>
      <c r="FU135">
        <v>6.839935272564497</v>
      </c>
      <c r="FV135">
        <v>0</v>
      </c>
      <c r="FW135">
        <v>0.1241061</v>
      </c>
      <c r="FX135">
        <v>-0.1393573283302066</v>
      </c>
      <c r="FY135">
        <v>0.01373915207864008</v>
      </c>
      <c r="FZ135">
        <v>0</v>
      </c>
      <c r="GA135">
        <v>1</v>
      </c>
      <c r="GB135">
        <v>3</v>
      </c>
      <c r="GC135" t="s">
        <v>431</v>
      </c>
      <c r="GD135">
        <v>3.10949</v>
      </c>
      <c r="GE135">
        <v>2.72999</v>
      </c>
      <c r="GF135">
        <v>0.088961</v>
      </c>
      <c r="GG135">
        <v>0.0886826</v>
      </c>
      <c r="GH135">
        <v>0.107636</v>
      </c>
      <c r="GI135">
        <v>0.108325</v>
      </c>
      <c r="GJ135">
        <v>23920.5</v>
      </c>
      <c r="GK135">
        <v>21666.8</v>
      </c>
      <c r="GL135">
        <v>26812.8</v>
      </c>
      <c r="GM135">
        <v>23979.8</v>
      </c>
      <c r="GN135">
        <v>38229.3</v>
      </c>
      <c r="GO135">
        <v>31536.2</v>
      </c>
      <c r="GP135">
        <v>46799.5</v>
      </c>
      <c r="GQ135">
        <v>37903.2</v>
      </c>
      <c r="GR135">
        <v>1.89845</v>
      </c>
      <c r="GS135">
        <v>1.89147</v>
      </c>
      <c r="GT135">
        <v>0.133887</v>
      </c>
      <c r="GU135">
        <v>0</v>
      </c>
      <c r="GV135">
        <v>27.8124</v>
      </c>
      <c r="GW135">
        <v>999.9</v>
      </c>
      <c r="GX135">
        <v>63.9</v>
      </c>
      <c r="GY135">
        <v>28.6</v>
      </c>
      <c r="GZ135">
        <v>27.6547</v>
      </c>
      <c r="HA135">
        <v>61.2073</v>
      </c>
      <c r="HB135">
        <v>20.1242</v>
      </c>
      <c r="HC135">
        <v>1</v>
      </c>
      <c r="HD135">
        <v>-0.00397358</v>
      </c>
      <c r="HE135">
        <v>-3.57836</v>
      </c>
      <c r="HF135">
        <v>20.2985</v>
      </c>
      <c r="HG135">
        <v>5.21849</v>
      </c>
      <c r="HH135">
        <v>11.9798</v>
      </c>
      <c r="HI135">
        <v>4.9658</v>
      </c>
      <c r="HJ135">
        <v>3.276</v>
      </c>
      <c r="HK135">
        <v>9999</v>
      </c>
      <c r="HL135">
        <v>9999</v>
      </c>
      <c r="HM135">
        <v>9999</v>
      </c>
      <c r="HN135">
        <v>999.9</v>
      </c>
      <c r="HO135">
        <v>1.86358</v>
      </c>
      <c r="HP135">
        <v>1.85973</v>
      </c>
      <c r="HQ135">
        <v>1.85795</v>
      </c>
      <c r="HR135">
        <v>1.85939</v>
      </c>
      <c r="HS135">
        <v>1.85959</v>
      </c>
      <c r="HT135">
        <v>1.85802</v>
      </c>
      <c r="HU135">
        <v>1.85703</v>
      </c>
      <c r="HV135">
        <v>1.85207</v>
      </c>
      <c r="HW135">
        <v>0</v>
      </c>
      <c r="HX135">
        <v>0</v>
      </c>
      <c r="HY135">
        <v>0</v>
      </c>
      <c r="HZ135">
        <v>0</v>
      </c>
      <c r="IA135" t="s">
        <v>424</v>
      </c>
      <c r="IB135" t="s">
        <v>425</v>
      </c>
      <c r="IC135" t="s">
        <v>426</v>
      </c>
      <c r="ID135" t="s">
        <v>426</v>
      </c>
      <c r="IE135" t="s">
        <v>426</v>
      </c>
      <c r="IF135" t="s">
        <v>426</v>
      </c>
      <c r="IG135">
        <v>0</v>
      </c>
      <c r="IH135">
        <v>100</v>
      </c>
      <c r="II135">
        <v>100</v>
      </c>
      <c r="IJ135">
        <v>-1.567</v>
      </c>
      <c r="IK135">
        <v>0.1885</v>
      </c>
      <c r="IL135">
        <v>-2.357986366295179</v>
      </c>
      <c r="IM135">
        <v>0.001328113201692861</v>
      </c>
      <c r="IN135">
        <v>1.538283238170363E-06</v>
      </c>
      <c r="IO135">
        <v>-5.795655626708063E-10</v>
      </c>
      <c r="IP135">
        <v>-0.06105361615936408</v>
      </c>
      <c r="IQ135">
        <v>-0.004593102289677449</v>
      </c>
      <c r="IR135">
        <v>0.0008253994458280543</v>
      </c>
      <c r="IS135">
        <v>-7.403632370499484E-06</v>
      </c>
      <c r="IT135">
        <v>2</v>
      </c>
      <c r="IU135">
        <v>1985</v>
      </c>
      <c r="IV135">
        <v>1</v>
      </c>
      <c r="IW135">
        <v>27</v>
      </c>
      <c r="IX135">
        <v>3.3</v>
      </c>
      <c r="IY135">
        <v>3.2</v>
      </c>
      <c r="IZ135">
        <v>1.12793</v>
      </c>
      <c r="JA135">
        <v>2.59033</v>
      </c>
      <c r="JB135">
        <v>1.49658</v>
      </c>
      <c r="JC135">
        <v>2.34131</v>
      </c>
      <c r="JD135">
        <v>1.54907</v>
      </c>
      <c r="JE135">
        <v>2.44751</v>
      </c>
      <c r="JF135">
        <v>31.8707</v>
      </c>
      <c r="JG135">
        <v>14.5173</v>
      </c>
      <c r="JH135">
        <v>18</v>
      </c>
      <c r="JI135">
        <v>482.994</v>
      </c>
      <c r="JJ135">
        <v>508.416</v>
      </c>
      <c r="JK135">
        <v>31.5236</v>
      </c>
      <c r="JL135">
        <v>27.1928</v>
      </c>
      <c r="JM135">
        <v>30.0005</v>
      </c>
      <c r="JN135">
        <v>27.5073</v>
      </c>
      <c r="JO135">
        <v>27.5186</v>
      </c>
      <c r="JP135">
        <v>22.6795</v>
      </c>
      <c r="JQ135">
        <v>18.819</v>
      </c>
      <c r="JR135">
        <v>84.59529999999999</v>
      </c>
      <c r="JS135">
        <v>31.7302</v>
      </c>
      <c r="JT135">
        <v>420</v>
      </c>
      <c r="JU135">
        <v>23.5871</v>
      </c>
      <c r="JV135">
        <v>102.34</v>
      </c>
      <c r="JW135">
        <v>91.4414</v>
      </c>
    </row>
    <row r="136" spans="1:283">
      <c r="A136">
        <v>118</v>
      </c>
      <c r="B136">
        <v>1761018864.1</v>
      </c>
      <c r="C136">
        <v>794.5999999046326</v>
      </c>
      <c r="D136" t="s">
        <v>666</v>
      </c>
      <c r="E136" t="s">
        <v>667</v>
      </c>
      <c r="F136">
        <v>5</v>
      </c>
      <c r="G136" t="s">
        <v>612</v>
      </c>
      <c r="H136">
        <v>1761018861.1</v>
      </c>
      <c r="I136">
        <f>(J136)/1000</f>
        <v>0</v>
      </c>
      <c r="J136">
        <f>1000*DJ136*AH136*(DF136-DG136)/(100*CY136*(1000-AH136*DF136))</f>
        <v>0</v>
      </c>
      <c r="K136">
        <f>DJ136*AH136*(DE136-DD136*(1000-AH136*DG136)/(1000-AH136*DF136))/(100*CY136)</f>
        <v>0</v>
      </c>
      <c r="L136">
        <f>DD136 - IF(AH136&gt;1, K136*CY136*100.0/(AJ136), 0)</f>
        <v>0</v>
      </c>
      <c r="M136">
        <f>((S136-I136/2)*L136-K136)/(S136+I136/2)</f>
        <v>0</v>
      </c>
      <c r="N136">
        <f>M136*(DK136+DL136)/1000.0</f>
        <v>0</v>
      </c>
      <c r="O136">
        <f>(DD136 - IF(AH136&gt;1, K136*CY136*100.0/(AJ136), 0))*(DK136+DL136)/1000.0</f>
        <v>0</v>
      </c>
      <c r="P136">
        <f>2.0/((1/R136-1/Q136)+SIGN(R136)*SQRT((1/R136-1/Q136)*(1/R136-1/Q136) + 4*CZ136/((CZ136+1)*(CZ136+1))*(2*1/R136*1/Q136-1/Q136*1/Q136)))</f>
        <v>0</v>
      </c>
      <c r="Q136">
        <f>IF(LEFT(DA136,1)&lt;&gt;"0",IF(LEFT(DA136,1)="1",3.0,DB136),$D$5+$E$5*(DR136*DK136/($K$5*1000))+$F$5*(DR136*DK136/($K$5*1000))*MAX(MIN(CY136,$J$5),$I$5)*MAX(MIN(CY136,$J$5),$I$5)+$G$5*MAX(MIN(CY136,$J$5),$I$5)*(DR136*DK136/($K$5*1000))+$H$5*(DR136*DK136/($K$5*1000))*(DR136*DK136/($K$5*1000)))</f>
        <v>0</v>
      </c>
      <c r="R136">
        <f>I136*(1000-(1000*0.61365*exp(17.502*V136/(240.97+V136))/(DK136+DL136)+DF136)/2)/(1000*0.61365*exp(17.502*V136/(240.97+V136))/(DK136+DL136)-DF136)</f>
        <v>0</v>
      </c>
      <c r="S136">
        <f>1/((CZ136+1)/(P136/1.6)+1/(Q136/1.37)) + CZ136/((CZ136+1)/(P136/1.6) + CZ136/(Q136/1.37))</f>
        <v>0</v>
      </c>
      <c r="T136">
        <f>(CU136*CX136)</f>
        <v>0</v>
      </c>
      <c r="U136">
        <f>(DM136+(T136+2*0.95*5.67E-8*(((DM136+$B$9)+273)^4-(DM136+273)^4)-44100*I136)/(1.84*29.3*Q136+8*0.95*5.67E-8*(DM136+273)^3))</f>
        <v>0</v>
      </c>
      <c r="V136">
        <f>($C$9*DN136+$D$9*DO136+$E$9*U136)</f>
        <v>0</v>
      </c>
      <c r="W136">
        <f>0.61365*exp(17.502*V136/(240.97+V136))</f>
        <v>0</v>
      </c>
      <c r="X136">
        <f>(Y136/Z136*100)</f>
        <v>0</v>
      </c>
      <c r="Y136">
        <f>DF136*(DK136+DL136)/1000</f>
        <v>0</v>
      </c>
      <c r="Z136">
        <f>0.61365*exp(17.502*DM136/(240.97+DM136))</f>
        <v>0</v>
      </c>
      <c r="AA136">
        <f>(W136-DF136*(DK136+DL136)/1000)</f>
        <v>0</v>
      </c>
      <c r="AB136">
        <f>(-I136*44100)</f>
        <v>0</v>
      </c>
      <c r="AC136">
        <f>2*29.3*Q136*0.92*(DM136-V136)</f>
        <v>0</v>
      </c>
      <c r="AD136">
        <f>2*0.95*5.67E-8*(((DM136+$B$9)+273)^4-(V136+273)^4)</f>
        <v>0</v>
      </c>
      <c r="AE136">
        <f>T136+AD136+AB136+AC136</f>
        <v>0</v>
      </c>
      <c r="AF136">
        <v>0</v>
      </c>
      <c r="AG136">
        <v>0</v>
      </c>
      <c r="AH136">
        <f>IF(AF136*$H$15&gt;=AJ136,1.0,(AJ136/(AJ136-AF136*$H$15)))</f>
        <v>0</v>
      </c>
      <c r="AI136">
        <f>(AH136-1)*100</f>
        <v>0</v>
      </c>
      <c r="AJ136">
        <f>MAX(0,($B$15+$C$15*DR136)/(1+$D$15*DR136)*DK136/(DM136+273)*$E$15)</f>
        <v>0</v>
      </c>
      <c r="AK136" t="s">
        <v>420</v>
      </c>
      <c r="AL136" t="s">
        <v>420</v>
      </c>
      <c r="AM136">
        <v>0</v>
      </c>
      <c r="AN136">
        <v>0</v>
      </c>
      <c r="AO136">
        <f>1-AM136/AN136</f>
        <v>0</v>
      </c>
      <c r="AP136">
        <v>0</v>
      </c>
      <c r="AQ136" t="s">
        <v>420</v>
      </c>
      <c r="AR136" t="s">
        <v>420</v>
      </c>
      <c r="AS136">
        <v>0</v>
      </c>
      <c r="AT136">
        <v>0</v>
      </c>
      <c r="AU136">
        <f>1-AS136/AT136</f>
        <v>0</v>
      </c>
      <c r="AV136">
        <v>0.5</v>
      </c>
      <c r="AW136">
        <f>CV136</f>
        <v>0</v>
      </c>
      <c r="AX136">
        <f>K136</f>
        <v>0</v>
      </c>
      <c r="AY136">
        <f>AU136*AV136*AW136</f>
        <v>0</v>
      </c>
      <c r="AZ136">
        <f>(AX136-AP136)/AW136</f>
        <v>0</v>
      </c>
      <c r="BA136">
        <f>(AN136-AT136)/AT136</f>
        <v>0</v>
      </c>
      <c r="BB136">
        <f>AM136/(AO136+AM136/AT136)</f>
        <v>0</v>
      </c>
      <c r="BC136" t="s">
        <v>420</v>
      </c>
      <c r="BD136">
        <v>0</v>
      </c>
      <c r="BE136">
        <f>IF(BD136&lt;&gt;0, BD136, BB136)</f>
        <v>0</v>
      </c>
      <c r="BF136">
        <f>1-BE136/AT136</f>
        <v>0</v>
      </c>
      <c r="BG136">
        <f>(AT136-AS136)/(AT136-BE136)</f>
        <v>0</v>
      </c>
      <c r="BH136">
        <f>(AN136-AT136)/(AN136-BE136)</f>
        <v>0</v>
      </c>
      <c r="BI136">
        <f>(AT136-AS136)/(AT136-AM136)</f>
        <v>0</v>
      </c>
      <c r="BJ136">
        <f>(AN136-AT136)/(AN136-AM136)</f>
        <v>0</v>
      </c>
      <c r="BK136">
        <f>(BG136*BE136/AS136)</f>
        <v>0</v>
      </c>
      <c r="BL136">
        <f>(1-BK136)</f>
        <v>0</v>
      </c>
      <c r="CU136">
        <f>$B$13*DS136+$C$13*DT136+$F$13*EE136*(1-EH136)</f>
        <v>0</v>
      </c>
      <c r="CV136">
        <f>CU136*CW136</f>
        <v>0</v>
      </c>
      <c r="CW136">
        <f>($B$13*$D$11+$C$13*$D$11+$F$13*((ER136+EJ136)/MAX(ER136+EJ136+ES136, 0.1)*$I$11+ES136/MAX(ER136+EJ136+ES136, 0.1)*$J$11))/($B$13+$C$13+$F$13)</f>
        <v>0</v>
      </c>
      <c r="CX136">
        <f>($B$13*$K$11+$C$13*$K$11+$F$13*((ER136+EJ136)/MAX(ER136+EJ136+ES136, 0.1)*$P$11+ES136/MAX(ER136+EJ136+ES136, 0.1)*$Q$11))/($B$13+$C$13+$F$13)</f>
        <v>0</v>
      </c>
      <c r="CY136">
        <v>2.96</v>
      </c>
      <c r="CZ136">
        <v>0.5</v>
      </c>
      <c r="DA136" t="s">
        <v>421</v>
      </c>
      <c r="DB136">
        <v>2</v>
      </c>
      <c r="DC136">
        <v>1761018861.1</v>
      </c>
      <c r="DD136">
        <v>420.4842222222222</v>
      </c>
      <c r="DE136">
        <v>420.0122222222222</v>
      </c>
      <c r="DF136">
        <v>23.58786666666667</v>
      </c>
      <c r="DG136">
        <v>23.47998888888889</v>
      </c>
      <c r="DH136">
        <v>422.0512222222222</v>
      </c>
      <c r="DI136">
        <v>23.39933333333333</v>
      </c>
      <c r="DJ136">
        <v>499.977</v>
      </c>
      <c r="DK136">
        <v>90.79744444444445</v>
      </c>
      <c r="DL136">
        <v>0.03829736666666667</v>
      </c>
      <c r="DM136">
        <v>30.15305555555555</v>
      </c>
      <c r="DN136">
        <v>29.9923</v>
      </c>
      <c r="DO136">
        <v>999.9000000000001</v>
      </c>
      <c r="DP136">
        <v>0</v>
      </c>
      <c r="DQ136">
        <v>0</v>
      </c>
      <c r="DR136">
        <v>10005.68444444445</v>
      </c>
      <c r="DS136">
        <v>0</v>
      </c>
      <c r="DT136">
        <v>0.242856</v>
      </c>
      <c r="DU136">
        <v>0.4719612222222223</v>
      </c>
      <c r="DV136">
        <v>430.6422222222222</v>
      </c>
      <c r="DW136">
        <v>430.1112222222222</v>
      </c>
      <c r="DX136">
        <v>0.107876</v>
      </c>
      <c r="DY136">
        <v>420.0122222222222</v>
      </c>
      <c r="DZ136">
        <v>23.47998888888889</v>
      </c>
      <c r="EA136">
        <v>2.141716666666666</v>
      </c>
      <c r="EB136">
        <v>2.131923333333333</v>
      </c>
      <c r="EC136">
        <v>18.53288888888889</v>
      </c>
      <c r="ED136">
        <v>18.45972222222223</v>
      </c>
      <c r="EE136">
        <v>0.00500078</v>
      </c>
      <c r="EF136">
        <v>0</v>
      </c>
      <c r="EG136">
        <v>0</v>
      </c>
      <c r="EH136">
        <v>0</v>
      </c>
      <c r="EI136">
        <v>428.7</v>
      </c>
      <c r="EJ136">
        <v>0.00500078</v>
      </c>
      <c r="EK136">
        <v>-17.73333333333333</v>
      </c>
      <c r="EL136">
        <v>-0.5222222222222223</v>
      </c>
      <c r="EM136">
        <v>35.19411111111111</v>
      </c>
      <c r="EN136">
        <v>38.77055555555555</v>
      </c>
      <c r="EO136">
        <v>36.90255555555555</v>
      </c>
      <c r="EP136">
        <v>38.88166666666667</v>
      </c>
      <c r="EQ136">
        <v>37.33988888888889</v>
      </c>
      <c r="ER136">
        <v>0</v>
      </c>
      <c r="ES136">
        <v>0</v>
      </c>
      <c r="ET136">
        <v>0</v>
      </c>
      <c r="EU136">
        <v>1761018862.9</v>
      </c>
      <c r="EV136">
        <v>0</v>
      </c>
      <c r="EW136">
        <v>428.028</v>
      </c>
      <c r="EX136">
        <v>-16.46153877985138</v>
      </c>
      <c r="EY136">
        <v>12.5307696644135</v>
      </c>
      <c r="EZ136">
        <v>-18.48</v>
      </c>
      <c r="FA136">
        <v>15</v>
      </c>
      <c r="FB136">
        <v>1761018667.1</v>
      </c>
      <c r="FC136" t="s">
        <v>613</v>
      </c>
      <c r="FD136">
        <v>1761018661.6</v>
      </c>
      <c r="FE136">
        <v>1761018667.1</v>
      </c>
      <c r="FF136">
        <v>26</v>
      </c>
      <c r="FG136">
        <v>-0.221</v>
      </c>
      <c r="FH136">
        <v>-0.001</v>
      </c>
      <c r="FI136">
        <v>-1.568</v>
      </c>
      <c r="FJ136">
        <v>0.178</v>
      </c>
      <c r="FK136">
        <v>420</v>
      </c>
      <c r="FL136">
        <v>23</v>
      </c>
      <c r="FM136">
        <v>0.1</v>
      </c>
      <c r="FN136">
        <v>0.08</v>
      </c>
      <c r="FO136">
        <v>0.5021117073170732</v>
      </c>
      <c r="FP136">
        <v>-0.05046397212543621</v>
      </c>
      <c r="FQ136">
        <v>0.03451474270952314</v>
      </c>
      <c r="FR136">
        <v>1</v>
      </c>
      <c r="FS136">
        <v>428.9794117647059</v>
      </c>
      <c r="FT136">
        <v>-16.11764711302143</v>
      </c>
      <c r="FU136">
        <v>7.093940223125182</v>
      </c>
      <c r="FV136">
        <v>0</v>
      </c>
      <c r="FW136">
        <v>0.1196931707317073</v>
      </c>
      <c r="FX136">
        <v>-0.118347219512195</v>
      </c>
      <c r="FY136">
        <v>0.01218533707191625</v>
      </c>
      <c r="FZ136">
        <v>0</v>
      </c>
      <c r="GA136">
        <v>1</v>
      </c>
      <c r="GB136">
        <v>3</v>
      </c>
      <c r="GC136" t="s">
        <v>431</v>
      </c>
      <c r="GD136">
        <v>3.10974</v>
      </c>
      <c r="GE136">
        <v>2.72992</v>
      </c>
      <c r="GF136">
        <v>0.08896129999999999</v>
      </c>
      <c r="GG136">
        <v>0.088674</v>
      </c>
      <c r="GH136">
        <v>0.107622</v>
      </c>
      <c r="GI136">
        <v>0.108321</v>
      </c>
      <c r="GJ136">
        <v>23920.4</v>
      </c>
      <c r="GK136">
        <v>21666.9</v>
      </c>
      <c r="GL136">
        <v>26812.7</v>
      </c>
      <c r="GM136">
        <v>23979.7</v>
      </c>
      <c r="GN136">
        <v>38229.8</v>
      </c>
      <c r="GO136">
        <v>31536.2</v>
      </c>
      <c r="GP136">
        <v>46799.4</v>
      </c>
      <c r="GQ136">
        <v>37903.1</v>
      </c>
      <c r="GR136">
        <v>1.8989</v>
      </c>
      <c r="GS136">
        <v>1.89132</v>
      </c>
      <c r="GT136">
        <v>0.13411</v>
      </c>
      <c r="GU136">
        <v>0</v>
      </c>
      <c r="GV136">
        <v>27.81</v>
      </c>
      <c r="GW136">
        <v>999.9</v>
      </c>
      <c r="GX136">
        <v>63.9</v>
      </c>
      <c r="GY136">
        <v>28.6</v>
      </c>
      <c r="GZ136">
        <v>27.6521</v>
      </c>
      <c r="HA136">
        <v>61.0373</v>
      </c>
      <c r="HB136">
        <v>20.1402</v>
      </c>
      <c r="HC136">
        <v>1</v>
      </c>
      <c r="HD136">
        <v>-0.00375508</v>
      </c>
      <c r="HE136">
        <v>-3.13221</v>
      </c>
      <c r="HF136">
        <v>20.308</v>
      </c>
      <c r="HG136">
        <v>5.21834</v>
      </c>
      <c r="HH136">
        <v>11.9797</v>
      </c>
      <c r="HI136">
        <v>4.96565</v>
      </c>
      <c r="HJ136">
        <v>3.276</v>
      </c>
      <c r="HK136">
        <v>9999</v>
      </c>
      <c r="HL136">
        <v>9999</v>
      </c>
      <c r="HM136">
        <v>9999</v>
      </c>
      <c r="HN136">
        <v>999.9</v>
      </c>
      <c r="HO136">
        <v>1.86359</v>
      </c>
      <c r="HP136">
        <v>1.85973</v>
      </c>
      <c r="HQ136">
        <v>1.85795</v>
      </c>
      <c r="HR136">
        <v>1.85939</v>
      </c>
      <c r="HS136">
        <v>1.85959</v>
      </c>
      <c r="HT136">
        <v>1.85803</v>
      </c>
      <c r="HU136">
        <v>1.85703</v>
      </c>
      <c r="HV136">
        <v>1.85209</v>
      </c>
      <c r="HW136">
        <v>0</v>
      </c>
      <c r="HX136">
        <v>0</v>
      </c>
      <c r="HY136">
        <v>0</v>
      </c>
      <c r="HZ136">
        <v>0</v>
      </c>
      <c r="IA136" t="s">
        <v>424</v>
      </c>
      <c r="IB136" t="s">
        <v>425</v>
      </c>
      <c r="IC136" t="s">
        <v>426</v>
      </c>
      <c r="ID136" t="s">
        <v>426</v>
      </c>
      <c r="IE136" t="s">
        <v>426</v>
      </c>
      <c r="IF136" t="s">
        <v>426</v>
      </c>
      <c r="IG136">
        <v>0</v>
      </c>
      <c r="IH136">
        <v>100</v>
      </c>
      <c r="II136">
        <v>100</v>
      </c>
      <c r="IJ136">
        <v>-1.567</v>
      </c>
      <c r="IK136">
        <v>0.1884</v>
      </c>
      <c r="IL136">
        <v>-2.357986366295179</v>
      </c>
      <c r="IM136">
        <v>0.001328113201692861</v>
      </c>
      <c r="IN136">
        <v>1.538283238170363E-06</v>
      </c>
      <c r="IO136">
        <v>-5.795655626708063E-10</v>
      </c>
      <c r="IP136">
        <v>-0.06105361615936408</v>
      </c>
      <c r="IQ136">
        <v>-0.004593102289677449</v>
      </c>
      <c r="IR136">
        <v>0.0008253994458280543</v>
      </c>
      <c r="IS136">
        <v>-7.403632370499484E-06</v>
      </c>
      <c r="IT136">
        <v>2</v>
      </c>
      <c r="IU136">
        <v>1985</v>
      </c>
      <c r="IV136">
        <v>1</v>
      </c>
      <c r="IW136">
        <v>27</v>
      </c>
      <c r="IX136">
        <v>3.4</v>
      </c>
      <c r="IY136">
        <v>3.3</v>
      </c>
      <c r="IZ136">
        <v>1.12793</v>
      </c>
      <c r="JA136">
        <v>2.59155</v>
      </c>
      <c r="JB136">
        <v>1.49658</v>
      </c>
      <c r="JC136">
        <v>2.34009</v>
      </c>
      <c r="JD136">
        <v>1.54907</v>
      </c>
      <c r="JE136">
        <v>2.43896</v>
      </c>
      <c r="JF136">
        <v>31.8707</v>
      </c>
      <c r="JG136">
        <v>14.5085</v>
      </c>
      <c r="JH136">
        <v>18</v>
      </c>
      <c r="JI136">
        <v>483.236</v>
      </c>
      <c r="JJ136">
        <v>508.3</v>
      </c>
      <c r="JK136">
        <v>31.6764</v>
      </c>
      <c r="JL136">
        <v>27.1911</v>
      </c>
      <c r="JM136">
        <v>30.0005</v>
      </c>
      <c r="JN136">
        <v>27.5049</v>
      </c>
      <c r="JO136">
        <v>27.5168</v>
      </c>
      <c r="JP136">
        <v>22.6831</v>
      </c>
      <c r="JQ136">
        <v>18.5485</v>
      </c>
      <c r="JR136">
        <v>84.59529999999999</v>
      </c>
      <c r="JS136">
        <v>31.7359</v>
      </c>
      <c r="JT136">
        <v>420</v>
      </c>
      <c r="JU136">
        <v>23.6015</v>
      </c>
      <c r="JV136">
        <v>102.34</v>
      </c>
      <c r="JW136">
        <v>91.44119999999999</v>
      </c>
    </row>
    <row r="137" spans="1:283">
      <c r="A137">
        <v>119</v>
      </c>
      <c r="B137">
        <v>1761018866.1</v>
      </c>
      <c r="C137">
        <v>796.5999999046326</v>
      </c>
      <c r="D137" t="s">
        <v>668</v>
      </c>
      <c r="E137" t="s">
        <v>669</v>
      </c>
      <c r="F137">
        <v>5</v>
      </c>
      <c r="G137" t="s">
        <v>612</v>
      </c>
      <c r="H137">
        <v>1761018863.1</v>
      </c>
      <c r="I137">
        <f>(J137)/1000</f>
        <v>0</v>
      </c>
      <c r="J137">
        <f>1000*DJ137*AH137*(DF137-DG137)/(100*CY137*(1000-AH137*DF137))</f>
        <v>0</v>
      </c>
      <c r="K137">
        <f>DJ137*AH137*(DE137-DD137*(1000-AH137*DG137)/(1000-AH137*DF137))/(100*CY137)</f>
        <v>0</v>
      </c>
      <c r="L137">
        <f>DD137 - IF(AH137&gt;1, K137*CY137*100.0/(AJ137), 0)</f>
        <v>0</v>
      </c>
      <c r="M137">
        <f>((S137-I137/2)*L137-K137)/(S137+I137/2)</f>
        <v>0</v>
      </c>
      <c r="N137">
        <f>M137*(DK137+DL137)/1000.0</f>
        <v>0</v>
      </c>
      <c r="O137">
        <f>(DD137 - IF(AH137&gt;1, K137*CY137*100.0/(AJ137), 0))*(DK137+DL137)/1000.0</f>
        <v>0</v>
      </c>
      <c r="P137">
        <f>2.0/((1/R137-1/Q137)+SIGN(R137)*SQRT((1/R137-1/Q137)*(1/R137-1/Q137) + 4*CZ137/((CZ137+1)*(CZ137+1))*(2*1/R137*1/Q137-1/Q137*1/Q137)))</f>
        <v>0</v>
      </c>
      <c r="Q137">
        <f>IF(LEFT(DA137,1)&lt;&gt;"0",IF(LEFT(DA137,1)="1",3.0,DB137),$D$5+$E$5*(DR137*DK137/($K$5*1000))+$F$5*(DR137*DK137/($K$5*1000))*MAX(MIN(CY137,$J$5),$I$5)*MAX(MIN(CY137,$J$5),$I$5)+$G$5*MAX(MIN(CY137,$J$5),$I$5)*(DR137*DK137/($K$5*1000))+$H$5*(DR137*DK137/($K$5*1000))*(DR137*DK137/($K$5*1000)))</f>
        <v>0</v>
      </c>
      <c r="R137">
        <f>I137*(1000-(1000*0.61365*exp(17.502*V137/(240.97+V137))/(DK137+DL137)+DF137)/2)/(1000*0.61365*exp(17.502*V137/(240.97+V137))/(DK137+DL137)-DF137)</f>
        <v>0</v>
      </c>
      <c r="S137">
        <f>1/((CZ137+1)/(P137/1.6)+1/(Q137/1.37)) + CZ137/((CZ137+1)/(P137/1.6) + CZ137/(Q137/1.37))</f>
        <v>0</v>
      </c>
      <c r="T137">
        <f>(CU137*CX137)</f>
        <v>0</v>
      </c>
      <c r="U137">
        <f>(DM137+(T137+2*0.95*5.67E-8*(((DM137+$B$9)+273)^4-(DM137+273)^4)-44100*I137)/(1.84*29.3*Q137+8*0.95*5.67E-8*(DM137+273)^3))</f>
        <v>0</v>
      </c>
      <c r="V137">
        <f>($C$9*DN137+$D$9*DO137+$E$9*U137)</f>
        <v>0</v>
      </c>
      <c r="W137">
        <f>0.61365*exp(17.502*V137/(240.97+V137))</f>
        <v>0</v>
      </c>
      <c r="X137">
        <f>(Y137/Z137*100)</f>
        <v>0</v>
      </c>
      <c r="Y137">
        <f>DF137*(DK137+DL137)/1000</f>
        <v>0</v>
      </c>
      <c r="Z137">
        <f>0.61365*exp(17.502*DM137/(240.97+DM137))</f>
        <v>0</v>
      </c>
      <c r="AA137">
        <f>(W137-DF137*(DK137+DL137)/1000)</f>
        <v>0</v>
      </c>
      <c r="AB137">
        <f>(-I137*44100)</f>
        <v>0</v>
      </c>
      <c r="AC137">
        <f>2*29.3*Q137*0.92*(DM137-V137)</f>
        <v>0</v>
      </c>
      <c r="AD137">
        <f>2*0.95*5.67E-8*(((DM137+$B$9)+273)^4-(V137+273)^4)</f>
        <v>0</v>
      </c>
      <c r="AE137">
        <f>T137+AD137+AB137+AC137</f>
        <v>0</v>
      </c>
      <c r="AF137">
        <v>0</v>
      </c>
      <c r="AG137">
        <v>0</v>
      </c>
      <c r="AH137">
        <f>IF(AF137*$H$15&gt;=AJ137,1.0,(AJ137/(AJ137-AF137*$H$15)))</f>
        <v>0</v>
      </c>
      <c r="AI137">
        <f>(AH137-1)*100</f>
        <v>0</v>
      </c>
      <c r="AJ137">
        <f>MAX(0,($B$15+$C$15*DR137)/(1+$D$15*DR137)*DK137/(DM137+273)*$E$15)</f>
        <v>0</v>
      </c>
      <c r="AK137" t="s">
        <v>420</v>
      </c>
      <c r="AL137" t="s">
        <v>420</v>
      </c>
      <c r="AM137">
        <v>0</v>
      </c>
      <c r="AN137">
        <v>0</v>
      </c>
      <c r="AO137">
        <f>1-AM137/AN137</f>
        <v>0</v>
      </c>
      <c r="AP137">
        <v>0</v>
      </c>
      <c r="AQ137" t="s">
        <v>420</v>
      </c>
      <c r="AR137" t="s">
        <v>420</v>
      </c>
      <c r="AS137">
        <v>0</v>
      </c>
      <c r="AT137">
        <v>0</v>
      </c>
      <c r="AU137">
        <f>1-AS137/AT137</f>
        <v>0</v>
      </c>
      <c r="AV137">
        <v>0.5</v>
      </c>
      <c r="AW137">
        <f>CV137</f>
        <v>0</v>
      </c>
      <c r="AX137">
        <f>K137</f>
        <v>0</v>
      </c>
      <c r="AY137">
        <f>AU137*AV137*AW137</f>
        <v>0</v>
      </c>
      <c r="AZ137">
        <f>(AX137-AP137)/AW137</f>
        <v>0</v>
      </c>
      <c r="BA137">
        <f>(AN137-AT137)/AT137</f>
        <v>0</v>
      </c>
      <c r="BB137">
        <f>AM137/(AO137+AM137/AT137)</f>
        <v>0</v>
      </c>
      <c r="BC137" t="s">
        <v>420</v>
      </c>
      <c r="BD137">
        <v>0</v>
      </c>
      <c r="BE137">
        <f>IF(BD137&lt;&gt;0, BD137, BB137)</f>
        <v>0</v>
      </c>
      <c r="BF137">
        <f>1-BE137/AT137</f>
        <v>0</v>
      </c>
      <c r="BG137">
        <f>(AT137-AS137)/(AT137-BE137)</f>
        <v>0</v>
      </c>
      <c r="BH137">
        <f>(AN137-AT137)/(AN137-BE137)</f>
        <v>0</v>
      </c>
      <c r="BI137">
        <f>(AT137-AS137)/(AT137-AM137)</f>
        <v>0</v>
      </c>
      <c r="BJ137">
        <f>(AN137-AT137)/(AN137-AM137)</f>
        <v>0</v>
      </c>
      <c r="BK137">
        <f>(BG137*BE137/AS137)</f>
        <v>0</v>
      </c>
      <c r="BL137">
        <f>(1-BK137)</f>
        <v>0</v>
      </c>
      <c r="CU137">
        <f>$B$13*DS137+$C$13*DT137+$F$13*EE137*(1-EH137)</f>
        <v>0</v>
      </c>
      <c r="CV137">
        <f>CU137*CW137</f>
        <v>0</v>
      </c>
      <c r="CW137">
        <f>($B$13*$D$11+$C$13*$D$11+$F$13*((ER137+EJ137)/MAX(ER137+EJ137+ES137, 0.1)*$I$11+ES137/MAX(ER137+EJ137+ES137, 0.1)*$J$11))/($B$13+$C$13+$F$13)</f>
        <v>0</v>
      </c>
      <c r="CX137">
        <f>($B$13*$K$11+$C$13*$K$11+$F$13*((ER137+EJ137)/MAX(ER137+EJ137+ES137, 0.1)*$P$11+ES137/MAX(ER137+EJ137+ES137, 0.1)*$Q$11))/($B$13+$C$13+$F$13)</f>
        <v>0</v>
      </c>
      <c r="CY137">
        <v>2.96</v>
      </c>
      <c r="CZ137">
        <v>0.5</v>
      </c>
      <c r="DA137" t="s">
        <v>421</v>
      </c>
      <c r="DB137">
        <v>2</v>
      </c>
      <c r="DC137">
        <v>1761018863.1</v>
      </c>
      <c r="DD137">
        <v>420.479</v>
      </c>
      <c r="DE137">
        <v>419.9853333333333</v>
      </c>
      <c r="DF137">
        <v>23.58386666666667</v>
      </c>
      <c r="DG137">
        <v>23.4776</v>
      </c>
      <c r="DH137">
        <v>422.046</v>
      </c>
      <c r="DI137">
        <v>23.3954</v>
      </c>
      <c r="DJ137">
        <v>500.076</v>
      </c>
      <c r="DK137">
        <v>90.79810000000001</v>
      </c>
      <c r="DL137">
        <v>0.03819206666666666</v>
      </c>
      <c r="DM137">
        <v>30.15268888888889</v>
      </c>
      <c r="DN137">
        <v>29.99293333333333</v>
      </c>
      <c r="DO137">
        <v>999.9000000000001</v>
      </c>
      <c r="DP137">
        <v>0</v>
      </c>
      <c r="DQ137">
        <v>0</v>
      </c>
      <c r="DR137">
        <v>10007.27777777778</v>
      </c>
      <c r="DS137">
        <v>0</v>
      </c>
      <c r="DT137">
        <v>0.242856</v>
      </c>
      <c r="DU137">
        <v>0.4936252222222222</v>
      </c>
      <c r="DV137">
        <v>430.6352222222222</v>
      </c>
      <c r="DW137">
        <v>430.0826666666667</v>
      </c>
      <c r="DX137">
        <v>0.1062582222222222</v>
      </c>
      <c r="DY137">
        <v>419.9853333333333</v>
      </c>
      <c r="DZ137">
        <v>23.4776</v>
      </c>
      <c r="EA137">
        <v>2.141367777777778</v>
      </c>
      <c r="EB137">
        <v>2.131722222222222</v>
      </c>
      <c r="EC137">
        <v>18.5303</v>
      </c>
      <c r="ED137">
        <v>18.45821111111111</v>
      </c>
      <c r="EE137">
        <v>0.00500078</v>
      </c>
      <c r="EF137">
        <v>0</v>
      </c>
      <c r="EG137">
        <v>0</v>
      </c>
      <c r="EH137">
        <v>0</v>
      </c>
      <c r="EI137">
        <v>429.3222222222223</v>
      </c>
      <c r="EJ137">
        <v>0.00500078</v>
      </c>
      <c r="EK137">
        <v>-20.17777777777778</v>
      </c>
      <c r="EL137">
        <v>-1.033333333333333</v>
      </c>
      <c r="EM137">
        <v>35.20811111111111</v>
      </c>
      <c r="EN137">
        <v>38.81222222222222</v>
      </c>
      <c r="EO137">
        <v>36.986</v>
      </c>
      <c r="EP137">
        <v>38.92333333333332</v>
      </c>
      <c r="EQ137">
        <v>37.40922222222222</v>
      </c>
      <c r="ER137">
        <v>0</v>
      </c>
      <c r="ES137">
        <v>0</v>
      </c>
      <c r="ET137">
        <v>0</v>
      </c>
      <c r="EU137">
        <v>1761018865.3</v>
      </c>
      <c r="EV137">
        <v>0</v>
      </c>
      <c r="EW137">
        <v>426.256</v>
      </c>
      <c r="EX137">
        <v>2.761538353216967</v>
      </c>
      <c r="EY137">
        <v>-18.78461525802307</v>
      </c>
      <c r="EZ137">
        <v>-17.264</v>
      </c>
      <c r="FA137">
        <v>15</v>
      </c>
      <c r="FB137">
        <v>1761018667.1</v>
      </c>
      <c r="FC137" t="s">
        <v>613</v>
      </c>
      <c r="FD137">
        <v>1761018661.6</v>
      </c>
      <c r="FE137">
        <v>1761018667.1</v>
      </c>
      <c r="FF137">
        <v>26</v>
      </c>
      <c r="FG137">
        <v>-0.221</v>
      </c>
      <c r="FH137">
        <v>-0.001</v>
      </c>
      <c r="FI137">
        <v>-1.568</v>
      </c>
      <c r="FJ137">
        <v>0.178</v>
      </c>
      <c r="FK137">
        <v>420</v>
      </c>
      <c r="FL137">
        <v>23</v>
      </c>
      <c r="FM137">
        <v>0.1</v>
      </c>
      <c r="FN137">
        <v>0.08</v>
      </c>
      <c r="FO137">
        <v>0.504480775</v>
      </c>
      <c r="FP137">
        <v>-0.04111806754221545</v>
      </c>
      <c r="FQ137">
        <v>0.03558826203925074</v>
      </c>
      <c r="FR137">
        <v>1</v>
      </c>
      <c r="FS137">
        <v>429.0029411764706</v>
      </c>
      <c r="FT137">
        <v>-20.51489687604029</v>
      </c>
      <c r="FU137">
        <v>6.987361923043534</v>
      </c>
      <c r="FV137">
        <v>0</v>
      </c>
      <c r="FW137">
        <v>0.116253175</v>
      </c>
      <c r="FX137">
        <v>-0.1013602514071295</v>
      </c>
      <c r="FY137">
        <v>0.01028777488548301</v>
      </c>
      <c r="FZ137">
        <v>0</v>
      </c>
      <c r="GA137">
        <v>1</v>
      </c>
      <c r="GB137">
        <v>3</v>
      </c>
      <c r="GC137" t="s">
        <v>431</v>
      </c>
      <c r="GD137">
        <v>3.10962</v>
      </c>
      <c r="GE137">
        <v>2.72962</v>
      </c>
      <c r="GF137">
        <v>0.0889672</v>
      </c>
      <c r="GG137">
        <v>0.08866019999999999</v>
      </c>
      <c r="GH137">
        <v>0.107609</v>
      </c>
      <c r="GI137">
        <v>0.108315</v>
      </c>
      <c r="GJ137">
        <v>23920.4</v>
      </c>
      <c r="GK137">
        <v>21667.1</v>
      </c>
      <c r="GL137">
        <v>26812.8</v>
      </c>
      <c r="GM137">
        <v>23979.5</v>
      </c>
      <c r="GN137">
        <v>38230.3</v>
      </c>
      <c r="GO137">
        <v>31536.2</v>
      </c>
      <c r="GP137">
        <v>46799.4</v>
      </c>
      <c r="GQ137">
        <v>37902.7</v>
      </c>
      <c r="GR137">
        <v>1.8989</v>
      </c>
      <c r="GS137">
        <v>1.89147</v>
      </c>
      <c r="GT137">
        <v>0.133812</v>
      </c>
      <c r="GU137">
        <v>0</v>
      </c>
      <c r="GV137">
        <v>27.8066</v>
      </c>
      <c r="GW137">
        <v>999.9</v>
      </c>
      <c r="GX137">
        <v>63.9</v>
      </c>
      <c r="GY137">
        <v>28.6</v>
      </c>
      <c r="GZ137">
        <v>27.6565</v>
      </c>
      <c r="HA137">
        <v>61.7973</v>
      </c>
      <c r="HB137">
        <v>20.2764</v>
      </c>
      <c r="HC137">
        <v>1</v>
      </c>
      <c r="HD137">
        <v>-0.00436484</v>
      </c>
      <c r="HE137">
        <v>-2.92368</v>
      </c>
      <c r="HF137">
        <v>20.3121</v>
      </c>
      <c r="HG137">
        <v>5.21849</v>
      </c>
      <c r="HH137">
        <v>11.9798</v>
      </c>
      <c r="HI137">
        <v>4.9656</v>
      </c>
      <c r="HJ137">
        <v>3.27598</v>
      </c>
      <c r="HK137">
        <v>9999</v>
      </c>
      <c r="HL137">
        <v>9999</v>
      </c>
      <c r="HM137">
        <v>9999</v>
      </c>
      <c r="HN137">
        <v>999.9</v>
      </c>
      <c r="HO137">
        <v>1.86359</v>
      </c>
      <c r="HP137">
        <v>1.85974</v>
      </c>
      <c r="HQ137">
        <v>1.85795</v>
      </c>
      <c r="HR137">
        <v>1.85938</v>
      </c>
      <c r="HS137">
        <v>1.85959</v>
      </c>
      <c r="HT137">
        <v>1.85803</v>
      </c>
      <c r="HU137">
        <v>1.85703</v>
      </c>
      <c r="HV137">
        <v>1.8521</v>
      </c>
      <c r="HW137">
        <v>0</v>
      </c>
      <c r="HX137">
        <v>0</v>
      </c>
      <c r="HY137">
        <v>0</v>
      </c>
      <c r="HZ137">
        <v>0</v>
      </c>
      <c r="IA137" t="s">
        <v>424</v>
      </c>
      <c r="IB137" t="s">
        <v>425</v>
      </c>
      <c r="IC137" t="s">
        <v>426</v>
      </c>
      <c r="ID137" t="s">
        <v>426</v>
      </c>
      <c r="IE137" t="s">
        <v>426</v>
      </c>
      <c r="IF137" t="s">
        <v>426</v>
      </c>
      <c r="IG137">
        <v>0</v>
      </c>
      <c r="IH137">
        <v>100</v>
      </c>
      <c r="II137">
        <v>100</v>
      </c>
      <c r="IJ137">
        <v>-1.567</v>
      </c>
      <c r="IK137">
        <v>0.1883</v>
      </c>
      <c r="IL137">
        <v>-2.357986366295179</v>
      </c>
      <c r="IM137">
        <v>0.001328113201692861</v>
      </c>
      <c r="IN137">
        <v>1.538283238170363E-06</v>
      </c>
      <c r="IO137">
        <v>-5.795655626708063E-10</v>
      </c>
      <c r="IP137">
        <v>-0.06105361615936408</v>
      </c>
      <c r="IQ137">
        <v>-0.004593102289677449</v>
      </c>
      <c r="IR137">
        <v>0.0008253994458280543</v>
      </c>
      <c r="IS137">
        <v>-7.403632370499484E-06</v>
      </c>
      <c r="IT137">
        <v>2</v>
      </c>
      <c r="IU137">
        <v>1985</v>
      </c>
      <c r="IV137">
        <v>1</v>
      </c>
      <c r="IW137">
        <v>27</v>
      </c>
      <c r="IX137">
        <v>3.4</v>
      </c>
      <c r="IY137">
        <v>3.3</v>
      </c>
      <c r="IZ137">
        <v>1.12793</v>
      </c>
      <c r="JA137">
        <v>2.57812</v>
      </c>
      <c r="JB137">
        <v>1.49658</v>
      </c>
      <c r="JC137">
        <v>2.34131</v>
      </c>
      <c r="JD137">
        <v>1.54907</v>
      </c>
      <c r="JE137">
        <v>2.46216</v>
      </c>
      <c r="JF137">
        <v>31.8707</v>
      </c>
      <c r="JG137">
        <v>14.5348</v>
      </c>
      <c r="JH137">
        <v>18</v>
      </c>
      <c r="JI137">
        <v>483.218</v>
      </c>
      <c r="JJ137">
        <v>508.38</v>
      </c>
      <c r="JK137">
        <v>31.7349</v>
      </c>
      <c r="JL137">
        <v>27.1893</v>
      </c>
      <c r="JM137">
        <v>29.9998</v>
      </c>
      <c r="JN137">
        <v>27.5026</v>
      </c>
      <c r="JO137">
        <v>27.5145</v>
      </c>
      <c r="JP137">
        <v>22.6857</v>
      </c>
      <c r="JQ137">
        <v>18.5485</v>
      </c>
      <c r="JR137">
        <v>84.59529999999999</v>
      </c>
      <c r="JS137">
        <v>31.7359</v>
      </c>
      <c r="JT137">
        <v>420</v>
      </c>
      <c r="JU137">
        <v>23.6128</v>
      </c>
      <c r="JV137">
        <v>102.34</v>
      </c>
      <c r="JW137">
        <v>91.44029999999999</v>
      </c>
    </row>
    <row r="138" spans="1:283">
      <c r="A138">
        <v>120</v>
      </c>
      <c r="B138">
        <v>1761018868.1</v>
      </c>
      <c r="C138">
        <v>798.5999999046326</v>
      </c>
      <c r="D138" t="s">
        <v>670</v>
      </c>
      <c r="E138" t="s">
        <v>671</v>
      </c>
      <c r="F138">
        <v>5</v>
      </c>
      <c r="G138" t="s">
        <v>612</v>
      </c>
      <c r="H138">
        <v>1761018865.1</v>
      </c>
      <c r="I138">
        <f>(J138)/1000</f>
        <v>0</v>
      </c>
      <c r="J138">
        <f>1000*DJ138*AH138*(DF138-DG138)/(100*CY138*(1000-AH138*DF138))</f>
        <v>0</v>
      </c>
      <c r="K138">
        <f>DJ138*AH138*(DE138-DD138*(1000-AH138*DG138)/(1000-AH138*DF138))/(100*CY138)</f>
        <v>0</v>
      </c>
      <c r="L138">
        <f>DD138 - IF(AH138&gt;1, K138*CY138*100.0/(AJ138), 0)</f>
        <v>0</v>
      </c>
      <c r="M138">
        <f>((S138-I138/2)*L138-K138)/(S138+I138/2)</f>
        <v>0</v>
      </c>
      <c r="N138">
        <f>M138*(DK138+DL138)/1000.0</f>
        <v>0</v>
      </c>
      <c r="O138">
        <f>(DD138 - IF(AH138&gt;1, K138*CY138*100.0/(AJ138), 0))*(DK138+DL138)/1000.0</f>
        <v>0</v>
      </c>
      <c r="P138">
        <f>2.0/((1/R138-1/Q138)+SIGN(R138)*SQRT((1/R138-1/Q138)*(1/R138-1/Q138) + 4*CZ138/((CZ138+1)*(CZ138+1))*(2*1/R138*1/Q138-1/Q138*1/Q138)))</f>
        <v>0</v>
      </c>
      <c r="Q138">
        <f>IF(LEFT(DA138,1)&lt;&gt;"0",IF(LEFT(DA138,1)="1",3.0,DB138),$D$5+$E$5*(DR138*DK138/($K$5*1000))+$F$5*(DR138*DK138/($K$5*1000))*MAX(MIN(CY138,$J$5),$I$5)*MAX(MIN(CY138,$J$5),$I$5)+$G$5*MAX(MIN(CY138,$J$5),$I$5)*(DR138*DK138/($K$5*1000))+$H$5*(DR138*DK138/($K$5*1000))*(DR138*DK138/($K$5*1000)))</f>
        <v>0</v>
      </c>
      <c r="R138">
        <f>I138*(1000-(1000*0.61365*exp(17.502*V138/(240.97+V138))/(DK138+DL138)+DF138)/2)/(1000*0.61365*exp(17.502*V138/(240.97+V138))/(DK138+DL138)-DF138)</f>
        <v>0</v>
      </c>
      <c r="S138">
        <f>1/((CZ138+1)/(P138/1.6)+1/(Q138/1.37)) + CZ138/((CZ138+1)/(P138/1.6) + CZ138/(Q138/1.37))</f>
        <v>0</v>
      </c>
      <c r="T138">
        <f>(CU138*CX138)</f>
        <v>0</v>
      </c>
      <c r="U138">
        <f>(DM138+(T138+2*0.95*5.67E-8*(((DM138+$B$9)+273)^4-(DM138+273)^4)-44100*I138)/(1.84*29.3*Q138+8*0.95*5.67E-8*(DM138+273)^3))</f>
        <v>0</v>
      </c>
      <c r="V138">
        <f>($C$9*DN138+$D$9*DO138+$E$9*U138)</f>
        <v>0</v>
      </c>
      <c r="W138">
        <f>0.61365*exp(17.502*V138/(240.97+V138))</f>
        <v>0</v>
      </c>
      <c r="X138">
        <f>(Y138/Z138*100)</f>
        <v>0</v>
      </c>
      <c r="Y138">
        <f>DF138*(DK138+DL138)/1000</f>
        <v>0</v>
      </c>
      <c r="Z138">
        <f>0.61365*exp(17.502*DM138/(240.97+DM138))</f>
        <v>0</v>
      </c>
      <c r="AA138">
        <f>(W138-DF138*(DK138+DL138)/1000)</f>
        <v>0</v>
      </c>
      <c r="AB138">
        <f>(-I138*44100)</f>
        <v>0</v>
      </c>
      <c r="AC138">
        <f>2*29.3*Q138*0.92*(DM138-V138)</f>
        <v>0</v>
      </c>
      <c r="AD138">
        <f>2*0.95*5.67E-8*(((DM138+$B$9)+273)^4-(V138+273)^4)</f>
        <v>0</v>
      </c>
      <c r="AE138">
        <f>T138+AD138+AB138+AC138</f>
        <v>0</v>
      </c>
      <c r="AF138">
        <v>0</v>
      </c>
      <c r="AG138">
        <v>0</v>
      </c>
      <c r="AH138">
        <f>IF(AF138*$H$15&gt;=AJ138,1.0,(AJ138/(AJ138-AF138*$H$15)))</f>
        <v>0</v>
      </c>
      <c r="AI138">
        <f>(AH138-1)*100</f>
        <v>0</v>
      </c>
      <c r="AJ138">
        <f>MAX(0,($B$15+$C$15*DR138)/(1+$D$15*DR138)*DK138/(DM138+273)*$E$15)</f>
        <v>0</v>
      </c>
      <c r="AK138" t="s">
        <v>420</v>
      </c>
      <c r="AL138" t="s">
        <v>420</v>
      </c>
      <c r="AM138">
        <v>0</v>
      </c>
      <c r="AN138">
        <v>0</v>
      </c>
      <c r="AO138">
        <f>1-AM138/AN138</f>
        <v>0</v>
      </c>
      <c r="AP138">
        <v>0</v>
      </c>
      <c r="AQ138" t="s">
        <v>420</v>
      </c>
      <c r="AR138" t="s">
        <v>420</v>
      </c>
      <c r="AS138">
        <v>0</v>
      </c>
      <c r="AT138">
        <v>0</v>
      </c>
      <c r="AU138">
        <f>1-AS138/AT138</f>
        <v>0</v>
      </c>
      <c r="AV138">
        <v>0.5</v>
      </c>
      <c r="AW138">
        <f>CV138</f>
        <v>0</v>
      </c>
      <c r="AX138">
        <f>K138</f>
        <v>0</v>
      </c>
      <c r="AY138">
        <f>AU138*AV138*AW138</f>
        <v>0</v>
      </c>
      <c r="AZ138">
        <f>(AX138-AP138)/AW138</f>
        <v>0</v>
      </c>
      <c r="BA138">
        <f>(AN138-AT138)/AT138</f>
        <v>0</v>
      </c>
      <c r="BB138">
        <f>AM138/(AO138+AM138/AT138)</f>
        <v>0</v>
      </c>
      <c r="BC138" t="s">
        <v>420</v>
      </c>
      <c r="BD138">
        <v>0</v>
      </c>
      <c r="BE138">
        <f>IF(BD138&lt;&gt;0, BD138, BB138)</f>
        <v>0</v>
      </c>
      <c r="BF138">
        <f>1-BE138/AT138</f>
        <v>0</v>
      </c>
      <c r="BG138">
        <f>(AT138-AS138)/(AT138-BE138)</f>
        <v>0</v>
      </c>
      <c r="BH138">
        <f>(AN138-AT138)/(AN138-BE138)</f>
        <v>0</v>
      </c>
      <c r="BI138">
        <f>(AT138-AS138)/(AT138-AM138)</f>
        <v>0</v>
      </c>
      <c r="BJ138">
        <f>(AN138-AT138)/(AN138-AM138)</f>
        <v>0</v>
      </c>
      <c r="BK138">
        <f>(BG138*BE138/AS138)</f>
        <v>0</v>
      </c>
      <c r="BL138">
        <f>(1-BK138)</f>
        <v>0</v>
      </c>
      <c r="CU138">
        <f>$B$13*DS138+$C$13*DT138+$F$13*EE138*(1-EH138)</f>
        <v>0</v>
      </c>
      <c r="CV138">
        <f>CU138*CW138</f>
        <v>0</v>
      </c>
      <c r="CW138">
        <f>($B$13*$D$11+$C$13*$D$11+$F$13*((ER138+EJ138)/MAX(ER138+EJ138+ES138, 0.1)*$I$11+ES138/MAX(ER138+EJ138+ES138, 0.1)*$J$11))/($B$13+$C$13+$F$13)</f>
        <v>0</v>
      </c>
      <c r="CX138">
        <f>($B$13*$K$11+$C$13*$K$11+$F$13*((ER138+EJ138)/MAX(ER138+EJ138+ES138, 0.1)*$P$11+ES138/MAX(ER138+EJ138+ES138, 0.1)*$Q$11))/($B$13+$C$13+$F$13)</f>
        <v>0</v>
      </c>
      <c r="CY138">
        <v>2.96</v>
      </c>
      <c r="CZ138">
        <v>0.5</v>
      </c>
      <c r="DA138" t="s">
        <v>421</v>
      </c>
      <c r="DB138">
        <v>2</v>
      </c>
      <c r="DC138">
        <v>1761018865.1</v>
      </c>
      <c r="DD138">
        <v>420.4984444444445</v>
      </c>
      <c r="DE138">
        <v>419.9492222222222</v>
      </c>
      <c r="DF138">
        <v>23.57981111111111</v>
      </c>
      <c r="DG138">
        <v>23.47531111111111</v>
      </c>
      <c r="DH138">
        <v>422.0653333333333</v>
      </c>
      <c r="DI138">
        <v>23.39143333333334</v>
      </c>
      <c r="DJ138">
        <v>500.0586666666666</v>
      </c>
      <c r="DK138">
        <v>90.79856666666666</v>
      </c>
      <c r="DL138">
        <v>0.03819432222222222</v>
      </c>
      <c r="DM138">
        <v>30.15536666666667</v>
      </c>
      <c r="DN138">
        <v>29.99272222222222</v>
      </c>
      <c r="DO138">
        <v>999.9000000000001</v>
      </c>
      <c r="DP138">
        <v>0</v>
      </c>
      <c r="DQ138">
        <v>0</v>
      </c>
      <c r="DR138">
        <v>9993.049999999999</v>
      </c>
      <c r="DS138">
        <v>0</v>
      </c>
      <c r="DT138">
        <v>0.242856</v>
      </c>
      <c r="DU138">
        <v>0.5491976666666667</v>
      </c>
      <c r="DV138">
        <v>430.6533333333334</v>
      </c>
      <c r="DW138">
        <v>430.0446666666667</v>
      </c>
      <c r="DX138">
        <v>0.104506</v>
      </c>
      <c r="DY138">
        <v>419.9492222222222</v>
      </c>
      <c r="DZ138">
        <v>23.47531111111111</v>
      </c>
      <c r="EA138">
        <v>2.141012222222222</v>
      </c>
      <c r="EB138">
        <v>2.131525555555556</v>
      </c>
      <c r="EC138">
        <v>18.52764444444444</v>
      </c>
      <c r="ED138">
        <v>18.45674444444445</v>
      </c>
      <c r="EE138">
        <v>0.00500078</v>
      </c>
      <c r="EF138">
        <v>0</v>
      </c>
      <c r="EG138">
        <v>0</v>
      </c>
      <c r="EH138">
        <v>0</v>
      </c>
      <c r="EI138">
        <v>423.0777777777778</v>
      </c>
      <c r="EJ138">
        <v>0.00500078</v>
      </c>
      <c r="EK138">
        <v>-16.5</v>
      </c>
      <c r="EL138">
        <v>-1.077777777777778</v>
      </c>
      <c r="EM138">
        <v>35.215</v>
      </c>
      <c r="EN138">
        <v>38.83311111111111</v>
      </c>
      <c r="EO138">
        <v>37.08322222222223</v>
      </c>
      <c r="EP138">
        <v>38.958</v>
      </c>
      <c r="EQ138">
        <v>37.56911111111111</v>
      </c>
      <c r="ER138">
        <v>0</v>
      </c>
      <c r="ES138">
        <v>0</v>
      </c>
      <c r="ET138">
        <v>0</v>
      </c>
      <c r="EU138">
        <v>1761018867.1</v>
      </c>
      <c r="EV138">
        <v>0</v>
      </c>
      <c r="EW138">
        <v>425.7153846153846</v>
      </c>
      <c r="EX138">
        <v>-12.60170950316032</v>
      </c>
      <c r="EY138">
        <v>-4.2461537524793</v>
      </c>
      <c r="EZ138">
        <v>-17.43076923076923</v>
      </c>
      <c r="FA138">
        <v>15</v>
      </c>
      <c r="FB138">
        <v>1761018667.1</v>
      </c>
      <c r="FC138" t="s">
        <v>613</v>
      </c>
      <c r="FD138">
        <v>1761018661.6</v>
      </c>
      <c r="FE138">
        <v>1761018667.1</v>
      </c>
      <c r="FF138">
        <v>26</v>
      </c>
      <c r="FG138">
        <v>-0.221</v>
      </c>
      <c r="FH138">
        <v>-0.001</v>
      </c>
      <c r="FI138">
        <v>-1.568</v>
      </c>
      <c r="FJ138">
        <v>0.178</v>
      </c>
      <c r="FK138">
        <v>420</v>
      </c>
      <c r="FL138">
        <v>23</v>
      </c>
      <c r="FM138">
        <v>0.1</v>
      </c>
      <c r="FN138">
        <v>0.08</v>
      </c>
      <c r="FO138">
        <v>0.5200843170731707</v>
      </c>
      <c r="FP138">
        <v>0.1271651080139372</v>
      </c>
      <c r="FQ138">
        <v>0.04982296378003113</v>
      </c>
      <c r="FR138">
        <v>1</v>
      </c>
      <c r="FS138">
        <v>427.785294117647</v>
      </c>
      <c r="FT138">
        <v>-34.93812072533911</v>
      </c>
      <c r="FU138">
        <v>7.557510185743217</v>
      </c>
      <c r="FV138">
        <v>0</v>
      </c>
      <c r="FW138">
        <v>0.1127534146341463</v>
      </c>
      <c r="FX138">
        <v>-0.07917135888501728</v>
      </c>
      <c r="FY138">
        <v>0.008337280509344345</v>
      </c>
      <c r="FZ138">
        <v>1</v>
      </c>
      <c r="GA138">
        <v>2</v>
      </c>
      <c r="GB138">
        <v>3</v>
      </c>
      <c r="GC138" t="s">
        <v>434</v>
      </c>
      <c r="GD138">
        <v>3.10933</v>
      </c>
      <c r="GE138">
        <v>2.72982</v>
      </c>
      <c r="GF138">
        <v>0.0889722</v>
      </c>
      <c r="GG138">
        <v>0.0886691</v>
      </c>
      <c r="GH138">
        <v>0.107603</v>
      </c>
      <c r="GI138">
        <v>0.108305</v>
      </c>
      <c r="GJ138">
        <v>23920.5</v>
      </c>
      <c r="GK138">
        <v>21666.7</v>
      </c>
      <c r="GL138">
        <v>26813</v>
      </c>
      <c r="GM138">
        <v>23979.3</v>
      </c>
      <c r="GN138">
        <v>38230.8</v>
      </c>
      <c r="GO138">
        <v>31536.2</v>
      </c>
      <c r="GP138">
        <v>46799.6</v>
      </c>
      <c r="GQ138">
        <v>37902.3</v>
      </c>
      <c r="GR138">
        <v>1.898</v>
      </c>
      <c r="GS138">
        <v>1.89202</v>
      </c>
      <c r="GT138">
        <v>0.134222</v>
      </c>
      <c r="GU138">
        <v>0</v>
      </c>
      <c r="GV138">
        <v>27.8031</v>
      </c>
      <c r="GW138">
        <v>999.9</v>
      </c>
      <c r="GX138">
        <v>63.9</v>
      </c>
      <c r="GY138">
        <v>28.6</v>
      </c>
      <c r="GZ138">
        <v>27.6554</v>
      </c>
      <c r="HA138">
        <v>61.2973</v>
      </c>
      <c r="HB138">
        <v>20.1002</v>
      </c>
      <c r="HC138">
        <v>1</v>
      </c>
      <c r="HD138">
        <v>-0.00493394</v>
      </c>
      <c r="HE138">
        <v>-2.80173</v>
      </c>
      <c r="HF138">
        <v>20.3143</v>
      </c>
      <c r="HG138">
        <v>5.21849</v>
      </c>
      <c r="HH138">
        <v>11.98</v>
      </c>
      <c r="HI138">
        <v>4.9657</v>
      </c>
      <c r="HJ138">
        <v>3.27598</v>
      </c>
      <c r="HK138">
        <v>9999</v>
      </c>
      <c r="HL138">
        <v>9999</v>
      </c>
      <c r="HM138">
        <v>9999</v>
      </c>
      <c r="HN138">
        <v>999.9</v>
      </c>
      <c r="HO138">
        <v>1.86357</v>
      </c>
      <c r="HP138">
        <v>1.85974</v>
      </c>
      <c r="HQ138">
        <v>1.85795</v>
      </c>
      <c r="HR138">
        <v>1.85937</v>
      </c>
      <c r="HS138">
        <v>1.85959</v>
      </c>
      <c r="HT138">
        <v>1.85802</v>
      </c>
      <c r="HU138">
        <v>1.85703</v>
      </c>
      <c r="HV138">
        <v>1.85209</v>
      </c>
      <c r="HW138">
        <v>0</v>
      </c>
      <c r="HX138">
        <v>0</v>
      </c>
      <c r="HY138">
        <v>0</v>
      </c>
      <c r="HZ138">
        <v>0</v>
      </c>
      <c r="IA138" t="s">
        <v>424</v>
      </c>
      <c r="IB138" t="s">
        <v>425</v>
      </c>
      <c r="IC138" t="s">
        <v>426</v>
      </c>
      <c r="ID138" t="s">
        <v>426</v>
      </c>
      <c r="IE138" t="s">
        <v>426</v>
      </c>
      <c r="IF138" t="s">
        <v>426</v>
      </c>
      <c r="IG138">
        <v>0</v>
      </c>
      <c r="IH138">
        <v>100</v>
      </c>
      <c r="II138">
        <v>100</v>
      </c>
      <c r="IJ138">
        <v>-1.567</v>
      </c>
      <c r="IK138">
        <v>0.1883</v>
      </c>
      <c r="IL138">
        <v>-2.357986366295179</v>
      </c>
      <c r="IM138">
        <v>0.001328113201692861</v>
      </c>
      <c r="IN138">
        <v>1.538283238170363E-06</v>
      </c>
      <c r="IO138">
        <v>-5.795655626708063E-10</v>
      </c>
      <c r="IP138">
        <v>-0.06105361615936408</v>
      </c>
      <c r="IQ138">
        <v>-0.004593102289677449</v>
      </c>
      <c r="IR138">
        <v>0.0008253994458280543</v>
      </c>
      <c r="IS138">
        <v>-7.403632370499484E-06</v>
      </c>
      <c r="IT138">
        <v>2</v>
      </c>
      <c r="IU138">
        <v>1985</v>
      </c>
      <c r="IV138">
        <v>1</v>
      </c>
      <c r="IW138">
        <v>27</v>
      </c>
      <c r="IX138">
        <v>3.4</v>
      </c>
      <c r="IY138">
        <v>3.4</v>
      </c>
      <c r="IZ138">
        <v>1.12793</v>
      </c>
      <c r="JA138">
        <v>2.58911</v>
      </c>
      <c r="JB138">
        <v>1.49658</v>
      </c>
      <c r="JC138">
        <v>2.34131</v>
      </c>
      <c r="JD138">
        <v>1.54907</v>
      </c>
      <c r="JE138">
        <v>2.43896</v>
      </c>
      <c r="JF138">
        <v>31.8707</v>
      </c>
      <c r="JG138">
        <v>14.5261</v>
      </c>
      <c r="JH138">
        <v>18</v>
      </c>
      <c r="JI138">
        <v>482.681</v>
      </c>
      <c r="JJ138">
        <v>508.728</v>
      </c>
      <c r="JK138">
        <v>31.7588</v>
      </c>
      <c r="JL138">
        <v>27.1871</v>
      </c>
      <c r="JM138">
        <v>29.9994</v>
      </c>
      <c r="JN138">
        <v>27.5003</v>
      </c>
      <c r="JO138">
        <v>27.5122</v>
      </c>
      <c r="JP138">
        <v>22.6822</v>
      </c>
      <c r="JQ138">
        <v>18.2468</v>
      </c>
      <c r="JR138">
        <v>84.97320000000001</v>
      </c>
      <c r="JS138">
        <v>31.7417</v>
      </c>
      <c r="JT138">
        <v>420</v>
      </c>
      <c r="JU138">
        <v>23.6218</v>
      </c>
      <c r="JV138">
        <v>102.341</v>
      </c>
      <c r="JW138">
        <v>91.43940000000001</v>
      </c>
    </row>
    <row r="139" spans="1:283">
      <c r="A139">
        <v>121</v>
      </c>
      <c r="B139">
        <v>1761019058.1</v>
      </c>
      <c r="C139">
        <v>988.5999999046326</v>
      </c>
      <c r="D139" t="s">
        <v>672</v>
      </c>
      <c r="E139" t="s">
        <v>673</v>
      </c>
      <c r="F139">
        <v>5</v>
      </c>
      <c r="G139" t="s">
        <v>674</v>
      </c>
      <c r="H139">
        <v>1761019055.1</v>
      </c>
      <c r="I139">
        <f>(J139)/1000</f>
        <v>0</v>
      </c>
      <c r="J139">
        <f>1000*DJ139*AH139*(DF139-DG139)/(100*CY139*(1000-AH139*DF139))</f>
        <v>0</v>
      </c>
      <c r="K139">
        <f>DJ139*AH139*(DE139-DD139*(1000-AH139*DG139)/(1000-AH139*DF139))/(100*CY139)</f>
        <v>0</v>
      </c>
      <c r="L139">
        <f>DD139 - IF(AH139&gt;1, K139*CY139*100.0/(AJ139), 0)</f>
        <v>0</v>
      </c>
      <c r="M139">
        <f>((S139-I139/2)*L139-K139)/(S139+I139/2)</f>
        <v>0</v>
      </c>
      <c r="N139">
        <f>M139*(DK139+DL139)/1000.0</f>
        <v>0</v>
      </c>
      <c r="O139">
        <f>(DD139 - IF(AH139&gt;1, K139*CY139*100.0/(AJ139), 0))*(DK139+DL139)/1000.0</f>
        <v>0</v>
      </c>
      <c r="P139">
        <f>2.0/((1/R139-1/Q139)+SIGN(R139)*SQRT((1/R139-1/Q139)*(1/R139-1/Q139) + 4*CZ139/((CZ139+1)*(CZ139+1))*(2*1/R139*1/Q139-1/Q139*1/Q139)))</f>
        <v>0</v>
      </c>
      <c r="Q139">
        <f>IF(LEFT(DA139,1)&lt;&gt;"0",IF(LEFT(DA139,1)="1",3.0,DB139),$D$5+$E$5*(DR139*DK139/($K$5*1000))+$F$5*(DR139*DK139/($K$5*1000))*MAX(MIN(CY139,$J$5),$I$5)*MAX(MIN(CY139,$J$5),$I$5)+$G$5*MAX(MIN(CY139,$J$5),$I$5)*(DR139*DK139/($K$5*1000))+$H$5*(DR139*DK139/($K$5*1000))*(DR139*DK139/($K$5*1000)))</f>
        <v>0</v>
      </c>
      <c r="R139">
        <f>I139*(1000-(1000*0.61365*exp(17.502*V139/(240.97+V139))/(DK139+DL139)+DF139)/2)/(1000*0.61365*exp(17.502*V139/(240.97+V139))/(DK139+DL139)-DF139)</f>
        <v>0</v>
      </c>
      <c r="S139">
        <f>1/((CZ139+1)/(P139/1.6)+1/(Q139/1.37)) + CZ139/((CZ139+1)/(P139/1.6) + CZ139/(Q139/1.37))</f>
        <v>0</v>
      </c>
      <c r="T139">
        <f>(CU139*CX139)</f>
        <v>0</v>
      </c>
      <c r="U139">
        <f>(DM139+(T139+2*0.95*5.67E-8*(((DM139+$B$9)+273)^4-(DM139+273)^4)-44100*I139)/(1.84*29.3*Q139+8*0.95*5.67E-8*(DM139+273)^3))</f>
        <v>0</v>
      </c>
      <c r="V139">
        <f>($C$9*DN139+$D$9*DO139+$E$9*U139)</f>
        <v>0</v>
      </c>
      <c r="W139">
        <f>0.61365*exp(17.502*V139/(240.97+V139))</f>
        <v>0</v>
      </c>
      <c r="X139">
        <f>(Y139/Z139*100)</f>
        <v>0</v>
      </c>
      <c r="Y139">
        <f>DF139*(DK139+DL139)/1000</f>
        <v>0</v>
      </c>
      <c r="Z139">
        <f>0.61365*exp(17.502*DM139/(240.97+DM139))</f>
        <v>0</v>
      </c>
      <c r="AA139">
        <f>(W139-DF139*(DK139+DL139)/1000)</f>
        <v>0</v>
      </c>
      <c r="AB139">
        <f>(-I139*44100)</f>
        <v>0</v>
      </c>
      <c r="AC139">
        <f>2*29.3*Q139*0.92*(DM139-V139)</f>
        <v>0</v>
      </c>
      <c r="AD139">
        <f>2*0.95*5.67E-8*(((DM139+$B$9)+273)^4-(V139+273)^4)</f>
        <v>0</v>
      </c>
      <c r="AE139">
        <f>T139+AD139+AB139+AC139</f>
        <v>0</v>
      </c>
      <c r="AF139">
        <v>1</v>
      </c>
      <c r="AG139">
        <v>0</v>
      </c>
      <c r="AH139">
        <f>IF(AF139*$H$15&gt;=AJ139,1.0,(AJ139/(AJ139-AF139*$H$15)))</f>
        <v>0</v>
      </c>
      <c r="AI139">
        <f>(AH139-1)*100</f>
        <v>0</v>
      </c>
      <c r="AJ139">
        <f>MAX(0,($B$15+$C$15*DR139)/(1+$D$15*DR139)*DK139/(DM139+273)*$E$15)</f>
        <v>0</v>
      </c>
      <c r="AK139" t="s">
        <v>420</v>
      </c>
      <c r="AL139" t="s">
        <v>420</v>
      </c>
      <c r="AM139">
        <v>0</v>
      </c>
      <c r="AN139">
        <v>0</v>
      </c>
      <c r="AO139">
        <f>1-AM139/AN139</f>
        <v>0</v>
      </c>
      <c r="AP139">
        <v>0</v>
      </c>
      <c r="AQ139" t="s">
        <v>420</v>
      </c>
      <c r="AR139" t="s">
        <v>420</v>
      </c>
      <c r="AS139">
        <v>0</v>
      </c>
      <c r="AT139">
        <v>0</v>
      </c>
      <c r="AU139">
        <f>1-AS139/AT139</f>
        <v>0</v>
      </c>
      <c r="AV139">
        <v>0.5</v>
      </c>
      <c r="AW139">
        <f>CV139</f>
        <v>0</v>
      </c>
      <c r="AX139">
        <f>K139</f>
        <v>0</v>
      </c>
      <c r="AY139">
        <f>AU139*AV139*AW139</f>
        <v>0</v>
      </c>
      <c r="AZ139">
        <f>(AX139-AP139)/AW139</f>
        <v>0</v>
      </c>
      <c r="BA139">
        <f>(AN139-AT139)/AT139</f>
        <v>0</v>
      </c>
      <c r="BB139">
        <f>AM139/(AO139+AM139/AT139)</f>
        <v>0</v>
      </c>
      <c r="BC139" t="s">
        <v>420</v>
      </c>
      <c r="BD139">
        <v>0</v>
      </c>
      <c r="BE139">
        <f>IF(BD139&lt;&gt;0, BD139, BB139)</f>
        <v>0</v>
      </c>
      <c r="BF139">
        <f>1-BE139/AT139</f>
        <v>0</v>
      </c>
      <c r="BG139">
        <f>(AT139-AS139)/(AT139-BE139)</f>
        <v>0</v>
      </c>
      <c r="BH139">
        <f>(AN139-AT139)/(AN139-BE139)</f>
        <v>0</v>
      </c>
      <c r="BI139">
        <f>(AT139-AS139)/(AT139-AM139)</f>
        <v>0</v>
      </c>
      <c r="BJ139">
        <f>(AN139-AT139)/(AN139-AM139)</f>
        <v>0</v>
      </c>
      <c r="BK139">
        <f>(BG139*BE139/AS139)</f>
        <v>0</v>
      </c>
      <c r="BL139">
        <f>(1-BK139)</f>
        <v>0</v>
      </c>
      <c r="CU139">
        <f>$B$13*DS139+$C$13*DT139+$F$13*EE139*(1-EH139)</f>
        <v>0</v>
      </c>
      <c r="CV139">
        <f>CU139*CW139</f>
        <v>0</v>
      </c>
      <c r="CW139">
        <f>($B$13*$D$11+$C$13*$D$11+$F$13*((ER139+EJ139)/MAX(ER139+EJ139+ES139, 0.1)*$I$11+ES139/MAX(ER139+EJ139+ES139, 0.1)*$J$11))/($B$13+$C$13+$F$13)</f>
        <v>0</v>
      </c>
      <c r="CX139">
        <f>($B$13*$K$11+$C$13*$K$11+$F$13*((ER139+EJ139)/MAX(ER139+EJ139+ES139, 0.1)*$P$11+ES139/MAX(ER139+EJ139+ES139, 0.1)*$Q$11))/($B$13+$C$13+$F$13)</f>
        <v>0</v>
      </c>
      <c r="CY139">
        <v>5.66</v>
      </c>
      <c r="CZ139">
        <v>0.5</v>
      </c>
      <c r="DA139" t="s">
        <v>421</v>
      </c>
      <c r="DB139">
        <v>2</v>
      </c>
      <c r="DC139">
        <v>1761019055.1</v>
      </c>
      <c r="DD139">
        <v>420.5998181818181</v>
      </c>
      <c r="DE139">
        <v>420.0783636363636</v>
      </c>
      <c r="DF139">
        <v>24.42251818181818</v>
      </c>
      <c r="DG139">
        <v>24.12159090909091</v>
      </c>
      <c r="DH139">
        <v>422.1666363636363</v>
      </c>
      <c r="DI139">
        <v>24.21590909090909</v>
      </c>
      <c r="DJ139">
        <v>499.999</v>
      </c>
      <c r="DK139">
        <v>90.80755454545454</v>
      </c>
      <c r="DL139">
        <v>0.03357057272727273</v>
      </c>
      <c r="DM139">
        <v>30.70816363636363</v>
      </c>
      <c r="DN139">
        <v>30.23894545454545</v>
      </c>
      <c r="DO139">
        <v>999.9</v>
      </c>
      <c r="DP139">
        <v>0</v>
      </c>
      <c r="DQ139">
        <v>0</v>
      </c>
      <c r="DR139">
        <v>10008.85454545455</v>
      </c>
      <c r="DS139">
        <v>0</v>
      </c>
      <c r="DT139">
        <v>0.242856</v>
      </c>
      <c r="DU139">
        <v>0.5213734545454546</v>
      </c>
      <c r="DV139">
        <v>431.1290000000001</v>
      </c>
      <c r="DW139">
        <v>430.4618181818182</v>
      </c>
      <c r="DX139">
        <v>0.300926</v>
      </c>
      <c r="DY139">
        <v>420.0783636363636</v>
      </c>
      <c r="DZ139">
        <v>24.12159090909091</v>
      </c>
      <c r="EA139">
        <v>2.217750909090909</v>
      </c>
      <c r="EB139">
        <v>2.190423636363636</v>
      </c>
      <c r="EC139">
        <v>19.0911</v>
      </c>
      <c r="ED139">
        <v>18.89223636363636</v>
      </c>
      <c r="EE139">
        <v>0.005000779999999999</v>
      </c>
      <c r="EF139">
        <v>0</v>
      </c>
      <c r="EG139">
        <v>0</v>
      </c>
      <c r="EH139">
        <v>0</v>
      </c>
      <c r="EI139">
        <v>882.2272727272727</v>
      </c>
      <c r="EJ139">
        <v>0.005000779999999999</v>
      </c>
      <c r="EK139">
        <v>-10.32727272727273</v>
      </c>
      <c r="EL139">
        <v>0.02727272727272728</v>
      </c>
      <c r="EM139">
        <v>36.22136363636363</v>
      </c>
      <c r="EN139">
        <v>40.83490909090909</v>
      </c>
      <c r="EO139">
        <v>38.79518181818182</v>
      </c>
      <c r="EP139">
        <v>41.95427272727272</v>
      </c>
      <c r="EQ139">
        <v>39.34072727272728</v>
      </c>
      <c r="ER139">
        <v>0</v>
      </c>
      <c r="ES139">
        <v>0</v>
      </c>
      <c r="ET139">
        <v>0</v>
      </c>
      <c r="EU139">
        <v>1761019057.3</v>
      </c>
      <c r="EV139">
        <v>0</v>
      </c>
      <c r="EW139">
        <v>893.5040000000001</v>
      </c>
      <c r="EX139">
        <v>-135.3615388557277</v>
      </c>
      <c r="EY139">
        <v>15.06923080734479</v>
      </c>
      <c r="EZ139">
        <v>-9.859999999999999</v>
      </c>
      <c r="FA139">
        <v>15</v>
      </c>
      <c r="FB139">
        <v>1761018667.1</v>
      </c>
      <c r="FC139" t="s">
        <v>613</v>
      </c>
      <c r="FD139">
        <v>1761018661.6</v>
      </c>
      <c r="FE139">
        <v>1761018667.1</v>
      </c>
      <c r="FF139">
        <v>26</v>
      </c>
      <c r="FG139">
        <v>-0.221</v>
      </c>
      <c r="FH139">
        <v>-0.001</v>
      </c>
      <c r="FI139">
        <v>-1.568</v>
      </c>
      <c r="FJ139">
        <v>0.178</v>
      </c>
      <c r="FK139">
        <v>420</v>
      </c>
      <c r="FL139">
        <v>23</v>
      </c>
      <c r="FM139">
        <v>0.1</v>
      </c>
      <c r="FN139">
        <v>0.08</v>
      </c>
      <c r="FO139">
        <v>0.5543740731707317</v>
      </c>
      <c r="FP139">
        <v>-0.3631341114982571</v>
      </c>
      <c r="FQ139">
        <v>0.06069221248650309</v>
      </c>
      <c r="FR139">
        <v>1</v>
      </c>
      <c r="FS139">
        <v>901.0117647058823</v>
      </c>
      <c r="FT139">
        <v>-143.7127579134878</v>
      </c>
      <c r="FU139">
        <v>15.42036019846875</v>
      </c>
      <c r="FV139">
        <v>0</v>
      </c>
      <c r="FW139">
        <v>-0.07467926097560976</v>
      </c>
      <c r="FX139">
        <v>2.689613790940766</v>
      </c>
      <c r="FY139">
        <v>0.269494914941223</v>
      </c>
      <c r="FZ139">
        <v>0</v>
      </c>
      <c r="GA139">
        <v>1</v>
      </c>
      <c r="GB139">
        <v>3</v>
      </c>
      <c r="GC139" t="s">
        <v>431</v>
      </c>
      <c r="GD139">
        <v>3.1096</v>
      </c>
      <c r="GE139">
        <v>2.72558</v>
      </c>
      <c r="GF139">
        <v>0.08904579999999999</v>
      </c>
      <c r="GG139">
        <v>0.0887573</v>
      </c>
      <c r="GH139">
        <v>0.110076</v>
      </c>
      <c r="GI139">
        <v>0.109665</v>
      </c>
      <c r="GJ139">
        <v>23927.5</v>
      </c>
      <c r="GK139">
        <v>21663.5</v>
      </c>
      <c r="GL139">
        <v>26822.4</v>
      </c>
      <c r="GM139">
        <v>23977.4</v>
      </c>
      <c r="GN139">
        <v>38136</v>
      </c>
      <c r="GO139">
        <v>31481.4</v>
      </c>
      <c r="GP139">
        <v>46816</v>
      </c>
      <c r="GQ139">
        <v>37895.2</v>
      </c>
      <c r="GR139">
        <v>1.89907</v>
      </c>
      <c r="GS139">
        <v>1.89637</v>
      </c>
      <c r="GT139">
        <v>0.144653</v>
      </c>
      <c r="GU139">
        <v>0</v>
      </c>
      <c r="GV139">
        <v>27.8687</v>
      </c>
      <c r="GW139">
        <v>999.9</v>
      </c>
      <c r="GX139">
        <v>64.09999999999999</v>
      </c>
      <c r="GY139">
        <v>28.5</v>
      </c>
      <c r="GZ139">
        <v>27.5788</v>
      </c>
      <c r="HA139">
        <v>61.0473</v>
      </c>
      <c r="HB139">
        <v>20.1362</v>
      </c>
      <c r="HC139">
        <v>1</v>
      </c>
      <c r="HD139">
        <v>-0.0214812</v>
      </c>
      <c r="HE139">
        <v>-1.5716</v>
      </c>
      <c r="HF139">
        <v>20.3313</v>
      </c>
      <c r="HG139">
        <v>5.22268</v>
      </c>
      <c r="HH139">
        <v>11.9793</v>
      </c>
      <c r="HI139">
        <v>4.96555</v>
      </c>
      <c r="HJ139">
        <v>3.2759</v>
      </c>
      <c r="HK139">
        <v>9999</v>
      </c>
      <c r="HL139">
        <v>9999</v>
      </c>
      <c r="HM139">
        <v>9999</v>
      </c>
      <c r="HN139">
        <v>999.9</v>
      </c>
      <c r="HO139">
        <v>1.86357</v>
      </c>
      <c r="HP139">
        <v>1.85974</v>
      </c>
      <c r="HQ139">
        <v>1.85796</v>
      </c>
      <c r="HR139">
        <v>1.85942</v>
      </c>
      <c r="HS139">
        <v>1.85959</v>
      </c>
      <c r="HT139">
        <v>1.85804</v>
      </c>
      <c r="HU139">
        <v>1.85704</v>
      </c>
      <c r="HV139">
        <v>1.85206</v>
      </c>
      <c r="HW139">
        <v>0</v>
      </c>
      <c r="HX139">
        <v>0</v>
      </c>
      <c r="HY139">
        <v>0</v>
      </c>
      <c r="HZ139">
        <v>0</v>
      </c>
      <c r="IA139" t="s">
        <v>424</v>
      </c>
      <c r="IB139" t="s">
        <v>425</v>
      </c>
      <c r="IC139" t="s">
        <v>426</v>
      </c>
      <c r="ID139" t="s">
        <v>426</v>
      </c>
      <c r="IE139" t="s">
        <v>426</v>
      </c>
      <c r="IF139" t="s">
        <v>426</v>
      </c>
      <c r="IG139">
        <v>0</v>
      </c>
      <c r="IH139">
        <v>100</v>
      </c>
      <c r="II139">
        <v>100</v>
      </c>
      <c r="IJ139">
        <v>-1.567</v>
      </c>
      <c r="IK139">
        <v>0.2048</v>
      </c>
      <c r="IL139">
        <v>-2.357986366295179</v>
      </c>
      <c r="IM139">
        <v>0.001328113201692861</v>
      </c>
      <c r="IN139">
        <v>1.538283238170363E-06</v>
      </c>
      <c r="IO139">
        <v>-5.795655626708063E-10</v>
      </c>
      <c r="IP139">
        <v>-0.06105361615936408</v>
      </c>
      <c r="IQ139">
        <v>-0.004593102289677449</v>
      </c>
      <c r="IR139">
        <v>0.0008253994458280543</v>
      </c>
      <c r="IS139">
        <v>-7.403632370499484E-06</v>
      </c>
      <c r="IT139">
        <v>2</v>
      </c>
      <c r="IU139">
        <v>1985</v>
      </c>
      <c r="IV139">
        <v>1</v>
      </c>
      <c r="IW139">
        <v>27</v>
      </c>
      <c r="IX139">
        <v>6.6</v>
      </c>
      <c r="IY139">
        <v>6.5</v>
      </c>
      <c r="IZ139">
        <v>1.13037</v>
      </c>
      <c r="JA139">
        <v>2.59644</v>
      </c>
      <c r="JB139">
        <v>1.49658</v>
      </c>
      <c r="JC139">
        <v>2.34741</v>
      </c>
      <c r="JD139">
        <v>1.54907</v>
      </c>
      <c r="JE139">
        <v>2.38647</v>
      </c>
      <c r="JF139">
        <v>31.8488</v>
      </c>
      <c r="JG139">
        <v>14.491</v>
      </c>
      <c r="JH139">
        <v>18</v>
      </c>
      <c r="JI139">
        <v>481.844</v>
      </c>
      <c r="JJ139">
        <v>509.891</v>
      </c>
      <c r="JK139">
        <v>32.2822</v>
      </c>
      <c r="JL139">
        <v>27.0201</v>
      </c>
      <c r="JM139">
        <v>29.9989</v>
      </c>
      <c r="JN139">
        <v>27.3123</v>
      </c>
      <c r="JO139">
        <v>27.3152</v>
      </c>
      <c r="JP139">
        <v>22.7233</v>
      </c>
      <c r="JQ139">
        <v>17.7748</v>
      </c>
      <c r="JR139">
        <v>89.8843</v>
      </c>
      <c r="JS139">
        <v>32.2412</v>
      </c>
      <c r="JT139">
        <v>420</v>
      </c>
      <c r="JU139">
        <v>24.171</v>
      </c>
      <c r="JV139">
        <v>102.377</v>
      </c>
      <c r="JW139">
        <v>91.426</v>
      </c>
    </row>
    <row r="140" spans="1:283">
      <c r="A140">
        <v>122</v>
      </c>
      <c r="B140">
        <v>1761019060.1</v>
      </c>
      <c r="C140">
        <v>990.5999999046326</v>
      </c>
      <c r="D140" t="s">
        <v>675</v>
      </c>
      <c r="E140" t="s">
        <v>676</v>
      </c>
      <c r="F140">
        <v>5</v>
      </c>
      <c r="G140" t="s">
        <v>674</v>
      </c>
      <c r="H140">
        <v>1761019057.266667</v>
      </c>
      <c r="I140">
        <f>(J140)/1000</f>
        <v>0</v>
      </c>
      <c r="J140">
        <f>1000*DJ140*AH140*(DF140-DG140)/(100*CY140*(1000-AH140*DF140))</f>
        <v>0</v>
      </c>
      <c r="K140">
        <f>DJ140*AH140*(DE140-DD140*(1000-AH140*DG140)/(1000-AH140*DF140))/(100*CY140)</f>
        <v>0</v>
      </c>
      <c r="L140">
        <f>DD140 - IF(AH140&gt;1, K140*CY140*100.0/(AJ140), 0)</f>
        <v>0</v>
      </c>
      <c r="M140">
        <f>((S140-I140/2)*L140-K140)/(S140+I140/2)</f>
        <v>0</v>
      </c>
      <c r="N140">
        <f>M140*(DK140+DL140)/1000.0</f>
        <v>0</v>
      </c>
      <c r="O140">
        <f>(DD140 - IF(AH140&gt;1, K140*CY140*100.0/(AJ140), 0))*(DK140+DL140)/1000.0</f>
        <v>0</v>
      </c>
      <c r="P140">
        <f>2.0/((1/R140-1/Q140)+SIGN(R140)*SQRT((1/R140-1/Q140)*(1/R140-1/Q140) + 4*CZ140/((CZ140+1)*(CZ140+1))*(2*1/R140*1/Q140-1/Q140*1/Q140)))</f>
        <v>0</v>
      </c>
      <c r="Q140">
        <f>IF(LEFT(DA140,1)&lt;&gt;"0",IF(LEFT(DA140,1)="1",3.0,DB140),$D$5+$E$5*(DR140*DK140/($K$5*1000))+$F$5*(DR140*DK140/($K$5*1000))*MAX(MIN(CY140,$J$5),$I$5)*MAX(MIN(CY140,$J$5),$I$5)+$G$5*MAX(MIN(CY140,$J$5),$I$5)*(DR140*DK140/($K$5*1000))+$H$5*(DR140*DK140/($K$5*1000))*(DR140*DK140/($K$5*1000)))</f>
        <v>0</v>
      </c>
      <c r="R140">
        <f>I140*(1000-(1000*0.61365*exp(17.502*V140/(240.97+V140))/(DK140+DL140)+DF140)/2)/(1000*0.61365*exp(17.502*V140/(240.97+V140))/(DK140+DL140)-DF140)</f>
        <v>0</v>
      </c>
      <c r="S140">
        <f>1/((CZ140+1)/(P140/1.6)+1/(Q140/1.37)) + CZ140/((CZ140+1)/(P140/1.6) + CZ140/(Q140/1.37))</f>
        <v>0</v>
      </c>
      <c r="T140">
        <f>(CU140*CX140)</f>
        <v>0</v>
      </c>
      <c r="U140">
        <f>(DM140+(T140+2*0.95*5.67E-8*(((DM140+$B$9)+273)^4-(DM140+273)^4)-44100*I140)/(1.84*29.3*Q140+8*0.95*5.67E-8*(DM140+273)^3))</f>
        <v>0</v>
      </c>
      <c r="V140">
        <f>($C$9*DN140+$D$9*DO140+$E$9*U140)</f>
        <v>0</v>
      </c>
      <c r="W140">
        <f>0.61365*exp(17.502*V140/(240.97+V140))</f>
        <v>0</v>
      </c>
      <c r="X140">
        <f>(Y140/Z140*100)</f>
        <v>0</v>
      </c>
      <c r="Y140">
        <f>DF140*(DK140+DL140)/1000</f>
        <v>0</v>
      </c>
      <c r="Z140">
        <f>0.61365*exp(17.502*DM140/(240.97+DM140))</f>
        <v>0</v>
      </c>
      <c r="AA140">
        <f>(W140-DF140*(DK140+DL140)/1000)</f>
        <v>0</v>
      </c>
      <c r="AB140">
        <f>(-I140*44100)</f>
        <v>0</v>
      </c>
      <c r="AC140">
        <f>2*29.3*Q140*0.92*(DM140-V140)</f>
        <v>0</v>
      </c>
      <c r="AD140">
        <f>2*0.95*5.67E-8*(((DM140+$B$9)+273)^4-(V140+273)^4)</f>
        <v>0</v>
      </c>
      <c r="AE140">
        <f>T140+AD140+AB140+AC140</f>
        <v>0</v>
      </c>
      <c r="AF140">
        <v>1</v>
      </c>
      <c r="AG140">
        <v>0</v>
      </c>
      <c r="AH140">
        <f>IF(AF140*$H$15&gt;=AJ140,1.0,(AJ140/(AJ140-AF140*$H$15)))</f>
        <v>0</v>
      </c>
      <c r="AI140">
        <f>(AH140-1)*100</f>
        <v>0</v>
      </c>
      <c r="AJ140">
        <f>MAX(0,($B$15+$C$15*DR140)/(1+$D$15*DR140)*DK140/(DM140+273)*$E$15)</f>
        <v>0</v>
      </c>
      <c r="AK140" t="s">
        <v>420</v>
      </c>
      <c r="AL140" t="s">
        <v>420</v>
      </c>
      <c r="AM140">
        <v>0</v>
      </c>
      <c r="AN140">
        <v>0</v>
      </c>
      <c r="AO140">
        <f>1-AM140/AN140</f>
        <v>0</v>
      </c>
      <c r="AP140">
        <v>0</v>
      </c>
      <c r="AQ140" t="s">
        <v>420</v>
      </c>
      <c r="AR140" t="s">
        <v>420</v>
      </c>
      <c r="AS140">
        <v>0</v>
      </c>
      <c r="AT140">
        <v>0</v>
      </c>
      <c r="AU140">
        <f>1-AS140/AT140</f>
        <v>0</v>
      </c>
      <c r="AV140">
        <v>0.5</v>
      </c>
      <c r="AW140">
        <f>CV140</f>
        <v>0</v>
      </c>
      <c r="AX140">
        <f>K140</f>
        <v>0</v>
      </c>
      <c r="AY140">
        <f>AU140*AV140*AW140</f>
        <v>0</v>
      </c>
      <c r="AZ140">
        <f>(AX140-AP140)/AW140</f>
        <v>0</v>
      </c>
      <c r="BA140">
        <f>(AN140-AT140)/AT140</f>
        <v>0</v>
      </c>
      <c r="BB140">
        <f>AM140/(AO140+AM140/AT140)</f>
        <v>0</v>
      </c>
      <c r="BC140" t="s">
        <v>420</v>
      </c>
      <c r="BD140">
        <v>0</v>
      </c>
      <c r="BE140">
        <f>IF(BD140&lt;&gt;0, BD140, BB140)</f>
        <v>0</v>
      </c>
      <c r="BF140">
        <f>1-BE140/AT140</f>
        <v>0</v>
      </c>
      <c r="BG140">
        <f>(AT140-AS140)/(AT140-BE140)</f>
        <v>0</v>
      </c>
      <c r="BH140">
        <f>(AN140-AT140)/(AN140-BE140)</f>
        <v>0</v>
      </c>
      <c r="BI140">
        <f>(AT140-AS140)/(AT140-AM140)</f>
        <v>0</v>
      </c>
      <c r="BJ140">
        <f>(AN140-AT140)/(AN140-AM140)</f>
        <v>0</v>
      </c>
      <c r="BK140">
        <f>(BG140*BE140/AS140)</f>
        <v>0</v>
      </c>
      <c r="BL140">
        <f>(1-BK140)</f>
        <v>0</v>
      </c>
      <c r="CU140">
        <f>$B$13*DS140+$C$13*DT140+$F$13*EE140*(1-EH140)</f>
        <v>0</v>
      </c>
      <c r="CV140">
        <f>CU140*CW140</f>
        <v>0</v>
      </c>
      <c r="CW140">
        <f>($B$13*$D$11+$C$13*$D$11+$F$13*((ER140+EJ140)/MAX(ER140+EJ140+ES140, 0.1)*$I$11+ES140/MAX(ER140+EJ140+ES140, 0.1)*$J$11))/($B$13+$C$13+$F$13)</f>
        <v>0</v>
      </c>
      <c r="CX140">
        <f>($B$13*$K$11+$C$13*$K$11+$F$13*((ER140+EJ140)/MAX(ER140+EJ140+ES140, 0.1)*$P$11+ES140/MAX(ER140+EJ140+ES140, 0.1)*$Q$11))/($B$13+$C$13+$F$13)</f>
        <v>0</v>
      </c>
      <c r="CY140">
        <v>5.66</v>
      </c>
      <c r="CZ140">
        <v>0.5</v>
      </c>
      <c r="DA140" t="s">
        <v>421</v>
      </c>
      <c r="DB140">
        <v>2</v>
      </c>
      <c r="DC140">
        <v>1761019057.266667</v>
      </c>
      <c r="DD140">
        <v>420.632</v>
      </c>
      <c r="DE140">
        <v>420.1001111111111</v>
      </c>
      <c r="DF140">
        <v>24.36734444444444</v>
      </c>
      <c r="DG140">
        <v>23.94892222222223</v>
      </c>
      <c r="DH140">
        <v>422.1987777777778</v>
      </c>
      <c r="DI140">
        <v>24.16194444444444</v>
      </c>
      <c r="DJ140">
        <v>500.0169999999999</v>
      </c>
      <c r="DK140">
        <v>90.80795555555557</v>
      </c>
      <c r="DL140">
        <v>0.03378402222222223</v>
      </c>
      <c r="DM140">
        <v>30.7033</v>
      </c>
      <c r="DN140">
        <v>30.22788888888889</v>
      </c>
      <c r="DO140">
        <v>999.9000000000001</v>
      </c>
      <c r="DP140">
        <v>0</v>
      </c>
      <c r="DQ140">
        <v>0</v>
      </c>
      <c r="DR140">
        <v>10010.35555555556</v>
      </c>
      <c r="DS140">
        <v>0</v>
      </c>
      <c r="DT140">
        <v>0.242856</v>
      </c>
      <c r="DU140">
        <v>0.5317653333333333</v>
      </c>
      <c r="DV140">
        <v>431.1375555555556</v>
      </c>
      <c r="DW140">
        <v>430.408</v>
      </c>
      <c r="DX140">
        <v>0.4184253333333333</v>
      </c>
      <c r="DY140">
        <v>420.1001111111111</v>
      </c>
      <c r="DZ140">
        <v>23.94892222222223</v>
      </c>
      <c r="EA140">
        <v>2.21275</v>
      </c>
      <c r="EB140">
        <v>2.174753333333333</v>
      </c>
      <c r="EC140">
        <v>19.0549</v>
      </c>
      <c r="ED140">
        <v>18.77734444444445</v>
      </c>
      <c r="EE140">
        <v>0.00500078</v>
      </c>
      <c r="EF140">
        <v>0</v>
      </c>
      <c r="EG140">
        <v>0</v>
      </c>
      <c r="EH140">
        <v>0</v>
      </c>
      <c r="EI140">
        <v>883.688888888889</v>
      </c>
      <c r="EJ140">
        <v>0.00500078</v>
      </c>
      <c r="EK140">
        <v>-11.22222222222222</v>
      </c>
      <c r="EL140">
        <v>0.4111111111111111</v>
      </c>
      <c r="EM140">
        <v>36.243</v>
      </c>
      <c r="EN140">
        <v>40.85400000000001</v>
      </c>
      <c r="EO140">
        <v>38.58322222222223</v>
      </c>
      <c r="EP140">
        <v>41.99977777777778</v>
      </c>
      <c r="EQ140">
        <v>39.24288888888889</v>
      </c>
      <c r="ER140">
        <v>0</v>
      </c>
      <c r="ES140">
        <v>0</v>
      </c>
      <c r="ET140">
        <v>0</v>
      </c>
      <c r="EU140">
        <v>1761019059.1</v>
      </c>
      <c r="EV140">
        <v>0</v>
      </c>
      <c r="EW140">
        <v>890.3692307692309</v>
      </c>
      <c r="EX140">
        <v>-107.2957265721399</v>
      </c>
      <c r="EY140">
        <v>12.95042736008326</v>
      </c>
      <c r="EZ140">
        <v>-9.461538461538462</v>
      </c>
      <c r="FA140">
        <v>15</v>
      </c>
      <c r="FB140">
        <v>1761018667.1</v>
      </c>
      <c r="FC140" t="s">
        <v>613</v>
      </c>
      <c r="FD140">
        <v>1761018661.6</v>
      </c>
      <c r="FE140">
        <v>1761018667.1</v>
      </c>
      <c r="FF140">
        <v>26</v>
      </c>
      <c r="FG140">
        <v>-0.221</v>
      </c>
      <c r="FH140">
        <v>-0.001</v>
      </c>
      <c r="FI140">
        <v>-1.568</v>
      </c>
      <c r="FJ140">
        <v>0.178</v>
      </c>
      <c r="FK140">
        <v>420</v>
      </c>
      <c r="FL140">
        <v>23</v>
      </c>
      <c r="FM140">
        <v>0.1</v>
      </c>
      <c r="FN140">
        <v>0.08</v>
      </c>
      <c r="FO140">
        <v>0.547421975</v>
      </c>
      <c r="FP140">
        <v>-0.3929808067542219</v>
      </c>
      <c r="FQ140">
        <v>0.06191391131865581</v>
      </c>
      <c r="FR140">
        <v>1</v>
      </c>
      <c r="FS140">
        <v>897.1941176470588</v>
      </c>
      <c r="FT140">
        <v>-121.0297937300605</v>
      </c>
      <c r="FU140">
        <v>13.53016110456823</v>
      </c>
      <c r="FV140">
        <v>0</v>
      </c>
      <c r="FW140">
        <v>0.0011625575</v>
      </c>
      <c r="FX140">
        <v>2.917208959474674</v>
      </c>
      <c r="FY140">
        <v>0.2834817040039365</v>
      </c>
      <c r="FZ140">
        <v>0</v>
      </c>
      <c r="GA140">
        <v>1</v>
      </c>
      <c r="GB140">
        <v>3</v>
      </c>
      <c r="GC140" t="s">
        <v>431</v>
      </c>
      <c r="GD140">
        <v>3.10956</v>
      </c>
      <c r="GE140">
        <v>2.72565</v>
      </c>
      <c r="GF140">
        <v>0.0890567</v>
      </c>
      <c r="GG140">
        <v>0.0887549</v>
      </c>
      <c r="GH140">
        <v>0.109824</v>
      </c>
      <c r="GI140">
        <v>0.109254</v>
      </c>
      <c r="GJ140">
        <v>23927.3</v>
      </c>
      <c r="GK140">
        <v>21663.5</v>
      </c>
      <c r="GL140">
        <v>26822.4</v>
      </c>
      <c r="GM140">
        <v>23977.4</v>
      </c>
      <c r="GN140">
        <v>38147.1</v>
      </c>
      <c r="GO140">
        <v>31495.9</v>
      </c>
      <c r="GP140">
        <v>46816.2</v>
      </c>
      <c r="GQ140">
        <v>37894.9</v>
      </c>
      <c r="GR140">
        <v>1.8991</v>
      </c>
      <c r="GS140">
        <v>1.89638</v>
      </c>
      <c r="GT140">
        <v>0.143498</v>
      </c>
      <c r="GU140">
        <v>0</v>
      </c>
      <c r="GV140">
        <v>27.8712</v>
      </c>
      <c r="GW140">
        <v>999.9</v>
      </c>
      <c r="GX140">
        <v>64.09999999999999</v>
      </c>
      <c r="GY140">
        <v>28.5</v>
      </c>
      <c r="GZ140">
        <v>27.5769</v>
      </c>
      <c r="HA140">
        <v>61.2673</v>
      </c>
      <c r="HB140">
        <v>20.0881</v>
      </c>
      <c r="HC140">
        <v>1</v>
      </c>
      <c r="HD140">
        <v>-0.0214558</v>
      </c>
      <c r="HE140">
        <v>-1.46954</v>
      </c>
      <c r="HF140">
        <v>20.3315</v>
      </c>
      <c r="HG140">
        <v>5.22268</v>
      </c>
      <c r="HH140">
        <v>11.9797</v>
      </c>
      <c r="HI140">
        <v>4.96555</v>
      </c>
      <c r="HJ140">
        <v>3.27588</v>
      </c>
      <c r="HK140">
        <v>9999</v>
      </c>
      <c r="HL140">
        <v>9999</v>
      </c>
      <c r="HM140">
        <v>9999</v>
      </c>
      <c r="HN140">
        <v>999.9</v>
      </c>
      <c r="HO140">
        <v>1.86357</v>
      </c>
      <c r="HP140">
        <v>1.85974</v>
      </c>
      <c r="HQ140">
        <v>1.85796</v>
      </c>
      <c r="HR140">
        <v>1.85941</v>
      </c>
      <c r="HS140">
        <v>1.85959</v>
      </c>
      <c r="HT140">
        <v>1.85803</v>
      </c>
      <c r="HU140">
        <v>1.85703</v>
      </c>
      <c r="HV140">
        <v>1.85206</v>
      </c>
      <c r="HW140">
        <v>0</v>
      </c>
      <c r="HX140">
        <v>0</v>
      </c>
      <c r="HY140">
        <v>0</v>
      </c>
      <c r="HZ140">
        <v>0</v>
      </c>
      <c r="IA140" t="s">
        <v>424</v>
      </c>
      <c r="IB140" t="s">
        <v>425</v>
      </c>
      <c r="IC140" t="s">
        <v>426</v>
      </c>
      <c r="ID140" t="s">
        <v>426</v>
      </c>
      <c r="IE140" t="s">
        <v>426</v>
      </c>
      <c r="IF140" t="s">
        <v>426</v>
      </c>
      <c r="IG140">
        <v>0</v>
      </c>
      <c r="IH140">
        <v>100</v>
      </c>
      <c r="II140">
        <v>100</v>
      </c>
      <c r="IJ140">
        <v>-1.566</v>
      </c>
      <c r="IK140">
        <v>0.2031</v>
      </c>
      <c r="IL140">
        <v>-2.357986366295179</v>
      </c>
      <c r="IM140">
        <v>0.001328113201692861</v>
      </c>
      <c r="IN140">
        <v>1.538283238170363E-06</v>
      </c>
      <c r="IO140">
        <v>-5.795655626708063E-10</v>
      </c>
      <c r="IP140">
        <v>-0.06105361615936408</v>
      </c>
      <c r="IQ140">
        <v>-0.004593102289677449</v>
      </c>
      <c r="IR140">
        <v>0.0008253994458280543</v>
      </c>
      <c r="IS140">
        <v>-7.403632370499484E-06</v>
      </c>
      <c r="IT140">
        <v>2</v>
      </c>
      <c r="IU140">
        <v>1985</v>
      </c>
      <c r="IV140">
        <v>1</v>
      </c>
      <c r="IW140">
        <v>27</v>
      </c>
      <c r="IX140">
        <v>6.6</v>
      </c>
      <c r="IY140">
        <v>6.5</v>
      </c>
      <c r="IZ140">
        <v>1.13037</v>
      </c>
      <c r="JA140">
        <v>2.59766</v>
      </c>
      <c r="JB140">
        <v>1.49658</v>
      </c>
      <c r="JC140">
        <v>2.34741</v>
      </c>
      <c r="JD140">
        <v>1.54907</v>
      </c>
      <c r="JE140">
        <v>2.39502</v>
      </c>
      <c r="JF140">
        <v>31.8488</v>
      </c>
      <c r="JG140">
        <v>14.4823</v>
      </c>
      <c r="JH140">
        <v>18</v>
      </c>
      <c r="JI140">
        <v>481.845</v>
      </c>
      <c r="JJ140">
        <v>509.87</v>
      </c>
      <c r="JK140">
        <v>32.2052</v>
      </c>
      <c r="JL140">
        <v>27.0189</v>
      </c>
      <c r="JM140">
        <v>29.9993</v>
      </c>
      <c r="JN140">
        <v>27.3106</v>
      </c>
      <c r="JO140">
        <v>27.3129</v>
      </c>
      <c r="JP140">
        <v>22.721</v>
      </c>
      <c r="JQ140">
        <v>16.8296</v>
      </c>
      <c r="JR140">
        <v>89.8843</v>
      </c>
      <c r="JS140">
        <v>32.2412</v>
      </c>
      <c r="JT140">
        <v>420</v>
      </c>
      <c r="JU140">
        <v>24.2613</v>
      </c>
      <c r="JV140">
        <v>102.377</v>
      </c>
      <c r="JW140">
        <v>91.4256</v>
      </c>
    </row>
    <row r="141" spans="1:283">
      <c r="A141">
        <v>123</v>
      </c>
      <c r="B141">
        <v>1761019062.1</v>
      </c>
      <c r="C141">
        <v>992.5999999046326</v>
      </c>
      <c r="D141" t="s">
        <v>677</v>
      </c>
      <c r="E141" t="s">
        <v>678</v>
      </c>
      <c r="F141">
        <v>5</v>
      </c>
      <c r="G141" t="s">
        <v>674</v>
      </c>
      <c r="H141">
        <v>1761019059.4125</v>
      </c>
      <c r="I141">
        <f>(J141)/1000</f>
        <v>0</v>
      </c>
      <c r="J141">
        <f>1000*DJ141*AH141*(DF141-DG141)/(100*CY141*(1000-AH141*DF141))</f>
        <v>0</v>
      </c>
      <c r="K141">
        <f>DJ141*AH141*(DE141-DD141*(1000-AH141*DG141)/(1000-AH141*DF141))/(100*CY141)</f>
        <v>0</v>
      </c>
      <c r="L141">
        <f>DD141 - IF(AH141&gt;1, K141*CY141*100.0/(AJ141), 0)</f>
        <v>0</v>
      </c>
      <c r="M141">
        <f>((S141-I141/2)*L141-K141)/(S141+I141/2)</f>
        <v>0</v>
      </c>
      <c r="N141">
        <f>M141*(DK141+DL141)/1000.0</f>
        <v>0</v>
      </c>
      <c r="O141">
        <f>(DD141 - IF(AH141&gt;1, K141*CY141*100.0/(AJ141), 0))*(DK141+DL141)/1000.0</f>
        <v>0</v>
      </c>
      <c r="P141">
        <f>2.0/((1/R141-1/Q141)+SIGN(R141)*SQRT((1/R141-1/Q141)*(1/R141-1/Q141) + 4*CZ141/((CZ141+1)*(CZ141+1))*(2*1/R141*1/Q141-1/Q141*1/Q141)))</f>
        <v>0</v>
      </c>
      <c r="Q141">
        <f>IF(LEFT(DA141,1)&lt;&gt;"0",IF(LEFT(DA141,1)="1",3.0,DB141),$D$5+$E$5*(DR141*DK141/($K$5*1000))+$F$5*(DR141*DK141/($K$5*1000))*MAX(MIN(CY141,$J$5),$I$5)*MAX(MIN(CY141,$J$5),$I$5)+$G$5*MAX(MIN(CY141,$J$5),$I$5)*(DR141*DK141/($K$5*1000))+$H$5*(DR141*DK141/($K$5*1000))*(DR141*DK141/($K$5*1000)))</f>
        <v>0</v>
      </c>
      <c r="R141">
        <f>I141*(1000-(1000*0.61365*exp(17.502*V141/(240.97+V141))/(DK141+DL141)+DF141)/2)/(1000*0.61365*exp(17.502*V141/(240.97+V141))/(DK141+DL141)-DF141)</f>
        <v>0</v>
      </c>
      <c r="S141">
        <f>1/((CZ141+1)/(P141/1.6)+1/(Q141/1.37)) + CZ141/((CZ141+1)/(P141/1.6) + CZ141/(Q141/1.37))</f>
        <v>0</v>
      </c>
      <c r="T141">
        <f>(CU141*CX141)</f>
        <v>0</v>
      </c>
      <c r="U141">
        <f>(DM141+(T141+2*0.95*5.67E-8*(((DM141+$B$9)+273)^4-(DM141+273)^4)-44100*I141)/(1.84*29.3*Q141+8*0.95*5.67E-8*(DM141+273)^3))</f>
        <v>0</v>
      </c>
      <c r="V141">
        <f>($C$9*DN141+$D$9*DO141+$E$9*U141)</f>
        <v>0</v>
      </c>
      <c r="W141">
        <f>0.61365*exp(17.502*V141/(240.97+V141))</f>
        <v>0</v>
      </c>
      <c r="X141">
        <f>(Y141/Z141*100)</f>
        <v>0</v>
      </c>
      <c r="Y141">
        <f>DF141*(DK141+DL141)/1000</f>
        <v>0</v>
      </c>
      <c r="Z141">
        <f>0.61365*exp(17.502*DM141/(240.97+DM141))</f>
        <v>0</v>
      </c>
      <c r="AA141">
        <f>(W141-DF141*(DK141+DL141)/1000)</f>
        <v>0</v>
      </c>
      <c r="AB141">
        <f>(-I141*44100)</f>
        <v>0</v>
      </c>
      <c r="AC141">
        <f>2*29.3*Q141*0.92*(DM141-V141)</f>
        <v>0</v>
      </c>
      <c r="AD141">
        <f>2*0.95*5.67E-8*(((DM141+$B$9)+273)^4-(V141+273)^4)</f>
        <v>0</v>
      </c>
      <c r="AE141">
        <f>T141+AD141+AB141+AC141</f>
        <v>0</v>
      </c>
      <c r="AF141">
        <v>0</v>
      </c>
      <c r="AG141">
        <v>0</v>
      </c>
      <c r="AH141">
        <f>IF(AF141*$H$15&gt;=AJ141,1.0,(AJ141/(AJ141-AF141*$H$15)))</f>
        <v>0</v>
      </c>
      <c r="AI141">
        <f>(AH141-1)*100</f>
        <v>0</v>
      </c>
      <c r="AJ141">
        <f>MAX(0,($B$15+$C$15*DR141)/(1+$D$15*DR141)*DK141/(DM141+273)*$E$15)</f>
        <v>0</v>
      </c>
      <c r="AK141" t="s">
        <v>420</v>
      </c>
      <c r="AL141" t="s">
        <v>420</v>
      </c>
      <c r="AM141">
        <v>0</v>
      </c>
      <c r="AN141">
        <v>0</v>
      </c>
      <c r="AO141">
        <f>1-AM141/AN141</f>
        <v>0</v>
      </c>
      <c r="AP141">
        <v>0</v>
      </c>
      <c r="AQ141" t="s">
        <v>420</v>
      </c>
      <c r="AR141" t="s">
        <v>420</v>
      </c>
      <c r="AS141">
        <v>0</v>
      </c>
      <c r="AT141">
        <v>0</v>
      </c>
      <c r="AU141">
        <f>1-AS141/AT141</f>
        <v>0</v>
      </c>
      <c r="AV141">
        <v>0.5</v>
      </c>
      <c r="AW141">
        <f>CV141</f>
        <v>0</v>
      </c>
      <c r="AX141">
        <f>K141</f>
        <v>0</v>
      </c>
      <c r="AY141">
        <f>AU141*AV141*AW141</f>
        <v>0</v>
      </c>
      <c r="AZ141">
        <f>(AX141-AP141)/AW141</f>
        <v>0</v>
      </c>
      <c r="BA141">
        <f>(AN141-AT141)/AT141</f>
        <v>0</v>
      </c>
      <c r="BB141">
        <f>AM141/(AO141+AM141/AT141)</f>
        <v>0</v>
      </c>
      <c r="BC141" t="s">
        <v>420</v>
      </c>
      <c r="BD141">
        <v>0</v>
      </c>
      <c r="BE141">
        <f>IF(BD141&lt;&gt;0, BD141, BB141)</f>
        <v>0</v>
      </c>
      <c r="BF141">
        <f>1-BE141/AT141</f>
        <v>0</v>
      </c>
      <c r="BG141">
        <f>(AT141-AS141)/(AT141-BE141)</f>
        <v>0</v>
      </c>
      <c r="BH141">
        <f>(AN141-AT141)/(AN141-BE141)</f>
        <v>0</v>
      </c>
      <c r="BI141">
        <f>(AT141-AS141)/(AT141-AM141)</f>
        <v>0</v>
      </c>
      <c r="BJ141">
        <f>(AN141-AT141)/(AN141-AM141)</f>
        <v>0</v>
      </c>
      <c r="BK141">
        <f>(BG141*BE141/AS141)</f>
        <v>0</v>
      </c>
      <c r="BL141">
        <f>(1-BK141)</f>
        <v>0</v>
      </c>
      <c r="CU141">
        <f>$B$13*DS141+$C$13*DT141+$F$13*EE141*(1-EH141)</f>
        <v>0</v>
      </c>
      <c r="CV141">
        <f>CU141*CW141</f>
        <v>0</v>
      </c>
      <c r="CW141">
        <f>($B$13*$D$11+$C$13*$D$11+$F$13*((ER141+EJ141)/MAX(ER141+EJ141+ES141, 0.1)*$I$11+ES141/MAX(ER141+EJ141+ES141, 0.1)*$J$11))/($B$13+$C$13+$F$13)</f>
        <v>0</v>
      </c>
      <c r="CX141">
        <f>($B$13*$K$11+$C$13*$K$11+$F$13*((ER141+EJ141)/MAX(ER141+EJ141+ES141, 0.1)*$P$11+ES141/MAX(ER141+EJ141+ES141, 0.1)*$Q$11))/($B$13+$C$13+$F$13)</f>
        <v>0</v>
      </c>
      <c r="CY141">
        <v>5.66</v>
      </c>
      <c r="CZ141">
        <v>0.5</v>
      </c>
      <c r="DA141" t="s">
        <v>421</v>
      </c>
      <c r="DB141">
        <v>2</v>
      </c>
      <c r="DC141">
        <v>1761019059.4125</v>
      </c>
      <c r="DD141">
        <v>420.6745</v>
      </c>
      <c r="DE141">
        <v>420.125375</v>
      </c>
      <c r="DF141">
        <v>24.2887125</v>
      </c>
      <c r="DG141">
        <v>23.800275</v>
      </c>
      <c r="DH141">
        <v>422.241125</v>
      </c>
      <c r="DI141">
        <v>24.0850125</v>
      </c>
      <c r="DJ141">
        <v>500.00475</v>
      </c>
      <c r="DK141">
        <v>90.80855</v>
      </c>
      <c r="DL141">
        <v>0.03383115</v>
      </c>
      <c r="DM141">
        <v>30.6986875</v>
      </c>
      <c r="DN141">
        <v>30.219025</v>
      </c>
      <c r="DO141">
        <v>999.9</v>
      </c>
      <c r="DP141">
        <v>0</v>
      </c>
      <c r="DQ141">
        <v>0</v>
      </c>
      <c r="DR141">
        <v>10012.05</v>
      </c>
      <c r="DS141">
        <v>0</v>
      </c>
      <c r="DT141">
        <v>0.242856</v>
      </c>
      <c r="DU141">
        <v>0.549007375</v>
      </c>
      <c r="DV141">
        <v>431.146375</v>
      </c>
      <c r="DW141">
        <v>430.36825</v>
      </c>
      <c r="DX141">
        <v>0.48842925</v>
      </c>
      <c r="DY141">
        <v>420.125375</v>
      </c>
      <c r="DZ141">
        <v>23.800275</v>
      </c>
      <c r="EA141">
        <v>2.2056225</v>
      </c>
      <c r="EB141">
        <v>2.16126875</v>
      </c>
      <c r="EC141">
        <v>19.0031625</v>
      </c>
      <c r="ED141">
        <v>18.6779375</v>
      </c>
      <c r="EE141">
        <v>0.00500078</v>
      </c>
      <c r="EF141">
        <v>0</v>
      </c>
      <c r="EG141">
        <v>0</v>
      </c>
      <c r="EH141">
        <v>0</v>
      </c>
      <c r="EI141">
        <v>878.95</v>
      </c>
      <c r="EJ141">
        <v>0.00500078</v>
      </c>
      <c r="EK141">
        <v>-7.2</v>
      </c>
      <c r="EL141">
        <v>0.875</v>
      </c>
      <c r="EM141">
        <v>36.210875</v>
      </c>
      <c r="EN141">
        <v>40.8435</v>
      </c>
      <c r="EO141">
        <v>38.710875</v>
      </c>
      <c r="EP141">
        <v>41.999875</v>
      </c>
      <c r="EQ141">
        <v>39.234125</v>
      </c>
      <c r="ER141">
        <v>0</v>
      </c>
      <c r="ES141">
        <v>0</v>
      </c>
      <c r="ET141">
        <v>0</v>
      </c>
      <c r="EU141">
        <v>1761019060.9</v>
      </c>
      <c r="EV141">
        <v>0</v>
      </c>
      <c r="EW141">
        <v>886.3120000000001</v>
      </c>
      <c r="EX141">
        <v>-104.584615278902</v>
      </c>
      <c r="EY141">
        <v>24.0000000458497</v>
      </c>
      <c r="EZ141">
        <v>-8.579999999999998</v>
      </c>
      <c r="FA141">
        <v>15</v>
      </c>
      <c r="FB141">
        <v>1761018667.1</v>
      </c>
      <c r="FC141" t="s">
        <v>613</v>
      </c>
      <c r="FD141">
        <v>1761018661.6</v>
      </c>
      <c r="FE141">
        <v>1761018667.1</v>
      </c>
      <c r="FF141">
        <v>26</v>
      </c>
      <c r="FG141">
        <v>-0.221</v>
      </c>
      <c r="FH141">
        <v>-0.001</v>
      </c>
      <c r="FI141">
        <v>-1.568</v>
      </c>
      <c r="FJ141">
        <v>0.178</v>
      </c>
      <c r="FK141">
        <v>420</v>
      </c>
      <c r="FL141">
        <v>23</v>
      </c>
      <c r="FM141">
        <v>0.1</v>
      </c>
      <c r="FN141">
        <v>0.08</v>
      </c>
      <c r="FO141">
        <v>0.5439735609756098</v>
      </c>
      <c r="FP141">
        <v>-0.155529616724738</v>
      </c>
      <c r="FQ141">
        <v>0.0573841924592261</v>
      </c>
      <c r="FR141">
        <v>1</v>
      </c>
      <c r="FS141">
        <v>892.0852941176472</v>
      </c>
      <c r="FT141">
        <v>-119.8181816858936</v>
      </c>
      <c r="FU141">
        <v>13.52890440225148</v>
      </c>
      <c r="FV141">
        <v>0</v>
      </c>
      <c r="FW141">
        <v>0.09980954390243901</v>
      </c>
      <c r="FX141">
        <v>2.978537301742159</v>
      </c>
      <c r="FY141">
        <v>0.2957509974725822</v>
      </c>
      <c r="FZ141">
        <v>0</v>
      </c>
      <c r="GA141">
        <v>1</v>
      </c>
      <c r="GB141">
        <v>3</v>
      </c>
      <c r="GC141" t="s">
        <v>431</v>
      </c>
      <c r="GD141">
        <v>3.10965</v>
      </c>
      <c r="GE141">
        <v>2.72548</v>
      </c>
      <c r="GF141">
        <v>0.08905680000000001</v>
      </c>
      <c r="GG141">
        <v>0.0887515</v>
      </c>
      <c r="GH141">
        <v>0.109546</v>
      </c>
      <c r="GI141">
        <v>0.108992</v>
      </c>
      <c r="GJ141">
        <v>23927.3</v>
      </c>
      <c r="GK141">
        <v>21663.4</v>
      </c>
      <c r="GL141">
        <v>26822.5</v>
      </c>
      <c r="GM141">
        <v>23977.2</v>
      </c>
      <c r="GN141">
        <v>38159.2</v>
      </c>
      <c r="GO141">
        <v>31505.2</v>
      </c>
      <c r="GP141">
        <v>46816.1</v>
      </c>
      <c r="GQ141">
        <v>37894.9</v>
      </c>
      <c r="GR141">
        <v>1.89955</v>
      </c>
      <c r="GS141">
        <v>1.8963</v>
      </c>
      <c r="GT141">
        <v>0.1432</v>
      </c>
      <c r="GU141">
        <v>0</v>
      </c>
      <c r="GV141">
        <v>27.8736</v>
      </c>
      <c r="GW141">
        <v>999.9</v>
      </c>
      <c r="GX141">
        <v>64.09999999999999</v>
      </c>
      <c r="GY141">
        <v>28.5</v>
      </c>
      <c r="GZ141">
        <v>27.5782</v>
      </c>
      <c r="HA141">
        <v>60.9773</v>
      </c>
      <c r="HB141">
        <v>20.0721</v>
      </c>
      <c r="HC141">
        <v>1</v>
      </c>
      <c r="HD141">
        <v>-0.0214863</v>
      </c>
      <c r="HE141">
        <v>-1.67096</v>
      </c>
      <c r="HF141">
        <v>20.3285</v>
      </c>
      <c r="HG141">
        <v>5.22238</v>
      </c>
      <c r="HH141">
        <v>11.9796</v>
      </c>
      <c r="HI141">
        <v>4.9656</v>
      </c>
      <c r="HJ141">
        <v>3.27598</v>
      </c>
      <c r="HK141">
        <v>9999</v>
      </c>
      <c r="HL141">
        <v>9999</v>
      </c>
      <c r="HM141">
        <v>9999</v>
      </c>
      <c r="HN141">
        <v>999.9</v>
      </c>
      <c r="HO141">
        <v>1.86357</v>
      </c>
      <c r="HP141">
        <v>1.85974</v>
      </c>
      <c r="HQ141">
        <v>1.85795</v>
      </c>
      <c r="HR141">
        <v>1.85938</v>
      </c>
      <c r="HS141">
        <v>1.85959</v>
      </c>
      <c r="HT141">
        <v>1.85803</v>
      </c>
      <c r="HU141">
        <v>1.85704</v>
      </c>
      <c r="HV141">
        <v>1.85205</v>
      </c>
      <c r="HW141">
        <v>0</v>
      </c>
      <c r="HX141">
        <v>0</v>
      </c>
      <c r="HY141">
        <v>0</v>
      </c>
      <c r="HZ141">
        <v>0</v>
      </c>
      <c r="IA141" t="s">
        <v>424</v>
      </c>
      <c r="IB141" t="s">
        <v>425</v>
      </c>
      <c r="IC141" t="s">
        <v>426</v>
      </c>
      <c r="ID141" t="s">
        <v>426</v>
      </c>
      <c r="IE141" t="s">
        <v>426</v>
      </c>
      <c r="IF141" t="s">
        <v>426</v>
      </c>
      <c r="IG141">
        <v>0</v>
      </c>
      <c r="IH141">
        <v>100</v>
      </c>
      <c r="II141">
        <v>100</v>
      </c>
      <c r="IJ141">
        <v>-1.566</v>
      </c>
      <c r="IK141">
        <v>0.2012</v>
      </c>
      <c r="IL141">
        <v>-2.357986366295179</v>
      </c>
      <c r="IM141">
        <v>0.001328113201692861</v>
      </c>
      <c r="IN141">
        <v>1.538283238170363E-06</v>
      </c>
      <c r="IO141">
        <v>-5.795655626708063E-10</v>
      </c>
      <c r="IP141">
        <v>-0.06105361615936408</v>
      </c>
      <c r="IQ141">
        <v>-0.004593102289677449</v>
      </c>
      <c r="IR141">
        <v>0.0008253994458280543</v>
      </c>
      <c r="IS141">
        <v>-7.403632370499484E-06</v>
      </c>
      <c r="IT141">
        <v>2</v>
      </c>
      <c r="IU141">
        <v>1985</v>
      </c>
      <c r="IV141">
        <v>1</v>
      </c>
      <c r="IW141">
        <v>27</v>
      </c>
      <c r="IX141">
        <v>6.7</v>
      </c>
      <c r="IY141">
        <v>6.6</v>
      </c>
      <c r="IZ141">
        <v>1.13037</v>
      </c>
      <c r="JA141">
        <v>2.58545</v>
      </c>
      <c r="JB141">
        <v>1.49658</v>
      </c>
      <c r="JC141">
        <v>2.34741</v>
      </c>
      <c r="JD141">
        <v>1.54907</v>
      </c>
      <c r="JE141">
        <v>2.42432</v>
      </c>
      <c r="JF141">
        <v>31.8488</v>
      </c>
      <c r="JG141">
        <v>14.4998</v>
      </c>
      <c r="JH141">
        <v>18</v>
      </c>
      <c r="JI141">
        <v>482.086</v>
      </c>
      <c r="JJ141">
        <v>509.799</v>
      </c>
      <c r="JK141">
        <v>32.1297</v>
      </c>
      <c r="JL141">
        <v>27.0172</v>
      </c>
      <c r="JM141">
        <v>29.9996</v>
      </c>
      <c r="JN141">
        <v>27.3083</v>
      </c>
      <c r="JO141">
        <v>27.3106</v>
      </c>
      <c r="JP141">
        <v>22.7199</v>
      </c>
      <c r="JQ141">
        <v>15.7013</v>
      </c>
      <c r="JR141">
        <v>90.2921</v>
      </c>
      <c r="JS141">
        <v>32.0202</v>
      </c>
      <c r="JT141">
        <v>420</v>
      </c>
      <c r="JU141">
        <v>24.3619</v>
      </c>
      <c r="JV141">
        <v>102.377</v>
      </c>
      <c r="JW141">
        <v>91.42529999999999</v>
      </c>
    </row>
    <row r="142" spans="1:283">
      <c r="A142">
        <v>124</v>
      </c>
      <c r="B142">
        <v>1761019064.1</v>
      </c>
      <c r="C142">
        <v>994.5999999046326</v>
      </c>
      <c r="D142" t="s">
        <v>679</v>
      </c>
      <c r="E142" t="s">
        <v>680</v>
      </c>
      <c r="F142">
        <v>5</v>
      </c>
      <c r="G142" t="s">
        <v>674</v>
      </c>
      <c r="H142">
        <v>1761019061.1</v>
      </c>
      <c r="I142">
        <f>(J142)/1000</f>
        <v>0</v>
      </c>
      <c r="J142">
        <f>1000*DJ142*AH142*(DF142-DG142)/(100*CY142*(1000-AH142*DF142))</f>
        <v>0</v>
      </c>
      <c r="K142">
        <f>DJ142*AH142*(DE142-DD142*(1000-AH142*DG142)/(1000-AH142*DF142))/(100*CY142)</f>
        <v>0</v>
      </c>
      <c r="L142">
        <f>DD142 - IF(AH142&gt;1, K142*CY142*100.0/(AJ142), 0)</f>
        <v>0</v>
      </c>
      <c r="M142">
        <f>((S142-I142/2)*L142-K142)/(S142+I142/2)</f>
        <v>0</v>
      </c>
      <c r="N142">
        <f>M142*(DK142+DL142)/1000.0</f>
        <v>0</v>
      </c>
      <c r="O142">
        <f>(DD142 - IF(AH142&gt;1, K142*CY142*100.0/(AJ142), 0))*(DK142+DL142)/1000.0</f>
        <v>0</v>
      </c>
      <c r="P142">
        <f>2.0/((1/R142-1/Q142)+SIGN(R142)*SQRT((1/R142-1/Q142)*(1/R142-1/Q142) + 4*CZ142/((CZ142+1)*(CZ142+1))*(2*1/R142*1/Q142-1/Q142*1/Q142)))</f>
        <v>0</v>
      </c>
      <c r="Q142">
        <f>IF(LEFT(DA142,1)&lt;&gt;"0",IF(LEFT(DA142,1)="1",3.0,DB142),$D$5+$E$5*(DR142*DK142/($K$5*1000))+$F$5*(DR142*DK142/($K$5*1000))*MAX(MIN(CY142,$J$5),$I$5)*MAX(MIN(CY142,$J$5),$I$5)+$G$5*MAX(MIN(CY142,$J$5),$I$5)*(DR142*DK142/($K$5*1000))+$H$5*(DR142*DK142/($K$5*1000))*(DR142*DK142/($K$5*1000)))</f>
        <v>0</v>
      </c>
      <c r="R142">
        <f>I142*(1000-(1000*0.61365*exp(17.502*V142/(240.97+V142))/(DK142+DL142)+DF142)/2)/(1000*0.61365*exp(17.502*V142/(240.97+V142))/(DK142+DL142)-DF142)</f>
        <v>0</v>
      </c>
      <c r="S142">
        <f>1/((CZ142+1)/(P142/1.6)+1/(Q142/1.37)) + CZ142/((CZ142+1)/(P142/1.6) + CZ142/(Q142/1.37))</f>
        <v>0</v>
      </c>
      <c r="T142">
        <f>(CU142*CX142)</f>
        <v>0</v>
      </c>
      <c r="U142">
        <f>(DM142+(T142+2*0.95*5.67E-8*(((DM142+$B$9)+273)^4-(DM142+273)^4)-44100*I142)/(1.84*29.3*Q142+8*0.95*5.67E-8*(DM142+273)^3))</f>
        <v>0</v>
      </c>
      <c r="V142">
        <f>($C$9*DN142+$D$9*DO142+$E$9*U142)</f>
        <v>0</v>
      </c>
      <c r="W142">
        <f>0.61365*exp(17.502*V142/(240.97+V142))</f>
        <v>0</v>
      </c>
      <c r="X142">
        <f>(Y142/Z142*100)</f>
        <v>0</v>
      </c>
      <c r="Y142">
        <f>DF142*(DK142+DL142)/1000</f>
        <v>0</v>
      </c>
      <c r="Z142">
        <f>0.61365*exp(17.502*DM142/(240.97+DM142))</f>
        <v>0</v>
      </c>
      <c r="AA142">
        <f>(W142-DF142*(DK142+DL142)/1000)</f>
        <v>0</v>
      </c>
      <c r="AB142">
        <f>(-I142*44100)</f>
        <v>0</v>
      </c>
      <c r="AC142">
        <f>2*29.3*Q142*0.92*(DM142-V142)</f>
        <v>0</v>
      </c>
      <c r="AD142">
        <f>2*0.95*5.67E-8*(((DM142+$B$9)+273)^4-(V142+273)^4)</f>
        <v>0</v>
      </c>
      <c r="AE142">
        <f>T142+AD142+AB142+AC142</f>
        <v>0</v>
      </c>
      <c r="AF142">
        <v>0</v>
      </c>
      <c r="AG142">
        <v>0</v>
      </c>
      <c r="AH142">
        <f>IF(AF142*$H$15&gt;=AJ142,1.0,(AJ142/(AJ142-AF142*$H$15)))</f>
        <v>0</v>
      </c>
      <c r="AI142">
        <f>(AH142-1)*100</f>
        <v>0</v>
      </c>
      <c r="AJ142">
        <f>MAX(0,($B$15+$C$15*DR142)/(1+$D$15*DR142)*DK142/(DM142+273)*$E$15)</f>
        <v>0</v>
      </c>
      <c r="AK142" t="s">
        <v>420</v>
      </c>
      <c r="AL142" t="s">
        <v>420</v>
      </c>
      <c r="AM142">
        <v>0</v>
      </c>
      <c r="AN142">
        <v>0</v>
      </c>
      <c r="AO142">
        <f>1-AM142/AN142</f>
        <v>0</v>
      </c>
      <c r="AP142">
        <v>0</v>
      </c>
      <c r="AQ142" t="s">
        <v>420</v>
      </c>
      <c r="AR142" t="s">
        <v>420</v>
      </c>
      <c r="AS142">
        <v>0</v>
      </c>
      <c r="AT142">
        <v>0</v>
      </c>
      <c r="AU142">
        <f>1-AS142/AT142</f>
        <v>0</v>
      </c>
      <c r="AV142">
        <v>0.5</v>
      </c>
      <c r="AW142">
        <f>CV142</f>
        <v>0</v>
      </c>
      <c r="AX142">
        <f>K142</f>
        <v>0</v>
      </c>
      <c r="AY142">
        <f>AU142*AV142*AW142</f>
        <v>0</v>
      </c>
      <c r="AZ142">
        <f>(AX142-AP142)/AW142</f>
        <v>0</v>
      </c>
      <c r="BA142">
        <f>(AN142-AT142)/AT142</f>
        <v>0</v>
      </c>
      <c r="BB142">
        <f>AM142/(AO142+AM142/AT142)</f>
        <v>0</v>
      </c>
      <c r="BC142" t="s">
        <v>420</v>
      </c>
      <c r="BD142">
        <v>0</v>
      </c>
      <c r="BE142">
        <f>IF(BD142&lt;&gt;0, BD142, BB142)</f>
        <v>0</v>
      </c>
      <c r="BF142">
        <f>1-BE142/AT142</f>
        <v>0</v>
      </c>
      <c r="BG142">
        <f>(AT142-AS142)/(AT142-BE142)</f>
        <v>0</v>
      </c>
      <c r="BH142">
        <f>(AN142-AT142)/(AN142-BE142)</f>
        <v>0</v>
      </c>
      <c r="BI142">
        <f>(AT142-AS142)/(AT142-AM142)</f>
        <v>0</v>
      </c>
      <c r="BJ142">
        <f>(AN142-AT142)/(AN142-AM142)</f>
        <v>0</v>
      </c>
      <c r="BK142">
        <f>(BG142*BE142/AS142)</f>
        <v>0</v>
      </c>
      <c r="BL142">
        <f>(1-BK142)</f>
        <v>0</v>
      </c>
      <c r="CU142">
        <f>$B$13*DS142+$C$13*DT142+$F$13*EE142*(1-EH142)</f>
        <v>0</v>
      </c>
      <c r="CV142">
        <f>CU142*CW142</f>
        <v>0</v>
      </c>
      <c r="CW142">
        <f>($B$13*$D$11+$C$13*$D$11+$F$13*((ER142+EJ142)/MAX(ER142+EJ142+ES142, 0.1)*$I$11+ES142/MAX(ER142+EJ142+ES142, 0.1)*$J$11))/($B$13+$C$13+$F$13)</f>
        <v>0</v>
      </c>
      <c r="CX142">
        <f>($B$13*$K$11+$C$13*$K$11+$F$13*((ER142+EJ142)/MAX(ER142+EJ142+ES142, 0.1)*$P$11+ES142/MAX(ER142+EJ142+ES142, 0.1)*$Q$11))/($B$13+$C$13+$F$13)</f>
        <v>0</v>
      </c>
      <c r="CY142">
        <v>5.66</v>
      </c>
      <c r="CZ142">
        <v>0.5</v>
      </c>
      <c r="DA142" t="s">
        <v>421</v>
      </c>
      <c r="DB142">
        <v>2</v>
      </c>
      <c r="DC142">
        <v>1761019061.1</v>
      </c>
      <c r="DD142">
        <v>420.694</v>
      </c>
      <c r="DE142">
        <v>420.1185555555555</v>
      </c>
      <c r="DF142">
        <v>24.2179</v>
      </c>
      <c r="DG142">
        <v>23.71838888888889</v>
      </c>
      <c r="DH142">
        <v>422.2605555555556</v>
      </c>
      <c r="DI142">
        <v>24.01574444444445</v>
      </c>
      <c r="DJ142">
        <v>500.0487777777778</v>
      </c>
      <c r="DK142">
        <v>90.80853333333333</v>
      </c>
      <c r="DL142">
        <v>0.03372487777777778</v>
      </c>
      <c r="DM142">
        <v>30.69495555555555</v>
      </c>
      <c r="DN142">
        <v>30.21127777777778</v>
      </c>
      <c r="DO142">
        <v>999.9000000000001</v>
      </c>
      <c r="DP142">
        <v>0</v>
      </c>
      <c r="DQ142">
        <v>0</v>
      </c>
      <c r="DR142">
        <v>10008.82777777778</v>
      </c>
      <c r="DS142">
        <v>0</v>
      </c>
      <c r="DT142">
        <v>0.242856</v>
      </c>
      <c r="DU142">
        <v>0.5754088888888889</v>
      </c>
      <c r="DV142">
        <v>431.1352222222222</v>
      </c>
      <c r="DW142">
        <v>430.3251111111111</v>
      </c>
      <c r="DX142">
        <v>0.4994958888888889</v>
      </c>
      <c r="DY142">
        <v>420.1185555555555</v>
      </c>
      <c r="DZ142">
        <v>23.71838888888889</v>
      </c>
      <c r="EA142">
        <v>2.199192222222222</v>
      </c>
      <c r="EB142">
        <v>2.153832222222222</v>
      </c>
      <c r="EC142">
        <v>18.95636666666666</v>
      </c>
      <c r="ED142">
        <v>18.62292222222223</v>
      </c>
      <c r="EE142">
        <v>0.00500078</v>
      </c>
      <c r="EF142">
        <v>0</v>
      </c>
      <c r="EG142">
        <v>0</v>
      </c>
      <c r="EH142">
        <v>0</v>
      </c>
      <c r="EI142">
        <v>875.4444444444445</v>
      </c>
      <c r="EJ142">
        <v>0.00500078</v>
      </c>
      <c r="EK142">
        <v>-5.644444444444445</v>
      </c>
      <c r="EL142">
        <v>0.7888888888888889</v>
      </c>
      <c r="EM142">
        <v>36.19433333333333</v>
      </c>
      <c r="EN142">
        <v>40.79133333333333</v>
      </c>
      <c r="EO142">
        <v>39.04855555555556</v>
      </c>
      <c r="EP142">
        <v>41.93733333333333</v>
      </c>
      <c r="EQ142">
        <v>39.29833333333332</v>
      </c>
      <c r="ER142">
        <v>0</v>
      </c>
      <c r="ES142">
        <v>0</v>
      </c>
      <c r="ET142">
        <v>0</v>
      </c>
      <c r="EU142">
        <v>1761019063.3</v>
      </c>
      <c r="EV142">
        <v>0</v>
      </c>
      <c r="EW142">
        <v>881.928</v>
      </c>
      <c r="EX142">
        <v>-108.184615645607</v>
      </c>
      <c r="EY142">
        <v>18.39999999816601</v>
      </c>
      <c r="EZ142">
        <v>-6.948</v>
      </c>
      <c r="FA142">
        <v>15</v>
      </c>
      <c r="FB142">
        <v>1761018667.1</v>
      </c>
      <c r="FC142" t="s">
        <v>613</v>
      </c>
      <c r="FD142">
        <v>1761018661.6</v>
      </c>
      <c r="FE142">
        <v>1761018667.1</v>
      </c>
      <c r="FF142">
        <v>26</v>
      </c>
      <c r="FG142">
        <v>-0.221</v>
      </c>
      <c r="FH142">
        <v>-0.001</v>
      </c>
      <c r="FI142">
        <v>-1.568</v>
      </c>
      <c r="FJ142">
        <v>0.178</v>
      </c>
      <c r="FK142">
        <v>420</v>
      </c>
      <c r="FL142">
        <v>23</v>
      </c>
      <c r="FM142">
        <v>0.1</v>
      </c>
      <c r="FN142">
        <v>0.08</v>
      </c>
      <c r="FO142">
        <v>0.541717475</v>
      </c>
      <c r="FP142">
        <v>0.05581651407129269</v>
      </c>
      <c r="FQ142">
        <v>0.05607887273607928</v>
      </c>
      <c r="FR142">
        <v>1</v>
      </c>
      <c r="FS142">
        <v>889.7823529411766</v>
      </c>
      <c r="FT142">
        <v>-121.8731856213164</v>
      </c>
      <c r="FU142">
        <v>13.72874765267126</v>
      </c>
      <c r="FV142">
        <v>0</v>
      </c>
      <c r="FW142">
        <v>0.1712815325</v>
      </c>
      <c r="FX142">
        <v>2.877713021763603</v>
      </c>
      <c r="FY142">
        <v>0.281171820134758</v>
      </c>
      <c r="FZ142">
        <v>0</v>
      </c>
      <c r="GA142">
        <v>1</v>
      </c>
      <c r="GB142">
        <v>3</v>
      </c>
      <c r="GC142" t="s">
        <v>431</v>
      </c>
      <c r="GD142">
        <v>3.10969</v>
      </c>
      <c r="GE142">
        <v>2.72507</v>
      </c>
      <c r="GF142">
        <v>0.0890478</v>
      </c>
      <c r="GG142">
        <v>0.08873979999999999</v>
      </c>
      <c r="GH142">
        <v>0.109281</v>
      </c>
      <c r="GI142">
        <v>0.108895</v>
      </c>
      <c r="GJ142">
        <v>23927.4</v>
      </c>
      <c r="GK142">
        <v>21663.6</v>
      </c>
      <c r="GL142">
        <v>26822.4</v>
      </c>
      <c r="GM142">
        <v>23977</v>
      </c>
      <c r="GN142">
        <v>38170.6</v>
      </c>
      <c r="GO142">
        <v>31508.7</v>
      </c>
      <c r="GP142">
        <v>46816</v>
      </c>
      <c r="GQ142">
        <v>37894.9</v>
      </c>
      <c r="GR142">
        <v>1.89992</v>
      </c>
      <c r="GS142">
        <v>1.89638</v>
      </c>
      <c r="GT142">
        <v>0.142347</v>
      </c>
      <c r="GU142">
        <v>0</v>
      </c>
      <c r="GV142">
        <v>27.8755</v>
      </c>
      <c r="GW142">
        <v>999.9</v>
      </c>
      <c r="GX142">
        <v>64.09999999999999</v>
      </c>
      <c r="GY142">
        <v>28.5</v>
      </c>
      <c r="GZ142">
        <v>27.5772</v>
      </c>
      <c r="HA142">
        <v>61.3173</v>
      </c>
      <c r="HB142">
        <v>20.028</v>
      </c>
      <c r="HC142">
        <v>1</v>
      </c>
      <c r="HD142">
        <v>-0.0213974</v>
      </c>
      <c r="HE142">
        <v>-1.51773</v>
      </c>
      <c r="HF142">
        <v>20.3295</v>
      </c>
      <c r="HG142">
        <v>5.22223</v>
      </c>
      <c r="HH142">
        <v>11.9796</v>
      </c>
      <c r="HI142">
        <v>4.96555</v>
      </c>
      <c r="HJ142">
        <v>3.27595</v>
      </c>
      <c r="HK142">
        <v>9999</v>
      </c>
      <c r="HL142">
        <v>9999</v>
      </c>
      <c r="HM142">
        <v>9999</v>
      </c>
      <c r="HN142">
        <v>999.9</v>
      </c>
      <c r="HO142">
        <v>1.86357</v>
      </c>
      <c r="HP142">
        <v>1.85974</v>
      </c>
      <c r="HQ142">
        <v>1.85797</v>
      </c>
      <c r="HR142">
        <v>1.85939</v>
      </c>
      <c r="HS142">
        <v>1.85959</v>
      </c>
      <c r="HT142">
        <v>1.85804</v>
      </c>
      <c r="HU142">
        <v>1.85705</v>
      </c>
      <c r="HV142">
        <v>1.85207</v>
      </c>
      <c r="HW142">
        <v>0</v>
      </c>
      <c r="HX142">
        <v>0</v>
      </c>
      <c r="HY142">
        <v>0</v>
      </c>
      <c r="HZ142">
        <v>0</v>
      </c>
      <c r="IA142" t="s">
        <v>424</v>
      </c>
      <c r="IB142" t="s">
        <v>425</v>
      </c>
      <c r="IC142" t="s">
        <v>426</v>
      </c>
      <c r="ID142" t="s">
        <v>426</v>
      </c>
      <c r="IE142" t="s">
        <v>426</v>
      </c>
      <c r="IF142" t="s">
        <v>426</v>
      </c>
      <c r="IG142">
        <v>0</v>
      </c>
      <c r="IH142">
        <v>100</v>
      </c>
      <c r="II142">
        <v>100</v>
      </c>
      <c r="IJ142">
        <v>-1.566</v>
      </c>
      <c r="IK142">
        <v>0.1993</v>
      </c>
      <c r="IL142">
        <v>-2.357986366295179</v>
      </c>
      <c r="IM142">
        <v>0.001328113201692861</v>
      </c>
      <c r="IN142">
        <v>1.538283238170363E-06</v>
      </c>
      <c r="IO142">
        <v>-5.795655626708063E-10</v>
      </c>
      <c r="IP142">
        <v>-0.06105361615936408</v>
      </c>
      <c r="IQ142">
        <v>-0.004593102289677449</v>
      </c>
      <c r="IR142">
        <v>0.0008253994458280543</v>
      </c>
      <c r="IS142">
        <v>-7.403632370499484E-06</v>
      </c>
      <c r="IT142">
        <v>2</v>
      </c>
      <c r="IU142">
        <v>1985</v>
      </c>
      <c r="IV142">
        <v>1</v>
      </c>
      <c r="IW142">
        <v>27</v>
      </c>
      <c r="IX142">
        <v>6.7</v>
      </c>
      <c r="IY142">
        <v>6.6</v>
      </c>
      <c r="IZ142">
        <v>1.13037</v>
      </c>
      <c r="JA142">
        <v>2.59399</v>
      </c>
      <c r="JB142">
        <v>1.49658</v>
      </c>
      <c r="JC142">
        <v>2.34741</v>
      </c>
      <c r="JD142">
        <v>1.54907</v>
      </c>
      <c r="JE142">
        <v>2.44751</v>
      </c>
      <c r="JF142">
        <v>31.8488</v>
      </c>
      <c r="JG142">
        <v>14.4998</v>
      </c>
      <c r="JH142">
        <v>18</v>
      </c>
      <c r="JI142">
        <v>482.285</v>
      </c>
      <c r="JJ142">
        <v>509.838</v>
      </c>
      <c r="JK142">
        <v>32.0665</v>
      </c>
      <c r="JL142">
        <v>27.0161</v>
      </c>
      <c r="JM142">
        <v>29.9998</v>
      </c>
      <c r="JN142">
        <v>27.3061</v>
      </c>
      <c r="JO142">
        <v>27.3094</v>
      </c>
      <c r="JP142">
        <v>22.7222</v>
      </c>
      <c r="JQ142">
        <v>14.4945</v>
      </c>
      <c r="JR142">
        <v>90.7176</v>
      </c>
      <c r="JS142">
        <v>32.0202</v>
      </c>
      <c r="JT142">
        <v>420</v>
      </c>
      <c r="JU142">
        <v>24.4634</v>
      </c>
      <c r="JV142">
        <v>102.377</v>
      </c>
      <c r="JW142">
        <v>91.4251</v>
      </c>
    </row>
    <row r="143" spans="1:283">
      <c r="A143">
        <v>125</v>
      </c>
      <c r="B143">
        <v>1761019066.1</v>
      </c>
      <c r="C143">
        <v>996.5999999046326</v>
      </c>
      <c r="D143" t="s">
        <v>681</v>
      </c>
      <c r="E143" t="s">
        <v>682</v>
      </c>
      <c r="F143">
        <v>5</v>
      </c>
      <c r="G143" t="s">
        <v>674</v>
      </c>
      <c r="H143">
        <v>1761019063.1</v>
      </c>
      <c r="I143">
        <f>(J143)/1000</f>
        <v>0</v>
      </c>
      <c r="J143">
        <f>1000*DJ143*AH143*(DF143-DG143)/(100*CY143*(1000-AH143*DF143))</f>
        <v>0</v>
      </c>
      <c r="K143">
        <f>DJ143*AH143*(DE143-DD143*(1000-AH143*DG143)/(1000-AH143*DF143))/(100*CY143)</f>
        <v>0</v>
      </c>
      <c r="L143">
        <f>DD143 - IF(AH143&gt;1, K143*CY143*100.0/(AJ143), 0)</f>
        <v>0</v>
      </c>
      <c r="M143">
        <f>((S143-I143/2)*L143-K143)/(S143+I143/2)</f>
        <v>0</v>
      </c>
      <c r="N143">
        <f>M143*(DK143+DL143)/1000.0</f>
        <v>0</v>
      </c>
      <c r="O143">
        <f>(DD143 - IF(AH143&gt;1, K143*CY143*100.0/(AJ143), 0))*(DK143+DL143)/1000.0</f>
        <v>0</v>
      </c>
      <c r="P143">
        <f>2.0/((1/R143-1/Q143)+SIGN(R143)*SQRT((1/R143-1/Q143)*(1/R143-1/Q143) + 4*CZ143/((CZ143+1)*(CZ143+1))*(2*1/R143*1/Q143-1/Q143*1/Q143)))</f>
        <v>0</v>
      </c>
      <c r="Q143">
        <f>IF(LEFT(DA143,1)&lt;&gt;"0",IF(LEFT(DA143,1)="1",3.0,DB143),$D$5+$E$5*(DR143*DK143/($K$5*1000))+$F$5*(DR143*DK143/($K$5*1000))*MAX(MIN(CY143,$J$5),$I$5)*MAX(MIN(CY143,$J$5),$I$5)+$G$5*MAX(MIN(CY143,$J$5),$I$5)*(DR143*DK143/($K$5*1000))+$H$5*(DR143*DK143/($K$5*1000))*(DR143*DK143/($K$5*1000)))</f>
        <v>0</v>
      </c>
      <c r="R143">
        <f>I143*(1000-(1000*0.61365*exp(17.502*V143/(240.97+V143))/(DK143+DL143)+DF143)/2)/(1000*0.61365*exp(17.502*V143/(240.97+V143))/(DK143+DL143)-DF143)</f>
        <v>0</v>
      </c>
      <c r="S143">
        <f>1/((CZ143+1)/(P143/1.6)+1/(Q143/1.37)) + CZ143/((CZ143+1)/(P143/1.6) + CZ143/(Q143/1.37))</f>
        <v>0</v>
      </c>
      <c r="T143">
        <f>(CU143*CX143)</f>
        <v>0</v>
      </c>
      <c r="U143">
        <f>(DM143+(T143+2*0.95*5.67E-8*(((DM143+$B$9)+273)^4-(DM143+273)^4)-44100*I143)/(1.84*29.3*Q143+8*0.95*5.67E-8*(DM143+273)^3))</f>
        <v>0</v>
      </c>
      <c r="V143">
        <f>($C$9*DN143+$D$9*DO143+$E$9*U143)</f>
        <v>0</v>
      </c>
      <c r="W143">
        <f>0.61365*exp(17.502*V143/(240.97+V143))</f>
        <v>0</v>
      </c>
      <c r="X143">
        <f>(Y143/Z143*100)</f>
        <v>0</v>
      </c>
      <c r="Y143">
        <f>DF143*(DK143+DL143)/1000</f>
        <v>0</v>
      </c>
      <c r="Z143">
        <f>0.61365*exp(17.502*DM143/(240.97+DM143))</f>
        <v>0</v>
      </c>
      <c r="AA143">
        <f>(W143-DF143*(DK143+DL143)/1000)</f>
        <v>0</v>
      </c>
      <c r="AB143">
        <f>(-I143*44100)</f>
        <v>0</v>
      </c>
      <c r="AC143">
        <f>2*29.3*Q143*0.92*(DM143-V143)</f>
        <v>0</v>
      </c>
      <c r="AD143">
        <f>2*0.95*5.67E-8*(((DM143+$B$9)+273)^4-(V143+273)^4)</f>
        <v>0</v>
      </c>
      <c r="AE143">
        <f>T143+AD143+AB143+AC143</f>
        <v>0</v>
      </c>
      <c r="AF143">
        <v>0</v>
      </c>
      <c r="AG143">
        <v>0</v>
      </c>
      <c r="AH143">
        <f>IF(AF143*$H$15&gt;=AJ143,1.0,(AJ143/(AJ143-AF143*$H$15)))</f>
        <v>0</v>
      </c>
      <c r="AI143">
        <f>(AH143-1)*100</f>
        <v>0</v>
      </c>
      <c r="AJ143">
        <f>MAX(0,($B$15+$C$15*DR143)/(1+$D$15*DR143)*DK143/(DM143+273)*$E$15)</f>
        <v>0</v>
      </c>
      <c r="AK143" t="s">
        <v>420</v>
      </c>
      <c r="AL143" t="s">
        <v>420</v>
      </c>
      <c r="AM143">
        <v>0</v>
      </c>
      <c r="AN143">
        <v>0</v>
      </c>
      <c r="AO143">
        <f>1-AM143/AN143</f>
        <v>0</v>
      </c>
      <c r="AP143">
        <v>0</v>
      </c>
      <c r="AQ143" t="s">
        <v>420</v>
      </c>
      <c r="AR143" t="s">
        <v>420</v>
      </c>
      <c r="AS143">
        <v>0</v>
      </c>
      <c r="AT143">
        <v>0</v>
      </c>
      <c r="AU143">
        <f>1-AS143/AT143</f>
        <v>0</v>
      </c>
      <c r="AV143">
        <v>0.5</v>
      </c>
      <c r="AW143">
        <f>CV143</f>
        <v>0</v>
      </c>
      <c r="AX143">
        <f>K143</f>
        <v>0</v>
      </c>
      <c r="AY143">
        <f>AU143*AV143*AW143</f>
        <v>0</v>
      </c>
      <c r="AZ143">
        <f>(AX143-AP143)/AW143</f>
        <v>0</v>
      </c>
      <c r="BA143">
        <f>(AN143-AT143)/AT143</f>
        <v>0</v>
      </c>
      <c r="BB143">
        <f>AM143/(AO143+AM143/AT143)</f>
        <v>0</v>
      </c>
      <c r="BC143" t="s">
        <v>420</v>
      </c>
      <c r="BD143">
        <v>0</v>
      </c>
      <c r="BE143">
        <f>IF(BD143&lt;&gt;0, BD143, BB143)</f>
        <v>0</v>
      </c>
      <c r="BF143">
        <f>1-BE143/AT143</f>
        <v>0</v>
      </c>
      <c r="BG143">
        <f>(AT143-AS143)/(AT143-BE143)</f>
        <v>0</v>
      </c>
      <c r="BH143">
        <f>(AN143-AT143)/(AN143-BE143)</f>
        <v>0</v>
      </c>
      <c r="BI143">
        <f>(AT143-AS143)/(AT143-AM143)</f>
        <v>0</v>
      </c>
      <c r="BJ143">
        <f>(AN143-AT143)/(AN143-AM143)</f>
        <v>0</v>
      </c>
      <c r="BK143">
        <f>(BG143*BE143/AS143)</f>
        <v>0</v>
      </c>
      <c r="BL143">
        <f>(1-BK143)</f>
        <v>0</v>
      </c>
      <c r="CU143">
        <f>$B$13*DS143+$C$13*DT143+$F$13*EE143*(1-EH143)</f>
        <v>0</v>
      </c>
      <c r="CV143">
        <f>CU143*CW143</f>
        <v>0</v>
      </c>
      <c r="CW143">
        <f>($B$13*$D$11+$C$13*$D$11+$F$13*((ER143+EJ143)/MAX(ER143+EJ143+ES143, 0.1)*$I$11+ES143/MAX(ER143+EJ143+ES143, 0.1)*$J$11))/($B$13+$C$13+$F$13)</f>
        <v>0</v>
      </c>
      <c r="CX143">
        <f>($B$13*$K$11+$C$13*$K$11+$F$13*((ER143+EJ143)/MAX(ER143+EJ143+ES143, 0.1)*$P$11+ES143/MAX(ER143+EJ143+ES143, 0.1)*$Q$11))/($B$13+$C$13+$F$13)</f>
        <v>0</v>
      </c>
      <c r="CY143">
        <v>5.66</v>
      </c>
      <c r="CZ143">
        <v>0.5</v>
      </c>
      <c r="DA143" t="s">
        <v>421</v>
      </c>
      <c r="DB143">
        <v>2</v>
      </c>
      <c r="DC143">
        <v>1761019063.1</v>
      </c>
      <c r="DD143">
        <v>420.6847777777778</v>
      </c>
      <c r="DE143">
        <v>420.0608888888889</v>
      </c>
      <c r="DF143">
        <v>24.1336</v>
      </c>
      <c r="DG143">
        <v>23.66411111111111</v>
      </c>
      <c r="DH143">
        <v>422.2514444444444</v>
      </c>
      <c r="DI143">
        <v>23.93327777777777</v>
      </c>
      <c r="DJ143">
        <v>500.0818888888889</v>
      </c>
      <c r="DK143">
        <v>90.80834444444446</v>
      </c>
      <c r="DL143">
        <v>0.03359274444444444</v>
      </c>
      <c r="DM143">
        <v>30.69032222222222</v>
      </c>
      <c r="DN143">
        <v>30.20068888888889</v>
      </c>
      <c r="DO143">
        <v>999.9000000000001</v>
      </c>
      <c r="DP143">
        <v>0</v>
      </c>
      <c r="DQ143">
        <v>0</v>
      </c>
      <c r="DR143">
        <v>10001.73888888889</v>
      </c>
      <c r="DS143">
        <v>0</v>
      </c>
      <c r="DT143">
        <v>0.242856</v>
      </c>
      <c r="DU143">
        <v>0.6240233333333333</v>
      </c>
      <c r="DV143">
        <v>431.0886666666667</v>
      </c>
      <c r="DW143">
        <v>430.2423333333334</v>
      </c>
      <c r="DX143">
        <v>0.4694702222222222</v>
      </c>
      <c r="DY143">
        <v>420.0608888888889</v>
      </c>
      <c r="DZ143">
        <v>23.66411111111111</v>
      </c>
      <c r="EA143">
        <v>2.191532222222222</v>
      </c>
      <c r="EB143">
        <v>2.148898888888889</v>
      </c>
      <c r="EC143">
        <v>18.90047777777778</v>
      </c>
      <c r="ED143">
        <v>18.58634444444444</v>
      </c>
      <c r="EE143">
        <v>0.00500078</v>
      </c>
      <c r="EF143">
        <v>0</v>
      </c>
      <c r="EG143">
        <v>0</v>
      </c>
      <c r="EH143">
        <v>0</v>
      </c>
      <c r="EI143">
        <v>872.3888888888889</v>
      </c>
      <c r="EJ143">
        <v>0.00500078</v>
      </c>
      <c r="EK143">
        <v>-5.277777777777779</v>
      </c>
      <c r="EL143">
        <v>0.911111111111111</v>
      </c>
      <c r="EM143">
        <v>36.16644444444445</v>
      </c>
      <c r="EN143">
        <v>40.694</v>
      </c>
      <c r="EO143">
        <v>39.27755555555556</v>
      </c>
      <c r="EP143">
        <v>41.81233333333333</v>
      </c>
      <c r="EQ143">
        <v>39.38866666666667</v>
      </c>
      <c r="ER143">
        <v>0</v>
      </c>
      <c r="ES143">
        <v>0</v>
      </c>
      <c r="ET143">
        <v>0</v>
      </c>
      <c r="EU143">
        <v>1761019065.1</v>
      </c>
      <c r="EV143">
        <v>0</v>
      </c>
      <c r="EW143">
        <v>879.6423076923076</v>
      </c>
      <c r="EX143">
        <v>-102.8683759418492</v>
      </c>
      <c r="EY143">
        <v>8.9675214605689</v>
      </c>
      <c r="EZ143">
        <v>-7.388461538461538</v>
      </c>
      <c r="FA143">
        <v>15</v>
      </c>
      <c r="FB143">
        <v>1761018667.1</v>
      </c>
      <c r="FC143" t="s">
        <v>613</v>
      </c>
      <c r="FD143">
        <v>1761018661.6</v>
      </c>
      <c r="FE143">
        <v>1761018667.1</v>
      </c>
      <c r="FF143">
        <v>26</v>
      </c>
      <c r="FG143">
        <v>-0.221</v>
      </c>
      <c r="FH143">
        <v>-0.001</v>
      </c>
      <c r="FI143">
        <v>-1.568</v>
      </c>
      <c r="FJ143">
        <v>0.178</v>
      </c>
      <c r="FK143">
        <v>420</v>
      </c>
      <c r="FL143">
        <v>23</v>
      </c>
      <c r="FM143">
        <v>0.1</v>
      </c>
      <c r="FN143">
        <v>0.08</v>
      </c>
      <c r="FO143">
        <v>0.5547775121951219</v>
      </c>
      <c r="FP143">
        <v>0.2663673867595834</v>
      </c>
      <c r="FQ143">
        <v>0.0660998429650627</v>
      </c>
      <c r="FR143">
        <v>1</v>
      </c>
      <c r="FS143">
        <v>885.0676470588235</v>
      </c>
      <c r="FT143">
        <v>-100.6737967274153</v>
      </c>
      <c r="FU143">
        <v>11.87884230317365</v>
      </c>
      <c r="FV143">
        <v>0</v>
      </c>
      <c r="FW143">
        <v>0.2443633243902439</v>
      </c>
      <c r="FX143">
        <v>2.345283683623693</v>
      </c>
      <c r="FY143">
        <v>0.2492414212796518</v>
      </c>
      <c r="FZ143">
        <v>0</v>
      </c>
      <c r="GA143">
        <v>1</v>
      </c>
      <c r="GB143">
        <v>3</v>
      </c>
      <c r="GC143" t="s">
        <v>431</v>
      </c>
      <c r="GD143">
        <v>3.1096</v>
      </c>
      <c r="GE143">
        <v>2.72518</v>
      </c>
      <c r="GF143">
        <v>0.0890406</v>
      </c>
      <c r="GG143">
        <v>0.0887206</v>
      </c>
      <c r="GH143">
        <v>0.109062</v>
      </c>
      <c r="GI143">
        <v>0.108997</v>
      </c>
      <c r="GJ143">
        <v>23927.4</v>
      </c>
      <c r="GK143">
        <v>21663.9</v>
      </c>
      <c r="GL143">
        <v>26822.2</v>
      </c>
      <c r="GM143">
        <v>23976.9</v>
      </c>
      <c r="GN143">
        <v>38180</v>
      </c>
      <c r="GO143">
        <v>31504.8</v>
      </c>
      <c r="GP143">
        <v>46815.9</v>
      </c>
      <c r="GQ143">
        <v>37894.6</v>
      </c>
      <c r="GR143">
        <v>1.89965</v>
      </c>
      <c r="GS143">
        <v>1.89675</v>
      </c>
      <c r="GT143">
        <v>0.141487</v>
      </c>
      <c r="GU143">
        <v>0</v>
      </c>
      <c r="GV143">
        <v>27.8763</v>
      </c>
      <c r="GW143">
        <v>999.9</v>
      </c>
      <c r="GX143">
        <v>64.09999999999999</v>
      </c>
      <c r="GY143">
        <v>28.5</v>
      </c>
      <c r="GZ143">
        <v>27.5776</v>
      </c>
      <c r="HA143">
        <v>61.2973</v>
      </c>
      <c r="HB143">
        <v>20.0921</v>
      </c>
      <c r="HC143">
        <v>1</v>
      </c>
      <c r="HD143">
        <v>-0.0213999</v>
      </c>
      <c r="HE143">
        <v>-1.65652</v>
      </c>
      <c r="HF143">
        <v>20.3285</v>
      </c>
      <c r="HG143">
        <v>5.22238</v>
      </c>
      <c r="HH143">
        <v>11.9798</v>
      </c>
      <c r="HI143">
        <v>4.9657</v>
      </c>
      <c r="HJ143">
        <v>3.27593</v>
      </c>
      <c r="HK143">
        <v>9999</v>
      </c>
      <c r="HL143">
        <v>9999</v>
      </c>
      <c r="HM143">
        <v>9999</v>
      </c>
      <c r="HN143">
        <v>999.9</v>
      </c>
      <c r="HO143">
        <v>1.86357</v>
      </c>
      <c r="HP143">
        <v>1.85974</v>
      </c>
      <c r="HQ143">
        <v>1.85797</v>
      </c>
      <c r="HR143">
        <v>1.8594</v>
      </c>
      <c r="HS143">
        <v>1.85959</v>
      </c>
      <c r="HT143">
        <v>1.85804</v>
      </c>
      <c r="HU143">
        <v>1.85703</v>
      </c>
      <c r="HV143">
        <v>1.85206</v>
      </c>
      <c r="HW143">
        <v>0</v>
      </c>
      <c r="HX143">
        <v>0</v>
      </c>
      <c r="HY143">
        <v>0</v>
      </c>
      <c r="HZ143">
        <v>0</v>
      </c>
      <c r="IA143" t="s">
        <v>424</v>
      </c>
      <c r="IB143" t="s">
        <v>425</v>
      </c>
      <c r="IC143" t="s">
        <v>426</v>
      </c>
      <c r="ID143" t="s">
        <v>426</v>
      </c>
      <c r="IE143" t="s">
        <v>426</v>
      </c>
      <c r="IF143" t="s">
        <v>426</v>
      </c>
      <c r="IG143">
        <v>0</v>
      </c>
      <c r="IH143">
        <v>100</v>
      </c>
      <c r="II143">
        <v>100</v>
      </c>
      <c r="IJ143">
        <v>-1.567</v>
      </c>
      <c r="IK143">
        <v>0.1978</v>
      </c>
      <c r="IL143">
        <v>-2.357986366295179</v>
      </c>
      <c r="IM143">
        <v>0.001328113201692861</v>
      </c>
      <c r="IN143">
        <v>1.538283238170363E-06</v>
      </c>
      <c r="IO143">
        <v>-5.795655626708063E-10</v>
      </c>
      <c r="IP143">
        <v>-0.06105361615936408</v>
      </c>
      <c r="IQ143">
        <v>-0.004593102289677449</v>
      </c>
      <c r="IR143">
        <v>0.0008253994458280543</v>
      </c>
      <c r="IS143">
        <v>-7.403632370499484E-06</v>
      </c>
      <c r="IT143">
        <v>2</v>
      </c>
      <c r="IU143">
        <v>1985</v>
      </c>
      <c r="IV143">
        <v>1</v>
      </c>
      <c r="IW143">
        <v>27</v>
      </c>
      <c r="IX143">
        <v>6.7</v>
      </c>
      <c r="IY143">
        <v>6.7</v>
      </c>
      <c r="IZ143">
        <v>1.13037</v>
      </c>
      <c r="JA143">
        <v>2.59033</v>
      </c>
      <c r="JB143">
        <v>1.49658</v>
      </c>
      <c r="JC143">
        <v>2.34741</v>
      </c>
      <c r="JD143">
        <v>1.54907</v>
      </c>
      <c r="JE143">
        <v>2.45361</v>
      </c>
      <c r="JF143">
        <v>31.8488</v>
      </c>
      <c r="JG143">
        <v>14.4998</v>
      </c>
      <c r="JH143">
        <v>18</v>
      </c>
      <c r="JI143">
        <v>482.112</v>
      </c>
      <c r="JJ143">
        <v>510.08</v>
      </c>
      <c r="JK143">
        <v>31.9826</v>
      </c>
      <c r="JL143">
        <v>27.0149</v>
      </c>
      <c r="JM143">
        <v>29.9998</v>
      </c>
      <c r="JN143">
        <v>27.3043</v>
      </c>
      <c r="JO143">
        <v>27.3082</v>
      </c>
      <c r="JP143">
        <v>22.7228</v>
      </c>
      <c r="JQ143">
        <v>13.3434</v>
      </c>
      <c r="JR143">
        <v>90.7176</v>
      </c>
      <c r="JS143">
        <v>31.8232</v>
      </c>
      <c r="JT143">
        <v>420</v>
      </c>
      <c r="JU143">
        <v>24.5624</v>
      </c>
      <c r="JV143">
        <v>102.376</v>
      </c>
      <c r="JW143">
        <v>91.42449999999999</v>
      </c>
    </row>
    <row r="144" spans="1:283">
      <c r="A144">
        <v>126</v>
      </c>
      <c r="B144">
        <v>1761019068.1</v>
      </c>
      <c r="C144">
        <v>998.5999999046326</v>
      </c>
      <c r="D144" t="s">
        <v>683</v>
      </c>
      <c r="E144" t="s">
        <v>684</v>
      </c>
      <c r="F144">
        <v>5</v>
      </c>
      <c r="G144" t="s">
        <v>674</v>
      </c>
      <c r="H144">
        <v>1761019065.1</v>
      </c>
      <c r="I144">
        <f>(J144)/1000</f>
        <v>0</v>
      </c>
      <c r="J144">
        <f>1000*DJ144*AH144*(DF144-DG144)/(100*CY144*(1000-AH144*DF144))</f>
        <v>0</v>
      </c>
      <c r="K144">
        <f>DJ144*AH144*(DE144-DD144*(1000-AH144*DG144)/(1000-AH144*DF144))/(100*CY144)</f>
        <v>0</v>
      </c>
      <c r="L144">
        <f>DD144 - IF(AH144&gt;1, K144*CY144*100.0/(AJ144), 0)</f>
        <v>0</v>
      </c>
      <c r="M144">
        <f>((S144-I144/2)*L144-K144)/(S144+I144/2)</f>
        <v>0</v>
      </c>
      <c r="N144">
        <f>M144*(DK144+DL144)/1000.0</f>
        <v>0</v>
      </c>
      <c r="O144">
        <f>(DD144 - IF(AH144&gt;1, K144*CY144*100.0/(AJ144), 0))*(DK144+DL144)/1000.0</f>
        <v>0</v>
      </c>
      <c r="P144">
        <f>2.0/((1/R144-1/Q144)+SIGN(R144)*SQRT((1/R144-1/Q144)*(1/R144-1/Q144) + 4*CZ144/((CZ144+1)*(CZ144+1))*(2*1/R144*1/Q144-1/Q144*1/Q144)))</f>
        <v>0</v>
      </c>
      <c r="Q144">
        <f>IF(LEFT(DA144,1)&lt;&gt;"0",IF(LEFT(DA144,1)="1",3.0,DB144),$D$5+$E$5*(DR144*DK144/($K$5*1000))+$F$5*(DR144*DK144/($K$5*1000))*MAX(MIN(CY144,$J$5),$I$5)*MAX(MIN(CY144,$J$5),$I$5)+$G$5*MAX(MIN(CY144,$J$5),$I$5)*(DR144*DK144/($K$5*1000))+$H$5*(DR144*DK144/($K$5*1000))*(DR144*DK144/($K$5*1000)))</f>
        <v>0</v>
      </c>
      <c r="R144">
        <f>I144*(1000-(1000*0.61365*exp(17.502*V144/(240.97+V144))/(DK144+DL144)+DF144)/2)/(1000*0.61365*exp(17.502*V144/(240.97+V144))/(DK144+DL144)-DF144)</f>
        <v>0</v>
      </c>
      <c r="S144">
        <f>1/((CZ144+1)/(P144/1.6)+1/(Q144/1.37)) + CZ144/((CZ144+1)/(P144/1.6) + CZ144/(Q144/1.37))</f>
        <v>0</v>
      </c>
      <c r="T144">
        <f>(CU144*CX144)</f>
        <v>0</v>
      </c>
      <c r="U144">
        <f>(DM144+(T144+2*0.95*5.67E-8*(((DM144+$B$9)+273)^4-(DM144+273)^4)-44100*I144)/(1.84*29.3*Q144+8*0.95*5.67E-8*(DM144+273)^3))</f>
        <v>0</v>
      </c>
      <c r="V144">
        <f>($C$9*DN144+$D$9*DO144+$E$9*U144)</f>
        <v>0</v>
      </c>
      <c r="W144">
        <f>0.61365*exp(17.502*V144/(240.97+V144))</f>
        <v>0</v>
      </c>
      <c r="X144">
        <f>(Y144/Z144*100)</f>
        <v>0</v>
      </c>
      <c r="Y144">
        <f>DF144*(DK144+DL144)/1000</f>
        <v>0</v>
      </c>
      <c r="Z144">
        <f>0.61365*exp(17.502*DM144/(240.97+DM144))</f>
        <v>0</v>
      </c>
      <c r="AA144">
        <f>(W144-DF144*(DK144+DL144)/1000)</f>
        <v>0</v>
      </c>
      <c r="AB144">
        <f>(-I144*44100)</f>
        <v>0</v>
      </c>
      <c r="AC144">
        <f>2*29.3*Q144*0.92*(DM144-V144)</f>
        <v>0</v>
      </c>
      <c r="AD144">
        <f>2*0.95*5.67E-8*(((DM144+$B$9)+273)^4-(V144+273)^4)</f>
        <v>0</v>
      </c>
      <c r="AE144">
        <f>T144+AD144+AB144+AC144</f>
        <v>0</v>
      </c>
      <c r="AF144">
        <v>0</v>
      </c>
      <c r="AG144">
        <v>0</v>
      </c>
      <c r="AH144">
        <f>IF(AF144*$H$15&gt;=AJ144,1.0,(AJ144/(AJ144-AF144*$H$15)))</f>
        <v>0</v>
      </c>
      <c r="AI144">
        <f>(AH144-1)*100</f>
        <v>0</v>
      </c>
      <c r="AJ144">
        <f>MAX(0,($B$15+$C$15*DR144)/(1+$D$15*DR144)*DK144/(DM144+273)*$E$15)</f>
        <v>0</v>
      </c>
      <c r="AK144" t="s">
        <v>420</v>
      </c>
      <c r="AL144" t="s">
        <v>420</v>
      </c>
      <c r="AM144">
        <v>0</v>
      </c>
      <c r="AN144">
        <v>0</v>
      </c>
      <c r="AO144">
        <f>1-AM144/AN144</f>
        <v>0</v>
      </c>
      <c r="AP144">
        <v>0</v>
      </c>
      <c r="AQ144" t="s">
        <v>420</v>
      </c>
      <c r="AR144" t="s">
        <v>420</v>
      </c>
      <c r="AS144">
        <v>0</v>
      </c>
      <c r="AT144">
        <v>0</v>
      </c>
      <c r="AU144">
        <f>1-AS144/AT144</f>
        <v>0</v>
      </c>
      <c r="AV144">
        <v>0.5</v>
      </c>
      <c r="AW144">
        <f>CV144</f>
        <v>0</v>
      </c>
      <c r="AX144">
        <f>K144</f>
        <v>0</v>
      </c>
      <c r="AY144">
        <f>AU144*AV144*AW144</f>
        <v>0</v>
      </c>
      <c r="AZ144">
        <f>(AX144-AP144)/AW144</f>
        <v>0</v>
      </c>
      <c r="BA144">
        <f>(AN144-AT144)/AT144</f>
        <v>0</v>
      </c>
      <c r="BB144">
        <f>AM144/(AO144+AM144/AT144)</f>
        <v>0</v>
      </c>
      <c r="BC144" t="s">
        <v>420</v>
      </c>
      <c r="BD144">
        <v>0</v>
      </c>
      <c r="BE144">
        <f>IF(BD144&lt;&gt;0, BD144, BB144)</f>
        <v>0</v>
      </c>
      <c r="BF144">
        <f>1-BE144/AT144</f>
        <v>0</v>
      </c>
      <c r="BG144">
        <f>(AT144-AS144)/(AT144-BE144)</f>
        <v>0</v>
      </c>
      <c r="BH144">
        <f>(AN144-AT144)/(AN144-BE144)</f>
        <v>0</v>
      </c>
      <c r="BI144">
        <f>(AT144-AS144)/(AT144-AM144)</f>
        <v>0</v>
      </c>
      <c r="BJ144">
        <f>(AN144-AT144)/(AN144-AM144)</f>
        <v>0</v>
      </c>
      <c r="BK144">
        <f>(BG144*BE144/AS144)</f>
        <v>0</v>
      </c>
      <c r="BL144">
        <f>(1-BK144)</f>
        <v>0</v>
      </c>
      <c r="CU144">
        <f>$B$13*DS144+$C$13*DT144+$F$13*EE144*(1-EH144)</f>
        <v>0</v>
      </c>
      <c r="CV144">
        <f>CU144*CW144</f>
        <v>0</v>
      </c>
      <c r="CW144">
        <f>($B$13*$D$11+$C$13*$D$11+$F$13*((ER144+EJ144)/MAX(ER144+EJ144+ES144, 0.1)*$I$11+ES144/MAX(ER144+EJ144+ES144, 0.1)*$J$11))/($B$13+$C$13+$F$13)</f>
        <v>0</v>
      </c>
      <c r="CX144">
        <f>($B$13*$K$11+$C$13*$K$11+$F$13*((ER144+EJ144)/MAX(ER144+EJ144+ES144, 0.1)*$P$11+ES144/MAX(ER144+EJ144+ES144, 0.1)*$Q$11))/($B$13+$C$13+$F$13)</f>
        <v>0</v>
      </c>
      <c r="CY144">
        <v>5.66</v>
      </c>
      <c r="CZ144">
        <v>0.5</v>
      </c>
      <c r="DA144" t="s">
        <v>421</v>
      </c>
      <c r="DB144">
        <v>2</v>
      </c>
      <c r="DC144">
        <v>1761019065.1</v>
      </c>
      <c r="DD144">
        <v>420.6463333333334</v>
      </c>
      <c r="DE144">
        <v>419.9851111111111</v>
      </c>
      <c r="DF144">
        <v>24.05843333333334</v>
      </c>
      <c r="DG144">
        <v>23.66632222222222</v>
      </c>
      <c r="DH144">
        <v>422.2132222222223</v>
      </c>
      <c r="DI144">
        <v>23.85973333333333</v>
      </c>
      <c r="DJ144">
        <v>500.0664444444444</v>
      </c>
      <c r="DK144">
        <v>90.80815555555556</v>
      </c>
      <c r="DL144">
        <v>0.03357015555555556</v>
      </c>
      <c r="DM144">
        <v>30.68534444444444</v>
      </c>
      <c r="DN144">
        <v>30.19197777777778</v>
      </c>
      <c r="DO144">
        <v>999.9000000000001</v>
      </c>
      <c r="DP144">
        <v>0</v>
      </c>
      <c r="DQ144">
        <v>0</v>
      </c>
      <c r="DR144">
        <v>9994.370000000001</v>
      </c>
      <c r="DS144">
        <v>0</v>
      </c>
      <c r="DT144">
        <v>0.242856</v>
      </c>
      <c r="DU144">
        <v>0.6614276666666667</v>
      </c>
      <c r="DV144">
        <v>431.016</v>
      </c>
      <c r="DW144">
        <v>430.1657777777777</v>
      </c>
      <c r="DX144">
        <v>0.3920823333333334</v>
      </c>
      <c r="DY144">
        <v>419.9851111111111</v>
      </c>
      <c r="DZ144">
        <v>23.66632222222222</v>
      </c>
      <c r="EA144">
        <v>2.184702222222223</v>
      </c>
      <c r="EB144">
        <v>2.149096666666666</v>
      </c>
      <c r="EC144">
        <v>18.85052222222222</v>
      </c>
      <c r="ED144">
        <v>18.58781111111111</v>
      </c>
      <c r="EE144">
        <v>0.00500078</v>
      </c>
      <c r="EF144">
        <v>0</v>
      </c>
      <c r="EG144">
        <v>0</v>
      </c>
      <c r="EH144">
        <v>0</v>
      </c>
      <c r="EI144">
        <v>867.1333333333333</v>
      </c>
      <c r="EJ144">
        <v>0.00500078</v>
      </c>
      <c r="EK144">
        <v>-6.166666666666666</v>
      </c>
      <c r="EL144">
        <v>0.7777777777777778</v>
      </c>
      <c r="EM144">
        <v>36.15255555555555</v>
      </c>
      <c r="EN144">
        <v>40.57599999999999</v>
      </c>
      <c r="EO144">
        <v>39.27066666666667</v>
      </c>
      <c r="EP144">
        <v>41.67333333333333</v>
      </c>
      <c r="EQ144">
        <v>39.35411111111111</v>
      </c>
      <c r="ER144">
        <v>0</v>
      </c>
      <c r="ES144">
        <v>0</v>
      </c>
      <c r="ET144">
        <v>0</v>
      </c>
      <c r="EU144">
        <v>1761019066.9</v>
      </c>
      <c r="EV144">
        <v>0</v>
      </c>
      <c r="EW144">
        <v>874.92</v>
      </c>
      <c r="EX144">
        <v>-111.7846146461737</v>
      </c>
      <c r="EY144">
        <v>26.6538461194471</v>
      </c>
      <c r="EZ144">
        <v>-7.732</v>
      </c>
      <c r="FA144">
        <v>15</v>
      </c>
      <c r="FB144">
        <v>1761018667.1</v>
      </c>
      <c r="FC144" t="s">
        <v>613</v>
      </c>
      <c r="FD144">
        <v>1761018661.6</v>
      </c>
      <c r="FE144">
        <v>1761018667.1</v>
      </c>
      <c r="FF144">
        <v>26</v>
      </c>
      <c r="FG144">
        <v>-0.221</v>
      </c>
      <c r="FH144">
        <v>-0.001</v>
      </c>
      <c r="FI144">
        <v>-1.568</v>
      </c>
      <c r="FJ144">
        <v>0.178</v>
      </c>
      <c r="FK144">
        <v>420</v>
      </c>
      <c r="FL144">
        <v>23</v>
      </c>
      <c r="FM144">
        <v>0.1</v>
      </c>
      <c r="FN144">
        <v>0.08</v>
      </c>
      <c r="FO144">
        <v>0.564140275</v>
      </c>
      <c r="FP144">
        <v>0.5403114258911808</v>
      </c>
      <c r="FQ144">
        <v>0.07854658670750357</v>
      </c>
      <c r="FR144">
        <v>0</v>
      </c>
      <c r="FS144">
        <v>881.2088235294117</v>
      </c>
      <c r="FT144">
        <v>-111.5614972246509</v>
      </c>
      <c r="FU144">
        <v>12.82597015358382</v>
      </c>
      <c r="FV144">
        <v>0</v>
      </c>
      <c r="FW144">
        <v>0.2929071074999999</v>
      </c>
      <c r="FX144">
        <v>1.76296624727955</v>
      </c>
      <c r="FY144">
        <v>0.2079899131075824</v>
      </c>
      <c r="FZ144">
        <v>0</v>
      </c>
      <c r="GA144">
        <v>0</v>
      </c>
      <c r="GB144">
        <v>3</v>
      </c>
      <c r="GC144" t="s">
        <v>423</v>
      </c>
      <c r="GD144">
        <v>3.1094</v>
      </c>
      <c r="GE144">
        <v>2.72541</v>
      </c>
      <c r="GF144">
        <v>0.08903800000000001</v>
      </c>
      <c r="GG144">
        <v>0.0887295</v>
      </c>
      <c r="GH144">
        <v>0.108917</v>
      </c>
      <c r="GI144">
        <v>0.109293</v>
      </c>
      <c r="GJ144">
        <v>23927.5</v>
      </c>
      <c r="GK144">
        <v>21663.6</v>
      </c>
      <c r="GL144">
        <v>26822.2</v>
      </c>
      <c r="GM144">
        <v>23976.8</v>
      </c>
      <c r="GN144">
        <v>38186.2</v>
      </c>
      <c r="GO144">
        <v>31493.9</v>
      </c>
      <c r="GP144">
        <v>46815.7</v>
      </c>
      <c r="GQ144">
        <v>37894.2</v>
      </c>
      <c r="GR144">
        <v>1.89918</v>
      </c>
      <c r="GS144">
        <v>1.89727</v>
      </c>
      <c r="GT144">
        <v>0.141747</v>
      </c>
      <c r="GU144">
        <v>0</v>
      </c>
      <c r="GV144">
        <v>27.8773</v>
      </c>
      <c r="GW144">
        <v>999.9</v>
      </c>
      <c r="GX144">
        <v>64.09999999999999</v>
      </c>
      <c r="GY144">
        <v>28.5</v>
      </c>
      <c r="GZ144">
        <v>27.5785</v>
      </c>
      <c r="HA144">
        <v>61.1573</v>
      </c>
      <c r="HB144">
        <v>20.2404</v>
      </c>
      <c r="HC144">
        <v>1</v>
      </c>
      <c r="HD144">
        <v>-0.0213923</v>
      </c>
      <c r="HE144">
        <v>-1.53459</v>
      </c>
      <c r="HF144">
        <v>20.3294</v>
      </c>
      <c r="HG144">
        <v>5.22268</v>
      </c>
      <c r="HH144">
        <v>11.9798</v>
      </c>
      <c r="HI144">
        <v>4.9658</v>
      </c>
      <c r="HJ144">
        <v>3.2759</v>
      </c>
      <c r="HK144">
        <v>9999</v>
      </c>
      <c r="HL144">
        <v>9999</v>
      </c>
      <c r="HM144">
        <v>9999</v>
      </c>
      <c r="HN144">
        <v>999.9</v>
      </c>
      <c r="HO144">
        <v>1.86357</v>
      </c>
      <c r="HP144">
        <v>1.85974</v>
      </c>
      <c r="HQ144">
        <v>1.85798</v>
      </c>
      <c r="HR144">
        <v>1.85941</v>
      </c>
      <c r="HS144">
        <v>1.85959</v>
      </c>
      <c r="HT144">
        <v>1.85803</v>
      </c>
      <c r="HU144">
        <v>1.85705</v>
      </c>
      <c r="HV144">
        <v>1.85206</v>
      </c>
      <c r="HW144">
        <v>0</v>
      </c>
      <c r="HX144">
        <v>0</v>
      </c>
      <c r="HY144">
        <v>0</v>
      </c>
      <c r="HZ144">
        <v>0</v>
      </c>
      <c r="IA144" t="s">
        <v>424</v>
      </c>
      <c r="IB144" t="s">
        <v>425</v>
      </c>
      <c r="IC144" t="s">
        <v>426</v>
      </c>
      <c r="ID144" t="s">
        <v>426</v>
      </c>
      <c r="IE144" t="s">
        <v>426</v>
      </c>
      <c r="IF144" t="s">
        <v>426</v>
      </c>
      <c r="IG144">
        <v>0</v>
      </c>
      <c r="IH144">
        <v>100</v>
      </c>
      <c r="II144">
        <v>100</v>
      </c>
      <c r="IJ144">
        <v>-1.567</v>
      </c>
      <c r="IK144">
        <v>0.1968</v>
      </c>
      <c r="IL144">
        <v>-2.357986366295179</v>
      </c>
      <c r="IM144">
        <v>0.001328113201692861</v>
      </c>
      <c r="IN144">
        <v>1.538283238170363E-06</v>
      </c>
      <c r="IO144">
        <v>-5.795655626708063E-10</v>
      </c>
      <c r="IP144">
        <v>-0.06105361615936408</v>
      </c>
      <c r="IQ144">
        <v>-0.004593102289677449</v>
      </c>
      <c r="IR144">
        <v>0.0008253994458280543</v>
      </c>
      <c r="IS144">
        <v>-7.403632370499484E-06</v>
      </c>
      <c r="IT144">
        <v>2</v>
      </c>
      <c r="IU144">
        <v>1985</v>
      </c>
      <c r="IV144">
        <v>1</v>
      </c>
      <c r="IW144">
        <v>27</v>
      </c>
      <c r="IX144">
        <v>6.8</v>
      </c>
      <c r="IY144">
        <v>6.7</v>
      </c>
      <c r="IZ144">
        <v>1.13037</v>
      </c>
      <c r="JA144">
        <v>2.58667</v>
      </c>
      <c r="JB144">
        <v>1.49658</v>
      </c>
      <c r="JC144">
        <v>2.34741</v>
      </c>
      <c r="JD144">
        <v>1.54907</v>
      </c>
      <c r="JE144">
        <v>2.4231</v>
      </c>
      <c r="JF144">
        <v>31.8488</v>
      </c>
      <c r="JG144">
        <v>14.491</v>
      </c>
      <c r="JH144">
        <v>18</v>
      </c>
      <c r="JI144">
        <v>481.825</v>
      </c>
      <c r="JJ144">
        <v>510.422</v>
      </c>
      <c r="JK144">
        <v>31.9209</v>
      </c>
      <c r="JL144">
        <v>27.0138</v>
      </c>
      <c r="JM144">
        <v>29.9999</v>
      </c>
      <c r="JN144">
        <v>27.3026</v>
      </c>
      <c r="JO144">
        <v>27.3071</v>
      </c>
      <c r="JP144">
        <v>22.7213</v>
      </c>
      <c r="JQ144">
        <v>12.5605</v>
      </c>
      <c r="JR144">
        <v>91.1464</v>
      </c>
      <c r="JS144">
        <v>31.8232</v>
      </c>
      <c r="JT144">
        <v>420</v>
      </c>
      <c r="JU144">
        <v>24.6395</v>
      </c>
      <c r="JV144">
        <v>102.376</v>
      </c>
      <c r="JW144">
        <v>91.4237</v>
      </c>
    </row>
    <row r="145" spans="1:283">
      <c r="A145">
        <v>127</v>
      </c>
      <c r="B145">
        <v>1761019070.1</v>
      </c>
      <c r="C145">
        <v>1000.599999904633</v>
      </c>
      <c r="D145" t="s">
        <v>685</v>
      </c>
      <c r="E145" t="s">
        <v>686</v>
      </c>
      <c r="F145">
        <v>5</v>
      </c>
      <c r="G145" t="s">
        <v>674</v>
      </c>
      <c r="H145">
        <v>1761019067.1</v>
      </c>
      <c r="I145">
        <f>(J145)/1000</f>
        <v>0</v>
      </c>
      <c r="J145">
        <f>1000*DJ145*AH145*(DF145-DG145)/(100*CY145*(1000-AH145*DF145))</f>
        <v>0</v>
      </c>
      <c r="K145">
        <f>DJ145*AH145*(DE145-DD145*(1000-AH145*DG145)/(1000-AH145*DF145))/(100*CY145)</f>
        <v>0</v>
      </c>
      <c r="L145">
        <f>DD145 - IF(AH145&gt;1, K145*CY145*100.0/(AJ145), 0)</f>
        <v>0</v>
      </c>
      <c r="M145">
        <f>((S145-I145/2)*L145-K145)/(S145+I145/2)</f>
        <v>0</v>
      </c>
      <c r="N145">
        <f>M145*(DK145+DL145)/1000.0</f>
        <v>0</v>
      </c>
      <c r="O145">
        <f>(DD145 - IF(AH145&gt;1, K145*CY145*100.0/(AJ145), 0))*(DK145+DL145)/1000.0</f>
        <v>0</v>
      </c>
      <c r="P145">
        <f>2.0/((1/R145-1/Q145)+SIGN(R145)*SQRT((1/R145-1/Q145)*(1/R145-1/Q145) + 4*CZ145/((CZ145+1)*(CZ145+1))*(2*1/R145*1/Q145-1/Q145*1/Q145)))</f>
        <v>0</v>
      </c>
      <c r="Q145">
        <f>IF(LEFT(DA145,1)&lt;&gt;"0",IF(LEFT(DA145,1)="1",3.0,DB145),$D$5+$E$5*(DR145*DK145/($K$5*1000))+$F$5*(DR145*DK145/($K$5*1000))*MAX(MIN(CY145,$J$5),$I$5)*MAX(MIN(CY145,$J$5),$I$5)+$G$5*MAX(MIN(CY145,$J$5),$I$5)*(DR145*DK145/($K$5*1000))+$H$5*(DR145*DK145/($K$5*1000))*(DR145*DK145/($K$5*1000)))</f>
        <v>0</v>
      </c>
      <c r="R145">
        <f>I145*(1000-(1000*0.61365*exp(17.502*V145/(240.97+V145))/(DK145+DL145)+DF145)/2)/(1000*0.61365*exp(17.502*V145/(240.97+V145))/(DK145+DL145)-DF145)</f>
        <v>0</v>
      </c>
      <c r="S145">
        <f>1/((CZ145+1)/(P145/1.6)+1/(Q145/1.37)) + CZ145/((CZ145+1)/(P145/1.6) + CZ145/(Q145/1.37))</f>
        <v>0</v>
      </c>
      <c r="T145">
        <f>(CU145*CX145)</f>
        <v>0</v>
      </c>
      <c r="U145">
        <f>(DM145+(T145+2*0.95*5.67E-8*(((DM145+$B$9)+273)^4-(DM145+273)^4)-44100*I145)/(1.84*29.3*Q145+8*0.95*5.67E-8*(DM145+273)^3))</f>
        <v>0</v>
      </c>
      <c r="V145">
        <f>($C$9*DN145+$D$9*DO145+$E$9*U145)</f>
        <v>0</v>
      </c>
      <c r="W145">
        <f>0.61365*exp(17.502*V145/(240.97+V145))</f>
        <v>0</v>
      </c>
      <c r="X145">
        <f>(Y145/Z145*100)</f>
        <v>0</v>
      </c>
      <c r="Y145">
        <f>DF145*(DK145+DL145)/1000</f>
        <v>0</v>
      </c>
      <c r="Z145">
        <f>0.61365*exp(17.502*DM145/(240.97+DM145))</f>
        <v>0</v>
      </c>
      <c r="AA145">
        <f>(W145-DF145*(DK145+DL145)/1000)</f>
        <v>0</v>
      </c>
      <c r="AB145">
        <f>(-I145*44100)</f>
        <v>0</v>
      </c>
      <c r="AC145">
        <f>2*29.3*Q145*0.92*(DM145-V145)</f>
        <v>0</v>
      </c>
      <c r="AD145">
        <f>2*0.95*5.67E-8*(((DM145+$B$9)+273)^4-(V145+273)^4)</f>
        <v>0</v>
      </c>
      <c r="AE145">
        <f>T145+AD145+AB145+AC145</f>
        <v>0</v>
      </c>
      <c r="AF145">
        <v>0</v>
      </c>
      <c r="AG145">
        <v>0</v>
      </c>
      <c r="AH145">
        <f>IF(AF145*$H$15&gt;=AJ145,1.0,(AJ145/(AJ145-AF145*$H$15)))</f>
        <v>0</v>
      </c>
      <c r="AI145">
        <f>(AH145-1)*100</f>
        <v>0</v>
      </c>
      <c r="AJ145">
        <f>MAX(0,($B$15+$C$15*DR145)/(1+$D$15*DR145)*DK145/(DM145+273)*$E$15)</f>
        <v>0</v>
      </c>
      <c r="AK145" t="s">
        <v>420</v>
      </c>
      <c r="AL145" t="s">
        <v>420</v>
      </c>
      <c r="AM145">
        <v>0</v>
      </c>
      <c r="AN145">
        <v>0</v>
      </c>
      <c r="AO145">
        <f>1-AM145/AN145</f>
        <v>0</v>
      </c>
      <c r="AP145">
        <v>0</v>
      </c>
      <c r="AQ145" t="s">
        <v>420</v>
      </c>
      <c r="AR145" t="s">
        <v>420</v>
      </c>
      <c r="AS145">
        <v>0</v>
      </c>
      <c r="AT145">
        <v>0</v>
      </c>
      <c r="AU145">
        <f>1-AS145/AT145</f>
        <v>0</v>
      </c>
      <c r="AV145">
        <v>0.5</v>
      </c>
      <c r="AW145">
        <f>CV145</f>
        <v>0</v>
      </c>
      <c r="AX145">
        <f>K145</f>
        <v>0</v>
      </c>
      <c r="AY145">
        <f>AU145*AV145*AW145</f>
        <v>0</v>
      </c>
      <c r="AZ145">
        <f>(AX145-AP145)/AW145</f>
        <v>0</v>
      </c>
      <c r="BA145">
        <f>(AN145-AT145)/AT145</f>
        <v>0</v>
      </c>
      <c r="BB145">
        <f>AM145/(AO145+AM145/AT145)</f>
        <v>0</v>
      </c>
      <c r="BC145" t="s">
        <v>420</v>
      </c>
      <c r="BD145">
        <v>0</v>
      </c>
      <c r="BE145">
        <f>IF(BD145&lt;&gt;0, BD145, BB145)</f>
        <v>0</v>
      </c>
      <c r="BF145">
        <f>1-BE145/AT145</f>
        <v>0</v>
      </c>
      <c r="BG145">
        <f>(AT145-AS145)/(AT145-BE145)</f>
        <v>0</v>
      </c>
      <c r="BH145">
        <f>(AN145-AT145)/(AN145-BE145)</f>
        <v>0</v>
      </c>
      <c r="BI145">
        <f>(AT145-AS145)/(AT145-AM145)</f>
        <v>0</v>
      </c>
      <c r="BJ145">
        <f>(AN145-AT145)/(AN145-AM145)</f>
        <v>0</v>
      </c>
      <c r="BK145">
        <f>(BG145*BE145/AS145)</f>
        <v>0</v>
      </c>
      <c r="BL145">
        <f>(1-BK145)</f>
        <v>0</v>
      </c>
      <c r="CU145">
        <f>$B$13*DS145+$C$13*DT145+$F$13*EE145*(1-EH145)</f>
        <v>0</v>
      </c>
      <c r="CV145">
        <f>CU145*CW145</f>
        <v>0</v>
      </c>
      <c r="CW145">
        <f>($B$13*$D$11+$C$13*$D$11+$F$13*((ER145+EJ145)/MAX(ER145+EJ145+ES145, 0.1)*$I$11+ES145/MAX(ER145+EJ145+ES145, 0.1)*$J$11))/($B$13+$C$13+$F$13)</f>
        <v>0</v>
      </c>
      <c r="CX145">
        <f>($B$13*$K$11+$C$13*$K$11+$F$13*((ER145+EJ145)/MAX(ER145+EJ145+ES145, 0.1)*$P$11+ES145/MAX(ER145+EJ145+ES145, 0.1)*$Q$11))/($B$13+$C$13+$F$13)</f>
        <v>0</v>
      </c>
      <c r="CY145">
        <v>5.66</v>
      </c>
      <c r="CZ145">
        <v>0.5</v>
      </c>
      <c r="DA145" t="s">
        <v>421</v>
      </c>
      <c r="DB145">
        <v>2</v>
      </c>
      <c r="DC145">
        <v>1761019067.1</v>
      </c>
      <c r="DD145">
        <v>420.6152222222223</v>
      </c>
      <c r="DE145">
        <v>419.9423333333334</v>
      </c>
      <c r="DF145">
        <v>24.00231111111111</v>
      </c>
      <c r="DG145">
        <v>23.72611111111111</v>
      </c>
      <c r="DH145">
        <v>422.1822222222222</v>
      </c>
      <c r="DI145">
        <v>23.80484444444444</v>
      </c>
      <c r="DJ145">
        <v>500.0284444444444</v>
      </c>
      <c r="DK145">
        <v>90.80835555555556</v>
      </c>
      <c r="DL145">
        <v>0.03364997777777777</v>
      </c>
      <c r="DM145">
        <v>30.68055555555556</v>
      </c>
      <c r="DN145">
        <v>30.1868</v>
      </c>
      <c r="DO145">
        <v>999.9000000000001</v>
      </c>
      <c r="DP145">
        <v>0</v>
      </c>
      <c r="DQ145">
        <v>0</v>
      </c>
      <c r="DR145">
        <v>9993.751111111113</v>
      </c>
      <c r="DS145">
        <v>0</v>
      </c>
      <c r="DT145">
        <v>0.242856</v>
      </c>
      <c r="DU145">
        <v>0.6730074444444445</v>
      </c>
      <c r="DV145">
        <v>430.9592222222223</v>
      </c>
      <c r="DW145">
        <v>430.1484444444444</v>
      </c>
      <c r="DX145">
        <v>0.2761861111111111</v>
      </c>
      <c r="DY145">
        <v>419.9423333333334</v>
      </c>
      <c r="DZ145">
        <v>23.72611111111111</v>
      </c>
      <c r="EA145">
        <v>2.17961</v>
      </c>
      <c r="EB145">
        <v>2.154531111111111</v>
      </c>
      <c r="EC145">
        <v>18.8132</v>
      </c>
      <c r="ED145">
        <v>18.62808888888889</v>
      </c>
      <c r="EE145">
        <v>0.00500078</v>
      </c>
      <c r="EF145">
        <v>0</v>
      </c>
      <c r="EG145">
        <v>0</v>
      </c>
      <c r="EH145">
        <v>0</v>
      </c>
      <c r="EI145">
        <v>862.9888888888889</v>
      </c>
      <c r="EJ145">
        <v>0.00500078</v>
      </c>
      <c r="EK145">
        <v>-8.200000000000001</v>
      </c>
      <c r="EL145">
        <v>0.3555555555555556</v>
      </c>
      <c r="EM145">
        <v>36.13855555555555</v>
      </c>
      <c r="EN145">
        <v>40.465</v>
      </c>
      <c r="EO145">
        <v>39.18733333333333</v>
      </c>
      <c r="EP145">
        <v>41.53433333333333</v>
      </c>
      <c r="EQ145">
        <v>39.29844444444445</v>
      </c>
      <c r="ER145">
        <v>0</v>
      </c>
      <c r="ES145">
        <v>0</v>
      </c>
      <c r="ET145">
        <v>0</v>
      </c>
      <c r="EU145">
        <v>1761019069.3</v>
      </c>
      <c r="EV145">
        <v>0</v>
      </c>
      <c r="EW145">
        <v>870.5000000000001</v>
      </c>
      <c r="EX145">
        <v>-132.2076918962905</v>
      </c>
      <c r="EY145">
        <v>0.2307692498145061</v>
      </c>
      <c r="EZ145">
        <v>-7.32</v>
      </c>
      <c r="FA145">
        <v>15</v>
      </c>
      <c r="FB145">
        <v>1761018667.1</v>
      </c>
      <c r="FC145" t="s">
        <v>613</v>
      </c>
      <c r="FD145">
        <v>1761018661.6</v>
      </c>
      <c r="FE145">
        <v>1761018667.1</v>
      </c>
      <c r="FF145">
        <v>26</v>
      </c>
      <c r="FG145">
        <v>-0.221</v>
      </c>
      <c r="FH145">
        <v>-0.001</v>
      </c>
      <c r="FI145">
        <v>-1.568</v>
      </c>
      <c r="FJ145">
        <v>0.178</v>
      </c>
      <c r="FK145">
        <v>420</v>
      </c>
      <c r="FL145">
        <v>23</v>
      </c>
      <c r="FM145">
        <v>0.1</v>
      </c>
      <c r="FN145">
        <v>0.08</v>
      </c>
      <c r="FO145">
        <v>0.5703861707317073</v>
      </c>
      <c r="FP145">
        <v>0.7411889268292681</v>
      </c>
      <c r="FQ145">
        <v>0.08180995501082548</v>
      </c>
      <c r="FR145">
        <v>0</v>
      </c>
      <c r="FS145">
        <v>876.5176470588235</v>
      </c>
      <c r="FT145">
        <v>-117.4239877546251</v>
      </c>
      <c r="FU145">
        <v>13.30549357106117</v>
      </c>
      <c r="FV145">
        <v>0</v>
      </c>
      <c r="FW145">
        <v>0.3169321365853659</v>
      </c>
      <c r="FX145">
        <v>0.6648480627177701</v>
      </c>
      <c r="FY145">
        <v>0.1687844328061175</v>
      </c>
      <c r="FZ145">
        <v>0</v>
      </c>
      <c r="GA145">
        <v>0</v>
      </c>
      <c r="GB145">
        <v>3</v>
      </c>
      <c r="GC145" t="s">
        <v>423</v>
      </c>
      <c r="GD145">
        <v>3.10957</v>
      </c>
      <c r="GE145">
        <v>2.72536</v>
      </c>
      <c r="GF145">
        <v>0.0890418</v>
      </c>
      <c r="GG145">
        <v>0.08872910000000001</v>
      </c>
      <c r="GH145">
        <v>0.108872</v>
      </c>
      <c r="GI145">
        <v>0.109725</v>
      </c>
      <c r="GJ145">
        <v>23927.4</v>
      </c>
      <c r="GK145">
        <v>21663.4</v>
      </c>
      <c r="GL145">
        <v>26822.2</v>
      </c>
      <c r="GM145">
        <v>23976.6</v>
      </c>
      <c r="GN145">
        <v>38187.9</v>
      </c>
      <c r="GO145">
        <v>31478.2</v>
      </c>
      <c r="GP145">
        <v>46815.4</v>
      </c>
      <c r="GQ145">
        <v>37893.8</v>
      </c>
      <c r="GR145">
        <v>1.8995</v>
      </c>
      <c r="GS145">
        <v>1.8973</v>
      </c>
      <c r="GT145">
        <v>0.141375</v>
      </c>
      <c r="GU145">
        <v>0</v>
      </c>
      <c r="GV145">
        <v>27.8785</v>
      </c>
      <c r="GW145">
        <v>999.9</v>
      </c>
      <c r="GX145">
        <v>64.09999999999999</v>
      </c>
      <c r="GY145">
        <v>28.5</v>
      </c>
      <c r="GZ145">
        <v>27.5755</v>
      </c>
      <c r="HA145">
        <v>61.2274</v>
      </c>
      <c r="HB145">
        <v>20.2684</v>
      </c>
      <c r="HC145">
        <v>1</v>
      </c>
      <c r="HD145">
        <v>-0.0214888</v>
      </c>
      <c r="HE145">
        <v>-1.40375</v>
      </c>
      <c r="HF145">
        <v>20.3308</v>
      </c>
      <c r="HG145">
        <v>5.22268</v>
      </c>
      <c r="HH145">
        <v>11.9798</v>
      </c>
      <c r="HI145">
        <v>4.96565</v>
      </c>
      <c r="HJ145">
        <v>3.2759</v>
      </c>
      <c r="HK145">
        <v>9999</v>
      </c>
      <c r="HL145">
        <v>9999</v>
      </c>
      <c r="HM145">
        <v>9999</v>
      </c>
      <c r="HN145">
        <v>999.9</v>
      </c>
      <c r="HO145">
        <v>1.86356</v>
      </c>
      <c r="HP145">
        <v>1.85974</v>
      </c>
      <c r="HQ145">
        <v>1.85797</v>
      </c>
      <c r="HR145">
        <v>1.85942</v>
      </c>
      <c r="HS145">
        <v>1.85959</v>
      </c>
      <c r="HT145">
        <v>1.85803</v>
      </c>
      <c r="HU145">
        <v>1.85705</v>
      </c>
      <c r="HV145">
        <v>1.85206</v>
      </c>
      <c r="HW145">
        <v>0</v>
      </c>
      <c r="HX145">
        <v>0</v>
      </c>
      <c r="HY145">
        <v>0</v>
      </c>
      <c r="HZ145">
        <v>0</v>
      </c>
      <c r="IA145" t="s">
        <v>424</v>
      </c>
      <c r="IB145" t="s">
        <v>425</v>
      </c>
      <c r="IC145" t="s">
        <v>426</v>
      </c>
      <c r="ID145" t="s">
        <v>426</v>
      </c>
      <c r="IE145" t="s">
        <v>426</v>
      </c>
      <c r="IF145" t="s">
        <v>426</v>
      </c>
      <c r="IG145">
        <v>0</v>
      </c>
      <c r="IH145">
        <v>100</v>
      </c>
      <c r="II145">
        <v>100</v>
      </c>
      <c r="IJ145">
        <v>-1.566</v>
      </c>
      <c r="IK145">
        <v>0.1965</v>
      </c>
      <c r="IL145">
        <v>-2.357986366295179</v>
      </c>
      <c r="IM145">
        <v>0.001328113201692861</v>
      </c>
      <c r="IN145">
        <v>1.538283238170363E-06</v>
      </c>
      <c r="IO145">
        <v>-5.795655626708063E-10</v>
      </c>
      <c r="IP145">
        <v>-0.06105361615936408</v>
      </c>
      <c r="IQ145">
        <v>-0.004593102289677449</v>
      </c>
      <c r="IR145">
        <v>0.0008253994458280543</v>
      </c>
      <c r="IS145">
        <v>-7.403632370499484E-06</v>
      </c>
      <c r="IT145">
        <v>2</v>
      </c>
      <c r="IU145">
        <v>1985</v>
      </c>
      <c r="IV145">
        <v>1</v>
      </c>
      <c r="IW145">
        <v>27</v>
      </c>
      <c r="IX145">
        <v>6.8</v>
      </c>
      <c r="IY145">
        <v>6.7</v>
      </c>
      <c r="IZ145">
        <v>1.13037</v>
      </c>
      <c r="JA145">
        <v>2.58545</v>
      </c>
      <c r="JB145">
        <v>1.49658</v>
      </c>
      <c r="JC145">
        <v>2.34741</v>
      </c>
      <c r="JD145">
        <v>1.54907</v>
      </c>
      <c r="JE145">
        <v>2.46826</v>
      </c>
      <c r="JF145">
        <v>31.8488</v>
      </c>
      <c r="JG145">
        <v>14.4998</v>
      </c>
      <c r="JH145">
        <v>18</v>
      </c>
      <c r="JI145">
        <v>481.999</v>
      </c>
      <c r="JJ145">
        <v>510.437</v>
      </c>
      <c r="JK145">
        <v>31.847</v>
      </c>
      <c r="JL145">
        <v>27.0132</v>
      </c>
      <c r="JM145">
        <v>29.9998</v>
      </c>
      <c r="JN145">
        <v>27.3008</v>
      </c>
      <c r="JO145">
        <v>27.307</v>
      </c>
      <c r="JP145">
        <v>22.7266</v>
      </c>
      <c r="JQ145">
        <v>11.6765</v>
      </c>
      <c r="JR145">
        <v>91.1464</v>
      </c>
      <c r="JS145">
        <v>31.8232</v>
      </c>
      <c r="JT145">
        <v>420</v>
      </c>
      <c r="JU145">
        <v>24.6942</v>
      </c>
      <c r="JV145">
        <v>102.376</v>
      </c>
      <c r="JW145">
        <v>91.4229</v>
      </c>
    </row>
    <row r="146" spans="1:283">
      <c r="A146">
        <v>128</v>
      </c>
      <c r="B146">
        <v>1761019072.1</v>
      </c>
      <c r="C146">
        <v>1002.599999904633</v>
      </c>
      <c r="D146" t="s">
        <v>687</v>
      </c>
      <c r="E146" t="s">
        <v>688</v>
      </c>
      <c r="F146">
        <v>5</v>
      </c>
      <c r="G146" t="s">
        <v>674</v>
      </c>
      <c r="H146">
        <v>1761019069.1</v>
      </c>
      <c r="I146">
        <f>(J146)/1000</f>
        <v>0</v>
      </c>
      <c r="J146">
        <f>1000*DJ146*AH146*(DF146-DG146)/(100*CY146*(1000-AH146*DF146))</f>
        <v>0</v>
      </c>
      <c r="K146">
        <f>DJ146*AH146*(DE146-DD146*(1000-AH146*DG146)/(1000-AH146*DF146))/(100*CY146)</f>
        <v>0</v>
      </c>
      <c r="L146">
        <f>DD146 - IF(AH146&gt;1, K146*CY146*100.0/(AJ146), 0)</f>
        <v>0</v>
      </c>
      <c r="M146">
        <f>((S146-I146/2)*L146-K146)/(S146+I146/2)</f>
        <v>0</v>
      </c>
      <c r="N146">
        <f>M146*(DK146+DL146)/1000.0</f>
        <v>0</v>
      </c>
      <c r="O146">
        <f>(DD146 - IF(AH146&gt;1, K146*CY146*100.0/(AJ146), 0))*(DK146+DL146)/1000.0</f>
        <v>0</v>
      </c>
      <c r="P146">
        <f>2.0/((1/R146-1/Q146)+SIGN(R146)*SQRT((1/R146-1/Q146)*(1/R146-1/Q146) + 4*CZ146/((CZ146+1)*(CZ146+1))*(2*1/R146*1/Q146-1/Q146*1/Q146)))</f>
        <v>0</v>
      </c>
      <c r="Q146">
        <f>IF(LEFT(DA146,1)&lt;&gt;"0",IF(LEFT(DA146,1)="1",3.0,DB146),$D$5+$E$5*(DR146*DK146/($K$5*1000))+$F$5*(DR146*DK146/($K$5*1000))*MAX(MIN(CY146,$J$5),$I$5)*MAX(MIN(CY146,$J$5),$I$5)+$G$5*MAX(MIN(CY146,$J$5),$I$5)*(DR146*DK146/($K$5*1000))+$H$5*(DR146*DK146/($K$5*1000))*(DR146*DK146/($K$5*1000)))</f>
        <v>0</v>
      </c>
      <c r="R146">
        <f>I146*(1000-(1000*0.61365*exp(17.502*V146/(240.97+V146))/(DK146+DL146)+DF146)/2)/(1000*0.61365*exp(17.502*V146/(240.97+V146))/(DK146+DL146)-DF146)</f>
        <v>0</v>
      </c>
      <c r="S146">
        <f>1/((CZ146+1)/(P146/1.6)+1/(Q146/1.37)) + CZ146/((CZ146+1)/(P146/1.6) + CZ146/(Q146/1.37))</f>
        <v>0</v>
      </c>
      <c r="T146">
        <f>(CU146*CX146)</f>
        <v>0</v>
      </c>
      <c r="U146">
        <f>(DM146+(T146+2*0.95*5.67E-8*(((DM146+$B$9)+273)^4-(DM146+273)^4)-44100*I146)/(1.84*29.3*Q146+8*0.95*5.67E-8*(DM146+273)^3))</f>
        <v>0</v>
      </c>
      <c r="V146">
        <f>($C$9*DN146+$D$9*DO146+$E$9*U146)</f>
        <v>0</v>
      </c>
      <c r="W146">
        <f>0.61365*exp(17.502*V146/(240.97+V146))</f>
        <v>0</v>
      </c>
      <c r="X146">
        <f>(Y146/Z146*100)</f>
        <v>0</v>
      </c>
      <c r="Y146">
        <f>DF146*(DK146+DL146)/1000</f>
        <v>0</v>
      </c>
      <c r="Z146">
        <f>0.61365*exp(17.502*DM146/(240.97+DM146))</f>
        <v>0</v>
      </c>
      <c r="AA146">
        <f>(W146-DF146*(DK146+DL146)/1000)</f>
        <v>0</v>
      </c>
      <c r="AB146">
        <f>(-I146*44100)</f>
        <v>0</v>
      </c>
      <c r="AC146">
        <f>2*29.3*Q146*0.92*(DM146-V146)</f>
        <v>0</v>
      </c>
      <c r="AD146">
        <f>2*0.95*5.67E-8*(((DM146+$B$9)+273)^4-(V146+273)^4)</f>
        <v>0</v>
      </c>
      <c r="AE146">
        <f>T146+AD146+AB146+AC146</f>
        <v>0</v>
      </c>
      <c r="AF146">
        <v>0</v>
      </c>
      <c r="AG146">
        <v>0</v>
      </c>
      <c r="AH146">
        <f>IF(AF146*$H$15&gt;=AJ146,1.0,(AJ146/(AJ146-AF146*$H$15)))</f>
        <v>0</v>
      </c>
      <c r="AI146">
        <f>(AH146-1)*100</f>
        <v>0</v>
      </c>
      <c r="AJ146">
        <f>MAX(0,($B$15+$C$15*DR146)/(1+$D$15*DR146)*DK146/(DM146+273)*$E$15)</f>
        <v>0</v>
      </c>
      <c r="AK146" t="s">
        <v>420</v>
      </c>
      <c r="AL146" t="s">
        <v>420</v>
      </c>
      <c r="AM146">
        <v>0</v>
      </c>
      <c r="AN146">
        <v>0</v>
      </c>
      <c r="AO146">
        <f>1-AM146/AN146</f>
        <v>0</v>
      </c>
      <c r="AP146">
        <v>0</v>
      </c>
      <c r="AQ146" t="s">
        <v>420</v>
      </c>
      <c r="AR146" t="s">
        <v>420</v>
      </c>
      <c r="AS146">
        <v>0</v>
      </c>
      <c r="AT146">
        <v>0</v>
      </c>
      <c r="AU146">
        <f>1-AS146/AT146</f>
        <v>0</v>
      </c>
      <c r="AV146">
        <v>0.5</v>
      </c>
      <c r="AW146">
        <f>CV146</f>
        <v>0</v>
      </c>
      <c r="AX146">
        <f>K146</f>
        <v>0</v>
      </c>
      <c r="AY146">
        <f>AU146*AV146*AW146</f>
        <v>0</v>
      </c>
      <c r="AZ146">
        <f>(AX146-AP146)/AW146</f>
        <v>0</v>
      </c>
      <c r="BA146">
        <f>(AN146-AT146)/AT146</f>
        <v>0</v>
      </c>
      <c r="BB146">
        <f>AM146/(AO146+AM146/AT146)</f>
        <v>0</v>
      </c>
      <c r="BC146" t="s">
        <v>420</v>
      </c>
      <c r="BD146">
        <v>0</v>
      </c>
      <c r="BE146">
        <f>IF(BD146&lt;&gt;0, BD146, BB146)</f>
        <v>0</v>
      </c>
      <c r="BF146">
        <f>1-BE146/AT146</f>
        <v>0</v>
      </c>
      <c r="BG146">
        <f>(AT146-AS146)/(AT146-BE146)</f>
        <v>0</v>
      </c>
      <c r="BH146">
        <f>(AN146-AT146)/(AN146-BE146)</f>
        <v>0</v>
      </c>
      <c r="BI146">
        <f>(AT146-AS146)/(AT146-AM146)</f>
        <v>0</v>
      </c>
      <c r="BJ146">
        <f>(AN146-AT146)/(AN146-AM146)</f>
        <v>0</v>
      </c>
      <c r="BK146">
        <f>(BG146*BE146/AS146)</f>
        <v>0</v>
      </c>
      <c r="BL146">
        <f>(1-BK146)</f>
        <v>0</v>
      </c>
      <c r="CU146">
        <f>$B$13*DS146+$C$13*DT146+$F$13*EE146*(1-EH146)</f>
        <v>0</v>
      </c>
      <c r="CV146">
        <f>CU146*CW146</f>
        <v>0</v>
      </c>
      <c r="CW146">
        <f>($B$13*$D$11+$C$13*$D$11+$F$13*((ER146+EJ146)/MAX(ER146+EJ146+ES146, 0.1)*$I$11+ES146/MAX(ER146+EJ146+ES146, 0.1)*$J$11))/($B$13+$C$13+$F$13)</f>
        <v>0</v>
      </c>
      <c r="CX146">
        <f>($B$13*$K$11+$C$13*$K$11+$F$13*((ER146+EJ146)/MAX(ER146+EJ146+ES146, 0.1)*$P$11+ES146/MAX(ER146+EJ146+ES146, 0.1)*$Q$11))/($B$13+$C$13+$F$13)</f>
        <v>0</v>
      </c>
      <c r="CY146">
        <v>5.66</v>
      </c>
      <c r="CZ146">
        <v>0.5</v>
      </c>
      <c r="DA146" t="s">
        <v>421</v>
      </c>
      <c r="DB146">
        <v>2</v>
      </c>
      <c r="DC146">
        <v>1761019069.1</v>
      </c>
      <c r="DD146">
        <v>420.6065555555556</v>
      </c>
      <c r="DE146">
        <v>419.9141111111111</v>
      </c>
      <c r="DF146">
        <v>23.97303333333333</v>
      </c>
      <c r="DG146">
        <v>23.83537777777778</v>
      </c>
      <c r="DH146">
        <v>422.1734444444444</v>
      </c>
      <c r="DI146">
        <v>23.7762</v>
      </c>
      <c r="DJ146">
        <v>500.0005555555556</v>
      </c>
      <c r="DK146">
        <v>90.80877777777778</v>
      </c>
      <c r="DL146">
        <v>0.03378048888888889</v>
      </c>
      <c r="DM146">
        <v>30.67621111111111</v>
      </c>
      <c r="DN146">
        <v>30.18192222222223</v>
      </c>
      <c r="DO146">
        <v>999.9000000000001</v>
      </c>
      <c r="DP146">
        <v>0</v>
      </c>
      <c r="DQ146">
        <v>0</v>
      </c>
      <c r="DR146">
        <v>9993.751111111113</v>
      </c>
      <c r="DS146">
        <v>0</v>
      </c>
      <c r="DT146">
        <v>0.242856</v>
      </c>
      <c r="DU146">
        <v>0.6923251111111112</v>
      </c>
      <c r="DV146">
        <v>430.9373333333334</v>
      </c>
      <c r="DW146">
        <v>430.1675555555555</v>
      </c>
      <c r="DX146">
        <v>0.1376292933333333</v>
      </c>
      <c r="DY146">
        <v>419.9141111111111</v>
      </c>
      <c r="DZ146">
        <v>23.83537777777778</v>
      </c>
      <c r="EA146">
        <v>2.176962222222222</v>
      </c>
      <c r="EB146">
        <v>2.164464444444444</v>
      </c>
      <c r="EC146">
        <v>18.79376666666667</v>
      </c>
      <c r="ED146">
        <v>18.70154444444445</v>
      </c>
      <c r="EE146">
        <v>0.00500078</v>
      </c>
      <c r="EF146">
        <v>0</v>
      </c>
      <c r="EG146">
        <v>0</v>
      </c>
      <c r="EH146">
        <v>0</v>
      </c>
      <c r="EI146">
        <v>858.6444444444444</v>
      </c>
      <c r="EJ146">
        <v>0.00500078</v>
      </c>
      <c r="EK146">
        <v>-8.888888888888889</v>
      </c>
      <c r="EL146">
        <v>0.2222222222222222</v>
      </c>
      <c r="EM146">
        <v>36.11788888888889</v>
      </c>
      <c r="EN146">
        <v>40.38166666666667</v>
      </c>
      <c r="EO146">
        <v>39.17344444444445</v>
      </c>
      <c r="EP146">
        <v>41.40933333333333</v>
      </c>
      <c r="EQ146">
        <v>39.22188888888889</v>
      </c>
      <c r="ER146">
        <v>0</v>
      </c>
      <c r="ES146">
        <v>0</v>
      </c>
      <c r="ET146">
        <v>0</v>
      </c>
      <c r="EU146">
        <v>1761019071.1</v>
      </c>
      <c r="EV146">
        <v>0</v>
      </c>
      <c r="EW146">
        <v>868.7076923076924</v>
      </c>
      <c r="EX146">
        <v>-106.4068372372431</v>
      </c>
      <c r="EY146">
        <v>-18.18803392051211</v>
      </c>
      <c r="EZ146">
        <v>-7.284615384615384</v>
      </c>
      <c r="FA146">
        <v>15</v>
      </c>
      <c r="FB146">
        <v>1761018667.1</v>
      </c>
      <c r="FC146" t="s">
        <v>613</v>
      </c>
      <c r="FD146">
        <v>1761018661.6</v>
      </c>
      <c r="FE146">
        <v>1761018667.1</v>
      </c>
      <c r="FF146">
        <v>26</v>
      </c>
      <c r="FG146">
        <v>-0.221</v>
      </c>
      <c r="FH146">
        <v>-0.001</v>
      </c>
      <c r="FI146">
        <v>-1.568</v>
      </c>
      <c r="FJ146">
        <v>0.178</v>
      </c>
      <c r="FK146">
        <v>420</v>
      </c>
      <c r="FL146">
        <v>23</v>
      </c>
      <c r="FM146">
        <v>0.1</v>
      </c>
      <c r="FN146">
        <v>0.08</v>
      </c>
      <c r="FO146">
        <v>0.5887252499999999</v>
      </c>
      <c r="FP146">
        <v>0.7597191444652905</v>
      </c>
      <c r="FQ146">
        <v>0.08040183775690392</v>
      </c>
      <c r="FR146">
        <v>0</v>
      </c>
      <c r="FS146">
        <v>873.229411764706</v>
      </c>
      <c r="FT146">
        <v>-110.080977701814</v>
      </c>
      <c r="FU146">
        <v>12.70501358685674</v>
      </c>
      <c r="FV146">
        <v>0</v>
      </c>
      <c r="FW146">
        <v>0.326460906</v>
      </c>
      <c r="FX146">
        <v>-0.273449545666042</v>
      </c>
      <c r="FY146">
        <v>0.1599904183121771</v>
      </c>
      <c r="FZ146">
        <v>0</v>
      </c>
      <c r="GA146">
        <v>0</v>
      </c>
      <c r="GB146">
        <v>3</v>
      </c>
      <c r="GC146" t="s">
        <v>423</v>
      </c>
      <c r="GD146">
        <v>3.10952</v>
      </c>
      <c r="GE146">
        <v>2.72564</v>
      </c>
      <c r="GF146">
        <v>0.0890406</v>
      </c>
      <c r="GG146">
        <v>0.08870459999999999</v>
      </c>
      <c r="GH146">
        <v>0.108926</v>
      </c>
      <c r="GI146">
        <v>0.110223</v>
      </c>
      <c r="GJ146">
        <v>23927.4</v>
      </c>
      <c r="GK146">
        <v>21663.8</v>
      </c>
      <c r="GL146">
        <v>26822.1</v>
      </c>
      <c r="GM146">
        <v>23976.3</v>
      </c>
      <c r="GN146">
        <v>38185.6</v>
      </c>
      <c r="GO146">
        <v>31460.1</v>
      </c>
      <c r="GP146">
        <v>46815.5</v>
      </c>
      <c r="GQ146">
        <v>37893.5</v>
      </c>
      <c r="GR146">
        <v>1.89928</v>
      </c>
      <c r="GS146">
        <v>1.89765</v>
      </c>
      <c r="GT146">
        <v>0.140555</v>
      </c>
      <c r="GU146">
        <v>0</v>
      </c>
      <c r="GV146">
        <v>27.8786</v>
      </c>
      <c r="GW146">
        <v>999.9</v>
      </c>
      <c r="GX146">
        <v>64.09999999999999</v>
      </c>
      <c r="GY146">
        <v>28.5</v>
      </c>
      <c r="GZ146">
        <v>27.5787</v>
      </c>
      <c r="HA146">
        <v>61.1174</v>
      </c>
      <c r="HB146">
        <v>20.3766</v>
      </c>
      <c r="HC146">
        <v>1</v>
      </c>
      <c r="HD146">
        <v>-0.021781</v>
      </c>
      <c r="HE146">
        <v>-1.52779</v>
      </c>
      <c r="HF146">
        <v>20.3297</v>
      </c>
      <c r="HG146">
        <v>5.22268</v>
      </c>
      <c r="HH146">
        <v>11.98</v>
      </c>
      <c r="HI146">
        <v>4.9655</v>
      </c>
      <c r="HJ146">
        <v>3.27595</v>
      </c>
      <c r="HK146">
        <v>9999</v>
      </c>
      <c r="HL146">
        <v>9999</v>
      </c>
      <c r="HM146">
        <v>9999</v>
      </c>
      <c r="HN146">
        <v>999.9</v>
      </c>
      <c r="HO146">
        <v>1.86357</v>
      </c>
      <c r="HP146">
        <v>1.85974</v>
      </c>
      <c r="HQ146">
        <v>1.85796</v>
      </c>
      <c r="HR146">
        <v>1.85942</v>
      </c>
      <c r="HS146">
        <v>1.85959</v>
      </c>
      <c r="HT146">
        <v>1.85803</v>
      </c>
      <c r="HU146">
        <v>1.85705</v>
      </c>
      <c r="HV146">
        <v>1.85206</v>
      </c>
      <c r="HW146">
        <v>0</v>
      </c>
      <c r="HX146">
        <v>0</v>
      </c>
      <c r="HY146">
        <v>0</v>
      </c>
      <c r="HZ146">
        <v>0</v>
      </c>
      <c r="IA146" t="s">
        <v>424</v>
      </c>
      <c r="IB146" t="s">
        <v>425</v>
      </c>
      <c r="IC146" t="s">
        <v>426</v>
      </c>
      <c r="ID146" t="s">
        <v>426</v>
      </c>
      <c r="IE146" t="s">
        <v>426</v>
      </c>
      <c r="IF146" t="s">
        <v>426</v>
      </c>
      <c r="IG146">
        <v>0</v>
      </c>
      <c r="IH146">
        <v>100</v>
      </c>
      <c r="II146">
        <v>100</v>
      </c>
      <c r="IJ146">
        <v>-1.567</v>
      </c>
      <c r="IK146">
        <v>0.1968</v>
      </c>
      <c r="IL146">
        <v>-2.357986366295179</v>
      </c>
      <c r="IM146">
        <v>0.001328113201692861</v>
      </c>
      <c r="IN146">
        <v>1.538283238170363E-06</v>
      </c>
      <c r="IO146">
        <v>-5.795655626708063E-10</v>
      </c>
      <c r="IP146">
        <v>-0.06105361615936408</v>
      </c>
      <c r="IQ146">
        <v>-0.004593102289677449</v>
      </c>
      <c r="IR146">
        <v>0.0008253994458280543</v>
      </c>
      <c r="IS146">
        <v>-7.403632370499484E-06</v>
      </c>
      <c r="IT146">
        <v>2</v>
      </c>
      <c r="IU146">
        <v>1985</v>
      </c>
      <c r="IV146">
        <v>1</v>
      </c>
      <c r="IW146">
        <v>27</v>
      </c>
      <c r="IX146">
        <v>6.8</v>
      </c>
      <c r="IY146">
        <v>6.8</v>
      </c>
      <c r="IZ146">
        <v>1.13037</v>
      </c>
      <c r="JA146">
        <v>2.58911</v>
      </c>
      <c r="JB146">
        <v>1.49658</v>
      </c>
      <c r="JC146">
        <v>2.34863</v>
      </c>
      <c r="JD146">
        <v>1.54907</v>
      </c>
      <c r="JE146">
        <v>2.46826</v>
      </c>
      <c r="JF146">
        <v>31.8488</v>
      </c>
      <c r="JG146">
        <v>14.5085</v>
      </c>
      <c r="JH146">
        <v>18</v>
      </c>
      <c r="JI146">
        <v>481.86</v>
      </c>
      <c r="JJ146">
        <v>510.664</v>
      </c>
      <c r="JK146">
        <v>31.7747</v>
      </c>
      <c r="JL146">
        <v>27.0121</v>
      </c>
      <c r="JM146">
        <v>29.9998</v>
      </c>
      <c r="JN146">
        <v>27.2997</v>
      </c>
      <c r="JO146">
        <v>27.306</v>
      </c>
      <c r="JP146">
        <v>22.732</v>
      </c>
      <c r="JQ146">
        <v>11.0182</v>
      </c>
      <c r="JR146">
        <v>91.5595</v>
      </c>
      <c r="JS146">
        <v>31.6397</v>
      </c>
      <c r="JT146">
        <v>420</v>
      </c>
      <c r="JU146">
        <v>24.7312</v>
      </c>
      <c r="JV146">
        <v>102.376</v>
      </c>
      <c r="JW146">
        <v>91.42189999999999</v>
      </c>
    </row>
    <row r="147" spans="1:283">
      <c r="A147">
        <v>129</v>
      </c>
      <c r="B147">
        <v>1761019074.1</v>
      </c>
      <c r="C147">
        <v>1004.599999904633</v>
      </c>
      <c r="D147" t="s">
        <v>689</v>
      </c>
      <c r="E147" t="s">
        <v>690</v>
      </c>
      <c r="F147">
        <v>5</v>
      </c>
      <c r="G147" t="s">
        <v>674</v>
      </c>
      <c r="H147">
        <v>1761019071.1</v>
      </c>
      <c r="I147">
        <f>(J147)/1000</f>
        <v>0</v>
      </c>
      <c r="J147">
        <f>1000*DJ147*AH147*(DF147-DG147)/(100*CY147*(1000-AH147*DF147))</f>
        <v>0</v>
      </c>
      <c r="K147">
        <f>DJ147*AH147*(DE147-DD147*(1000-AH147*DG147)/(1000-AH147*DF147))/(100*CY147)</f>
        <v>0</v>
      </c>
      <c r="L147">
        <f>DD147 - IF(AH147&gt;1, K147*CY147*100.0/(AJ147), 0)</f>
        <v>0</v>
      </c>
      <c r="M147">
        <f>((S147-I147/2)*L147-K147)/(S147+I147/2)</f>
        <v>0</v>
      </c>
      <c r="N147">
        <f>M147*(DK147+DL147)/1000.0</f>
        <v>0</v>
      </c>
      <c r="O147">
        <f>(DD147 - IF(AH147&gt;1, K147*CY147*100.0/(AJ147), 0))*(DK147+DL147)/1000.0</f>
        <v>0</v>
      </c>
      <c r="P147">
        <f>2.0/((1/R147-1/Q147)+SIGN(R147)*SQRT((1/R147-1/Q147)*(1/R147-1/Q147) + 4*CZ147/((CZ147+1)*(CZ147+1))*(2*1/R147*1/Q147-1/Q147*1/Q147)))</f>
        <v>0</v>
      </c>
      <c r="Q147">
        <f>IF(LEFT(DA147,1)&lt;&gt;"0",IF(LEFT(DA147,1)="1",3.0,DB147),$D$5+$E$5*(DR147*DK147/($K$5*1000))+$F$5*(DR147*DK147/($K$5*1000))*MAX(MIN(CY147,$J$5),$I$5)*MAX(MIN(CY147,$J$5),$I$5)+$G$5*MAX(MIN(CY147,$J$5),$I$5)*(DR147*DK147/($K$5*1000))+$H$5*(DR147*DK147/($K$5*1000))*(DR147*DK147/($K$5*1000)))</f>
        <v>0</v>
      </c>
      <c r="R147">
        <f>I147*(1000-(1000*0.61365*exp(17.502*V147/(240.97+V147))/(DK147+DL147)+DF147)/2)/(1000*0.61365*exp(17.502*V147/(240.97+V147))/(DK147+DL147)-DF147)</f>
        <v>0</v>
      </c>
      <c r="S147">
        <f>1/((CZ147+1)/(P147/1.6)+1/(Q147/1.37)) + CZ147/((CZ147+1)/(P147/1.6) + CZ147/(Q147/1.37))</f>
        <v>0</v>
      </c>
      <c r="T147">
        <f>(CU147*CX147)</f>
        <v>0</v>
      </c>
      <c r="U147">
        <f>(DM147+(T147+2*0.95*5.67E-8*(((DM147+$B$9)+273)^4-(DM147+273)^4)-44100*I147)/(1.84*29.3*Q147+8*0.95*5.67E-8*(DM147+273)^3))</f>
        <v>0</v>
      </c>
      <c r="V147">
        <f>($C$9*DN147+$D$9*DO147+$E$9*U147)</f>
        <v>0</v>
      </c>
      <c r="W147">
        <f>0.61365*exp(17.502*V147/(240.97+V147))</f>
        <v>0</v>
      </c>
      <c r="X147">
        <f>(Y147/Z147*100)</f>
        <v>0</v>
      </c>
      <c r="Y147">
        <f>DF147*(DK147+DL147)/1000</f>
        <v>0</v>
      </c>
      <c r="Z147">
        <f>0.61365*exp(17.502*DM147/(240.97+DM147))</f>
        <v>0</v>
      </c>
      <c r="AA147">
        <f>(W147-DF147*(DK147+DL147)/1000)</f>
        <v>0</v>
      </c>
      <c r="AB147">
        <f>(-I147*44100)</f>
        <v>0</v>
      </c>
      <c r="AC147">
        <f>2*29.3*Q147*0.92*(DM147-V147)</f>
        <v>0</v>
      </c>
      <c r="AD147">
        <f>2*0.95*5.67E-8*(((DM147+$B$9)+273)^4-(V147+273)^4)</f>
        <v>0</v>
      </c>
      <c r="AE147">
        <f>T147+AD147+AB147+AC147</f>
        <v>0</v>
      </c>
      <c r="AF147">
        <v>0</v>
      </c>
      <c r="AG147">
        <v>0</v>
      </c>
      <c r="AH147">
        <f>IF(AF147*$H$15&gt;=AJ147,1.0,(AJ147/(AJ147-AF147*$H$15)))</f>
        <v>0</v>
      </c>
      <c r="AI147">
        <f>(AH147-1)*100</f>
        <v>0</v>
      </c>
      <c r="AJ147">
        <f>MAX(0,($B$15+$C$15*DR147)/(1+$D$15*DR147)*DK147/(DM147+273)*$E$15)</f>
        <v>0</v>
      </c>
      <c r="AK147" t="s">
        <v>420</v>
      </c>
      <c r="AL147" t="s">
        <v>420</v>
      </c>
      <c r="AM147">
        <v>0</v>
      </c>
      <c r="AN147">
        <v>0</v>
      </c>
      <c r="AO147">
        <f>1-AM147/AN147</f>
        <v>0</v>
      </c>
      <c r="AP147">
        <v>0</v>
      </c>
      <c r="AQ147" t="s">
        <v>420</v>
      </c>
      <c r="AR147" t="s">
        <v>420</v>
      </c>
      <c r="AS147">
        <v>0</v>
      </c>
      <c r="AT147">
        <v>0</v>
      </c>
      <c r="AU147">
        <f>1-AS147/AT147</f>
        <v>0</v>
      </c>
      <c r="AV147">
        <v>0.5</v>
      </c>
      <c r="AW147">
        <f>CV147</f>
        <v>0</v>
      </c>
      <c r="AX147">
        <f>K147</f>
        <v>0</v>
      </c>
      <c r="AY147">
        <f>AU147*AV147*AW147</f>
        <v>0</v>
      </c>
      <c r="AZ147">
        <f>(AX147-AP147)/AW147</f>
        <v>0</v>
      </c>
      <c r="BA147">
        <f>(AN147-AT147)/AT147</f>
        <v>0</v>
      </c>
      <c r="BB147">
        <f>AM147/(AO147+AM147/AT147)</f>
        <v>0</v>
      </c>
      <c r="BC147" t="s">
        <v>420</v>
      </c>
      <c r="BD147">
        <v>0</v>
      </c>
      <c r="BE147">
        <f>IF(BD147&lt;&gt;0, BD147, BB147)</f>
        <v>0</v>
      </c>
      <c r="BF147">
        <f>1-BE147/AT147</f>
        <v>0</v>
      </c>
      <c r="BG147">
        <f>(AT147-AS147)/(AT147-BE147)</f>
        <v>0</v>
      </c>
      <c r="BH147">
        <f>(AN147-AT147)/(AN147-BE147)</f>
        <v>0</v>
      </c>
      <c r="BI147">
        <f>(AT147-AS147)/(AT147-AM147)</f>
        <v>0</v>
      </c>
      <c r="BJ147">
        <f>(AN147-AT147)/(AN147-AM147)</f>
        <v>0</v>
      </c>
      <c r="BK147">
        <f>(BG147*BE147/AS147)</f>
        <v>0</v>
      </c>
      <c r="BL147">
        <f>(1-BK147)</f>
        <v>0</v>
      </c>
      <c r="CU147">
        <f>$B$13*DS147+$C$13*DT147+$F$13*EE147*(1-EH147)</f>
        <v>0</v>
      </c>
      <c r="CV147">
        <f>CU147*CW147</f>
        <v>0</v>
      </c>
      <c r="CW147">
        <f>($B$13*$D$11+$C$13*$D$11+$F$13*((ER147+EJ147)/MAX(ER147+EJ147+ES147, 0.1)*$I$11+ES147/MAX(ER147+EJ147+ES147, 0.1)*$J$11))/($B$13+$C$13+$F$13)</f>
        <v>0</v>
      </c>
      <c r="CX147">
        <f>($B$13*$K$11+$C$13*$K$11+$F$13*((ER147+EJ147)/MAX(ER147+EJ147+ES147, 0.1)*$P$11+ES147/MAX(ER147+EJ147+ES147, 0.1)*$Q$11))/($B$13+$C$13+$F$13)</f>
        <v>0</v>
      </c>
      <c r="CY147">
        <v>5.66</v>
      </c>
      <c r="CZ147">
        <v>0.5</v>
      </c>
      <c r="DA147" t="s">
        <v>421</v>
      </c>
      <c r="DB147">
        <v>2</v>
      </c>
      <c r="DC147">
        <v>1761019071.1</v>
      </c>
      <c r="DD147">
        <v>420.5963333333333</v>
      </c>
      <c r="DE147">
        <v>419.8704444444444</v>
      </c>
      <c r="DF147">
        <v>23.97334444444444</v>
      </c>
      <c r="DG147">
        <v>23.97626666666666</v>
      </c>
      <c r="DH147">
        <v>422.1631111111111</v>
      </c>
      <c r="DI147">
        <v>23.77652222222222</v>
      </c>
      <c r="DJ147">
        <v>500.0203333333333</v>
      </c>
      <c r="DK147">
        <v>90.80885555555557</v>
      </c>
      <c r="DL147">
        <v>0.0339115111111111</v>
      </c>
      <c r="DM147">
        <v>30.67188888888889</v>
      </c>
      <c r="DN147">
        <v>30.17611111111111</v>
      </c>
      <c r="DO147">
        <v>999.9000000000001</v>
      </c>
      <c r="DP147">
        <v>0</v>
      </c>
      <c r="DQ147">
        <v>0</v>
      </c>
      <c r="DR147">
        <v>9992.292222222221</v>
      </c>
      <c r="DS147">
        <v>0</v>
      </c>
      <c r="DT147">
        <v>0.242856</v>
      </c>
      <c r="DU147">
        <v>0.7257418888888889</v>
      </c>
      <c r="DV147">
        <v>430.927</v>
      </c>
      <c r="DW147">
        <v>430.1847777777778</v>
      </c>
      <c r="DX147">
        <v>-0.002933040000000001</v>
      </c>
      <c r="DY147">
        <v>419.8704444444444</v>
      </c>
      <c r="DZ147">
        <v>23.97626666666666</v>
      </c>
      <c r="EA147">
        <v>2.176992222222222</v>
      </c>
      <c r="EB147">
        <v>2.177257777777778</v>
      </c>
      <c r="EC147">
        <v>18.79398888888889</v>
      </c>
      <c r="ED147">
        <v>18.79576666666667</v>
      </c>
      <c r="EE147">
        <v>0.00500078</v>
      </c>
      <c r="EF147">
        <v>0</v>
      </c>
      <c r="EG147">
        <v>0</v>
      </c>
      <c r="EH147">
        <v>0</v>
      </c>
      <c r="EI147">
        <v>859.4444444444445</v>
      </c>
      <c r="EJ147">
        <v>0.00500078</v>
      </c>
      <c r="EK147">
        <v>-10.54444444444444</v>
      </c>
      <c r="EL147">
        <v>-0.01111111111111115</v>
      </c>
      <c r="EM147">
        <v>36.104</v>
      </c>
      <c r="EN147">
        <v>40.30533333333333</v>
      </c>
      <c r="EO147">
        <v>39.12466666666667</v>
      </c>
      <c r="EP147">
        <v>41.29833333333332</v>
      </c>
      <c r="EQ147">
        <v>39.14544444444444</v>
      </c>
      <c r="ER147">
        <v>0</v>
      </c>
      <c r="ES147">
        <v>0</v>
      </c>
      <c r="ET147">
        <v>0</v>
      </c>
      <c r="EU147">
        <v>1761019072.9</v>
      </c>
      <c r="EV147">
        <v>0</v>
      </c>
      <c r="EW147">
        <v>865.252</v>
      </c>
      <c r="EX147">
        <v>-76.37692250661929</v>
      </c>
      <c r="EY147">
        <v>-35.9615380801863</v>
      </c>
      <c r="EZ147">
        <v>-7.503999999999999</v>
      </c>
      <c r="FA147">
        <v>15</v>
      </c>
      <c r="FB147">
        <v>1761018667.1</v>
      </c>
      <c r="FC147" t="s">
        <v>613</v>
      </c>
      <c r="FD147">
        <v>1761018661.6</v>
      </c>
      <c r="FE147">
        <v>1761018667.1</v>
      </c>
      <c r="FF147">
        <v>26</v>
      </c>
      <c r="FG147">
        <v>-0.221</v>
      </c>
      <c r="FH147">
        <v>-0.001</v>
      </c>
      <c r="FI147">
        <v>-1.568</v>
      </c>
      <c r="FJ147">
        <v>0.178</v>
      </c>
      <c r="FK147">
        <v>420</v>
      </c>
      <c r="FL147">
        <v>23</v>
      </c>
      <c r="FM147">
        <v>0.1</v>
      </c>
      <c r="FN147">
        <v>0.08</v>
      </c>
      <c r="FO147">
        <v>0.6289664878048781</v>
      </c>
      <c r="FP147">
        <v>0.8323492891986082</v>
      </c>
      <c r="FQ147">
        <v>0.09078277092104818</v>
      </c>
      <c r="FR147">
        <v>0</v>
      </c>
      <c r="FS147">
        <v>870.3323529411765</v>
      </c>
      <c r="FT147">
        <v>-96.55462150488927</v>
      </c>
      <c r="FU147">
        <v>11.47866872246683</v>
      </c>
      <c r="FV147">
        <v>0</v>
      </c>
      <c r="FW147">
        <v>0.2933734253658536</v>
      </c>
      <c r="FX147">
        <v>-1.458333424390243</v>
      </c>
      <c r="FY147">
        <v>0.2070027442137995</v>
      </c>
      <c r="FZ147">
        <v>0</v>
      </c>
      <c r="GA147">
        <v>0</v>
      </c>
      <c r="GB147">
        <v>3</v>
      </c>
      <c r="GC147" t="s">
        <v>423</v>
      </c>
      <c r="GD147">
        <v>3.10965</v>
      </c>
      <c r="GE147">
        <v>2.72567</v>
      </c>
      <c r="GF147">
        <v>0.0890275</v>
      </c>
      <c r="GG147">
        <v>0.0887072</v>
      </c>
      <c r="GH147">
        <v>0.109059</v>
      </c>
      <c r="GI147">
        <v>0.110719</v>
      </c>
      <c r="GJ147">
        <v>23927.7</v>
      </c>
      <c r="GK147">
        <v>21663.5</v>
      </c>
      <c r="GL147">
        <v>26822.1</v>
      </c>
      <c r="GM147">
        <v>23976</v>
      </c>
      <c r="GN147">
        <v>38179.9</v>
      </c>
      <c r="GO147">
        <v>31441.9</v>
      </c>
      <c r="GP147">
        <v>46815.6</v>
      </c>
      <c r="GQ147">
        <v>37892.9</v>
      </c>
      <c r="GR147">
        <v>1.89945</v>
      </c>
      <c r="GS147">
        <v>1.8977</v>
      </c>
      <c r="GT147">
        <v>0.139922</v>
      </c>
      <c r="GU147">
        <v>0</v>
      </c>
      <c r="GV147">
        <v>27.8786</v>
      </c>
      <c r="GW147">
        <v>999.9</v>
      </c>
      <c r="GX147">
        <v>64.09999999999999</v>
      </c>
      <c r="GY147">
        <v>28.5</v>
      </c>
      <c r="GZ147">
        <v>27.5758</v>
      </c>
      <c r="HA147">
        <v>61.4574</v>
      </c>
      <c r="HB147">
        <v>20.2885</v>
      </c>
      <c r="HC147">
        <v>1</v>
      </c>
      <c r="HD147">
        <v>-0.0219614</v>
      </c>
      <c r="HE147">
        <v>-1.37929</v>
      </c>
      <c r="HF147">
        <v>20.331</v>
      </c>
      <c r="HG147">
        <v>5.22253</v>
      </c>
      <c r="HH147">
        <v>11.9798</v>
      </c>
      <c r="HI147">
        <v>4.96565</v>
      </c>
      <c r="HJ147">
        <v>3.27595</v>
      </c>
      <c r="HK147">
        <v>9999</v>
      </c>
      <c r="HL147">
        <v>9999</v>
      </c>
      <c r="HM147">
        <v>9999</v>
      </c>
      <c r="HN147">
        <v>999.9</v>
      </c>
      <c r="HO147">
        <v>1.86357</v>
      </c>
      <c r="HP147">
        <v>1.85974</v>
      </c>
      <c r="HQ147">
        <v>1.85795</v>
      </c>
      <c r="HR147">
        <v>1.85941</v>
      </c>
      <c r="HS147">
        <v>1.85959</v>
      </c>
      <c r="HT147">
        <v>1.85803</v>
      </c>
      <c r="HU147">
        <v>1.85707</v>
      </c>
      <c r="HV147">
        <v>1.85207</v>
      </c>
      <c r="HW147">
        <v>0</v>
      </c>
      <c r="HX147">
        <v>0</v>
      </c>
      <c r="HY147">
        <v>0</v>
      </c>
      <c r="HZ147">
        <v>0</v>
      </c>
      <c r="IA147" t="s">
        <v>424</v>
      </c>
      <c r="IB147" t="s">
        <v>425</v>
      </c>
      <c r="IC147" t="s">
        <v>426</v>
      </c>
      <c r="ID147" t="s">
        <v>426</v>
      </c>
      <c r="IE147" t="s">
        <v>426</v>
      </c>
      <c r="IF147" t="s">
        <v>426</v>
      </c>
      <c r="IG147">
        <v>0</v>
      </c>
      <c r="IH147">
        <v>100</v>
      </c>
      <c r="II147">
        <v>100</v>
      </c>
      <c r="IJ147">
        <v>-1.566</v>
      </c>
      <c r="IK147">
        <v>0.1978</v>
      </c>
      <c r="IL147">
        <v>-2.357986366295179</v>
      </c>
      <c r="IM147">
        <v>0.001328113201692861</v>
      </c>
      <c r="IN147">
        <v>1.538283238170363E-06</v>
      </c>
      <c r="IO147">
        <v>-5.795655626708063E-10</v>
      </c>
      <c r="IP147">
        <v>-0.06105361615936408</v>
      </c>
      <c r="IQ147">
        <v>-0.004593102289677449</v>
      </c>
      <c r="IR147">
        <v>0.0008253994458280543</v>
      </c>
      <c r="IS147">
        <v>-7.403632370499484E-06</v>
      </c>
      <c r="IT147">
        <v>2</v>
      </c>
      <c r="IU147">
        <v>1985</v>
      </c>
      <c r="IV147">
        <v>1</v>
      </c>
      <c r="IW147">
        <v>27</v>
      </c>
      <c r="IX147">
        <v>6.9</v>
      </c>
      <c r="IY147">
        <v>6.8</v>
      </c>
      <c r="IZ147">
        <v>1.13037</v>
      </c>
      <c r="JA147">
        <v>2.60132</v>
      </c>
      <c r="JB147">
        <v>1.49658</v>
      </c>
      <c r="JC147">
        <v>2.34741</v>
      </c>
      <c r="JD147">
        <v>1.54907</v>
      </c>
      <c r="JE147">
        <v>2.41821</v>
      </c>
      <c r="JF147">
        <v>31.8488</v>
      </c>
      <c r="JG147">
        <v>14.4823</v>
      </c>
      <c r="JH147">
        <v>18</v>
      </c>
      <c r="JI147">
        <v>481.948</v>
      </c>
      <c r="JJ147">
        <v>510.687</v>
      </c>
      <c r="JK147">
        <v>31.7115</v>
      </c>
      <c r="JL147">
        <v>27.011</v>
      </c>
      <c r="JM147">
        <v>29.9999</v>
      </c>
      <c r="JN147">
        <v>27.298</v>
      </c>
      <c r="JO147">
        <v>27.3048</v>
      </c>
      <c r="JP147">
        <v>22.7333</v>
      </c>
      <c r="JQ147">
        <v>10.6529</v>
      </c>
      <c r="JR147">
        <v>91.5595</v>
      </c>
      <c r="JS147">
        <v>31.6397</v>
      </c>
      <c r="JT147">
        <v>420</v>
      </c>
      <c r="JU147">
        <v>24.7398</v>
      </c>
      <c r="JV147">
        <v>102.376</v>
      </c>
      <c r="JW147">
        <v>91.42059999999999</v>
      </c>
    </row>
    <row r="148" spans="1:283">
      <c r="A148">
        <v>130</v>
      </c>
      <c r="B148">
        <v>1761019076.1</v>
      </c>
      <c r="C148">
        <v>1006.599999904633</v>
      </c>
      <c r="D148" t="s">
        <v>691</v>
      </c>
      <c r="E148" t="s">
        <v>692</v>
      </c>
      <c r="F148">
        <v>5</v>
      </c>
      <c r="G148" t="s">
        <v>674</v>
      </c>
      <c r="H148">
        <v>1761019073.1</v>
      </c>
      <c r="I148">
        <f>(J148)/1000</f>
        <v>0</v>
      </c>
      <c r="J148">
        <f>1000*DJ148*AH148*(DF148-DG148)/(100*CY148*(1000-AH148*DF148))</f>
        <v>0</v>
      </c>
      <c r="K148">
        <f>DJ148*AH148*(DE148-DD148*(1000-AH148*DG148)/(1000-AH148*DF148))/(100*CY148)</f>
        <v>0</v>
      </c>
      <c r="L148">
        <f>DD148 - IF(AH148&gt;1, K148*CY148*100.0/(AJ148), 0)</f>
        <v>0</v>
      </c>
      <c r="M148">
        <f>((S148-I148/2)*L148-K148)/(S148+I148/2)</f>
        <v>0</v>
      </c>
      <c r="N148">
        <f>M148*(DK148+DL148)/1000.0</f>
        <v>0</v>
      </c>
      <c r="O148">
        <f>(DD148 - IF(AH148&gt;1, K148*CY148*100.0/(AJ148), 0))*(DK148+DL148)/1000.0</f>
        <v>0</v>
      </c>
      <c r="P148">
        <f>2.0/((1/R148-1/Q148)+SIGN(R148)*SQRT((1/R148-1/Q148)*(1/R148-1/Q148) + 4*CZ148/((CZ148+1)*(CZ148+1))*(2*1/R148*1/Q148-1/Q148*1/Q148)))</f>
        <v>0</v>
      </c>
      <c r="Q148">
        <f>IF(LEFT(DA148,1)&lt;&gt;"0",IF(LEFT(DA148,1)="1",3.0,DB148),$D$5+$E$5*(DR148*DK148/($K$5*1000))+$F$5*(DR148*DK148/($K$5*1000))*MAX(MIN(CY148,$J$5),$I$5)*MAX(MIN(CY148,$J$5),$I$5)+$G$5*MAX(MIN(CY148,$J$5),$I$5)*(DR148*DK148/($K$5*1000))+$H$5*(DR148*DK148/($K$5*1000))*(DR148*DK148/($K$5*1000)))</f>
        <v>0</v>
      </c>
      <c r="R148">
        <f>I148*(1000-(1000*0.61365*exp(17.502*V148/(240.97+V148))/(DK148+DL148)+DF148)/2)/(1000*0.61365*exp(17.502*V148/(240.97+V148))/(DK148+DL148)-DF148)</f>
        <v>0</v>
      </c>
      <c r="S148">
        <f>1/((CZ148+1)/(P148/1.6)+1/(Q148/1.37)) + CZ148/((CZ148+1)/(P148/1.6) + CZ148/(Q148/1.37))</f>
        <v>0</v>
      </c>
      <c r="T148">
        <f>(CU148*CX148)</f>
        <v>0</v>
      </c>
      <c r="U148">
        <f>(DM148+(T148+2*0.95*5.67E-8*(((DM148+$B$9)+273)^4-(DM148+273)^4)-44100*I148)/(1.84*29.3*Q148+8*0.95*5.67E-8*(DM148+273)^3))</f>
        <v>0</v>
      </c>
      <c r="V148">
        <f>($C$9*DN148+$D$9*DO148+$E$9*U148)</f>
        <v>0</v>
      </c>
      <c r="W148">
        <f>0.61365*exp(17.502*V148/(240.97+V148))</f>
        <v>0</v>
      </c>
      <c r="X148">
        <f>(Y148/Z148*100)</f>
        <v>0</v>
      </c>
      <c r="Y148">
        <f>DF148*(DK148+DL148)/1000</f>
        <v>0</v>
      </c>
      <c r="Z148">
        <f>0.61365*exp(17.502*DM148/(240.97+DM148))</f>
        <v>0</v>
      </c>
      <c r="AA148">
        <f>(W148-DF148*(DK148+DL148)/1000)</f>
        <v>0</v>
      </c>
      <c r="AB148">
        <f>(-I148*44100)</f>
        <v>0</v>
      </c>
      <c r="AC148">
        <f>2*29.3*Q148*0.92*(DM148-V148)</f>
        <v>0</v>
      </c>
      <c r="AD148">
        <f>2*0.95*5.67E-8*(((DM148+$B$9)+273)^4-(V148+273)^4)</f>
        <v>0</v>
      </c>
      <c r="AE148">
        <f>T148+AD148+AB148+AC148</f>
        <v>0</v>
      </c>
      <c r="AF148">
        <v>0</v>
      </c>
      <c r="AG148">
        <v>0</v>
      </c>
      <c r="AH148">
        <f>IF(AF148*$H$15&gt;=AJ148,1.0,(AJ148/(AJ148-AF148*$H$15)))</f>
        <v>0</v>
      </c>
      <c r="AI148">
        <f>(AH148-1)*100</f>
        <v>0</v>
      </c>
      <c r="AJ148">
        <f>MAX(0,($B$15+$C$15*DR148)/(1+$D$15*DR148)*DK148/(DM148+273)*$E$15)</f>
        <v>0</v>
      </c>
      <c r="AK148" t="s">
        <v>420</v>
      </c>
      <c r="AL148" t="s">
        <v>420</v>
      </c>
      <c r="AM148">
        <v>0</v>
      </c>
      <c r="AN148">
        <v>0</v>
      </c>
      <c r="AO148">
        <f>1-AM148/AN148</f>
        <v>0</v>
      </c>
      <c r="AP148">
        <v>0</v>
      </c>
      <c r="AQ148" t="s">
        <v>420</v>
      </c>
      <c r="AR148" t="s">
        <v>420</v>
      </c>
      <c r="AS148">
        <v>0</v>
      </c>
      <c r="AT148">
        <v>0</v>
      </c>
      <c r="AU148">
        <f>1-AS148/AT148</f>
        <v>0</v>
      </c>
      <c r="AV148">
        <v>0.5</v>
      </c>
      <c r="AW148">
        <f>CV148</f>
        <v>0</v>
      </c>
      <c r="AX148">
        <f>K148</f>
        <v>0</v>
      </c>
      <c r="AY148">
        <f>AU148*AV148*AW148</f>
        <v>0</v>
      </c>
      <c r="AZ148">
        <f>(AX148-AP148)/AW148</f>
        <v>0</v>
      </c>
      <c r="BA148">
        <f>(AN148-AT148)/AT148</f>
        <v>0</v>
      </c>
      <c r="BB148">
        <f>AM148/(AO148+AM148/AT148)</f>
        <v>0</v>
      </c>
      <c r="BC148" t="s">
        <v>420</v>
      </c>
      <c r="BD148">
        <v>0</v>
      </c>
      <c r="BE148">
        <f>IF(BD148&lt;&gt;0, BD148, BB148)</f>
        <v>0</v>
      </c>
      <c r="BF148">
        <f>1-BE148/AT148</f>
        <v>0</v>
      </c>
      <c r="BG148">
        <f>(AT148-AS148)/(AT148-BE148)</f>
        <v>0</v>
      </c>
      <c r="BH148">
        <f>(AN148-AT148)/(AN148-BE148)</f>
        <v>0</v>
      </c>
      <c r="BI148">
        <f>(AT148-AS148)/(AT148-AM148)</f>
        <v>0</v>
      </c>
      <c r="BJ148">
        <f>(AN148-AT148)/(AN148-AM148)</f>
        <v>0</v>
      </c>
      <c r="BK148">
        <f>(BG148*BE148/AS148)</f>
        <v>0</v>
      </c>
      <c r="BL148">
        <f>(1-BK148)</f>
        <v>0</v>
      </c>
      <c r="CU148">
        <f>$B$13*DS148+$C$13*DT148+$F$13*EE148*(1-EH148)</f>
        <v>0</v>
      </c>
      <c r="CV148">
        <f>CU148*CW148</f>
        <v>0</v>
      </c>
      <c r="CW148">
        <f>($B$13*$D$11+$C$13*$D$11+$F$13*((ER148+EJ148)/MAX(ER148+EJ148+ES148, 0.1)*$I$11+ES148/MAX(ER148+EJ148+ES148, 0.1)*$J$11))/($B$13+$C$13+$F$13)</f>
        <v>0</v>
      </c>
      <c r="CX148">
        <f>($B$13*$K$11+$C$13*$K$11+$F$13*((ER148+EJ148)/MAX(ER148+EJ148+ES148, 0.1)*$P$11+ES148/MAX(ER148+EJ148+ES148, 0.1)*$Q$11))/($B$13+$C$13+$F$13)</f>
        <v>0</v>
      </c>
      <c r="CY148">
        <v>5.66</v>
      </c>
      <c r="CZ148">
        <v>0.5</v>
      </c>
      <c r="DA148" t="s">
        <v>421</v>
      </c>
      <c r="DB148">
        <v>2</v>
      </c>
      <c r="DC148">
        <v>1761019073.1</v>
      </c>
      <c r="DD148">
        <v>420.5646666666667</v>
      </c>
      <c r="DE148">
        <v>419.8268888888889</v>
      </c>
      <c r="DF148">
        <v>24.00162222222222</v>
      </c>
      <c r="DG148">
        <v>24.12937777777778</v>
      </c>
      <c r="DH148">
        <v>422.1314444444444</v>
      </c>
      <c r="DI148">
        <v>23.80417777777778</v>
      </c>
      <c r="DJ148">
        <v>500.0077777777777</v>
      </c>
      <c r="DK148">
        <v>90.80883333333333</v>
      </c>
      <c r="DL148">
        <v>0.03392627777777778</v>
      </c>
      <c r="DM148">
        <v>30.66665555555556</v>
      </c>
      <c r="DN148">
        <v>30.16591111111111</v>
      </c>
      <c r="DO148">
        <v>999.9000000000001</v>
      </c>
      <c r="DP148">
        <v>0</v>
      </c>
      <c r="DQ148">
        <v>0</v>
      </c>
      <c r="DR148">
        <v>9993.95888888889</v>
      </c>
      <c r="DS148">
        <v>0</v>
      </c>
      <c r="DT148">
        <v>0.242856</v>
      </c>
      <c r="DU148">
        <v>0.7375827777777777</v>
      </c>
      <c r="DV148">
        <v>430.9069999999999</v>
      </c>
      <c r="DW148">
        <v>430.2075555555555</v>
      </c>
      <c r="DX148">
        <v>-0.12776904</v>
      </c>
      <c r="DY148">
        <v>419.8268888888889</v>
      </c>
      <c r="DZ148">
        <v>24.12937777777778</v>
      </c>
      <c r="EA148">
        <v>2.179558888888889</v>
      </c>
      <c r="EB148">
        <v>2.191161111111111</v>
      </c>
      <c r="EC148">
        <v>18.81282222222222</v>
      </c>
      <c r="ED148">
        <v>18.89764444444445</v>
      </c>
      <c r="EE148">
        <v>0.00500078</v>
      </c>
      <c r="EF148">
        <v>0</v>
      </c>
      <c r="EG148">
        <v>0</v>
      </c>
      <c r="EH148">
        <v>0</v>
      </c>
      <c r="EI148">
        <v>858.9222222222222</v>
      </c>
      <c r="EJ148">
        <v>0.00500078</v>
      </c>
      <c r="EK148">
        <v>-12.01111111111111</v>
      </c>
      <c r="EL148">
        <v>-0.1555555555555555</v>
      </c>
      <c r="EM148">
        <v>36.06944444444444</v>
      </c>
      <c r="EN148">
        <v>40.222</v>
      </c>
      <c r="EO148">
        <v>39.13144444444444</v>
      </c>
      <c r="EP148">
        <v>41.18733333333333</v>
      </c>
      <c r="EQ148">
        <v>39.09</v>
      </c>
      <c r="ER148">
        <v>0</v>
      </c>
      <c r="ES148">
        <v>0</v>
      </c>
      <c r="ET148">
        <v>0</v>
      </c>
      <c r="EU148">
        <v>1761019075.3</v>
      </c>
      <c r="EV148">
        <v>0</v>
      </c>
      <c r="EW148">
        <v>862.36</v>
      </c>
      <c r="EX148">
        <v>-76.20769186266787</v>
      </c>
      <c r="EY148">
        <v>-39.7076921723063</v>
      </c>
      <c r="EZ148">
        <v>-8.912000000000001</v>
      </c>
      <c r="FA148">
        <v>15</v>
      </c>
      <c r="FB148">
        <v>1761018667.1</v>
      </c>
      <c r="FC148" t="s">
        <v>613</v>
      </c>
      <c r="FD148">
        <v>1761018661.6</v>
      </c>
      <c r="FE148">
        <v>1761018667.1</v>
      </c>
      <c r="FF148">
        <v>26</v>
      </c>
      <c r="FG148">
        <v>-0.221</v>
      </c>
      <c r="FH148">
        <v>-0.001</v>
      </c>
      <c r="FI148">
        <v>-1.568</v>
      </c>
      <c r="FJ148">
        <v>0.178</v>
      </c>
      <c r="FK148">
        <v>420</v>
      </c>
      <c r="FL148">
        <v>23</v>
      </c>
      <c r="FM148">
        <v>0.1</v>
      </c>
      <c r="FN148">
        <v>0.08</v>
      </c>
      <c r="FO148">
        <v>0.6439940999999999</v>
      </c>
      <c r="FP148">
        <v>0.8159265365853658</v>
      </c>
      <c r="FQ148">
        <v>0.0887256681842408</v>
      </c>
      <c r="FR148">
        <v>0</v>
      </c>
      <c r="FS148">
        <v>868.3058823529411</v>
      </c>
      <c r="FT148">
        <v>-97.61955668360332</v>
      </c>
      <c r="FU148">
        <v>11.56859189093903</v>
      </c>
      <c r="FV148">
        <v>0</v>
      </c>
      <c r="FW148">
        <v>0.259000236</v>
      </c>
      <c r="FX148">
        <v>-2.28290068682927</v>
      </c>
      <c r="FY148">
        <v>0.2486378558295791</v>
      </c>
      <c r="FZ148">
        <v>0</v>
      </c>
      <c r="GA148">
        <v>0</v>
      </c>
      <c r="GB148">
        <v>3</v>
      </c>
      <c r="GC148" t="s">
        <v>423</v>
      </c>
      <c r="GD148">
        <v>3.10976</v>
      </c>
      <c r="GE148">
        <v>2.72532</v>
      </c>
      <c r="GF148">
        <v>0.0890266</v>
      </c>
      <c r="GG148">
        <v>0.0887217</v>
      </c>
      <c r="GH148">
        <v>0.10926</v>
      </c>
      <c r="GI148">
        <v>0.111193</v>
      </c>
      <c r="GJ148">
        <v>23927.6</v>
      </c>
      <c r="GK148">
        <v>21662.8</v>
      </c>
      <c r="GL148">
        <v>26822</v>
      </c>
      <c r="GM148">
        <v>23975.7</v>
      </c>
      <c r="GN148">
        <v>38170.9</v>
      </c>
      <c r="GO148">
        <v>31424.7</v>
      </c>
      <c r="GP148">
        <v>46815.3</v>
      </c>
      <c r="GQ148">
        <v>37892.6</v>
      </c>
      <c r="GR148">
        <v>1.89968</v>
      </c>
      <c r="GS148">
        <v>1.89785</v>
      </c>
      <c r="GT148">
        <v>0.139251</v>
      </c>
      <c r="GU148">
        <v>0</v>
      </c>
      <c r="GV148">
        <v>27.8786</v>
      </c>
      <c r="GW148">
        <v>999.9</v>
      </c>
      <c r="GX148">
        <v>64.09999999999999</v>
      </c>
      <c r="GY148">
        <v>28.5</v>
      </c>
      <c r="GZ148">
        <v>27.578</v>
      </c>
      <c r="HA148">
        <v>61.2874</v>
      </c>
      <c r="HB148">
        <v>20.3405</v>
      </c>
      <c r="HC148">
        <v>1</v>
      </c>
      <c r="HD148">
        <v>-0.0219766</v>
      </c>
      <c r="HE148">
        <v>-1.48766</v>
      </c>
      <c r="HF148">
        <v>20.3297</v>
      </c>
      <c r="HG148">
        <v>5.21909</v>
      </c>
      <c r="HH148">
        <v>11.9794</v>
      </c>
      <c r="HI148">
        <v>4.96485</v>
      </c>
      <c r="HJ148">
        <v>3.2752</v>
      </c>
      <c r="HK148">
        <v>9999</v>
      </c>
      <c r="HL148">
        <v>9999</v>
      </c>
      <c r="HM148">
        <v>9999</v>
      </c>
      <c r="HN148">
        <v>999.9</v>
      </c>
      <c r="HO148">
        <v>1.86356</v>
      </c>
      <c r="HP148">
        <v>1.85974</v>
      </c>
      <c r="HQ148">
        <v>1.85795</v>
      </c>
      <c r="HR148">
        <v>1.85939</v>
      </c>
      <c r="HS148">
        <v>1.85959</v>
      </c>
      <c r="HT148">
        <v>1.85804</v>
      </c>
      <c r="HU148">
        <v>1.85705</v>
      </c>
      <c r="HV148">
        <v>1.85207</v>
      </c>
      <c r="HW148">
        <v>0</v>
      </c>
      <c r="HX148">
        <v>0</v>
      </c>
      <c r="HY148">
        <v>0</v>
      </c>
      <c r="HZ148">
        <v>0</v>
      </c>
      <c r="IA148" t="s">
        <v>424</v>
      </c>
      <c r="IB148" t="s">
        <v>425</v>
      </c>
      <c r="IC148" t="s">
        <v>426</v>
      </c>
      <c r="ID148" t="s">
        <v>426</v>
      </c>
      <c r="IE148" t="s">
        <v>426</v>
      </c>
      <c r="IF148" t="s">
        <v>426</v>
      </c>
      <c r="IG148">
        <v>0</v>
      </c>
      <c r="IH148">
        <v>100</v>
      </c>
      <c r="II148">
        <v>100</v>
      </c>
      <c r="IJ148">
        <v>-1.567</v>
      </c>
      <c r="IK148">
        <v>0.1992</v>
      </c>
      <c r="IL148">
        <v>-2.357986366295179</v>
      </c>
      <c r="IM148">
        <v>0.001328113201692861</v>
      </c>
      <c r="IN148">
        <v>1.538283238170363E-06</v>
      </c>
      <c r="IO148">
        <v>-5.795655626708063E-10</v>
      </c>
      <c r="IP148">
        <v>-0.06105361615936408</v>
      </c>
      <c r="IQ148">
        <v>-0.004593102289677449</v>
      </c>
      <c r="IR148">
        <v>0.0008253994458280543</v>
      </c>
      <c r="IS148">
        <v>-7.403632370499484E-06</v>
      </c>
      <c r="IT148">
        <v>2</v>
      </c>
      <c r="IU148">
        <v>1985</v>
      </c>
      <c r="IV148">
        <v>1</v>
      </c>
      <c r="IW148">
        <v>27</v>
      </c>
      <c r="IX148">
        <v>6.9</v>
      </c>
      <c r="IY148">
        <v>6.8</v>
      </c>
      <c r="IZ148">
        <v>1.13037</v>
      </c>
      <c r="JA148">
        <v>2.58423</v>
      </c>
      <c r="JB148">
        <v>1.49658</v>
      </c>
      <c r="JC148">
        <v>2.34863</v>
      </c>
      <c r="JD148">
        <v>1.54907</v>
      </c>
      <c r="JE148">
        <v>2.41943</v>
      </c>
      <c r="JF148">
        <v>31.8488</v>
      </c>
      <c r="JG148">
        <v>14.4998</v>
      </c>
      <c r="JH148">
        <v>18</v>
      </c>
      <c r="JI148">
        <v>482.068</v>
      </c>
      <c r="JJ148">
        <v>510.783</v>
      </c>
      <c r="JK148">
        <v>31.6322</v>
      </c>
      <c r="JL148">
        <v>27.0098</v>
      </c>
      <c r="JM148">
        <v>29.9999</v>
      </c>
      <c r="JN148">
        <v>27.2968</v>
      </c>
      <c r="JO148">
        <v>27.3042</v>
      </c>
      <c r="JP148">
        <v>22.734</v>
      </c>
      <c r="JQ148">
        <v>10.3649</v>
      </c>
      <c r="JR148">
        <v>91.5595</v>
      </c>
      <c r="JS148">
        <v>31.478</v>
      </c>
      <c r="JT148">
        <v>420</v>
      </c>
      <c r="JU148">
        <v>24.7287</v>
      </c>
      <c r="JV148">
        <v>102.375</v>
      </c>
      <c r="JW148">
        <v>91.41970000000001</v>
      </c>
    </row>
    <row r="149" spans="1:283">
      <c r="A149">
        <v>131</v>
      </c>
      <c r="B149">
        <v>1761019078.1</v>
      </c>
      <c r="C149">
        <v>1008.599999904633</v>
      </c>
      <c r="D149" t="s">
        <v>693</v>
      </c>
      <c r="E149" t="s">
        <v>694</v>
      </c>
      <c r="F149">
        <v>5</v>
      </c>
      <c r="G149" t="s">
        <v>674</v>
      </c>
      <c r="H149">
        <v>1761019075.1</v>
      </c>
      <c r="I149">
        <f>(J149)/1000</f>
        <v>0</v>
      </c>
      <c r="J149">
        <f>1000*DJ149*AH149*(DF149-DG149)/(100*CY149*(1000-AH149*DF149))</f>
        <v>0</v>
      </c>
      <c r="K149">
        <f>DJ149*AH149*(DE149-DD149*(1000-AH149*DG149)/(1000-AH149*DF149))/(100*CY149)</f>
        <v>0</v>
      </c>
      <c r="L149">
        <f>DD149 - IF(AH149&gt;1, K149*CY149*100.0/(AJ149), 0)</f>
        <v>0</v>
      </c>
      <c r="M149">
        <f>((S149-I149/2)*L149-K149)/(S149+I149/2)</f>
        <v>0</v>
      </c>
      <c r="N149">
        <f>M149*(DK149+DL149)/1000.0</f>
        <v>0</v>
      </c>
      <c r="O149">
        <f>(DD149 - IF(AH149&gt;1, K149*CY149*100.0/(AJ149), 0))*(DK149+DL149)/1000.0</f>
        <v>0</v>
      </c>
      <c r="P149">
        <f>2.0/((1/R149-1/Q149)+SIGN(R149)*SQRT((1/R149-1/Q149)*(1/R149-1/Q149) + 4*CZ149/((CZ149+1)*(CZ149+1))*(2*1/R149*1/Q149-1/Q149*1/Q149)))</f>
        <v>0</v>
      </c>
      <c r="Q149">
        <f>IF(LEFT(DA149,1)&lt;&gt;"0",IF(LEFT(DA149,1)="1",3.0,DB149),$D$5+$E$5*(DR149*DK149/($K$5*1000))+$F$5*(DR149*DK149/($K$5*1000))*MAX(MIN(CY149,$J$5),$I$5)*MAX(MIN(CY149,$J$5),$I$5)+$G$5*MAX(MIN(CY149,$J$5),$I$5)*(DR149*DK149/($K$5*1000))+$H$5*(DR149*DK149/($K$5*1000))*(DR149*DK149/($K$5*1000)))</f>
        <v>0</v>
      </c>
      <c r="R149">
        <f>I149*(1000-(1000*0.61365*exp(17.502*V149/(240.97+V149))/(DK149+DL149)+DF149)/2)/(1000*0.61365*exp(17.502*V149/(240.97+V149))/(DK149+DL149)-DF149)</f>
        <v>0</v>
      </c>
      <c r="S149">
        <f>1/((CZ149+1)/(P149/1.6)+1/(Q149/1.37)) + CZ149/((CZ149+1)/(P149/1.6) + CZ149/(Q149/1.37))</f>
        <v>0</v>
      </c>
      <c r="T149">
        <f>(CU149*CX149)</f>
        <v>0</v>
      </c>
      <c r="U149">
        <f>(DM149+(T149+2*0.95*5.67E-8*(((DM149+$B$9)+273)^4-(DM149+273)^4)-44100*I149)/(1.84*29.3*Q149+8*0.95*5.67E-8*(DM149+273)^3))</f>
        <v>0</v>
      </c>
      <c r="V149">
        <f>($C$9*DN149+$D$9*DO149+$E$9*U149)</f>
        <v>0</v>
      </c>
      <c r="W149">
        <f>0.61365*exp(17.502*V149/(240.97+V149))</f>
        <v>0</v>
      </c>
      <c r="X149">
        <f>(Y149/Z149*100)</f>
        <v>0</v>
      </c>
      <c r="Y149">
        <f>DF149*(DK149+DL149)/1000</f>
        <v>0</v>
      </c>
      <c r="Z149">
        <f>0.61365*exp(17.502*DM149/(240.97+DM149))</f>
        <v>0</v>
      </c>
      <c r="AA149">
        <f>(W149-DF149*(DK149+DL149)/1000)</f>
        <v>0</v>
      </c>
      <c r="AB149">
        <f>(-I149*44100)</f>
        <v>0</v>
      </c>
      <c r="AC149">
        <f>2*29.3*Q149*0.92*(DM149-V149)</f>
        <v>0</v>
      </c>
      <c r="AD149">
        <f>2*0.95*5.67E-8*(((DM149+$B$9)+273)^4-(V149+273)^4)</f>
        <v>0</v>
      </c>
      <c r="AE149">
        <f>T149+AD149+AB149+AC149</f>
        <v>0</v>
      </c>
      <c r="AF149">
        <v>1</v>
      </c>
      <c r="AG149">
        <v>0</v>
      </c>
      <c r="AH149">
        <f>IF(AF149*$H$15&gt;=AJ149,1.0,(AJ149/(AJ149-AF149*$H$15)))</f>
        <v>0</v>
      </c>
      <c r="AI149">
        <f>(AH149-1)*100</f>
        <v>0</v>
      </c>
      <c r="AJ149">
        <f>MAX(0,($B$15+$C$15*DR149)/(1+$D$15*DR149)*DK149/(DM149+273)*$E$15)</f>
        <v>0</v>
      </c>
      <c r="AK149" t="s">
        <v>420</v>
      </c>
      <c r="AL149" t="s">
        <v>420</v>
      </c>
      <c r="AM149">
        <v>0</v>
      </c>
      <c r="AN149">
        <v>0</v>
      </c>
      <c r="AO149">
        <f>1-AM149/AN149</f>
        <v>0</v>
      </c>
      <c r="AP149">
        <v>0</v>
      </c>
      <c r="AQ149" t="s">
        <v>420</v>
      </c>
      <c r="AR149" t="s">
        <v>420</v>
      </c>
      <c r="AS149">
        <v>0</v>
      </c>
      <c r="AT149">
        <v>0</v>
      </c>
      <c r="AU149">
        <f>1-AS149/AT149</f>
        <v>0</v>
      </c>
      <c r="AV149">
        <v>0.5</v>
      </c>
      <c r="AW149">
        <f>CV149</f>
        <v>0</v>
      </c>
      <c r="AX149">
        <f>K149</f>
        <v>0</v>
      </c>
      <c r="AY149">
        <f>AU149*AV149*AW149</f>
        <v>0</v>
      </c>
      <c r="AZ149">
        <f>(AX149-AP149)/AW149</f>
        <v>0</v>
      </c>
      <c r="BA149">
        <f>(AN149-AT149)/AT149</f>
        <v>0</v>
      </c>
      <c r="BB149">
        <f>AM149/(AO149+AM149/AT149)</f>
        <v>0</v>
      </c>
      <c r="BC149" t="s">
        <v>420</v>
      </c>
      <c r="BD149">
        <v>0</v>
      </c>
      <c r="BE149">
        <f>IF(BD149&lt;&gt;0, BD149, BB149)</f>
        <v>0</v>
      </c>
      <c r="BF149">
        <f>1-BE149/AT149</f>
        <v>0</v>
      </c>
      <c r="BG149">
        <f>(AT149-AS149)/(AT149-BE149)</f>
        <v>0</v>
      </c>
      <c r="BH149">
        <f>(AN149-AT149)/(AN149-BE149)</f>
        <v>0</v>
      </c>
      <c r="BI149">
        <f>(AT149-AS149)/(AT149-AM149)</f>
        <v>0</v>
      </c>
      <c r="BJ149">
        <f>(AN149-AT149)/(AN149-AM149)</f>
        <v>0</v>
      </c>
      <c r="BK149">
        <f>(BG149*BE149/AS149)</f>
        <v>0</v>
      </c>
      <c r="BL149">
        <f>(1-BK149)</f>
        <v>0</v>
      </c>
      <c r="CU149">
        <f>$B$13*DS149+$C$13*DT149+$F$13*EE149*(1-EH149)</f>
        <v>0</v>
      </c>
      <c r="CV149">
        <f>CU149*CW149</f>
        <v>0</v>
      </c>
      <c r="CW149">
        <f>($B$13*$D$11+$C$13*$D$11+$F$13*((ER149+EJ149)/MAX(ER149+EJ149+ES149, 0.1)*$I$11+ES149/MAX(ER149+EJ149+ES149, 0.1)*$J$11))/($B$13+$C$13+$F$13)</f>
        <v>0</v>
      </c>
      <c r="CX149">
        <f>($B$13*$K$11+$C$13*$K$11+$F$13*((ER149+EJ149)/MAX(ER149+EJ149+ES149, 0.1)*$P$11+ES149/MAX(ER149+EJ149+ES149, 0.1)*$Q$11))/($B$13+$C$13+$F$13)</f>
        <v>0</v>
      </c>
      <c r="CY149">
        <v>5.66</v>
      </c>
      <c r="CZ149">
        <v>0.5</v>
      </c>
      <c r="DA149" t="s">
        <v>421</v>
      </c>
      <c r="DB149">
        <v>2</v>
      </c>
      <c r="DC149">
        <v>1761019075.1</v>
      </c>
      <c r="DD149">
        <v>420.5301111111111</v>
      </c>
      <c r="DE149">
        <v>419.8167777777778</v>
      </c>
      <c r="DF149">
        <v>24.0536</v>
      </c>
      <c r="DG149">
        <v>24.28075555555556</v>
      </c>
      <c r="DH149">
        <v>422.097</v>
      </c>
      <c r="DI149">
        <v>23.85502222222222</v>
      </c>
      <c r="DJ149">
        <v>499.9858888888888</v>
      </c>
      <c r="DK149">
        <v>90.80926666666667</v>
      </c>
      <c r="DL149">
        <v>0.03389086666666666</v>
      </c>
      <c r="DM149">
        <v>30.65968888888888</v>
      </c>
      <c r="DN149">
        <v>30.15487777777777</v>
      </c>
      <c r="DO149">
        <v>999.9000000000001</v>
      </c>
      <c r="DP149">
        <v>0</v>
      </c>
      <c r="DQ149">
        <v>0</v>
      </c>
      <c r="DR149">
        <v>9991.459999999999</v>
      </c>
      <c r="DS149">
        <v>0</v>
      </c>
      <c r="DT149">
        <v>0.242856</v>
      </c>
      <c r="DU149">
        <v>0.713195888888889</v>
      </c>
      <c r="DV149">
        <v>430.8945555555555</v>
      </c>
      <c r="DW149">
        <v>430.264</v>
      </c>
      <c r="DX149">
        <v>-0.2271554444444444</v>
      </c>
      <c r="DY149">
        <v>419.8167777777778</v>
      </c>
      <c r="DZ149">
        <v>24.28075555555556</v>
      </c>
      <c r="EA149">
        <v>2.184287777777778</v>
      </c>
      <c r="EB149">
        <v>2.204916666666667</v>
      </c>
      <c r="EC149">
        <v>18.8475</v>
      </c>
      <c r="ED149">
        <v>18.9979</v>
      </c>
      <c r="EE149">
        <v>0.00500078</v>
      </c>
      <c r="EF149">
        <v>0</v>
      </c>
      <c r="EG149">
        <v>0</v>
      </c>
      <c r="EH149">
        <v>0</v>
      </c>
      <c r="EI149">
        <v>852.8555555555555</v>
      </c>
      <c r="EJ149">
        <v>0.00500078</v>
      </c>
      <c r="EK149">
        <v>-9.055555555555555</v>
      </c>
      <c r="EL149">
        <v>-0.7222222222222222</v>
      </c>
      <c r="EM149">
        <v>36.04155555555556</v>
      </c>
      <c r="EN149">
        <v>40.13866666666667</v>
      </c>
      <c r="EO149">
        <v>39.09677777777777</v>
      </c>
      <c r="EP149">
        <v>41.07633333333334</v>
      </c>
      <c r="EQ149">
        <v>39.04833333333333</v>
      </c>
      <c r="ER149">
        <v>0</v>
      </c>
      <c r="ES149">
        <v>0</v>
      </c>
      <c r="ET149">
        <v>0</v>
      </c>
      <c r="EU149">
        <v>1761019077.1</v>
      </c>
      <c r="EV149">
        <v>0</v>
      </c>
      <c r="EW149">
        <v>859.9384615384616</v>
      </c>
      <c r="EX149">
        <v>-59.71965794371906</v>
      </c>
      <c r="EY149">
        <v>-19.76752103495802</v>
      </c>
      <c r="EZ149">
        <v>-8.600000000000001</v>
      </c>
      <c r="FA149">
        <v>15</v>
      </c>
      <c r="FB149">
        <v>1761018667.1</v>
      </c>
      <c r="FC149" t="s">
        <v>613</v>
      </c>
      <c r="FD149">
        <v>1761018661.6</v>
      </c>
      <c r="FE149">
        <v>1761018667.1</v>
      </c>
      <c r="FF149">
        <v>26</v>
      </c>
      <c r="FG149">
        <v>-0.221</v>
      </c>
      <c r="FH149">
        <v>-0.001</v>
      </c>
      <c r="FI149">
        <v>-1.568</v>
      </c>
      <c r="FJ149">
        <v>0.178</v>
      </c>
      <c r="FK149">
        <v>420</v>
      </c>
      <c r="FL149">
        <v>23</v>
      </c>
      <c r="FM149">
        <v>0.1</v>
      </c>
      <c r="FN149">
        <v>0.08</v>
      </c>
      <c r="FO149">
        <v>0.6550627560975609</v>
      </c>
      <c r="FP149">
        <v>0.5756425505226477</v>
      </c>
      <c r="FQ149">
        <v>0.08079832679376608</v>
      </c>
      <c r="FR149">
        <v>0</v>
      </c>
      <c r="FS149">
        <v>864.4852941176471</v>
      </c>
      <c r="FT149">
        <v>-94.25362845482387</v>
      </c>
      <c r="FU149">
        <v>11.4991337871455</v>
      </c>
      <c r="FV149">
        <v>0</v>
      </c>
      <c r="FW149">
        <v>0.1799303765853658</v>
      </c>
      <c r="FX149">
        <v>-2.931635003205574</v>
      </c>
      <c r="FY149">
        <v>0.2991957173602474</v>
      </c>
      <c r="FZ149">
        <v>0</v>
      </c>
      <c r="GA149">
        <v>0</v>
      </c>
      <c r="GB149">
        <v>3</v>
      </c>
      <c r="GC149" t="s">
        <v>423</v>
      </c>
      <c r="GD149">
        <v>3.10966</v>
      </c>
      <c r="GE149">
        <v>2.72543</v>
      </c>
      <c r="GF149">
        <v>0.0890312</v>
      </c>
      <c r="GG149">
        <v>0.088717</v>
      </c>
      <c r="GH149">
        <v>0.109513</v>
      </c>
      <c r="GI149">
        <v>0.111627</v>
      </c>
      <c r="GJ149">
        <v>23927.3</v>
      </c>
      <c r="GK149">
        <v>21662.7</v>
      </c>
      <c r="GL149">
        <v>26821.7</v>
      </c>
      <c r="GM149">
        <v>23975.4</v>
      </c>
      <c r="GN149">
        <v>38159.8</v>
      </c>
      <c r="GO149">
        <v>31408.9</v>
      </c>
      <c r="GP149">
        <v>46815.1</v>
      </c>
      <c r="GQ149">
        <v>37892.2</v>
      </c>
      <c r="GR149">
        <v>1.89915</v>
      </c>
      <c r="GS149">
        <v>1.89818</v>
      </c>
      <c r="GT149">
        <v>0.13873</v>
      </c>
      <c r="GU149">
        <v>0</v>
      </c>
      <c r="GV149">
        <v>27.8786</v>
      </c>
      <c r="GW149">
        <v>999.9</v>
      </c>
      <c r="GX149">
        <v>64.09999999999999</v>
      </c>
      <c r="GY149">
        <v>28.5</v>
      </c>
      <c r="GZ149">
        <v>27.5777</v>
      </c>
      <c r="HA149">
        <v>61.3274</v>
      </c>
      <c r="HB149">
        <v>20.2804</v>
      </c>
      <c r="HC149">
        <v>1</v>
      </c>
      <c r="HD149">
        <v>-0.0219919</v>
      </c>
      <c r="HE149">
        <v>-1.39247</v>
      </c>
      <c r="HF149">
        <v>20.3302</v>
      </c>
      <c r="HG149">
        <v>5.21909</v>
      </c>
      <c r="HH149">
        <v>11.9794</v>
      </c>
      <c r="HI149">
        <v>4.96465</v>
      </c>
      <c r="HJ149">
        <v>3.27523</v>
      </c>
      <c r="HK149">
        <v>9999</v>
      </c>
      <c r="HL149">
        <v>9999</v>
      </c>
      <c r="HM149">
        <v>9999</v>
      </c>
      <c r="HN149">
        <v>999.9</v>
      </c>
      <c r="HO149">
        <v>1.86356</v>
      </c>
      <c r="HP149">
        <v>1.85974</v>
      </c>
      <c r="HQ149">
        <v>1.85794</v>
      </c>
      <c r="HR149">
        <v>1.8594</v>
      </c>
      <c r="HS149">
        <v>1.85959</v>
      </c>
      <c r="HT149">
        <v>1.85804</v>
      </c>
      <c r="HU149">
        <v>1.85704</v>
      </c>
      <c r="HV149">
        <v>1.85206</v>
      </c>
      <c r="HW149">
        <v>0</v>
      </c>
      <c r="HX149">
        <v>0</v>
      </c>
      <c r="HY149">
        <v>0</v>
      </c>
      <c r="HZ149">
        <v>0</v>
      </c>
      <c r="IA149" t="s">
        <v>424</v>
      </c>
      <c r="IB149" t="s">
        <v>425</v>
      </c>
      <c r="IC149" t="s">
        <v>426</v>
      </c>
      <c r="ID149" t="s">
        <v>426</v>
      </c>
      <c r="IE149" t="s">
        <v>426</v>
      </c>
      <c r="IF149" t="s">
        <v>426</v>
      </c>
      <c r="IG149">
        <v>0</v>
      </c>
      <c r="IH149">
        <v>100</v>
      </c>
      <c r="II149">
        <v>100</v>
      </c>
      <c r="IJ149">
        <v>-1.567</v>
      </c>
      <c r="IK149">
        <v>0.2009</v>
      </c>
      <c r="IL149">
        <v>-2.357986366295179</v>
      </c>
      <c r="IM149">
        <v>0.001328113201692861</v>
      </c>
      <c r="IN149">
        <v>1.538283238170363E-06</v>
      </c>
      <c r="IO149">
        <v>-5.795655626708063E-10</v>
      </c>
      <c r="IP149">
        <v>-0.06105361615936408</v>
      </c>
      <c r="IQ149">
        <v>-0.004593102289677449</v>
      </c>
      <c r="IR149">
        <v>0.0008253994458280543</v>
      </c>
      <c r="IS149">
        <v>-7.403632370499484E-06</v>
      </c>
      <c r="IT149">
        <v>2</v>
      </c>
      <c r="IU149">
        <v>1985</v>
      </c>
      <c r="IV149">
        <v>1</v>
      </c>
      <c r="IW149">
        <v>27</v>
      </c>
      <c r="IX149">
        <v>6.9</v>
      </c>
      <c r="IY149">
        <v>6.8</v>
      </c>
      <c r="IZ149">
        <v>1.13037</v>
      </c>
      <c r="JA149">
        <v>2.59033</v>
      </c>
      <c r="JB149">
        <v>1.49658</v>
      </c>
      <c r="JC149">
        <v>2.34863</v>
      </c>
      <c r="JD149">
        <v>1.54907</v>
      </c>
      <c r="JE149">
        <v>2.41211</v>
      </c>
      <c r="JF149">
        <v>31.8488</v>
      </c>
      <c r="JG149">
        <v>14.4998</v>
      </c>
      <c r="JH149">
        <v>18</v>
      </c>
      <c r="JI149">
        <v>481.757</v>
      </c>
      <c r="JJ149">
        <v>510.991</v>
      </c>
      <c r="JK149">
        <v>31.5728</v>
      </c>
      <c r="JL149">
        <v>27.0092</v>
      </c>
      <c r="JM149">
        <v>29.9999</v>
      </c>
      <c r="JN149">
        <v>27.2957</v>
      </c>
      <c r="JO149">
        <v>27.3031</v>
      </c>
      <c r="JP149">
        <v>22.7388</v>
      </c>
      <c r="JQ149">
        <v>10.3649</v>
      </c>
      <c r="JR149">
        <v>91.94070000000001</v>
      </c>
      <c r="JS149">
        <v>31.478</v>
      </c>
      <c r="JT149">
        <v>420</v>
      </c>
      <c r="JU149">
        <v>24.6984</v>
      </c>
      <c r="JV149">
        <v>102.375</v>
      </c>
      <c r="JW149">
        <v>91.4186</v>
      </c>
    </row>
    <row r="150" spans="1:283">
      <c r="A150">
        <v>132</v>
      </c>
      <c r="B150">
        <v>1761019080.1</v>
      </c>
      <c r="C150">
        <v>1010.599999904633</v>
      </c>
      <c r="D150" t="s">
        <v>695</v>
      </c>
      <c r="E150" t="s">
        <v>696</v>
      </c>
      <c r="F150">
        <v>5</v>
      </c>
      <c r="G150" t="s">
        <v>674</v>
      </c>
      <c r="H150">
        <v>1761019077.1</v>
      </c>
      <c r="I150">
        <f>(J150)/1000</f>
        <v>0</v>
      </c>
      <c r="J150">
        <f>1000*DJ150*AH150*(DF150-DG150)/(100*CY150*(1000-AH150*DF150))</f>
        <v>0</v>
      </c>
      <c r="K150">
        <f>DJ150*AH150*(DE150-DD150*(1000-AH150*DG150)/(1000-AH150*DF150))/(100*CY150)</f>
        <v>0</v>
      </c>
      <c r="L150">
        <f>DD150 - IF(AH150&gt;1, K150*CY150*100.0/(AJ150), 0)</f>
        <v>0</v>
      </c>
      <c r="M150">
        <f>((S150-I150/2)*L150-K150)/(S150+I150/2)</f>
        <v>0</v>
      </c>
      <c r="N150">
        <f>M150*(DK150+DL150)/1000.0</f>
        <v>0</v>
      </c>
      <c r="O150">
        <f>(DD150 - IF(AH150&gt;1, K150*CY150*100.0/(AJ150), 0))*(DK150+DL150)/1000.0</f>
        <v>0</v>
      </c>
      <c r="P150">
        <f>2.0/((1/R150-1/Q150)+SIGN(R150)*SQRT((1/R150-1/Q150)*(1/R150-1/Q150) + 4*CZ150/((CZ150+1)*(CZ150+1))*(2*1/R150*1/Q150-1/Q150*1/Q150)))</f>
        <v>0</v>
      </c>
      <c r="Q150">
        <f>IF(LEFT(DA150,1)&lt;&gt;"0",IF(LEFT(DA150,1)="1",3.0,DB150),$D$5+$E$5*(DR150*DK150/($K$5*1000))+$F$5*(DR150*DK150/($K$5*1000))*MAX(MIN(CY150,$J$5),$I$5)*MAX(MIN(CY150,$J$5),$I$5)+$G$5*MAX(MIN(CY150,$J$5),$I$5)*(DR150*DK150/($K$5*1000))+$H$5*(DR150*DK150/($K$5*1000))*(DR150*DK150/($K$5*1000)))</f>
        <v>0</v>
      </c>
      <c r="R150">
        <f>I150*(1000-(1000*0.61365*exp(17.502*V150/(240.97+V150))/(DK150+DL150)+DF150)/2)/(1000*0.61365*exp(17.502*V150/(240.97+V150))/(DK150+DL150)-DF150)</f>
        <v>0</v>
      </c>
      <c r="S150">
        <f>1/((CZ150+1)/(P150/1.6)+1/(Q150/1.37)) + CZ150/((CZ150+1)/(P150/1.6) + CZ150/(Q150/1.37))</f>
        <v>0</v>
      </c>
      <c r="T150">
        <f>(CU150*CX150)</f>
        <v>0</v>
      </c>
      <c r="U150">
        <f>(DM150+(T150+2*0.95*5.67E-8*(((DM150+$B$9)+273)^4-(DM150+273)^4)-44100*I150)/(1.84*29.3*Q150+8*0.95*5.67E-8*(DM150+273)^3))</f>
        <v>0</v>
      </c>
      <c r="V150">
        <f>($C$9*DN150+$D$9*DO150+$E$9*U150)</f>
        <v>0</v>
      </c>
      <c r="W150">
        <f>0.61365*exp(17.502*V150/(240.97+V150))</f>
        <v>0</v>
      </c>
      <c r="X150">
        <f>(Y150/Z150*100)</f>
        <v>0</v>
      </c>
      <c r="Y150">
        <f>DF150*(DK150+DL150)/1000</f>
        <v>0</v>
      </c>
      <c r="Z150">
        <f>0.61365*exp(17.502*DM150/(240.97+DM150))</f>
        <v>0</v>
      </c>
      <c r="AA150">
        <f>(W150-DF150*(DK150+DL150)/1000)</f>
        <v>0</v>
      </c>
      <c r="AB150">
        <f>(-I150*44100)</f>
        <v>0</v>
      </c>
      <c r="AC150">
        <f>2*29.3*Q150*0.92*(DM150-V150)</f>
        <v>0</v>
      </c>
      <c r="AD150">
        <f>2*0.95*5.67E-8*(((DM150+$B$9)+273)^4-(V150+273)^4)</f>
        <v>0</v>
      </c>
      <c r="AE150">
        <f>T150+AD150+AB150+AC150</f>
        <v>0</v>
      </c>
      <c r="AF150">
        <v>1</v>
      </c>
      <c r="AG150">
        <v>0</v>
      </c>
      <c r="AH150">
        <f>IF(AF150*$H$15&gt;=AJ150,1.0,(AJ150/(AJ150-AF150*$H$15)))</f>
        <v>0</v>
      </c>
      <c r="AI150">
        <f>(AH150-1)*100</f>
        <v>0</v>
      </c>
      <c r="AJ150">
        <f>MAX(0,($B$15+$C$15*DR150)/(1+$D$15*DR150)*DK150/(DM150+273)*$E$15)</f>
        <v>0</v>
      </c>
      <c r="AK150" t="s">
        <v>420</v>
      </c>
      <c r="AL150" t="s">
        <v>420</v>
      </c>
      <c r="AM150">
        <v>0</v>
      </c>
      <c r="AN150">
        <v>0</v>
      </c>
      <c r="AO150">
        <f>1-AM150/AN150</f>
        <v>0</v>
      </c>
      <c r="AP150">
        <v>0</v>
      </c>
      <c r="AQ150" t="s">
        <v>420</v>
      </c>
      <c r="AR150" t="s">
        <v>420</v>
      </c>
      <c r="AS150">
        <v>0</v>
      </c>
      <c r="AT150">
        <v>0</v>
      </c>
      <c r="AU150">
        <f>1-AS150/AT150</f>
        <v>0</v>
      </c>
      <c r="AV150">
        <v>0.5</v>
      </c>
      <c r="AW150">
        <f>CV150</f>
        <v>0</v>
      </c>
      <c r="AX150">
        <f>K150</f>
        <v>0</v>
      </c>
      <c r="AY150">
        <f>AU150*AV150*AW150</f>
        <v>0</v>
      </c>
      <c r="AZ150">
        <f>(AX150-AP150)/AW150</f>
        <v>0</v>
      </c>
      <c r="BA150">
        <f>(AN150-AT150)/AT150</f>
        <v>0</v>
      </c>
      <c r="BB150">
        <f>AM150/(AO150+AM150/AT150)</f>
        <v>0</v>
      </c>
      <c r="BC150" t="s">
        <v>420</v>
      </c>
      <c r="BD150">
        <v>0</v>
      </c>
      <c r="BE150">
        <f>IF(BD150&lt;&gt;0, BD150, BB150)</f>
        <v>0</v>
      </c>
      <c r="BF150">
        <f>1-BE150/AT150</f>
        <v>0</v>
      </c>
      <c r="BG150">
        <f>(AT150-AS150)/(AT150-BE150)</f>
        <v>0</v>
      </c>
      <c r="BH150">
        <f>(AN150-AT150)/(AN150-BE150)</f>
        <v>0</v>
      </c>
      <c r="BI150">
        <f>(AT150-AS150)/(AT150-AM150)</f>
        <v>0</v>
      </c>
      <c r="BJ150">
        <f>(AN150-AT150)/(AN150-AM150)</f>
        <v>0</v>
      </c>
      <c r="BK150">
        <f>(BG150*BE150/AS150)</f>
        <v>0</v>
      </c>
      <c r="BL150">
        <f>(1-BK150)</f>
        <v>0</v>
      </c>
      <c r="CU150">
        <f>$B$13*DS150+$C$13*DT150+$F$13*EE150*(1-EH150)</f>
        <v>0</v>
      </c>
      <c r="CV150">
        <f>CU150*CW150</f>
        <v>0</v>
      </c>
      <c r="CW150">
        <f>($B$13*$D$11+$C$13*$D$11+$F$13*((ER150+EJ150)/MAX(ER150+EJ150+ES150, 0.1)*$I$11+ES150/MAX(ER150+EJ150+ES150, 0.1)*$J$11))/($B$13+$C$13+$F$13)</f>
        <v>0</v>
      </c>
      <c r="CX150">
        <f>($B$13*$K$11+$C$13*$K$11+$F$13*((ER150+EJ150)/MAX(ER150+EJ150+ES150, 0.1)*$P$11+ES150/MAX(ER150+EJ150+ES150, 0.1)*$Q$11))/($B$13+$C$13+$F$13)</f>
        <v>0</v>
      </c>
      <c r="CY150">
        <v>5.66</v>
      </c>
      <c r="CZ150">
        <v>0.5</v>
      </c>
      <c r="DA150" t="s">
        <v>421</v>
      </c>
      <c r="DB150">
        <v>2</v>
      </c>
      <c r="DC150">
        <v>1761019077.1</v>
      </c>
      <c r="DD150">
        <v>420.5091111111111</v>
      </c>
      <c r="DE150">
        <v>419.8241111111111</v>
      </c>
      <c r="DF150">
        <v>24.12425555555556</v>
      </c>
      <c r="DG150">
        <v>24.42297777777778</v>
      </c>
      <c r="DH150">
        <v>422.0761111111111</v>
      </c>
      <c r="DI150">
        <v>23.92414444444444</v>
      </c>
      <c r="DJ150">
        <v>499.9784444444444</v>
      </c>
      <c r="DK150">
        <v>90.80982222222222</v>
      </c>
      <c r="DL150">
        <v>0.03384968888888889</v>
      </c>
      <c r="DM150">
        <v>30.65115555555556</v>
      </c>
      <c r="DN150">
        <v>30.1451</v>
      </c>
      <c r="DO150">
        <v>999.9000000000001</v>
      </c>
      <c r="DP150">
        <v>0</v>
      </c>
      <c r="DQ150">
        <v>0</v>
      </c>
      <c r="DR150">
        <v>9993.54111111111</v>
      </c>
      <c r="DS150">
        <v>0</v>
      </c>
      <c r="DT150">
        <v>0.242856</v>
      </c>
      <c r="DU150">
        <v>0.684801</v>
      </c>
      <c r="DV150">
        <v>430.9042222222222</v>
      </c>
      <c r="DW150">
        <v>430.3343333333333</v>
      </c>
      <c r="DX150">
        <v>-0.2987188888888889</v>
      </c>
      <c r="DY150">
        <v>419.8241111111111</v>
      </c>
      <c r="DZ150">
        <v>24.42297777777778</v>
      </c>
      <c r="EA150">
        <v>2.190717777777778</v>
      </c>
      <c r="EB150">
        <v>2.217846666666667</v>
      </c>
      <c r="EC150">
        <v>18.89453333333334</v>
      </c>
      <c r="ED150">
        <v>19.09164444444444</v>
      </c>
      <c r="EE150">
        <v>0.00500078</v>
      </c>
      <c r="EF150">
        <v>0</v>
      </c>
      <c r="EG150">
        <v>0</v>
      </c>
      <c r="EH150">
        <v>0</v>
      </c>
      <c r="EI150">
        <v>849.7333333333332</v>
      </c>
      <c r="EJ150">
        <v>0.00500078</v>
      </c>
      <c r="EK150">
        <v>-8.100000000000001</v>
      </c>
      <c r="EL150">
        <v>-0.8777777777777778</v>
      </c>
      <c r="EM150">
        <v>36.01366666666667</v>
      </c>
      <c r="EN150">
        <v>40.06233333333333</v>
      </c>
      <c r="EO150">
        <v>39.07599999999999</v>
      </c>
      <c r="EP150">
        <v>40.95133333333334</v>
      </c>
      <c r="EQ150">
        <v>38.99277777777777</v>
      </c>
      <c r="ER150">
        <v>0</v>
      </c>
      <c r="ES150">
        <v>0</v>
      </c>
      <c r="ET150">
        <v>0</v>
      </c>
      <c r="EU150">
        <v>1761019078.9</v>
      </c>
      <c r="EV150">
        <v>0</v>
      </c>
      <c r="EW150">
        <v>857.16</v>
      </c>
      <c r="EX150">
        <v>-47.06153840571747</v>
      </c>
      <c r="EY150">
        <v>8.276923446542368</v>
      </c>
      <c r="EZ150">
        <v>-9.587999999999999</v>
      </c>
      <c r="FA150">
        <v>15</v>
      </c>
      <c r="FB150">
        <v>1761018667.1</v>
      </c>
      <c r="FC150" t="s">
        <v>613</v>
      </c>
      <c r="FD150">
        <v>1761018661.6</v>
      </c>
      <c r="FE150">
        <v>1761018667.1</v>
      </c>
      <c r="FF150">
        <v>26</v>
      </c>
      <c r="FG150">
        <v>-0.221</v>
      </c>
      <c r="FH150">
        <v>-0.001</v>
      </c>
      <c r="FI150">
        <v>-1.568</v>
      </c>
      <c r="FJ150">
        <v>0.178</v>
      </c>
      <c r="FK150">
        <v>420</v>
      </c>
      <c r="FL150">
        <v>23</v>
      </c>
      <c r="FM150">
        <v>0.1</v>
      </c>
      <c r="FN150">
        <v>0.08</v>
      </c>
      <c r="FO150">
        <v>0.6742133750000001</v>
      </c>
      <c r="FP150">
        <v>0.3929139624765464</v>
      </c>
      <c r="FQ150">
        <v>0.06558938949353298</v>
      </c>
      <c r="FR150">
        <v>1</v>
      </c>
      <c r="FS150">
        <v>862.1558823529411</v>
      </c>
      <c r="FT150">
        <v>-70.23529398939436</v>
      </c>
      <c r="FU150">
        <v>9.793070514593788</v>
      </c>
      <c r="FV150">
        <v>0</v>
      </c>
      <c r="FW150">
        <v>0.111387661</v>
      </c>
      <c r="FX150">
        <v>-3.231732064390244</v>
      </c>
      <c r="FY150">
        <v>0.3145243419870874</v>
      </c>
      <c r="FZ150">
        <v>0</v>
      </c>
      <c r="GA150">
        <v>1</v>
      </c>
      <c r="GB150">
        <v>3</v>
      </c>
      <c r="GC150" t="s">
        <v>431</v>
      </c>
      <c r="GD150">
        <v>3.10988</v>
      </c>
      <c r="GE150">
        <v>2.72568</v>
      </c>
      <c r="GF150">
        <v>0.08902839999999999</v>
      </c>
      <c r="GG150">
        <v>0.0887114</v>
      </c>
      <c r="GH150">
        <v>0.109793</v>
      </c>
      <c r="GI150">
        <v>0.112014</v>
      </c>
      <c r="GJ150">
        <v>23927.3</v>
      </c>
      <c r="GK150">
        <v>21662.6</v>
      </c>
      <c r="GL150">
        <v>26821.7</v>
      </c>
      <c r="GM150">
        <v>23975.2</v>
      </c>
      <c r="GN150">
        <v>38147.6</v>
      </c>
      <c r="GO150">
        <v>31394.5</v>
      </c>
      <c r="GP150">
        <v>46815.2</v>
      </c>
      <c r="GQ150">
        <v>37891.5</v>
      </c>
      <c r="GR150">
        <v>1.89937</v>
      </c>
      <c r="GS150">
        <v>1.89805</v>
      </c>
      <c r="GT150">
        <v>0.138469</v>
      </c>
      <c r="GU150">
        <v>0</v>
      </c>
      <c r="GV150">
        <v>27.8781</v>
      </c>
      <c r="GW150">
        <v>999.9</v>
      </c>
      <c r="GX150">
        <v>64.09999999999999</v>
      </c>
      <c r="GY150">
        <v>28.5</v>
      </c>
      <c r="GZ150">
        <v>27.5787</v>
      </c>
      <c r="HA150">
        <v>61.4874</v>
      </c>
      <c r="HB150">
        <v>20.2324</v>
      </c>
      <c r="HC150">
        <v>1</v>
      </c>
      <c r="HD150">
        <v>-0.0220884</v>
      </c>
      <c r="HE150">
        <v>-1.29752</v>
      </c>
      <c r="HF150">
        <v>20.3316</v>
      </c>
      <c r="HG150">
        <v>5.22253</v>
      </c>
      <c r="HH150">
        <v>11.9797</v>
      </c>
      <c r="HI150">
        <v>4.96555</v>
      </c>
      <c r="HJ150">
        <v>3.276</v>
      </c>
      <c r="HK150">
        <v>9999</v>
      </c>
      <c r="HL150">
        <v>9999</v>
      </c>
      <c r="HM150">
        <v>9999</v>
      </c>
      <c r="HN150">
        <v>999.9</v>
      </c>
      <c r="HO150">
        <v>1.86356</v>
      </c>
      <c r="HP150">
        <v>1.85974</v>
      </c>
      <c r="HQ150">
        <v>1.85794</v>
      </c>
      <c r="HR150">
        <v>1.85941</v>
      </c>
      <c r="HS150">
        <v>1.85959</v>
      </c>
      <c r="HT150">
        <v>1.85803</v>
      </c>
      <c r="HU150">
        <v>1.85706</v>
      </c>
      <c r="HV150">
        <v>1.85205</v>
      </c>
      <c r="HW150">
        <v>0</v>
      </c>
      <c r="HX150">
        <v>0</v>
      </c>
      <c r="HY150">
        <v>0</v>
      </c>
      <c r="HZ150">
        <v>0</v>
      </c>
      <c r="IA150" t="s">
        <v>424</v>
      </c>
      <c r="IB150" t="s">
        <v>425</v>
      </c>
      <c r="IC150" t="s">
        <v>426</v>
      </c>
      <c r="ID150" t="s">
        <v>426</v>
      </c>
      <c r="IE150" t="s">
        <v>426</v>
      </c>
      <c r="IF150" t="s">
        <v>426</v>
      </c>
      <c r="IG150">
        <v>0</v>
      </c>
      <c r="IH150">
        <v>100</v>
      </c>
      <c r="II150">
        <v>100</v>
      </c>
      <c r="IJ150">
        <v>-1.567</v>
      </c>
      <c r="IK150">
        <v>0.2029</v>
      </c>
      <c r="IL150">
        <v>-2.357986366295179</v>
      </c>
      <c r="IM150">
        <v>0.001328113201692861</v>
      </c>
      <c r="IN150">
        <v>1.538283238170363E-06</v>
      </c>
      <c r="IO150">
        <v>-5.795655626708063E-10</v>
      </c>
      <c r="IP150">
        <v>-0.06105361615936408</v>
      </c>
      <c r="IQ150">
        <v>-0.004593102289677449</v>
      </c>
      <c r="IR150">
        <v>0.0008253994458280543</v>
      </c>
      <c r="IS150">
        <v>-7.403632370499484E-06</v>
      </c>
      <c r="IT150">
        <v>2</v>
      </c>
      <c r="IU150">
        <v>1985</v>
      </c>
      <c r="IV150">
        <v>1</v>
      </c>
      <c r="IW150">
        <v>27</v>
      </c>
      <c r="IX150">
        <v>7</v>
      </c>
      <c r="IY150">
        <v>6.9</v>
      </c>
      <c r="IZ150">
        <v>1.13159</v>
      </c>
      <c r="JA150">
        <v>2.59277</v>
      </c>
      <c r="JB150">
        <v>1.49658</v>
      </c>
      <c r="JC150">
        <v>2.34863</v>
      </c>
      <c r="JD150">
        <v>1.54907</v>
      </c>
      <c r="JE150">
        <v>2.45728</v>
      </c>
      <c r="JF150">
        <v>31.8488</v>
      </c>
      <c r="JG150">
        <v>14.491</v>
      </c>
      <c r="JH150">
        <v>18</v>
      </c>
      <c r="JI150">
        <v>481.874</v>
      </c>
      <c r="JJ150">
        <v>510.891</v>
      </c>
      <c r="JK150">
        <v>31.5049</v>
      </c>
      <c r="JL150">
        <v>27.0086</v>
      </c>
      <c r="JM150">
        <v>29.9998</v>
      </c>
      <c r="JN150">
        <v>27.294</v>
      </c>
      <c r="JO150">
        <v>27.3014</v>
      </c>
      <c r="JP150">
        <v>22.7408</v>
      </c>
      <c r="JQ150">
        <v>10.3649</v>
      </c>
      <c r="JR150">
        <v>91.94070000000001</v>
      </c>
      <c r="JS150">
        <v>31.478</v>
      </c>
      <c r="JT150">
        <v>420</v>
      </c>
      <c r="JU150">
        <v>24.655</v>
      </c>
      <c r="JV150">
        <v>102.375</v>
      </c>
      <c r="JW150">
        <v>91.4173</v>
      </c>
    </row>
    <row r="151" spans="1:283">
      <c r="A151">
        <v>133</v>
      </c>
      <c r="B151">
        <v>1761019082.1</v>
      </c>
      <c r="C151">
        <v>1012.599999904633</v>
      </c>
      <c r="D151" t="s">
        <v>697</v>
      </c>
      <c r="E151" t="s">
        <v>698</v>
      </c>
      <c r="F151">
        <v>5</v>
      </c>
      <c r="G151" t="s">
        <v>674</v>
      </c>
      <c r="H151">
        <v>1761019079.1</v>
      </c>
      <c r="I151">
        <f>(J151)/1000</f>
        <v>0</v>
      </c>
      <c r="J151">
        <f>1000*DJ151*AH151*(DF151-DG151)/(100*CY151*(1000-AH151*DF151))</f>
        <v>0</v>
      </c>
      <c r="K151">
        <f>DJ151*AH151*(DE151-DD151*(1000-AH151*DG151)/(1000-AH151*DF151))/(100*CY151)</f>
        <v>0</v>
      </c>
      <c r="L151">
        <f>DD151 - IF(AH151&gt;1, K151*CY151*100.0/(AJ151), 0)</f>
        <v>0</v>
      </c>
      <c r="M151">
        <f>((S151-I151/2)*L151-K151)/(S151+I151/2)</f>
        <v>0</v>
      </c>
      <c r="N151">
        <f>M151*(DK151+DL151)/1000.0</f>
        <v>0</v>
      </c>
      <c r="O151">
        <f>(DD151 - IF(AH151&gt;1, K151*CY151*100.0/(AJ151), 0))*(DK151+DL151)/1000.0</f>
        <v>0</v>
      </c>
      <c r="P151">
        <f>2.0/((1/R151-1/Q151)+SIGN(R151)*SQRT((1/R151-1/Q151)*(1/R151-1/Q151) + 4*CZ151/((CZ151+1)*(CZ151+1))*(2*1/R151*1/Q151-1/Q151*1/Q151)))</f>
        <v>0</v>
      </c>
      <c r="Q151">
        <f>IF(LEFT(DA151,1)&lt;&gt;"0",IF(LEFT(DA151,1)="1",3.0,DB151),$D$5+$E$5*(DR151*DK151/($K$5*1000))+$F$5*(DR151*DK151/($K$5*1000))*MAX(MIN(CY151,$J$5),$I$5)*MAX(MIN(CY151,$J$5),$I$5)+$G$5*MAX(MIN(CY151,$J$5),$I$5)*(DR151*DK151/($K$5*1000))+$H$5*(DR151*DK151/($K$5*1000))*(DR151*DK151/($K$5*1000)))</f>
        <v>0</v>
      </c>
      <c r="R151">
        <f>I151*(1000-(1000*0.61365*exp(17.502*V151/(240.97+V151))/(DK151+DL151)+DF151)/2)/(1000*0.61365*exp(17.502*V151/(240.97+V151))/(DK151+DL151)-DF151)</f>
        <v>0</v>
      </c>
      <c r="S151">
        <f>1/((CZ151+1)/(P151/1.6)+1/(Q151/1.37)) + CZ151/((CZ151+1)/(P151/1.6) + CZ151/(Q151/1.37))</f>
        <v>0</v>
      </c>
      <c r="T151">
        <f>(CU151*CX151)</f>
        <v>0</v>
      </c>
      <c r="U151">
        <f>(DM151+(T151+2*0.95*5.67E-8*(((DM151+$B$9)+273)^4-(DM151+273)^4)-44100*I151)/(1.84*29.3*Q151+8*0.95*5.67E-8*(DM151+273)^3))</f>
        <v>0</v>
      </c>
      <c r="V151">
        <f>($C$9*DN151+$D$9*DO151+$E$9*U151)</f>
        <v>0</v>
      </c>
      <c r="W151">
        <f>0.61365*exp(17.502*V151/(240.97+V151))</f>
        <v>0</v>
      </c>
      <c r="X151">
        <f>(Y151/Z151*100)</f>
        <v>0</v>
      </c>
      <c r="Y151">
        <f>DF151*(DK151+DL151)/1000</f>
        <v>0</v>
      </c>
      <c r="Z151">
        <f>0.61365*exp(17.502*DM151/(240.97+DM151))</f>
        <v>0</v>
      </c>
      <c r="AA151">
        <f>(W151-DF151*(DK151+DL151)/1000)</f>
        <v>0</v>
      </c>
      <c r="AB151">
        <f>(-I151*44100)</f>
        <v>0</v>
      </c>
      <c r="AC151">
        <f>2*29.3*Q151*0.92*(DM151-V151)</f>
        <v>0</v>
      </c>
      <c r="AD151">
        <f>2*0.95*5.67E-8*(((DM151+$B$9)+273)^4-(V151+273)^4)</f>
        <v>0</v>
      </c>
      <c r="AE151">
        <f>T151+AD151+AB151+AC151</f>
        <v>0</v>
      </c>
      <c r="AF151">
        <v>1</v>
      </c>
      <c r="AG151">
        <v>0</v>
      </c>
      <c r="AH151">
        <f>IF(AF151*$H$15&gt;=AJ151,1.0,(AJ151/(AJ151-AF151*$H$15)))</f>
        <v>0</v>
      </c>
      <c r="AI151">
        <f>(AH151-1)*100</f>
        <v>0</v>
      </c>
      <c r="AJ151">
        <f>MAX(0,($B$15+$C$15*DR151)/(1+$D$15*DR151)*DK151/(DM151+273)*$E$15)</f>
        <v>0</v>
      </c>
      <c r="AK151" t="s">
        <v>420</v>
      </c>
      <c r="AL151" t="s">
        <v>420</v>
      </c>
      <c r="AM151">
        <v>0</v>
      </c>
      <c r="AN151">
        <v>0</v>
      </c>
      <c r="AO151">
        <f>1-AM151/AN151</f>
        <v>0</v>
      </c>
      <c r="AP151">
        <v>0</v>
      </c>
      <c r="AQ151" t="s">
        <v>420</v>
      </c>
      <c r="AR151" t="s">
        <v>420</v>
      </c>
      <c r="AS151">
        <v>0</v>
      </c>
      <c r="AT151">
        <v>0</v>
      </c>
      <c r="AU151">
        <f>1-AS151/AT151</f>
        <v>0</v>
      </c>
      <c r="AV151">
        <v>0.5</v>
      </c>
      <c r="AW151">
        <f>CV151</f>
        <v>0</v>
      </c>
      <c r="AX151">
        <f>K151</f>
        <v>0</v>
      </c>
      <c r="AY151">
        <f>AU151*AV151*AW151</f>
        <v>0</v>
      </c>
      <c r="AZ151">
        <f>(AX151-AP151)/AW151</f>
        <v>0</v>
      </c>
      <c r="BA151">
        <f>(AN151-AT151)/AT151</f>
        <v>0</v>
      </c>
      <c r="BB151">
        <f>AM151/(AO151+AM151/AT151)</f>
        <v>0</v>
      </c>
      <c r="BC151" t="s">
        <v>420</v>
      </c>
      <c r="BD151">
        <v>0</v>
      </c>
      <c r="BE151">
        <f>IF(BD151&lt;&gt;0, BD151, BB151)</f>
        <v>0</v>
      </c>
      <c r="BF151">
        <f>1-BE151/AT151</f>
        <v>0</v>
      </c>
      <c r="BG151">
        <f>(AT151-AS151)/(AT151-BE151)</f>
        <v>0</v>
      </c>
      <c r="BH151">
        <f>(AN151-AT151)/(AN151-BE151)</f>
        <v>0</v>
      </c>
      <c r="BI151">
        <f>(AT151-AS151)/(AT151-AM151)</f>
        <v>0</v>
      </c>
      <c r="BJ151">
        <f>(AN151-AT151)/(AN151-AM151)</f>
        <v>0</v>
      </c>
      <c r="BK151">
        <f>(BG151*BE151/AS151)</f>
        <v>0</v>
      </c>
      <c r="BL151">
        <f>(1-BK151)</f>
        <v>0</v>
      </c>
      <c r="CU151">
        <f>$B$13*DS151+$C$13*DT151+$F$13*EE151*(1-EH151)</f>
        <v>0</v>
      </c>
      <c r="CV151">
        <f>CU151*CW151</f>
        <v>0</v>
      </c>
      <c r="CW151">
        <f>($B$13*$D$11+$C$13*$D$11+$F$13*((ER151+EJ151)/MAX(ER151+EJ151+ES151, 0.1)*$I$11+ES151/MAX(ER151+EJ151+ES151, 0.1)*$J$11))/($B$13+$C$13+$F$13)</f>
        <v>0</v>
      </c>
      <c r="CX151">
        <f>($B$13*$K$11+$C$13*$K$11+$F$13*((ER151+EJ151)/MAX(ER151+EJ151+ES151, 0.1)*$P$11+ES151/MAX(ER151+EJ151+ES151, 0.1)*$Q$11))/($B$13+$C$13+$F$13)</f>
        <v>0</v>
      </c>
      <c r="CY151">
        <v>5.66</v>
      </c>
      <c r="CZ151">
        <v>0.5</v>
      </c>
      <c r="DA151" t="s">
        <v>421</v>
      </c>
      <c r="DB151">
        <v>2</v>
      </c>
      <c r="DC151">
        <v>1761019079.1</v>
      </c>
      <c r="DD151">
        <v>420.505</v>
      </c>
      <c r="DE151">
        <v>419.8241111111111</v>
      </c>
      <c r="DF151">
        <v>24.20778888888889</v>
      </c>
      <c r="DG151">
        <v>24.55286666666667</v>
      </c>
      <c r="DH151">
        <v>422.072</v>
      </c>
      <c r="DI151">
        <v>24.00585555555556</v>
      </c>
      <c r="DJ151">
        <v>499.9934444444445</v>
      </c>
      <c r="DK151">
        <v>90.81038888888889</v>
      </c>
      <c r="DL151">
        <v>0.03381618888888889</v>
      </c>
      <c r="DM151">
        <v>30.6421</v>
      </c>
      <c r="DN151">
        <v>30.13605555555556</v>
      </c>
      <c r="DO151">
        <v>999.9000000000001</v>
      </c>
      <c r="DP151">
        <v>0</v>
      </c>
      <c r="DQ151">
        <v>0</v>
      </c>
      <c r="DR151">
        <v>9998.954444444444</v>
      </c>
      <c r="DS151">
        <v>0</v>
      </c>
      <c r="DT151">
        <v>0.242856</v>
      </c>
      <c r="DU151">
        <v>0.6807726666666667</v>
      </c>
      <c r="DV151">
        <v>430.9371111111111</v>
      </c>
      <c r="DW151">
        <v>430.3916666666667</v>
      </c>
      <c r="DX151">
        <v>-0.3450863333333333</v>
      </c>
      <c r="DY151">
        <v>419.8241111111111</v>
      </c>
      <c r="DZ151">
        <v>24.55286666666667</v>
      </c>
      <c r="EA151">
        <v>2.198316666666666</v>
      </c>
      <c r="EB151">
        <v>2.229656666666667</v>
      </c>
      <c r="EC151">
        <v>18.94997777777778</v>
      </c>
      <c r="ED151">
        <v>19.17686666666667</v>
      </c>
      <c r="EE151">
        <v>0.00500078</v>
      </c>
      <c r="EF151">
        <v>0</v>
      </c>
      <c r="EG151">
        <v>0</v>
      </c>
      <c r="EH151">
        <v>0</v>
      </c>
      <c r="EI151">
        <v>849.7999999999998</v>
      </c>
      <c r="EJ151">
        <v>0.00500078</v>
      </c>
      <c r="EK151">
        <v>-7.622222222222222</v>
      </c>
      <c r="EL151">
        <v>-0.4</v>
      </c>
      <c r="EM151">
        <v>36.00655555555555</v>
      </c>
      <c r="EN151">
        <v>39.99966666666666</v>
      </c>
      <c r="EO151">
        <v>38.95811111111111</v>
      </c>
      <c r="EP151">
        <v>40.84022222222222</v>
      </c>
      <c r="EQ151">
        <v>38.96488888888889</v>
      </c>
      <c r="ER151">
        <v>0</v>
      </c>
      <c r="ES151">
        <v>0</v>
      </c>
      <c r="ET151">
        <v>0</v>
      </c>
      <c r="EU151">
        <v>1761019081.3</v>
      </c>
      <c r="EV151">
        <v>0</v>
      </c>
      <c r="EW151">
        <v>856.2560000000001</v>
      </c>
      <c r="EX151">
        <v>-28.84615397895354</v>
      </c>
      <c r="EY151">
        <v>-3.730768995195673</v>
      </c>
      <c r="EZ151">
        <v>-9.927999999999999</v>
      </c>
      <c r="FA151">
        <v>15</v>
      </c>
      <c r="FB151">
        <v>1761018667.1</v>
      </c>
      <c r="FC151" t="s">
        <v>613</v>
      </c>
      <c r="FD151">
        <v>1761018661.6</v>
      </c>
      <c r="FE151">
        <v>1761018667.1</v>
      </c>
      <c r="FF151">
        <v>26</v>
      </c>
      <c r="FG151">
        <v>-0.221</v>
      </c>
      <c r="FH151">
        <v>-0.001</v>
      </c>
      <c r="FI151">
        <v>-1.568</v>
      </c>
      <c r="FJ151">
        <v>0.178</v>
      </c>
      <c r="FK151">
        <v>420</v>
      </c>
      <c r="FL151">
        <v>23</v>
      </c>
      <c r="FM151">
        <v>0.1</v>
      </c>
      <c r="FN151">
        <v>0.08</v>
      </c>
      <c r="FO151">
        <v>0.6856317317073172</v>
      </c>
      <c r="FP151">
        <v>0.2103188989547032</v>
      </c>
      <c r="FQ151">
        <v>0.05686703965885832</v>
      </c>
      <c r="FR151">
        <v>1</v>
      </c>
      <c r="FS151">
        <v>859.8117647058824</v>
      </c>
      <c r="FT151">
        <v>-62.42016795760087</v>
      </c>
      <c r="FU151">
        <v>9.560542831803767</v>
      </c>
      <c r="FV151">
        <v>0</v>
      </c>
      <c r="FW151">
        <v>0.01327449853658536</v>
      </c>
      <c r="FX151">
        <v>-3.150842275400696</v>
      </c>
      <c r="FY151">
        <v>0.3152393512034146</v>
      </c>
      <c r="FZ151">
        <v>0</v>
      </c>
      <c r="GA151">
        <v>1</v>
      </c>
      <c r="GB151">
        <v>3</v>
      </c>
      <c r="GC151" t="s">
        <v>431</v>
      </c>
      <c r="GD151">
        <v>3.10985</v>
      </c>
      <c r="GE151">
        <v>2.72533</v>
      </c>
      <c r="GF151">
        <v>0.0890305</v>
      </c>
      <c r="GG151">
        <v>0.08872289999999999</v>
      </c>
      <c r="GH151">
        <v>0.110085</v>
      </c>
      <c r="GI151">
        <v>0.112358</v>
      </c>
      <c r="GJ151">
        <v>23927.4</v>
      </c>
      <c r="GK151">
        <v>21662.2</v>
      </c>
      <c r="GL151">
        <v>26821.8</v>
      </c>
      <c r="GM151">
        <v>23975</v>
      </c>
      <c r="GN151">
        <v>38134.9</v>
      </c>
      <c r="GO151">
        <v>31381.8</v>
      </c>
      <c r="GP151">
        <v>46815.2</v>
      </c>
      <c r="GQ151">
        <v>37891</v>
      </c>
      <c r="GR151">
        <v>1.8994</v>
      </c>
      <c r="GS151">
        <v>1.89825</v>
      </c>
      <c r="GT151">
        <v>0.137787</v>
      </c>
      <c r="GU151">
        <v>0</v>
      </c>
      <c r="GV151">
        <v>27.8766</v>
      </c>
      <c r="GW151">
        <v>999.9</v>
      </c>
      <c r="GX151">
        <v>64.09999999999999</v>
      </c>
      <c r="GY151">
        <v>28.5</v>
      </c>
      <c r="GZ151">
        <v>27.5755</v>
      </c>
      <c r="HA151">
        <v>61.4974</v>
      </c>
      <c r="HB151">
        <v>20.1963</v>
      </c>
      <c r="HC151">
        <v>1</v>
      </c>
      <c r="HD151">
        <v>-0.0222713</v>
      </c>
      <c r="HE151">
        <v>-1.42583</v>
      </c>
      <c r="HF151">
        <v>20.33</v>
      </c>
      <c r="HG151">
        <v>5.21894</v>
      </c>
      <c r="HH151">
        <v>11.9797</v>
      </c>
      <c r="HI151">
        <v>4.96495</v>
      </c>
      <c r="HJ151">
        <v>3.27525</v>
      </c>
      <c r="HK151">
        <v>9999</v>
      </c>
      <c r="HL151">
        <v>9999</v>
      </c>
      <c r="HM151">
        <v>9999</v>
      </c>
      <c r="HN151">
        <v>999.9</v>
      </c>
      <c r="HO151">
        <v>1.86356</v>
      </c>
      <c r="HP151">
        <v>1.85974</v>
      </c>
      <c r="HQ151">
        <v>1.85795</v>
      </c>
      <c r="HR151">
        <v>1.85941</v>
      </c>
      <c r="HS151">
        <v>1.85959</v>
      </c>
      <c r="HT151">
        <v>1.85801</v>
      </c>
      <c r="HU151">
        <v>1.85705</v>
      </c>
      <c r="HV151">
        <v>1.85205</v>
      </c>
      <c r="HW151">
        <v>0</v>
      </c>
      <c r="HX151">
        <v>0</v>
      </c>
      <c r="HY151">
        <v>0</v>
      </c>
      <c r="HZ151">
        <v>0</v>
      </c>
      <c r="IA151" t="s">
        <v>424</v>
      </c>
      <c r="IB151" t="s">
        <v>425</v>
      </c>
      <c r="IC151" t="s">
        <v>426</v>
      </c>
      <c r="ID151" t="s">
        <v>426</v>
      </c>
      <c r="IE151" t="s">
        <v>426</v>
      </c>
      <c r="IF151" t="s">
        <v>426</v>
      </c>
      <c r="IG151">
        <v>0</v>
      </c>
      <c r="IH151">
        <v>100</v>
      </c>
      <c r="II151">
        <v>100</v>
      </c>
      <c r="IJ151">
        <v>-1.567</v>
      </c>
      <c r="IK151">
        <v>0.2049</v>
      </c>
      <c r="IL151">
        <v>-2.357986366295179</v>
      </c>
      <c r="IM151">
        <v>0.001328113201692861</v>
      </c>
      <c r="IN151">
        <v>1.538283238170363E-06</v>
      </c>
      <c r="IO151">
        <v>-5.795655626708063E-10</v>
      </c>
      <c r="IP151">
        <v>-0.06105361615936408</v>
      </c>
      <c r="IQ151">
        <v>-0.004593102289677449</v>
      </c>
      <c r="IR151">
        <v>0.0008253994458280543</v>
      </c>
      <c r="IS151">
        <v>-7.403632370499484E-06</v>
      </c>
      <c r="IT151">
        <v>2</v>
      </c>
      <c r="IU151">
        <v>1985</v>
      </c>
      <c r="IV151">
        <v>1</v>
      </c>
      <c r="IW151">
        <v>27</v>
      </c>
      <c r="IX151">
        <v>7</v>
      </c>
      <c r="IY151">
        <v>6.9</v>
      </c>
      <c r="IZ151">
        <v>1.13159</v>
      </c>
      <c r="JA151">
        <v>2.59766</v>
      </c>
      <c r="JB151">
        <v>1.49658</v>
      </c>
      <c r="JC151">
        <v>2.34863</v>
      </c>
      <c r="JD151">
        <v>1.54907</v>
      </c>
      <c r="JE151">
        <v>2.34131</v>
      </c>
      <c r="JF151">
        <v>31.8488</v>
      </c>
      <c r="JG151">
        <v>14.491</v>
      </c>
      <c r="JH151">
        <v>18</v>
      </c>
      <c r="JI151">
        <v>481.879</v>
      </c>
      <c r="JJ151">
        <v>511.013</v>
      </c>
      <c r="JK151">
        <v>31.4413</v>
      </c>
      <c r="JL151">
        <v>27.0076</v>
      </c>
      <c r="JM151">
        <v>29.9998</v>
      </c>
      <c r="JN151">
        <v>27.2928</v>
      </c>
      <c r="JO151">
        <v>27.2999</v>
      </c>
      <c r="JP151">
        <v>22.7431</v>
      </c>
      <c r="JQ151">
        <v>11.0026</v>
      </c>
      <c r="JR151">
        <v>91.94070000000001</v>
      </c>
      <c r="JS151">
        <v>31.3406</v>
      </c>
      <c r="JT151">
        <v>420</v>
      </c>
      <c r="JU151">
        <v>24.5243</v>
      </c>
      <c r="JV151">
        <v>102.375</v>
      </c>
      <c r="JW151">
        <v>91.41630000000001</v>
      </c>
    </row>
    <row r="152" spans="1:283">
      <c r="A152">
        <v>134</v>
      </c>
      <c r="B152">
        <v>1761019084.1</v>
      </c>
      <c r="C152">
        <v>1014.599999904633</v>
      </c>
      <c r="D152" t="s">
        <v>699</v>
      </c>
      <c r="E152" t="s">
        <v>700</v>
      </c>
      <c r="F152">
        <v>5</v>
      </c>
      <c r="G152" t="s">
        <v>674</v>
      </c>
      <c r="H152">
        <v>1761019081.1</v>
      </c>
      <c r="I152">
        <f>(J152)/1000</f>
        <v>0</v>
      </c>
      <c r="J152">
        <f>1000*DJ152*AH152*(DF152-DG152)/(100*CY152*(1000-AH152*DF152))</f>
        <v>0</v>
      </c>
      <c r="K152">
        <f>DJ152*AH152*(DE152-DD152*(1000-AH152*DG152)/(1000-AH152*DF152))/(100*CY152)</f>
        <v>0</v>
      </c>
      <c r="L152">
        <f>DD152 - IF(AH152&gt;1, K152*CY152*100.0/(AJ152), 0)</f>
        <v>0</v>
      </c>
      <c r="M152">
        <f>((S152-I152/2)*L152-K152)/(S152+I152/2)</f>
        <v>0</v>
      </c>
      <c r="N152">
        <f>M152*(DK152+DL152)/1000.0</f>
        <v>0</v>
      </c>
      <c r="O152">
        <f>(DD152 - IF(AH152&gt;1, K152*CY152*100.0/(AJ152), 0))*(DK152+DL152)/1000.0</f>
        <v>0</v>
      </c>
      <c r="P152">
        <f>2.0/((1/R152-1/Q152)+SIGN(R152)*SQRT((1/R152-1/Q152)*(1/R152-1/Q152) + 4*CZ152/((CZ152+1)*(CZ152+1))*(2*1/R152*1/Q152-1/Q152*1/Q152)))</f>
        <v>0</v>
      </c>
      <c r="Q152">
        <f>IF(LEFT(DA152,1)&lt;&gt;"0",IF(LEFT(DA152,1)="1",3.0,DB152),$D$5+$E$5*(DR152*DK152/($K$5*1000))+$F$5*(DR152*DK152/($K$5*1000))*MAX(MIN(CY152,$J$5),$I$5)*MAX(MIN(CY152,$J$5),$I$5)+$G$5*MAX(MIN(CY152,$J$5),$I$5)*(DR152*DK152/($K$5*1000))+$H$5*(DR152*DK152/($K$5*1000))*(DR152*DK152/($K$5*1000)))</f>
        <v>0</v>
      </c>
      <c r="R152">
        <f>I152*(1000-(1000*0.61365*exp(17.502*V152/(240.97+V152))/(DK152+DL152)+DF152)/2)/(1000*0.61365*exp(17.502*V152/(240.97+V152))/(DK152+DL152)-DF152)</f>
        <v>0</v>
      </c>
      <c r="S152">
        <f>1/((CZ152+1)/(P152/1.6)+1/(Q152/1.37)) + CZ152/((CZ152+1)/(P152/1.6) + CZ152/(Q152/1.37))</f>
        <v>0</v>
      </c>
      <c r="T152">
        <f>(CU152*CX152)</f>
        <v>0</v>
      </c>
      <c r="U152">
        <f>(DM152+(T152+2*0.95*5.67E-8*(((DM152+$B$9)+273)^4-(DM152+273)^4)-44100*I152)/(1.84*29.3*Q152+8*0.95*5.67E-8*(DM152+273)^3))</f>
        <v>0</v>
      </c>
      <c r="V152">
        <f>($C$9*DN152+$D$9*DO152+$E$9*U152)</f>
        <v>0</v>
      </c>
      <c r="W152">
        <f>0.61365*exp(17.502*V152/(240.97+V152))</f>
        <v>0</v>
      </c>
      <c r="X152">
        <f>(Y152/Z152*100)</f>
        <v>0</v>
      </c>
      <c r="Y152">
        <f>DF152*(DK152+DL152)/1000</f>
        <v>0</v>
      </c>
      <c r="Z152">
        <f>0.61365*exp(17.502*DM152/(240.97+DM152))</f>
        <v>0</v>
      </c>
      <c r="AA152">
        <f>(W152-DF152*(DK152+DL152)/1000)</f>
        <v>0</v>
      </c>
      <c r="AB152">
        <f>(-I152*44100)</f>
        <v>0</v>
      </c>
      <c r="AC152">
        <f>2*29.3*Q152*0.92*(DM152-V152)</f>
        <v>0</v>
      </c>
      <c r="AD152">
        <f>2*0.95*5.67E-8*(((DM152+$B$9)+273)^4-(V152+273)^4)</f>
        <v>0</v>
      </c>
      <c r="AE152">
        <f>T152+AD152+AB152+AC152</f>
        <v>0</v>
      </c>
      <c r="AF152">
        <v>1</v>
      </c>
      <c r="AG152">
        <v>0</v>
      </c>
      <c r="AH152">
        <f>IF(AF152*$H$15&gt;=AJ152,1.0,(AJ152/(AJ152-AF152*$H$15)))</f>
        <v>0</v>
      </c>
      <c r="AI152">
        <f>(AH152-1)*100</f>
        <v>0</v>
      </c>
      <c r="AJ152">
        <f>MAX(0,($B$15+$C$15*DR152)/(1+$D$15*DR152)*DK152/(DM152+273)*$E$15)</f>
        <v>0</v>
      </c>
      <c r="AK152" t="s">
        <v>420</v>
      </c>
      <c r="AL152" t="s">
        <v>420</v>
      </c>
      <c r="AM152">
        <v>0</v>
      </c>
      <c r="AN152">
        <v>0</v>
      </c>
      <c r="AO152">
        <f>1-AM152/AN152</f>
        <v>0</v>
      </c>
      <c r="AP152">
        <v>0</v>
      </c>
      <c r="AQ152" t="s">
        <v>420</v>
      </c>
      <c r="AR152" t="s">
        <v>420</v>
      </c>
      <c r="AS152">
        <v>0</v>
      </c>
      <c r="AT152">
        <v>0</v>
      </c>
      <c r="AU152">
        <f>1-AS152/AT152</f>
        <v>0</v>
      </c>
      <c r="AV152">
        <v>0.5</v>
      </c>
      <c r="AW152">
        <f>CV152</f>
        <v>0</v>
      </c>
      <c r="AX152">
        <f>K152</f>
        <v>0</v>
      </c>
      <c r="AY152">
        <f>AU152*AV152*AW152</f>
        <v>0</v>
      </c>
      <c r="AZ152">
        <f>(AX152-AP152)/AW152</f>
        <v>0</v>
      </c>
      <c r="BA152">
        <f>(AN152-AT152)/AT152</f>
        <v>0</v>
      </c>
      <c r="BB152">
        <f>AM152/(AO152+AM152/AT152)</f>
        <v>0</v>
      </c>
      <c r="BC152" t="s">
        <v>420</v>
      </c>
      <c r="BD152">
        <v>0</v>
      </c>
      <c r="BE152">
        <f>IF(BD152&lt;&gt;0, BD152, BB152)</f>
        <v>0</v>
      </c>
      <c r="BF152">
        <f>1-BE152/AT152</f>
        <v>0</v>
      </c>
      <c r="BG152">
        <f>(AT152-AS152)/(AT152-BE152)</f>
        <v>0</v>
      </c>
      <c r="BH152">
        <f>(AN152-AT152)/(AN152-BE152)</f>
        <v>0</v>
      </c>
      <c r="BI152">
        <f>(AT152-AS152)/(AT152-AM152)</f>
        <v>0</v>
      </c>
      <c r="BJ152">
        <f>(AN152-AT152)/(AN152-AM152)</f>
        <v>0</v>
      </c>
      <c r="BK152">
        <f>(BG152*BE152/AS152)</f>
        <v>0</v>
      </c>
      <c r="BL152">
        <f>(1-BK152)</f>
        <v>0</v>
      </c>
      <c r="CU152">
        <f>$B$13*DS152+$C$13*DT152+$F$13*EE152*(1-EH152)</f>
        <v>0</v>
      </c>
      <c r="CV152">
        <f>CU152*CW152</f>
        <v>0</v>
      </c>
      <c r="CW152">
        <f>($B$13*$D$11+$C$13*$D$11+$F$13*((ER152+EJ152)/MAX(ER152+EJ152+ES152, 0.1)*$I$11+ES152/MAX(ER152+EJ152+ES152, 0.1)*$J$11))/($B$13+$C$13+$F$13)</f>
        <v>0</v>
      </c>
      <c r="CX152">
        <f>($B$13*$K$11+$C$13*$K$11+$F$13*((ER152+EJ152)/MAX(ER152+EJ152+ES152, 0.1)*$P$11+ES152/MAX(ER152+EJ152+ES152, 0.1)*$Q$11))/($B$13+$C$13+$F$13)</f>
        <v>0</v>
      </c>
      <c r="CY152">
        <v>5.66</v>
      </c>
      <c r="CZ152">
        <v>0.5</v>
      </c>
      <c r="DA152" t="s">
        <v>421</v>
      </c>
      <c r="DB152">
        <v>2</v>
      </c>
      <c r="DC152">
        <v>1761019081.1</v>
      </c>
      <c r="DD152">
        <v>420.5072222222223</v>
      </c>
      <c r="DE152">
        <v>419.8387777777778</v>
      </c>
      <c r="DF152">
        <v>24.29827777777778</v>
      </c>
      <c r="DG152">
        <v>24.66933333333333</v>
      </c>
      <c r="DH152">
        <v>422.0741111111111</v>
      </c>
      <c r="DI152">
        <v>24.09437777777778</v>
      </c>
      <c r="DJ152">
        <v>500.0087777777778</v>
      </c>
      <c r="DK152">
        <v>90.8103</v>
      </c>
      <c r="DL152">
        <v>0.03371087777777779</v>
      </c>
      <c r="DM152">
        <v>30.63297777777778</v>
      </c>
      <c r="DN152">
        <v>30.12738888888889</v>
      </c>
      <c r="DO152">
        <v>999.9000000000001</v>
      </c>
      <c r="DP152">
        <v>0</v>
      </c>
      <c r="DQ152">
        <v>0</v>
      </c>
      <c r="DR152">
        <v>10013.33111111111</v>
      </c>
      <c r="DS152">
        <v>0</v>
      </c>
      <c r="DT152">
        <v>0.242856</v>
      </c>
      <c r="DU152">
        <v>0.668318</v>
      </c>
      <c r="DV152">
        <v>430.9792222222222</v>
      </c>
      <c r="DW152">
        <v>430.4581111111111</v>
      </c>
      <c r="DX152">
        <v>-0.3710632222222222</v>
      </c>
      <c r="DY152">
        <v>419.8387777777778</v>
      </c>
      <c r="DZ152">
        <v>24.66933333333333</v>
      </c>
      <c r="EA152">
        <v>2.206533333333333</v>
      </c>
      <c r="EB152">
        <v>2.240232222222222</v>
      </c>
      <c r="EC152">
        <v>19.00974444444445</v>
      </c>
      <c r="ED152">
        <v>19.25284444444445</v>
      </c>
      <c r="EE152">
        <v>0.00500078</v>
      </c>
      <c r="EF152">
        <v>0</v>
      </c>
      <c r="EG152">
        <v>0</v>
      </c>
      <c r="EH152">
        <v>0</v>
      </c>
      <c r="EI152">
        <v>848.1222222222223</v>
      </c>
      <c r="EJ152">
        <v>0.00500078</v>
      </c>
      <c r="EK152">
        <v>-6.211111111111111</v>
      </c>
      <c r="EL152">
        <v>-0.3</v>
      </c>
      <c r="EM152">
        <v>35.97877777777777</v>
      </c>
      <c r="EN152">
        <v>39.93733333333333</v>
      </c>
      <c r="EO152">
        <v>38.89566666666667</v>
      </c>
      <c r="EP152">
        <v>40.74288888888889</v>
      </c>
      <c r="EQ152">
        <v>38.90244444444444</v>
      </c>
      <c r="ER152">
        <v>0</v>
      </c>
      <c r="ES152">
        <v>0</v>
      </c>
      <c r="ET152">
        <v>0</v>
      </c>
      <c r="EU152">
        <v>1761019083.1</v>
      </c>
      <c r="EV152">
        <v>0</v>
      </c>
      <c r="EW152">
        <v>854.4769230769232</v>
      </c>
      <c r="EX152">
        <v>-57.53162405414297</v>
      </c>
      <c r="EY152">
        <v>23.42906004646334</v>
      </c>
      <c r="EZ152">
        <v>-9.296153846153846</v>
      </c>
      <c r="FA152">
        <v>15</v>
      </c>
      <c r="FB152">
        <v>1761018667.1</v>
      </c>
      <c r="FC152" t="s">
        <v>613</v>
      </c>
      <c r="FD152">
        <v>1761018661.6</v>
      </c>
      <c r="FE152">
        <v>1761018667.1</v>
      </c>
      <c r="FF152">
        <v>26</v>
      </c>
      <c r="FG152">
        <v>-0.221</v>
      </c>
      <c r="FH152">
        <v>-0.001</v>
      </c>
      <c r="FI152">
        <v>-1.568</v>
      </c>
      <c r="FJ152">
        <v>0.178</v>
      </c>
      <c r="FK152">
        <v>420</v>
      </c>
      <c r="FL152">
        <v>23</v>
      </c>
      <c r="FM152">
        <v>0.1</v>
      </c>
      <c r="FN152">
        <v>0.08</v>
      </c>
      <c r="FO152">
        <v>0.689703375</v>
      </c>
      <c r="FP152">
        <v>-0.0009011819887433007</v>
      </c>
      <c r="FQ152">
        <v>0.05370891488276761</v>
      </c>
      <c r="FR152">
        <v>1</v>
      </c>
      <c r="FS152">
        <v>857.2911764705882</v>
      </c>
      <c r="FT152">
        <v>-58.95339951949134</v>
      </c>
      <c r="FU152">
        <v>9.413206231518219</v>
      </c>
      <c r="FV152">
        <v>0</v>
      </c>
      <c r="FW152">
        <v>-0.065369464</v>
      </c>
      <c r="FX152">
        <v>-2.920726826566606</v>
      </c>
      <c r="FY152">
        <v>0.2891945517588271</v>
      </c>
      <c r="FZ152">
        <v>0</v>
      </c>
      <c r="GA152">
        <v>1</v>
      </c>
      <c r="GB152">
        <v>3</v>
      </c>
      <c r="GC152" t="s">
        <v>431</v>
      </c>
      <c r="GD152">
        <v>3.10986</v>
      </c>
      <c r="GE152">
        <v>2.72546</v>
      </c>
      <c r="GF152">
        <v>0.0890326</v>
      </c>
      <c r="GG152">
        <v>0.0887312</v>
      </c>
      <c r="GH152">
        <v>0.110375</v>
      </c>
      <c r="GI152">
        <v>0.112666</v>
      </c>
      <c r="GJ152">
        <v>23927.4</v>
      </c>
      <c r="GK152">
        <v>21661.7</v>
      </c>
      <c r="GL152">
        <v>26821.8</v>
      </c>
      <c r="GM152">
        <v>23974.6</v>
      </c>
      <c r="GN152">
        <v>38122.2</v>
      </c>
      <c r="GO152">
        <v>31370.4</v>
      </c>
      <c r="GP152">
        <v>46815.1</v>
      </c>
      <c r="GQ152">
        <v>37890.5</v>
      </c>
      <c r="GR152">
        <v>1.89937</v>
      </c>
      <c r="GS152">
        <v>1.8982</v>
      </c>
      <c r="GT152">
        <v>0.137165</v>
      </c>
      <c r="GU152">
        <v>0</v>
      </c>
      <c r="GV152">
        <v>27.8746</v>
      </c>
      <c r="GW152">
        <v>999.9</v>
      </c>
      <c r="GX152">
        <v>64.2</v>
      </c>
      <c r="GY152">
        <v>28.5</v>
      </c>
      <c r="GZ152">
        <v>27.6197</v>
      </c>
      <c r="HA152">
        <v>61.2374</v>
      </c>
      <c r="HB152">
        <v>20.1242</v>
      </c>
      <c r="HC152">
        <v>1</v>
      </c>
      <c r="HD152">
        <v>-0.0224746</v>
      </c>
      <c r="HE152">
        <v>-1.33974</v>
      </c>
      <c r="HF152">
        <v>20.3306</v>
      </c>
      <c r="HG152">
        <v>5.21894</v>
      </c>
      <c r="HH152">
        <v>11.9798</v>
      </c>
      <c r="HI152">
        <v>4.96485</v>
      </c>
      <c r="HJ152">
        <v>3.27518</v>
      </c>
      <c r="HK152">
        <v>9999</v>
      </c>
      <c r="HL152">
        <v>9999</v>
      </c>
      <c r="HM152">
        <v>9999</v>
      </c>
      <c r="HN152">
        <v>999.9</v>
      </c>
      <c r="HO152">
        <v>1.86357</v>
      </c>
      <c r="HP152">
        <v>1.85974</v>
      </c>
      <c r="HQ152">
        <v>1.85795</v>
      </c>
      <c r="HR152">
        <v>1.85941</v>
      </c>
      <c r="HS152">
        <v>1.85958</v>
      </c>
      <c r="HT152">
        <v>1.85802</v>
      </c>
      <c r="HU152">
        <v>1.85705</v>
      </c>
      <c r="HV152">
        <v>1.85207</v>
      </c>
      <c r="HW152">
        <v>0</v>
      </c>
      <c r="HX152">
        <v>0</v>
      </c>
      <c r="HY152">
        <v>0</v>
      </c>
      <c r="HZ152">
        <v>0</v>
      </c>
      <c r="IA152" t="s">
        <v>424</v>
      </c>
      <c r="IB152" t="s">
        <v>425</v>
      </c>
      <c r="IC152" t="s">
        <v>426</v>
      </c>
      <c r="ID152" t="s">
        <v>426</v>
      </c>
      <c r="IE152" t="s">
        <v>426</v>
      </c>
      <c r="IF152" t="s">
        <v>426</v>
      </c>
      <c r="IG152">
        <v>0</v>
      </c>
      <c r="IH152">
        <v>100</v>
      </c>
      <c r="II152">
        <v>100</v>
      </c>
      <c r="IJ152">
        <v>-1.567</v>
      </c>
      <c r="IK152">
        <v>0.2069</v>
      </c>
      <c r="IL152">
        <v>-2.357986366295179</v>
      </c>
      <c r="IM152">
        <v>0.001328113201692861</v>
      </c>
      <c r="IN152">
        <v>1.538283238170363E-06</v>
      </c>
      <c r="IO152">
        <v>-5.795655626708063E-10</v>
      </c>
      <c r="IP152">
        <v>-0.06105361615936408</v>
      </c>
      <c r="IQ152">
        <v>-0.004593102289677449</v>
      </c>
      <c r="IR152">
        <v>0.0008253994458280543</v>
      </c>
      <c r="IS152">
        <v>-7.403632370499484E-06</v>
      </c>
      <c r="IT152">
        <v>2</v>
      </c>
      <c r="IU152">
        <v>1985</v>
      </c>
      <c r="IV152">
        <v>1</v>
      </c>
      <c r="IW152">
        <v>27</v>
      </c>
      <c r="IX152">
        <v>7</v>
      </c>
      <c r="IY152">
        <v>7</v>
      </c>
      <c r="IZ152">
        <v>1.13159</v>
      </c>
      <c r="JA152">
        <v>2.59888</v>
      </c>
      <c r="JB152">
        <v>1.49658</v>
      </c>
      <c r="JC152">
        <v>2.34741</v>
      </c>
      <c r="JD152">
        <v>1.54907</v>
      </c>
      <c r="JE152">
        <v>2.36084</v>
      </c>
      <c r="JF152">
        <v>31.8488</v>
      </c>
      <c r="JG152">
        <v>14.4823</v>
      </c>
      <c r="JH152">
        <v>18</v>
      </c>
      <c r="JI152">
        <v>481.855</v>
      </c>
      <c r="JJ152">
        <v>510.967</v>
      </c>
      <c r="JK152">
        <v>31.3893</v>
      </c>
      <c r="JL152">
        <v>27.0069</v>
      </c>
      <c r="JM152">
        <v>29.9998</v>
      </c>
      <c r="JN152">
        <v>27.2916</v>
      </c>
      <c r="JO152">
        <v>27.2985</v>
      </c>
      <c r="JP152">
        <v>22.7452</v>
      </c>
      <c r="JQ152">
        <v>11.7277</v>
      </c>
      <c r="JR152">
        <v>91.94070000000001</v>
      </c>
      <c r="JS152">
        <v>31.3406</v>
      </c>
      <c r="JT152">
        <v>420</v>
      </c>
      <c r="JU152">
        <v>24.4442</v>
      </c>
      <c r="JV152">
        <v>102.375</v>
      </c>
      <c r="JW152">
        <v>91.41500000000001</v>
      </c>
    </row>
    <row r="153" spans="1:283">
      <c r="A153">
        <v>135</v>
      </c>
      <c r="B153">
        <v>1761019086.1</v>
      </c>
      <c r="C153">
        <v>1016.599999904633</v>
      </c>
      <c r="D153" t="s">
        <v>701</v>
      </c>
      <c r="E153" t="s">
        <v>702</v>
      </c>
      <c r="F153">
        <v>5</v>
      </c>
      <c r="G153" t="s">
        <v>674</v>
      </c>
      <c r="H153">
        <v>1761019083.1</v>
      </c>
      <c r="I153">
        <f>(J153)/1000</f>
        <v>0</v>
      </c>
      <c r="J153">
        <f>1000*DJ153*AH153*(DF153-DG153)/(100*CY153*(1000-AH153*DF153))</f>
        <v>0</v>
      </c>
      <c r="K153">
        <f>DJ153*AH153*(DE153-DD153*(1000-AH153*DG153)/(1000-AH153*DF153))/(100*CY153)</f>
        <v>0</v>
      </c>
      <c r="L153">
        <f>DD153 - IF(AH153&gt;1, K153*CY153*100.0/(AJ153), 0)</f>
        <v>0</v>
      </c>
      <c r="M153">
        <f>((S153-I153/2)*L153-K153)/(S153+I153/2)</f>
        <v>0</v>
      </c>
      <c r="N153">
        <f>M153*(DK153+DL153)/1000.0</f>
        <v>0</v>
      </c>
      <c r="O153">
        <f>(DD153 - IF(AH153&gt;1, K153*CY153*100.0/(AJ153), 0))*(DK153+DL153)/1000.0</f>
        <v>0</v>
      </c>
      <c r="P153">
        <f>2.0/((1/R153-1/Q153)+SIGN(R153)*SQRT((1/R153-1/Q153)*(1/R153-1/Q153) + 4*CZ153/((CZ153+1)*(CZ153+1))*(2*1/R153*1/Q153-1/Q153*1/Q153)))</f>
        <v>0</v>
      </c>
      <c r="Q153">
        <f>IF(LEFT(DA153,1)&lt;&gt;"0",IF(LEFT(DA153,1)="1",3.0,DB153),$D$5+$E$5*(DR153*DK153/($K$5*1000))+$F$5*(DR153*DK153/($K$5*1000))*MAX(MIN(CY153,$J$5),$I$5)*MAX(MIN(CY153,$J$5),$I$5)+$G$5*MAX(MIN(CY153,$J$5),$I$5)*(DR153*DK153/($K$5*1000))+$H$5*(DR153*DK153/($K$5*1000))*(DR153*DK153/($K$5*1000)))</f>
        <v>0</v>
      </c>
      <c r="R153">
        <f>I153*(1000-(1000*0.61365*exp(17.502*V153/(240.97+V153))/(DK153+DL153)+DF153)/2)/(1000*0.61365*exp(17.502*V153/(240.97+V153))/(DK153+DL153)-DF153)</f>
        <v>0</v>
      </c>
      <c r="S153">
        <f>1/((CZ153+1)/(P153/1.6)+1/(Q153/1.37)) + CZ153/((CZ153+1)/(P153/1.6) + CZ153/(Q153/1.37))</f>
        <v>0</v>
      </c>
      <c r="T153">
        <f>(CU153*CX153)</f>
        <v>0</v>
      </c>
      <c r="U153">
        <f>(DM153+(T153+2*0.95*5.67E-8*(((DM153+$B$9)+273)^4-(DM153+273)^4)-44100*I153)/(1.84*29.3*Q153+8*0.95*5.67E-8*(DM153+273)^3))</f>
        <v>0</v>
      </c>
      <c r="V153">
        <f>($C$9*DN153+$D$9*DO153+$E$9*U153)</f>
        <v>0</v>
      </c>
      <c r="W153">
        <f>0.61365*exp(17.502*V153/(240.97+V153))</f>
        <v>0</v>
      </c>
      <c r="X153">
        <f>(Y153/Z153*100)</f>
        <v>0</v>
      </c>
      <c r="Y153">
        <f>DF153*(DK153+DL153)/1000</f>
        <v>0</v>
      </c>
      <c r="Z153">
        <f>0.61365*exp(17.502*DM153/(240.97+DM153))</f>
        <v>0</v>
      </c>
      <c r="AA153">
        <f>(W153-DF153*(DK153+DL153)/1000)</f>
        <v>0</v>
      </c>
      <c r="AB153">
        <f>(-I153*44100)</f>
        <v>0</v>
      </c>
      <c r="AC153">
        <f>2*29.3*Q153*0.92*(DM153-V153)</f>
        <v>0</v>
      </c>
      <c r="AD153">
        <f>2*0.95*5.67E-8*(((DM153+$B$9)+273)^4-(V153+273)^4)</f>
        <v>0</v>
      </c>
      <c r="AE153">
        <f>T153+AD153+AB153+AC153</f>
        <v>0</v>
      </c>
      <c r="AF153">
        <v>1</v>
      </c>
      <c r="AG153">
        <v>0</v>
      </c>
      <c r="AH153">
        <f>IF(AF153*$H$15&gt;=AJ153,1.0,(AJ153/(AJ153-AF153*$H$15)))</f>
        <v>0</v>
      </c>
      <c r="AI153">
        <f>(AH153-1)*100</f>
        <v>0</v>
      </c>
      <c r="AJ153">
        <f>MAX(0,($B$15+$C$15*DR153)/(1+$D$15*DR153)*DK153/(DM153+273)*$E$15)</f>
        <v>0</v>
      </c>
      <c r="AK153" t="s">
        <v>420</v>
      </c>
      <c r="AL153" t="s">
        <v>420</v>
      </c>
      <c r="AM153">
        <v>0</v>
      </c>
      <c r="AN153">
        <v>0</v>
      </c>
      <c r="AO153">
        <f>1-AM153/AN153</f>
        <v>0</v>
      </c>
      <c r="AP153">
        <v>0</v>
      </c>
      <c r="AQ153" t="s">
        <v>420</v>
      </c>
      <c r="AR153" t="s">
        <v>420</v>
      </c>
      <c r="AS153">
        <v>0</v>
      </c>
      <c r="AT153">
        <v>0</v>
      </c>
      <c r="AU153">
        <f>1-AS153/AT153</f>
        <v>0</v>
      </c>
      <c r="AV153">
        <v>0.5</v>
      </c>
      <c r="AW153">
        <f>CV153</f>
        <v>0</v>
      </c>
      <c r="AX153">
        <f>K153</f>
        <v>0</v>
      </c>
      <c r="AY153">
        <f>AU153*AV153*AW153</f>
        <v>0</v>
      </c>
      <c r="AZ153">
        <f>(AX153-AP153)/AW153</f>
        <v>0</v>
      </c>
      <c r="BA153">
        <f>(AN153-AT153)/AT153</f>
        <v>0</v>
      </c>
      <c r="BB153">
        <f>AM153/(AO153+AM153/AT153)</f>
        <v>0</v>
      </c>
      <c r="BC153" t="s">
        <v>420</v>
      </c>
      <c r="BD153">
        <v>0</v>
      </c>
      <c r="BE153">
        <f>IF(BD153&lt;&gt;0, BD153, BB153)</f>
        <v>0</v>
      </c>
      <c r="BF153">
        <f>1-BE153/AT153</f>
        <v>0</v>
      </c>
      <c r="BG153">
        <f>(AT153-AS153)/(AT153-BE153)</f>
        <v>0</v>
      </c>
      <c r="BH153">
        <f>(AN153-AT153)/(AN153-BE153)</f>
        <v>0</v>
      </c>
      <c r="BI153">
        <f>(AT153-AS153)/(AT153-AM153)</f>
        <v>0</v>
      </c>
      <c r="BJ153">
        <f>(AN153-AT153)/(AN153-AM153)</f>
        <v>0</v>
      </c>
      <c r="BK153">
        <f>(BG153*BE153/AS153)</f>
        <v>0</v>
      </c>
      <c r="BL153">
        <f>(1-BK153)</f>
        <v>0</v>
      </c>
      <c r="CU153">
        <f>$B$13*DS153+$C$13*DT153+$F$13*EE153*(1-EH153)</f>
        <v>0</v>
      </c>
      <c r="CV153">
        <f>CU153*CW153</f>
        <v>0</v>
      </c>
      <c r="CW153">
        <f>($B$13*$D$11+$C$13*$D$11+$F$13*((ER153+EJ153)/MAX(ER153+EJ153+ES153, 0.1)*$I$11+ES153/MAX(ER153+EJ153+ES153, 0.1)*$J$11))/($B$13+$C$13+$F$13)</f>
        <v>0</v>
      </c>
      <c r="CX153">
        <f>($B$13*$K$11+$C$13*$K$11+$F$13*((ER153+EJ153)/MAX(ER153+EJ153+ES153, 0.1)*$P$11+ES153/MAX(ER153+EJ153+ES153, 0.1)*$Q$11))/($B$13+$C$13+$F$13)</f>
        <v>0</v>
      </c>
      <c r="CY153">
        <v>5.66</v>
      </c>
      <c r="CZ153">
        <v>0.5</v>
      </c>
      <c r="DA153" t="s">
        <v>421</v>
      </c>
      <c r="DB153">
        <v>2</v>
      </c>
      <c r="DC153">
        <v>1761019083.1</v>
      </c>
      <c r="DD153">
        <v>420.5134444444445</v>
      </c>
      <c r="DE153">
        <v>419.8725555555556</v>
      </c>
      <c r="DF153">
        <v>24.39071111111111</v>
      </c>
      <c r="DG153">
        <v>24.7738</v>
      </c>
      <c r="DH153">
        <v>422.0803333333333</v>
      </c>
      <c r="DI153">
        <v>24.18478888888889</v>
      </c>
      <c r="DJ153">
        <v>500.0364444444445</v>
      </c>
      <c r="DK153">
        <v>90.81007777777778</v>
      </c>
      <c r="DL153">
        <v>0.03360401111111111</v>
      </c>
      <c r="DM153">
        <v>30.62357777777778</v>
      </c>
      <c r="DN153">
        <v>30.11805555555556</v>
      </c>
      <c r="DO153">
        <v>999.9000000000001</v>
      </c>
      <c r="DP153">
        <v>0</v>
      </c>
      <c r="DQ153">
        <v>0</v>
      </c>
      <c r="DR153">
        <v>10020.62222222222</v>
      </c>
      <c r="DS153">
        <v>0</v>
      </c>
      <c r="DT153">
        <v>0.242856</v>
      </c>
      <c r="DU153">
        <v>0.6408418888888889</v>
      </c>
      <c r="DV153">
        <v>431.0265555555556</v>
      </c>
      <c r="DW153">
        <v>430.5388888888889</v>
      </c>
      <c r="DX153">
        <v>-0.3831105555555555</v>
      </c>
      <c r="DY153">
        <v>419.8725555555556</v>
      </c>
      <c r="DZ153">
        <v>24.7738</v>
      </c>
      <c r="EA153">
        <v>2.214922222222222</v>
      </c>
      <c r="EB153">
        <v>2.249714444444445</v>
      </c>
      <c r="EC153">
        <v>19.07057777777778</v>
      </c>
      <c r="ED153">
        <v>19.3207</v>
      </c>
      <c r="EE153">
        <v>0.00500078</v>
      </c>
      <c r="EF153">
        <v>0</v>
      </c>
      <c r="EG153">
        <v>0</v>
      </c>
      <c r="EH153">
        <v>0</v>
      </c>
      <c r="EI153">
        <v>846.3444444444444</v>
      </c>
      <c r="EJ153">
        <v>0.00500078</v>
      </c>
      <c r="EK153">
        <v>-6.655555555555555</v>
      </c>
      <c r="EL153">
        <v>-0.1555555555555555</v>
      </c>
      <c r="EM153">
        <v>35.958</v>
      </c>
      <c r="EN153">
        <v>39.854</v>
      </c>
      <c r="EO153">
        <v>38.84711111111111</v>
      </c>
      <c r="EP153">
        <v>40.63855555555556</v>
      </c>
      <c r="EQ153">
        <v>38.84688888888888</v>
      </c>
      <c r="ER153">
        <v>0</v>
      </c>
      <c r="ES153">
        <v>0</v>
      </c>
      <c r="ET153">
        <v>0</v>
      </c>
      <c r="EU153">
        <v>1761019084.9</v>
      </c>
      <c r="EV153">
        <v>0</v>
      </c>
      <c r="EW153">
        <v>852.9880000000002</v>
      </c>
      <c r="EX153">
        <v>-76.96153854907752</v>
      </c>
      <c r="EY153">
        <v>27.95384604089116</v>
      </c>
      <c r="EZ153">
        <v>-9.527999999999999</v>
      </c>
      <c r="FA153">
        <v>15</v>
      </c>
      <c r="FB153">
        <v>1761018667.1</v>
      </c>
      <c r="FC153" t="s">
        <v>613</v>
      </c>
      <c r="FD153">
        <v>1761018661.6</v>
      </c>
      <c r="FE153">
        <v>1761018667.1</v>
      </c>
      <c r="FF153">
        <v>26</v>
      </c>
      <c r="FG153">
        <v>-0.221</v>
      </c>
      <c r="FH153">
        <v>-0.001</v>
      </c>
      <c r="FI153">
        <v>-1.568</v>
      </c>
      <c r="FJ153">
        <v>0.178</v>
      </c>
      <c r="FK153">
        <v>420</v>
      </c>
      <c r="FL153">
        <v>23</v>
      </c>
      <c r="FM153">
        <v>0.1</v>
      </c>
      <c r="FN153">
        <v>0.08</v>
      </c>
      <c r="FO153">
        <v>0.6865122682926829</v>
      </c>
      <c r="FP153">
        <v>-0.2062711567944253</v>
      </c>
      <c r="FQ153">
        <v>0.05520488256641728</v>
      </c>
      <c r="FR153">
        <v>1</v>
      </c>
      <c r="FS153">
        <v>854.1235294117647</v>
      </c>
      <c r="FT153">
        <v>-45.940412525107</v>
      </c>
      <c r="FU153">
        <v>8.239826483878717</v>
      </c>
      <c r="FV153">
        <v>0</v>
      </c>
      <c r="FW153">
        <v>-0.1540387209756097</v>
      </c>
      <c r="FX153">
        <v>-2.364315958745645</v>
      </c>
      <c r="FY153">
        <v>0.2477256659682818</v>
      </c>
      <c r="FZ153">
        <v>0</v>
      </c>
      <c r="GA153">
        <v>1</v>
      </c>
      <c r="GB153">
        <v>3</v>
      </c>
      <c r="GC153" t="s">
        <v>431</v>
      </c>
      <c r="GD153">
        <v>3.10994</v>
      </c>
      <c r="GE153">
        <v>2.72555</v>
      </c>
      <c r="GF153">
        <v>0.08903700000000001</v>
      </c>
      <c r="GG153">
        <v>0.0887385</v>
      </c>
      <c r="GH153">
        <v>0.110656</v>
      </c>
      <c r="GI153">
        <v>0.112945</v>
      </c>
      <c r="GJ153">
        <v>23927.1</v>
      </c>
      <c r="GK153">
        <v>21661.3</v>
      </c>
      <c r="GL153">
        <v>26821.7</v>
      </c>
      <c r="GM153">
        <v>23974.4</v>
      </c>
      <c r="GN153">
        <v>38109.8</v>
      </c>
      <c r="GO153">
        <v>31360.2</v>
      </c>
      <c r="GP153">
        <v>46814.9</v>
      </c>
      <c r="GQ153">
        <v>37890.1</v>
      </c>
      <c r="GR153">
        <v>1.89937</v>
      </c>
      <c r="GS153">
        <v>1.89828</v>
      </c>
      <c r="GT153">
        <v>0.13724</v>
      </c>
      <c r="GU153">
        <v>0</v>
      </c>
      <c r="GV153">
        <v>27.8728</v>
      </c>
      <c r="GW153">
        <v>999.9</v>
      </c>
      <c r="GX153">
        <v>64.2</v>
      </c>
      <c r="GY153">
        <v>28.5</v>
      </c>
      <c r="GZ153">
        <v>27.6218</v>
      </c>
      <c r="HA153">
        <v>61.3074</v>
      </c>
      <c r="HB153">
        <v>20.012</v>
      </c>
      <c r="HC153">
        <v>1</v>
      </c>
      <c r="HD153">
        <v>-0.0226067</v>
      </c>
      <c r="HE153">
        <v>-1.44355</v>
      </c>
      <c r="HF153">
        <v>20.3306</v>
      </c>
      <c r="HG153">
        <v>5.22238</v>
      </c>
      <c r="HH153">
        <v>11.9798</v>
      </c>
      <c r="HI153">
        <v>4.9655</v>
      </c>
      <c r="HJ153">
        <v>3.2758</v>
      </c>
      <c r="HK153">
        <v>9999</v>
      </c>
      <c r="HL153">
        <v>9999</v>
      </c>
      <c r="HM153">
        <v>9999</v>
      </c>
      <c r="HN153">
        <v>999.9</v>
      </c>
      <c r="HO153">
        <v>1.86357</v>
      </c>
      <c r="HP153">
        <v>1.85974</v>
      </c>
      <c r="HQ153">
        <v>1.85795</v>
      </c>
      <c r="HR153">
        <v>1.85941</v>
      </c>
      <c r="HS153">
        <v>1.85959</v>
      </c>
      <c r="HT153">
        <v>1.85801</v>
      </c>
      <c r="HU153">
        <v>1.85703</v>
      </c>
      <c r="HV153">
        <v>1.85207</v>
      </c>
      <c r="HW153">
        <v>0</v>
      </c>
      <c r="HX153">
        <v>0</v>
      </c>
      <c r="HY153">
        <v>0</v>
      </c>
      <c r="HZ153">
        <v>0</v>
      </c>
      <c r="IA153" t="s">
        <v>424</v>
      </c>
      <c r="IB153" t="s">
        <v>425</v>
      </c>
      <c r="IC153" t="s">
        <v>426</v>
      </c>
      <c r="ID153" t="s">
        <v>426</v>
      </c>
      <c r="IE153" t="s">
        <v>426</v>
      </c>
      <c r="IF153" t="s">
        <v>426</v>
      </c>
      <c r="IG153">
        <v>0</v>
      </c>
      <c r="IH153">
        <v>100</v>
      </c>
      <c r="II153">
        <v>100</v>
      </c>
      <c r="IJ153">
        <v>-1.567</v>
      </c>
      <c r="IK153">
        <v>0.2089</v>
      </c>
      <c r="IL153">
        <v>-2.357986366295179</v>
      </c>
      <c r="IM153">
        <v>0.001328113201692861</v>
      </c>
      <c r="IN153">
        <v>1.538283238170363E-06</v>
      </c>
      <c r="IO153">
        <v>-5.795655626708063E-10</v>
      </c>
      <c r="IP153">
        <v>-0.06105361615936408</v>
      </c>
      <c r="IQ153">
        <v>-0.004593102289677449</v>
      </c>
      <c r="IR153">
        <v>0.0008253994458280543</v>
      </c>
      <c r="IS153">
        <v>-7.403632370499484E-06</v>
      </c>
      <c r="IT153">
        <v>2</v>
      </c>
      <c r="IU153">
        <v>1985</v>
      </c>
      <c r="IV153">
        <v>1</v>
      </c>
      <c r="IW153">
        <v>27</v>
      </c>
      <c r="IX153">
        <v>7.1</v>
      </c>
      <c r="IY153">
        <v>7</v>
      </c>
      <c r="IZ153">
        <v>1.13159</v>
      </c>
      <c r="JA153">
        <v>2.58667</v>
      </c>
      <c r="JB153">
        <v>1.49658</v>
      </c>
      <c r="JC153">
        <v>2.34741</v>
      </c>
      <c r="JD153">
        <v>1.54907</v>
      </c>
      <c r="JE153">
        <v>2.47314</v>
      </c>
      <c r="JF153">
        <v>31.8488</v>
      </c>
      <c r="JG153">
        <v>14.491</v>
      </c>
      <c r="JH153">
        <v>18</v>
      </c>
      <c r="JI153">
        <v>481.846</v>
      </c>
      <c r="JJ153">
        <v>511.002</v>
      </c>
      <c r="JK153">
        <v>31.3273</v>
      </c>
      <c r="JL153">
        <v>27.0058</v>
      </c>
      <c r="JM153">
        <v>29.9999</v>
      </c>
      <c r="JN153">
        <v>27.2905</v>
      </c>
      <c r="JO153">
        <v>27.2968</v>
      </c>
      <c r="JP153">
        <v>22.7466</v>
      </c>
      <c r="JQ153">
        <v>12.7064</v>
      </c>
      <c r="JR153">
        <v>91.94070000000001</v>
      </c>
      <c r="JS153">
        <v>31.226</v>
      </c>
      <c r="JT153">
        <v>420</v>
      </c>
      <c r="JU153">
        <v>24.3542</v>
      </c>
      <c r="JV153">
        <v>102.374</v>
      </c>
      <c r="JW153">
        <v>91.414</v>
      </c>
    </row>
    <row r="154" spans="1:283">
      <c r="A154">
        <v>136</v>
      </c>
      <c r="B154">
        <v>1761019088.1</v>
      </c>
      <c r="C154">
        <v>1018.599999904633</v>
      </c>
      <c r="D154" t="s">
        <v>703</v>
      </c>
      <c r="E154" t="s">
        <v>704</v>
      </c>
      <c r="F154">
        <v>5</v>
      </c>
      <c r="G154" t="s">
        <v>674</v>
      </c>
      <c r="H154">
        <v>1761019085.1</v>
      </c>
      <c r="I154">
        <f>(J154)/1000</f>
        <v>0</v>
      </c>
      <c r="J154">
        <f>1000*DJ154*AH154*(DF154-DG154)/(100*CY154*(1000-AH154*DF154))</f>
        <v>0</v>
      </c>
      <c r="K154">
        <f>DJ154*AH154*(DE154-DD154*(1000-AH154*DG154)/(1000-AH154*DF154))/(100*CY154)</f>
        <v>0</v>
      </c>
      <c r="L154">
        <f>DD154 - IF(AH154&gt;1, K154*CY154*100.0/(AJ154), 0)</f>
        <v>0</v>
      </c>
      <c r="M154">
        <f>((S154-I154/2)*L154-K154)/(S154+I154/2)</f>
        <v>0</v>
      </c>
      <c r="N154">
        <f>M154*(DK154+DL154)/1000.0</f>
        <v>0</v>
      </c>
      <c r="O154">
        <f>(DD154 - IF(AH154&gt;1, K154*CY154*100.0/(AJ154), 0))*(DK154+DL154)/1000.0</f>
        <v>0</v>
      </c>
      <c r="P154">
        <f>2.0/((1/R154-1/Q154)+SIGN(R154)*SQRT((1/R154-1/Q154)*(1/R154-1/Q154) + 4*CZ154/((CZ154+1)*(CZ154+1))*(2*1/R154*1/Q154-1/Q154*1/Q154)))</f>
        <v>0</v>
      </c>
      <c r="Q154">
        <f>IF(LEFT(DA154,1)&lt;&gt;"0",IF(LEFT(DA154,1)="1",3.0,DB154),$D$5+$E$5*(DR154*DK154/($K$5*1000))+$F$5*(DR154*DK154/($K$5*1000))*MAX(MIN(CY154,$J$5),$I$5)*MAX(MIN(CY154,$J$5),$I$5)+$G$5*MAX(MIN(CY154,$J$5),$I$5)*(DR154*DK154/($K$5*1000))+$H$5*(DR154*DK154/($K$5*1000))*(DR154*DK154/($K$5*1000)))</f>
        <v>0</v>
      </c>
      <c r="R154">
        <f>I154*(1000-(1000*0.61365*exp(17.502*V154/(240.97+V154))/(DK154+DL154)+DF154)/2)/(1000*0.61365*exp(17.502*V154/(240.97+V154))/(DK154+DL154)-DF154)</f>
        <v>0</v>
      </c>
      <c r="S154">
        <f>1/((CZ154+1)/(P154/1.6)+1/(Q154/1.37)) + CZ154/((CZ154+1)/(P154/1.6) + CZ154/(Q154/1.37))</f>
        <v>0</v>
      </c>
      <c r="T154">
        <f>(CU154*CX154)</f>
        <v>0</v>
      </c>
      <c r="U154">
        <f>(DM154+(T154+2*0.95*5.67E-8*(((DM154+$B$9)+273)^4-(DM154+273)^4)-44100*I154)/(1.84*29.3*Q154+8*0.95*5.67E-8*(DM154+273)^3))</f>
        <v>0</v>
      </c>
      <c r="V154">
        <f>($C$9*DN154+$D$9*DO154+$E$9*U154)</f>
        <v>0</v>
      </c>
      <c r="W154">
        <f>0.61365*exp(17.502*V154/(240.97+V154))</f>
        <v>0</v>
      </c>
      <c r="X154">
        <f>(Y154/Z154*100)</f>
        <v>0</v>
      </c>
      <c r="Y154">
        <f>DF154*(DK154+DL154)/1000</f>
        <v>0</v>
      </c>
      <c r="Z154">
        <f>0.61365*exp(17.502*DM154/(240.97+DM154))</f>
        <v>0</v>
      </c>
      <c r="AA154">
        <f>(W154-DF154*(DK154+DL154)/1000)</f>
        <v>0</v>
      </c>
      <c r="AB154">
        <f>(-I154*44100)</f>
        <v>0</v>
      </c>
      <c r="AC154">
        <f>2*29.3*Q154*0.92*(DM154-V154)</f>
        <v>0</v>
      </c>
      <c r="AD154">
        <f>2*0.95*5.67E-8*(((DM154+$B$9)+273)^4-(V154+273)^4)</f>
        <v>0</v>
      </c>
      <c r="AE154">
        <f>T154+AD154+AB154+AC154</f>
        <v>0</v>
      </c>
      <c r="AF154">
        <v>1</v>
      </c>
      <c r="AG154">
        <v>0</v>
      </c>
      <c r="AH154">
        <f>IF(AF154*$H$15&gt;=AJ154,1.0,(AJ154/(AJ154-AF154*$H$15)))</f>
        <v>0</v>
      </c>
      <c r="AI154">
        <f>(AH154-1)*100</f>
        <v>0</v>
      </c>
      <c r="AJ154">
        <f>MAX(0,($B$15+$C$15*DR154)/(1+$D$15*DR154)*DK154/(DM154+273)*$E$15)</f>
        <v>0</v>
      </c>
      <c r="AK154" t="s">
        <v>420</v>
      </c>
      <c r="AL154" t="s">
        <v>420</v>
      </c>
      <c r="AM154">
        <v>0</v>
      </c>
      <c r="AN154">
        <v>0</v>
      </c>
      <c r="AO154">
        <f>1-AM154/AN154</f>
        <v>0</v>
      </c>
      <c r="AP154">
        <v>0</v>
      </c>
      <c r="AQ154" t="s">
        <v>420</v>
      </c>
      <c r="AR154" t="s">
        <v>420</v>
      </c>
      <c r="AS154">
        <v>0</v>
      </c>
      <c r="AT154">
        <v>0</v>
      </c>
      <c r="AU154">
        <f>1-AS154/AT154</f>
        <v>0</v>
      </c>
      <c r="AV154">
        <v>0.5</v>
      </c>
      <c r="AW154">
        <f>CV154</f>
        <v>0</v>
      </c>
      <c r="AX154">
        <f>K154</f>
        <v>0</v>
      </c>
      <c r="AY154">
        <f>AU154*AV154*AW154</f>
        <v>0</v>
      </c>
      <c r="AZ154">
        <f>(AX154-AP154)/AW154</f>
        <v>0</v>
      </c>
      <c r="BA154">
        <f>(AN154-AT154)/AT154</f>
        <v>0</v>
      </c>
      <c r="BB154">
        <f>AM154/(AO154+AM154/AT154)</f>
        <v>0</v>
      </c>
      <c r="BC154" t="s">
        <v>420</v>
      </c>
      <c r="BD154">
        <v>0</v>
      </c>
      <c r="BE154">
        <f>IF(BD154&lt;&gt;0, BD154, BB154)</f>
        <v>0</v>
      </c>
      <c r="BF154">
        <f>1-BE154/AT154</f>
        <v>0</v>
      </c>
      <c r="BG154">
        <f>(AT154-AS154)/(AT154-BE154)</f>
        <v>0</v>
      </c>
      <c r="BH154">
        <f>(AN154-AT154)/(AN154-BE154)</f>
        <v>0</v>
      </c>
      <c r="BI154">
        <f>(AT154-AS154)/(AT154-AM154)</f>
        <v>0</v>
      </c>
      <c r="BJ154">
        <f>(AN154-AT154)/(AN154-AM154)</f>
        <v>0</v>
      </c>
      <c r="BK154">
        <f>(BG154*BE154/AS154)</f>
        <v>0</v>
      </c>
      <c r="BL154">
        <f>(1-BK154)</f>
        <v>0</v>
      </c>
      <c r="CU154">
        <f>$B$13*DS154+$C$13*DT154+$F$13*EE154*(1-EH154)</f>
        <v>0</v>
      </c>
      <c r="CV154">
        <f>CU154*CW154</f>
        <v>0</v>
      </c>
      <c r="CW154">
        <f>($B$13*$D$11+$C$13*$D$11+$F$13*((ER154+EJ154)/MAX(ER154+EJ154+ES154, 0.1)*$I$11+ES154/MAX(ER154+EJ154+ES154, 0.1)*$J$11))/($B$13+$C$13+$F$13)</f>
        <v>0</v>
      </c>
      <c r="CX154">
        <f>($B$13*$K$11+$C$13*$K$11+$F$13*((ER154+EJ154)/MAX(ER154+EJ154+ES154, 0.1)*$P$11+ES154/MAX(ER154+EJ154+ES154, 0.1)*$Q$11))/($B$13+$C$13+$F$13)</f>
        <v>0</v>
      </c>
      <c r="CY154">
        <v>5.66</v>
      </c>
      <c r="CZ154">
        <v>0.5</v>
      </c>
      <c r="DA154" t="s">
        <v>421</v>
      </c>
      <c r="DB154">
        <v>2</v>
      </c>
      <c r="DC154">
        <v>1761019085.1</v>
      </c>
      <c r="DD154">
        <v>420.5363333333333</v>
      </c>
      <c r="DE154">
        <v>419.896</v>
      </c>
      <c r="DF154">
        <v>24.48222222222222</v>
      </c>
      <c r="DG154">
        <v>24.86685555555556</v>
      </c>
      <c r="DH154">
        <v>422.1032222222222</v>
      </c>
      <c r="DI154">
        <v>24.2743</v>
      </c>
      <c r="DJ154">
        <v>500.0184444444445</v>
      </c>
      <c r="DK154">
        <v>90.80997777777776</v>
      </c>
      <c r="DL154">
        <v>0.0335876</v>
      </c>
      <c r="DM154">
        <v>30.61303333333334</v>
      </c>
      <c r="DN154">
        <v>30.10897777777778</v>
      </c>
      <c r="DO154">
        <v>999.9000000000001</v>
      </c>
      <c r="DP154">
        <v>0</v>
      </c>
      <c r="DQ154">
        <v>0</v>
      </c>
      <c r="DR154">
        <v>10011.04111111111</v>
      </c>
      <c r="DS154">
        <v>0</v>
      </c>
      <c r="DT154">
        <v>0.242856</v>
      </c>
      <c r="DU154">
        <v>0.6404112222222221</v>
      </c>
      <c r="DV154">
        <v>431.0904444444445</v>
      </c>
      <c r="DW154">
        <v>430.6038888888889</v>
      </c>
      <c r="DX154">
        <v>-0.3846465555555555</v>
      </c>
      <c r="DY154">
        <v>419.896</v>
      </c>
      <c r="DZ154">
        <v>24.86685555555556</v>
      </c>
      <c r="EA154">
        <v>2.223231111111111</v>
      </c>
      <c r="EB154">
        <v>2.25816</v>
      </c>
      <c r="EC154">
        <v>19.13063333333334</v>
      </c>
      <c r="ED154">
        <v>19.38094444444444</v>
      </c>
      <c r="EE154">
        <v>0.00500078</v>
      </c>
      <c r="EF154">
        <v>0</v>
      </c>
      <c r="EG154">
        <v>0</v>
      </c>
      <c r="EH154">
        <v>0</v>
      </c>
      <c r="EI154">
        <v>840.9444444444445</v>
      </c>
      <c r="EJ154">
        <v>0.00500078</v>
      </c>
      <c r="EK154">
        <v>-5.477777777777778</v>
      </c>
      <c r="EL154">
        <v>-0.6444444444444444</v>
      </c>
      <c r="EM154">
        <v>35.90944444444445</v>
      </c>
      <c r="EN154">
        <v>39.77066666666667</v>
      </c>
      <c r="EO154">
        <v>38.77766666666667</v>
      </c>
      <c r="EP154">
        <v>40.54833333333332</v>
      </c>
      <c r="EQ154">
        <v>38.75666666666667</v>
      </c>
      <c r="ER154">
        <v>0</v>
      </c>
      <c r="ES154">
        <v>0</v>
      </c>
      <c r="ET154">
        <v>0</v>
      </c>
      <c r="EU154">
        <v>1761019087.3</v>
      </c>
      <c r="EV154">
        <v>0</v>
      </c>
      <c r="EW154">
        <v>849.428</v>
      </c>
      <c r="EX154">
        <v>-72.59230791725489</v>
      </c>
      <c r="EY154">
        <v>7.692307594777127</v>
      </c>
      <c r="EZ154">
        <v>-8.784000000000001</v>
      </c>
      <c r="FA154">
        <v>15</v>
      </c>
      <c r="FB154">
        <v>1761018667.1</v>
      </c>
      <c r="FC154" t="s">
        <v>613</v>
      </c>
      <c r="FD154">
        <v>1761018661.6</v>
      </c>
      <c r="FE154">
        <v>1761018667.1</v>
      </c>
      <c r="FF154">
        <v>26</v>
      </c>
      <c r="FG154">
        <v>-0.221</v>
      </c>
      <c r="FH154">
        <v>-0.001</v>
      </c>
      <c r="FI154">
        <v>-1.568</v>
      </c>
      <c r="FJ154">
        <v>0.178</v>
      </c>
      <c r="FK154">
        <v>420</v>
      </c>
      <c r="FL154">
        <v>23</v>
      </c>
      <c r="FM154">
        <v>0.1</v>
      </c>
      <c r="FN154">
        <v>0.08</v>
      </c>
      <c r="FO154">
        <v>0.68124695</v>
      </c>
      <c r="FP154">
        <v>-0.2364686454033778</v>
      </c>
      <c r="FQ154">
        <v>0.05668215373155382</v>
      </c>
      <c r="FR154">
        <v>1</v>
      </c>
      <c r="FS154">
        <v>852.7647058823529</v>
      </c>
      <c r="FT154">
        <v>-52.36058062030975</v>
      </c>
      <c r="FU154">
        <v>8.76553687335811</v>
      </c>
      <c r="FV154">
        <v>0</v>
      </c>
      <c r="FW154">
        <v>-0.220047739</v>
      </c>
      <c r="FX154">
        <v>-1.862522249155722</v>
      </c>
      <c r="FY154">
        <v>0.196365149948251</v>
      </c>
      <c r="FZ154">
        <v>0</v>
      </c>
      <c r="GA154">
        <v>1</v>
      </c>
      <c r="GB154">
        <v>3</v>
      </c>
      <c r="GC154" t="s">
        <v>431</v>
      </c>
      <c r="GD154">
        <v>3.10976</v>
      </c>
      <c r="GE154">
        <v>2.72521</v>
      </c>
      <c r="GF154">
        <v>0.0890498</v>
      </c>
      <c r="GG154">
        <v>0.0887376</v>
      </c>
      <c r="GH154">
        <v>0.110931</v>
      </c>
      <c r="GI154">
        <v>0.113178</v>
      </c>
      <c r="GJ154">
        <v>23926.9</v>
      </c>
      <c r="GK154">
        <v>21661.2</v>
      </c>
      <c r="GL154">
        <v>26821.7</v>
      </c>
      <c r="GM154">
        <v>23974.2</v>
      </c>
      <c r="GN154">
        <v>38097.7</v>
      </c>
      <c r="GO154">
        <v>31351.6</v>
      </c>
      <c r="GP154">
        <v>46814.8</v>
      </c>
      <c r="GQ154">
        <v>37889.8</v>
      </c>
      <c r="GR154">
        <v>1.8992</v>
      </c>
      <c r="GS154">
        <v>1.89835</v>
      </c>
      <c r="GT154">
        <v>0.136215</v>
      </c>
      <c r="GU154">
        <v>0</v>
      </c>
      <c r="GV154">
        <v>27.8706</v>
      </c>
      <c r="GW154">
        <v>999.9</v>
      </c>
      <c r="GX154">
        <v>64.2</v>
      </c>
      <c r="GY154">
        <v>28.5</v>
      </c>
      <c r="GZ154">
        <v>27.62</v>
      </c>
      <c r="HA154">
        <v>61.6474</v>
      </c>
      <c r="HB154">
        <v>20.2123</v>
      </c>
      <c r="HC154">
        <v>1</v>
      </c>
      <c r="HD154">
        <v>-0.0225813</v>
      </c>
      <c r="HE154">
        <v>-1.39982</v>
      </c>
      <c r="HF154">
        <v>20.3304</v>
      </c>
      <c r="HG154">
        <v>5.21939</v>
      </c>
      <c r="HH154">
        <v>11.98</v>
      </c>
      <c r="HI154">
        <v>4.9649</v>
      </c>
      <c r="HJ154">
        <v>3.27518</v>
      </c>
      <c r="HK154">
        <v>9999</v>
      </c>
      <c r="HL154">
        <v>9999</v>
      </c>
      <c r="HM154">
        <v>9999</v>
      </c>
      <c r="HN154">
        <v>999.9</v>
      </c>
      <c r="HO154">
        <v>1.86357</v>
      </c>
      <c r="HP154">
        <v>1.85974</v>
      </c>
      <c r="HQ154">
        <v>1.85795</v>
      </c>
      <c r="HR154">
        <v>1.85941</v>
      </c>
      <c r="HS154">
        <v>1.85959</v>
      </c>
      <c r="HT154">
        <v>1.85801</v>
      </c>
      <c r="HU154">
        <v>1.85702</v>
      </c>
      <c r="HV154">
        <v>1.85207</v>
      </c>
      <c r="HW154">
        <v>0</v>
      </c>
      <c r="HX154">
        <v>0</v>
      </c>
      <c r="HY154">
        <v>0</v>
      </c>
      <c r="HZ154">
        <v>0</v>
      </c>
      <c r="IA154" t="s">
        <v>424</v>
      </c>
      <c r="IB154" t="s">
        <v>425</v>
      </c>
      <c r="IC154" t="s">
        <v>426</v>
      </c>
      <c r="ID154" t="s">
        <v>426</v>
      </c>
      <c r="IE154" t="s">
        <v>426</v>
      </c>
      <c r="IF154" t="s">
        <v>426</v>
      </c>
      <c r="IG154">
        <v>0</v>
      </c>
      <c r="IH154">
        <v>100</v>
      </c>
      <c r="II154">
        <v>100</v>
      </c>
      <c r="IJ154">
        <v>-1.567</v>
      </c>
      <c r="IK154">
        <v>0.2109</v>
      </c>
      <c r="IL154">
        <v>-2.357986366295179</v>
      </c>
      <c r="IM154">
        <v>0.001328113201692861</v>
      </c>
      <c r="IN154">
        <v>1.538283238170363E-06</v>
      </c>
      <c r="IO154">
        <v>-5.795655626708063E-10</v>
      </c>
      <c r="IP154">
        <v>-0.06105361615936408</v>
      </c>
      <c r="IQ154">
        <v>-0.004593102289677449</v>
      </c>
      <c r="IR154">
        <v>0.0008253994458280543</v>
      </c>
      <c r="IS154">
        <v>-7.403632370499484E-06</v>
      </c>
      <c r="IT154">
        <v>2</v>
      </c>
      <c r="IU154">
        <v>1985</v>
      </c>
      <c r="IV154">
        <v>1</v>
      </c>
      <c r="IW154">
        <v>27</v>
      </c>
      <c r="IX154">
        <v>7.1</v>
      </c>
      <c r="IY154">
        <v>7</v>
      </c>
      <c r="IZ154">
        <v>1.13159</v>
      </c>
      <c r="JA154">
        <v>2.59277</v>
      </c>
      <c r="JB154">
        <v>1.49658</v>
      </c>
      <c r="JC154">
        <v>2.34497</v>
      </c>
      <c r="JD154">
        <v>1.54907</v>
      </c>
      <c r="JE154">
        <v>2.47925</v>
      </c>
      <c r="JF154">
        <v>31.8488</v>
      </c>
      <c r="JG154">
        <v>14.5085</v>
      </c>
      <c r="JH154">
        <v>18</v>
      </c>
      <c r="JI154">
        <v>481.737</v>
      </c>
      <c r="JJ154">
        <v>511.039</v>
      </c>
      <c r="JK154">
        <v>31.2835</v>
      </c>
      <c r="JL154">
        <v>27.0047</v>
      </c>
      <c r="JM154">
        <v>29.9999</v>
      </c>
      <c r="JN154">
        <v>27.2894</v>
      </c>
      <c r="JO154">
        <v>27.2953</v>
      </c>
      <c r="JP154">
        <v>22.7489</v>
      </c>
      <c r="JQ154">
        <v>13.9307</v>
      </c>
      <c r="JR154">
        <v>91.94070000000001</v>
      </c>
      <c r="JS154">
        <v>31.226</v>
      </c>
      <c r="JT154">
        <v>420</v>
      </c>
      <c r="JU154">
        <v>24.2521</v>
      </c>
      <c r="JV154">
        <v>102.374</v>
      </c>
      <c r="JW154">
        <v>91.4134</v>
      </c>
    </row>
    <row r="155" spans="1:283">
      <c r="A155">
        <v>137</v>
      </c>
      <c r="B155">
        <v>1761019090.1</v>
      </c>
      <c r="C155">
        <v>1020.599999904633</v>
      </c>
      <c r="D155" t="s">
        <v>705</v>
      </c>
      <c r="E155" t="s">
        <v>706</v>
      </c>
      <c r="F155">
        <v>5</v>
      </c>
      <c r="G155" t="s">
        <v>674</v>
      </c>
      <c r="H155">
        <v>1761019087.1</v>
      </c>
      <c r="I155">
        <f>(J155)/1000</f>
        <v>0</v>
      </c>
      <c r="J155">
        <f>1000*DJ155*AH155*(DF155-DG155)/(100*CY155*(1000-AH155*DF155))</f>
        <v>0</v>
      </c>
      <c r="K155">
        <f>DJ155*AH155*(DE155-DD155*(1000-AH155*DG155)/(1000-AH155*DF155))/(100*CY155)</f>
        <v>0</v>
      </c>
      <c r="L155">
        <f>DD155 - IF(AH155&gt;1, K155*CY155*100.0/(AJ155), 0)</f>
        <v>0</v>
      </c>
      <c r="M155">
        <f>((S155-I155/2)*L155-K155)/(S155+I155/2)</f>
        <v>0</v>
      </c>
      <c r="N155">
        <f>M155*(DK155+DL155)/1000.0</f>
        <v>0</v>
      </c>
      <c r="O155">
        <f>(DD155 - IF(AH155&gt;1, K155*CY155*100.0/(AJ155), 0))*(DK155+DL155)/1000.0</f>
        <v>0</v>
      </c>
      <c r="P155">
        <f>2.0/((1/R155-1/Q155)+SIGN(R155)*SQRT((1/R155-1/Q155)*(1/R155-1/Q155) + 4*CZ155/((CZ155+1)*(CZ155+1))*(2*1/R155*1/Q155-1/Q155*1/Q155)))</f>
        <v>0</v>
      </c>
      <c r="Q155">
        <f>IF(LEFT(DA155,1)&lt;&gt;"0",IF(LEFT(DA155,1)="1",3.0,DB155),$D$5+$E$5*(DR155*DK155/($K$5*1000))+$F$5*(DR155*DK155/($K$5*1000))*MAX(MIN(CY155,$J$5),$I$5)*MAX(MIN(CY155,$J$5),$I$5)+$G$5*MAX(MIN(CY155,$J$5),$I$5)*(DR155*DK155/($K$5*1000))+$H$5*(DR155*DK155/($K$5*1000))*(DR155*DK155/($K$5*1000)))</f>
        <v>0</v>
      </c>
      <c r="R155">
        <f>I155*(1000-(1000*0.61365*exp(17.502*V155/(240.97+V155))/(DK155+DL155)+DF155)/2)/(1000*0.61365*exp(17.502*V155/(240.97+V155))/(DK155+DL155)-DF155)</f>
        <v>0</v>
      </c>
      <c r="S155">
        <f>1/((CZ155+1)/(P155/1.6)+1/(Q155/1.37)) + CZ155/((CZ155+1)/(P155/1.6) + CZ155/(Q155/1.37))</f>
        <v>0</v>
      </c>
      <c r="T155">
        <f>(CU155*CX155)</f>
        <v>0</v>
      </c>
      <c r="U155">
        <f>(DM155+(T155+2*0.95*5.67E-8*(((DM155+$B$9)+273)^4-(DM155+273)^4)-44100*I155)/(1.84*29.3*Q155+8*0.95*5.67E-8*(DM155+273)^3))</f>
        <v>0</v>
      </c>
      <c r="V155">
        <f>($C$9*DN155+$D$9*DO155+$E$9*U155)</f>
        <v>0</v>
      </c>
      <c r="W155">
        <f>0.61365*exp(17.502*V155/(240.97+V155))</f>
        <v>0</v>
      </c>
      <c r="X155">
        <f>(Y155/Z155*100)</f>
        <v>0</v>
      </c>
      <c r="Y155">
        <f>DF155*(DK155+DL155)/1000</f>
        <v>0</v>
      </c>
      <c r="Z155">
        <f>0.61365*exp(17.502*DM155/(240.97+DM155))</f>
        <v>0</v>
      </c>
      <c r="AA155">
        <f>(W155-DF155*(DK155+DL155)/1000)</f>
        <v>0</v>
      </c>
      <c r="AB155">
        <f>(-I155*44100)</f>
        <v>0</v>
      </c>
      <c r="AC155">
        <f>2*29.3*Q155*0.92*(DM155-V155)</f>
        <v>0</v>
      </c>
      <c r="AD155">
        <f>2*0.95*5.67E-8*(((DM155+$B$9)+273)^4-(V155+273)^4)</f>
        <v>0</v>
      </c>
      <c r="AE155">
        <f>T155+AD155+AB155+AC155</f>
        <v>0</v>
      </c>
      <c r="AF155">
        <v>1</v>
      </c>
      <c r="AG155">
        <v>0</v>
      </c>
      <c r="AH155">
        <f>IF(AF155*$H$15&gt;=AJ155,1.0,(AJ155/(AJ155-AF155*$H$15)))</f>
        <v>0</v>
      </c>
      <c r="AI155">
        <f>(AH155-1)*100</f>
        <v>0</v>
      </c>
      <c r="AJ155">
        <f>MAX(0,($B$15+$C$15*DR155)/(1+$D$15*DR155)*DK155/(DM155+273)*$E$15)</f>
        <v>0</v>
      </c>
      <c r="AK155" t="s">
        <v>420</v>
      </c>
      <c r="AL155" t="s">
        <v>420</v>
      </c>
      <c r="AM155">
        <v>0</v>
      </c>
      <c r="AN155">
        <v>0</v>
      </c>
      <c r="AO155">
        <f>1-AM155/AN155</f>
        <v>0</v>
      </c>
      <c r="AP155">
        <v>0</v>
      </c>
      <c r="AQ155" t="s">
        <v>420</v>
      </c>
      <c r="AR155" t="s">
        <v>420</v>
      </c>
      <c r="AS155">
        <v>0</v>
      </c>
      <c r="AT155">
        <v>0</v>
      </c>
      <c r="AU155">
        <f>1-AS155/AT155</f>
        <v>0</v>
      </c>
      <c r="AV155">
        <v>0.5</v>
      </c>
      <c r="AW155">
        <f>CV155</f>
        <v>0</v>
      </c>
      <c r="AX155">
        <f>K155</f>
        <v>0</v>
      </c>
      <c r="AY155">
        <f>AU155*AV155*AW155</f>
        <v>0</v>
      </c>
      <c r="AZ155">
        <f>(AX155-AP155)/AW155</f>
        <v>0</v>
      </c>
      <c r="BA155">
        <f>(AN155-AT155)/AT155</f>
        <v>0</v>
      </c>
      <c r="BB155">
        <f>AM155/(AO155+AM155/AT155)</f>
        <v>0</v>
      </c>
      <c r="BC155" t="s">
        <v>420</v>
      </c>
      <c r="BD155">
        <v>0</v>
      </c>
      <c r="BE155">
        <f>IF(BD155&lt;&gt;0, BD155, BB155)</f>
        <v>0</v>
      </c>
      <c r="BF155">
        <f>1-BE155/AT155</f>
        <v>0</v>
      </c>
      <c r="BG155">
        <f>(AT155-AS155)/(AT155-BE155)</f>
        <v>0</v>
      </c>
      <c r="BH155">
        <f>(AN155-AT155)/(AN155-BE155)</f>
        <v>0</v>
      </c>
      <c r="BI155">
        <f>(AT155-AS155)/(AT155-AM155)</f>
        <v>0</v>
      </c>
      <c r="BJ155">
        <f>(AN155-AT155)/(AN155-AM155)</f>
        <v>0</v>
      </c>
      <c r="BK155">
        <f>(BG155*BE155/AS155)</f>
        <v>0</v>
      </c>
      <c r="BL155">
        <f>(1-BK155)</f>
        <v>0</v>
      </c>
      <c r="CU155">
        <f>$B$13*DS155+$C$13*DT155+$F$13*EE155*(1-EH155)</f>
        <v>0</v>
      </c>
      <c r="CV155">
        <f>CU155*CW155</f>
        <v>0</v>
      </c>
      <c r="CW155">
        <f>($B$13*$D$11+$C$13*$D$11+$F$13*((ER155+EJ155)/MAX(ER155+EJ155+ES155, 0.1)*$I$11+ES155/MAX(ER155+EJ155+ES155, 0.1)*$J$11))/($B$13+$C$13+$F$13)</f>
        <v>0</v>
      </c>
      <c r="CX155">
        <f>($B$13*$K$11+$C$13*$K$11+$F$13*((ER155+EJ155)/MAX(ER155+EJ155+ES155, 0.1)*$P$11+ES155/MAX(ER155+EJ155+ES155, 0.1)*$Q$11))/($B$13+$C$13+$F$13)</f>
        <v>0</v>
      </c>
      <c r="CY155">
        <v>5.66</v>
      </c>
      <c r="CZ155">
        <v>0.5</v>
      </c>
      <c r="DA155" t="s">
        <v>421</v>
      </c>
      <c r="DB155">
        <v>2</v>
      </c>
      <c r="DC155">
        <v>1761019087.1</v>
      </c>
      <c r="DD155">
        <v>420.5774444444444</v>
      </c>
      <c r="DE155">
        <v>419.9044444444444</v>
      </c>
      <c r="DF155">
        <v>24.57141111111111</v>
      </c>
      <c r="DG155">
        <v>24.94791111111111</v>
      </c>
      <c r="DH155">
        <v>422.1442222222222</v>
      </c>
      <c r="DI155">
        <v>24.36153333333333</v>
      </c>
      <c r="DJ155">
        <v>499.9709999999999</v>
      </c>
      <c r="DK155">
        <v>90.80977777777778</v>
      </c>
      <c r="DL155">
        <v>0.03377222222222222</v>
      </c>
      <c r="DM155">
        <v>30.60087777777778</v>
      </c>
      <c r="DN155">
        <v>30.09782222222222</v>
      </c>
      <c r="DO155">
        <v>999.9000000000001</v>
      </c>
      <c r="DP155">
        <v>0</v>
      </c>
      <c r="DQ155">
        <v>0</v>
      </c>
      <c r="DR155">
        <v>9991.03888888889</v>
      </c>
      <c r="DS155">
        <v>0</v>
      </c>
      <c r="DT155">
        <v>0.242856</v>
      </c>
      <c r="DU155">
        <v>0.673021</v>
      </c>
      <c r="DV155">
        <v>431.1718888888889</v>
      </c>
      <c r="DW155">
        <v>430.6482222222222</v>
      </c>
      <c r="DX155">
        <v>-0.3765142222222223</v>
      </c>
      <c r="DY155">
        <v>419.9044444444444</v>
      </c>
      <c r="DZ155">
        <v>24.94791111111111</v>
      </c>
      <c r="EA155">
        <v>2.231324444444444</v>
      </c>
      <c r="EB155">
        <v>2.265514444444444</v>
      </c>
      <c r="EC155">
        <v>19.18894444444444</v>
      </c>
      <c r="ED155">
        <v>19.43323333333333</v>
      </c>
      <c r="EE155">
        <v>0.00500078</v>
      </c>
      <c r="EF155">
        <v>0</v>
      </c>
      <c r="EG155">
        <v>0</v>
      </c>
      <c r="EH155">
        <v>0</v>
      </c>
      <c r="EI155">
        <v>844.2666666666667</v>
      </c>
      <c r="EJ155">
        <v>0.00500078</v>
      </c>
      <c r="EK155">
        <v>-10.98888888888889</v>
      </c>
      <c r="EL155">
        <v>-0.8777777777777778</v>
      </c>
      <c r="EM155">
        <v>35.89555555555555</v>
      </c>
      <c r="EN155">
        <v>39.68733333333333</v>
      </c>
      <c r="EO155">
        <v>38.74977777777778</v>
      </c>
      <c r="EP155">
        <v>40.43733333333333</v>
      </c>
      <c r="EQ155">
        <v>38.70122222222223</v>
      </c>
      <c r="ER155">
        <v>0</v>
      </c>
      <c r="ES155">
        <v>0</v>
      </c>
      <c r="ET155">
        <v>0</v>
      </c>
      <c r="EU155">
        <v>1761019089.1</v>
      </c>
      <c r="EV155">
        <v>0</v>
      </c>
      <c r="EW155">
        <v>848.4423076923078</v>
      </c>
      <c r="EX155">
        <v>-56.90598316472806</v>
      </c>
      <c r="EY155">
        <v>-5.182906140576777</v>
      </c>
      <c r="EZ155">
        <v>-8.407692307692308</v>
      </c>
      <c r="FA155">
        <v>15</v>
      </c>
      <c r="FB155">
        <v>1761018667.1</v>
      </c>
      <c r="FC155" t="s">
        <v>613</v>
      </c>
      <c r="FD155">
        <v>1761018661.6</v>
      </c>
      <c r="FE155">
        <v>1761018667.1</v>
      </c>
      <c r="FF155">
        <v>26</v>
      </c>
      <c r="FG155">
        <v>-0.221</v>
      </c>
      <c r="FH155">
        <v>-0.001</v>
      </c>
      <c r="FI155">
        <v>-1.568</v>
      </c>
      <c r="FJ155">
        <v>0.178</v>
      </c>
      <c r="FK155">
        <v>420</v>
      </c>
      <c r="FL155">
        <v>23</v>
      </c>
      <c r="FM155">
        <v>0.1</v>
      </c>
      <c r="FN155">
        <v>0.08</v>
      </c>
      <c r="FO155">
        <v>0.6879123414634147</v>
      </c>
      <c r="FP155">
        <v>-0.2439767665505207</v>
      </c>
      <c r="FQ155">
        <v>0.05518220337657023</v>
      </c>
      <c r="FR155">
        <v>1</v>
      </c>
      <c r="FS155">
        <v>851.4441176470589</v>
      </c>
      <c r="FT155">
        <v>-63.38731864365583</v>
      </c>
      <c r="FU155">
        <v>9.301492327340322</v>
      </c>
      <c r="FV155">
        <v>0</v>
      </c>
      <c r="FW155">
        <v>-0.2782763307317074</v>
      </c>
      <c r="FX155">
        <v>-1.221005286689895</v>
      </c>
      <c r="FY155">
        <v>0.1412864696955975</v>
      </c>
      <c r="FZ155">
        <v>0</v>
      </c>
      <c r="GA155">
        <v>1</v>
      </c>
      <c r="GB155">
        <v>3</v>
      </c>
      <c r="GC155" t="s">
        <v>431</v>
      </c>
      <c r="GD155">
        <v>3.10957</v>
      </c>
      <c r="GE155">
        <v>2.72562</v>
      </c>
      <c r="GF155">
        <v>0.0890608</v>
      </c>
      <c r="GG155">
        <v>0.088739</v>
      </c>
      <c r="GH155">
        <v>0.111195</v>
      </c>
      <c r="GI155">
        <v>0.113375</v>
      </c>
      <c r="GJ155">
        <v>23926.6</v>
      </c>
      <c r="GK155">
        <v>21661</v>
      </c>
      <c r="GL155">
        <v>26821.7</v>
      </c>
      <c r="GM155">
        <v>23974</v>
      </c>
      <c r="GN155">
        <v>38086.4</v>
      </c>
      <c r="GO155">
        <v>31344.1</v>
      </c>
      <c r="GP155">
        <v>46815</v>
      </c>
      <c r="GQ155">
        <v>37889.3</v>
      </c>
      <c r="GR155">
        <v>1.89895</v>
      </c>
      <c r="GS155">
        <v>1.89848</v>
      </c>
      <c r="GT155">
        <v>0.135191</v>
      </c>
      <c r="GU155">
        <v>0</v>
      </c>
      <c r="GV155">
        <v>27.8682</v>
      </c>
      <c r="GW155">
        <v>999.9</v>
      </c>
      <c r="GX155">
        <v>64.2</v>
      </c>
      <c r="GY155">
        <v>28.5</v>
      </c>
      <c r="GZ155">
        <v>27.6201</v>
      </c>
      <c r="HA155">
        <v>61.3573</v>
      </c>
      <c r="HB155">
        <v>20.3766</v>
      </c>
      <c r="HC155">
        <v>1</v>
      </c>
      <c r="HD155">
        <v>-0.0225788</v>
      </c>
      <c r="HE155">
        <v>-1.34885</v>
      </c>
      <c r="HF155">
        <v>20.3308</v>
      </c>
      <c r="HG155">
        <v>5.21969</v>
      </c>
      <c r="HH155">
        <v>11.9798</v>
      </c>
      <c r="HI155">
        <v>4.965</v>
      </c>
      <c r="HJ155">
        <v>3.2753</v>
      </c>
      <c r="HK155">
        <v>9999</v>
      </c>
      <c r="HL155">
        <v>9999</v>
      </c>
      <c r="HM155">
        <v>9999</v>
      </c>
      <c r="HN155">
        <v>999.9</v>
      </c>
      <c r="HO155">
        <v>1.86357</v>
      </c>
      <c r="HP155">
        <v>1.85974</v>
      </c>
      <c r="HQ155">
        <v>1.85796</v>
      </c>
      <c r="HR155">
        <v>1.85941</v>
      </c>
      <c r="HS155">
        <v>1.85959</v>
      </c>
      <c r="HT155">
        <v>1.85803</v>
      </c>
      <c r="HU155">
        <v>1.85703</v>
      </c>
      <c r="HV155">
        <v>1.85207</v>
      </c>
      <c r="HW155">
        <v>0</v>
      </c>
      <c r="HX155">
        <v>0</v>
      </c>
      <c r="HY155">
        <v>0</v>
      </c>
      <c r="HZ155">
        <v>0</v>
      </c>
      <c r="IA155" t="s">
        <v>424</v>
      </c>
      <c r="IB155" t="s">
        <v>425</v>
      </c>
      <c r="IC155" t="s">
        <v>426</v>
      </c>
      <c r="ID155" t="s">
        <v>426</v>
      </c>
      <c r="IE155" t="s">
        <v>426</v>
      </c>
      <c r="IF155" t="s">
        <v>426</v>
      </c>
      <c r="IG155">
        <v>0</v>
      </c>
      <c r="IH155">
        <v>100</v>
      </c>
      <c r="II155">
        <v>100</v>
      </c>
      <c r="IJ155">
        <v>-1.567</v>
      </c>
      <c r="IK155">
        <v>0.2128</v>
      </c>
      <c r="IL155">
        <v>-2.357986366295179</v>
      </c>
      <c r="IM155">
        <v>0.001328113201692861</v>
      </c>
      <c r="IN155">
        <v>1.538283238170363E-06</v>
      </c>
      <c r="IO155">
        <v>-5.795655626708063E-10</v>
      </c>
      <c r="IP155">
        <v>-0.06105361615936408</v>
      </c>
      <c r="IQ155">
        <v>-0.004593102289677449</v>
      </c>
      <c r="IR155">
        <v>0.0008253994458280543</v>
      </c>
      <c r="IS155">
        <v>-7.403632370499484E-06</v>
      </c>
      <c r="IT155">
        <v>2</v>
      </c>
      <c r="IU155">
        <v>1985</v>
      </c>
      <c r="IV155">
        <v>1</v>
      </c>
      <c r="IW155">
        <v>27</v>
      </c>
      <c r="IX155">
        <v>7.1</v>
      </c>
      <c r="IY155">
        <v>7</v>
      </c>
      <c r="IZ155">
        <v>1.13159</v>
      </c>
      <c r="JA155">
        <v>2.58545</v>
      </c>
      <c r="JB155">
        <v>1.49658</v>
      </c>
      <c r="JC155">
        <v>2.34619</v>
      </c>
      <c r="JD155">
        <v>1.54907</v>
      </c>
      <c r="JE155">
        <v>2.43286</v>
      </c>
      <c r="JF155">
        <v>31.8488</v>
      </c>
      <c r="JG155">
        <v>14.4998</v>
      </c>
      <c r="JH155">
        <v>18</v>
      </c>
      <c r="JI155">
        <v>481.584</v>
      </c>
      <c r="JJ155">
        <v>511.107</v>
      </c>
      <c r="JK155">
        <v>31.2355</v>
      </c>
      <c r="JL155">
        <v>27.0046</v>
      </c>
      <c r="JM155">
        <v>29.9999</v>
      </c>
      <c r="JN155">
        <v>27.2882</v>
      </c>
      <c r="JO155">
        <v>27.2934</v>
      </c>
      <c r="JP155">
        <v>22.7475</v>
      </c>
      <c r="JQ155">
        <v>15.3748</v>
      </c>
      <c r="JR155">
        <v>91.94070000000001</v>
      </c>
      <c r="JS155">
        <v>31.226</v>
      </c>
      <c r="JT155">
        <v>420</v>
      </c>
      <c r="JU155">
        <v>24.1463</v>
      </c>
      <c r="JV155">
        <v>102.374</v>
      </c>
      <c r="JW155">
        <v>91.4123</v>
      </c>
    </row>
    <row r="156" spans="1:283">
      <c r="A156">
        <v>138</v>
      </c>
      <c r="B156">
        <v>1761019092.1</v>
      </c>
      <c r="C156">
        <v>1022.599999904633</v>
      </c>
      <c r="D156" t="s">
        <v>707</v>
      </c>
      <c r="E156" t="s">
        <v>708</v>
      </c>
      <c r="F156">
        <v>5</v>
      </c>
      <c r="G156" t="s">
        <v>674</v>
      </c>
      <c r="H156">
        <v>1761019089.1</v>
      </c>
      <c r="I156">
        <f>(J156)/1000</f>
        <v>0</v>
      </c>
      <c r="J156">
        <f>1000*DJ156*AH156*(DF156-DG156)/(100*CY156*(1000-AH156*DF156))</f>
        <v>0</v>
      </c>
      <c r="K156">
        <f>DJ156*AH156*(DE156-DD156*(1000-AH156*DG156)/(1000-AH156*DF156))/(100*CY156)</f>
        <v>0</v>
      </c>
      <c r="L156">
        <f>DD156 - IF(AH156&gt;1, K156*CY156*100.0/(AJ156), 0)</f>
        <v>0</v>
      </c>
      <c r="M156">
        <f>((S156-I156/2)*L156-K156)/(S156+I156/2)</f>
        <v>0</v>
      </c>
      <c r="N156">
        <f>M156*(DK156+DL156)/1000.0</f>
        <v>0</v>
      </c>
      <c r="O156">
        <f>(DD156 - IF(AH156&gt;1, K156*CY156*100.0/(AJ156), 0))*(DK156+DL156)/1000.0</f>
        <v>0</v>
      </c>
      <c r="P156">
        <f>2.0/((1/R156-1/Q156)+SIGN(R156)*SQRT((1/R156-1/Q156)*(1/R156-1/Q156) + 4*CZ156/((CZ156+1)*(CZ156+1))*(2*1/R156*1/Q156-1/Q156*1/Q156)))</f>
        <v>0</v>
      </c>
      <c r="Q156">
        <f>IF(LEFT(DA156,1)&lt;&gt;"0",IF(LEFT(DA156,1)="1",3.0,DB156),$D$5+$E$5*(DR156*DK156/($K$5*1000))+$F$5*(DR156*DK156/($K$5*1000))*MAX(MIN(CY156,$J$5),$I$5)*MAX(MIN(CY156,$J$5),$I$5)+$G$5*MAX(MIN(CY156,$J$5),$I$5)*(DR156*DK156/($K$5*1000))+$H$5*(DR156*DK156/($K$5*1000))*(DR156*DK156/($K$5*1000)))</f>
        <v>0</v>
      </c>
      <c r="R156">
        <f>I156*(1000-(1000*0.61365*exp(17.502*V156/(240.97+V156))/(DK156+DL156)+DF156)/2)/(1000*0.61365*exp(17.502*V156/(240.97+V156))/(DK156+DL156)-DF156)</f>
        <v>0</v>
      </c>
      <c r="S156">
        <f>1/((CZ156+1)/(P156/1.6)+1/(Q156/1.37)) + CZ156/((CZ156+1)/(P156/1.6) + CZ156/(Q156/1.37))</f>
        <v>0</v>
      </c>
      <c r="T156">
        <f>(CU156*CX156)</f>
        <v>0</v>
      </c>
      <c r="U156">
        <f>(DM156+(T156+2*0.95*5.67E-8*(((DM156+$B$9)+273)^4-(DM156+273)^4)-44100*I156)/(1.84*29.3*Q156+8*0.95*5.67E-8*(DM156+273)^3))</f>
        <v>0</v>
      </c>
      <c r="V156">
        <f>($C$9*DN156+$D$9*DO156+$E$9*U156)</f>
        <v>0</v>
      </c>
      <c r="W156">
        <f>0.61365*exp(17.502*V156/(240.97+V156))</f>
        <v>0</v>
      </c>
      <c r="X156">
        <f>(Y156/Z156*100)</f>
        <v>0</v>
      </c>
      <c r="Y156">
        <f>DF156*(DK156+DL156)/1000</f>
        <v>0</v>
      </c>
      <c r="Z156">
        <f>0.61365*exp(17.502*DM156/(240.97+DM156))</f>
        <v>0</v>
      </c>
      <c r="AA156">
        <f>(W156-DF156*(DK156+DL156)/1000)</f>
        <v>0</v>
      </c>
      <c r="AB156">
        <f>(-I156*44100)</f>
        <v>0</v>
      </c>
      <c r="AC156">
        <f>2*29.3*Q156*0.92*(DM156-V156)</f>
        <v>0</v>
      </c>
      <c r="AD156">
        <f>2*0.95*5.67E-8*(((DM156+$B$9)+273)^4-(V156+273)^4)</f>
        <v>0</v>
      </c>
      <c r="AE156">
        <f>T156+AD156+AB156+AC156</f>
        <v>0</v>
      </c>
      <c r="AF156">
        <v>1</v>
      </c>
      <c r="AG156">
        <v>0</v>
      </c>
      <c r="AH156">
        <f>IF(AF156*$H$15&gt;=AJ156,1.0,(AJ156/(AJ156-AF156*$H$15)))</f>
        <v>0</v>
      </c>
      <c r="AI156">
        <f>(AH156-1)*100</f>
        <v>0</v>
      </c>
      <c r="AJ156">
        <f>MAX(0,($B$15+$C$15*DR156)/(1+$D$15*DR156)*DK156/(DM156+273)*$E$15)</f>
        <v>0</v>
      </c>
      <c r="AK156" t="s">
        <v>420</v>
      </c>
      <c r="AL156" t="s">
        <v>420</v>
      </c>
      <c r="AM156">
        <v>0</v>
      </c>
      <c r="AN156">
        <v>0</v>
      </c>
      <c r="AO156">
        <f>1-AM156/AN156</f>
        <v>0</v>
      </c>
      <c r="AP156">
        <v>0</v>
      </c>
      <c r="AQ156" t="s">
        <v>420</v>
      </c>
      <c r="AR156" t="s">
        <v>420</v>
      </c>
      <c r="AS156">
        <v>0</v>
      </c>
      <c r="AT156">
        <v>0</v>
      </c>
      <c r="AU156">
        <f>1-AS156/AT156</f>
        <v>0</v>
      </c>
      <c r="AV156">
        <v>0.5</v>
      </c>
      <c r="AW156">
        <f>CV156</f>
        <v>0</v>
      </c>
      <c r="AX156">
        <f>K156</f>
        <v>0</v>
      </c>
      <c r="AY156">
        <f>AU156*AV156*AW156</f>
        <v>0</v>
      </c>
      <c r="AZ156">
        <f>(AX156-AP156)/AW156</f>
        <v>0</v>
      </c>
      <c r="BA156">
        <f>(AN156-AT156)/AT156</f>
        <v>0</v>
      </c>
      <c r="BB156">
        <f>AM156/(AO156+AM156/AT156)</f>
        <v>0</v>
      </c>
      <c r="BC156" t="s">
        <v>420</v>
      </c>
      <c r="BD156">
        <v>0</v>
      </c>
      <c r="BE156">
        <f>IF(BD156&lt;&gt;0, BD156, BB156)</f>
        <v>0</v>
      </c>
      <c r="BF156">
        <f>1-BE156/AT156</f>
        <v>0</v>
      </c>
      <c r="BG156">
        <f>(AT156-AS156)/(AT156-BE156)</f>
        <v>0</v>
      </c>
      <c r="BH156">
        <f>(AN156-AT156)/(AN156-BE156)</f>
        <v>0</v>
      </c>
      <c r="BI156">
        <f>(AT156-AS156)/(AT156-AM156)</f>
        <v>0</v>
      </c>
      <c r="BJ156">
        <f>(AN156-AT156)/(AN156-AM156)</f>
        <v>0</v>
      </c>
      <c r="BK156">
        <f>(BG156*BE156/AS156)</f>
        <v>0</v>
      </c>
      <c r="BL156">
        <f>(1-BK156)</f>
        <v>0</v>
      </c>
      <c r="CU156">
        <f>$B$13*DS156+$C$13*DT156+$F$13*EE156*(1-EH156)</f>
        <v>0</v>
      </c>
      <c r="CV156">
        <f>CU156*CW156</f>
        <v>0</v>
      </c>
      <c r="CW156">
        <f>($B$13*$D$11+$C$13*$D$11+$F$13*((ER156+EJ156)/MAX(ER156+EJ156+ES156, 0.1)*$I$11+ES156/MAX(ER156+EJ156+ES156, 0.1)*$J$11))/($B$13+$C$13+$F$13)</f>
        <v>0</v>
      </c>
      <c r="CX156">
        <f>($B$13*$K$11+$C$13*$K$11+$F$13*((ER156+EJ156)/MAX(ER156+EJ156+ES156, 0.1)*$P$11+ES156/MAX(ER156+EJ156+ES156, 0.1)*$Q$11))/($B$13+$C$13+$F$13)</f>
        <v>0</v>
      </c>
      <c r="CY156">
        <v>5.66</v>
      </c>
      <c r="CZ156">
        <v>0.5</v>
      </c>
      <c r="DA156" t="s">
        <v>421</v>
      </c>
      <c r="DB156">
        <v>2</v>
      </c>
      <c r="DC156">
        <v>1761019089.1</v>
      </c>
      <c r="DD156">
        <v>420.6176666666667</v>
      </c>
      <c r="DE156">
        <v>419.9111111111111</v>
      </c>
      <c r="DF156">
        <v>24.65731111111111</v>
      </c>
      <c r="DG156">
        <v>25.01674444444444</v>
      </c>
      <c r="DH156">
        <v>422.1843333333334</v>
      </c>
      <c r="DI156">
        <v>24.44555555555555</v>
      </c>
      <c r="DJ156">
        <v>499.9093333333333</v>
      </c>
      <c r="DK156">
        <v>90.80987777777777</v>
      </c>
      <c r="DL156">
        <v>0.034022</v>
      </c>
      <c r="DM156">
        <v>30.58795555555556</v>
      </c>
      <c r="DN156">
        <v>30.08516666666667</v>
      </c>
      <c r="DO156">
        <v>999.9000000000001</v>
      </c>
      <c r="DP156">
        <v>0</v>
      </c>
      <c r="DQ156">
        <v>0</v>
      </c>
      <c r="DR156">
        <v>9980.207777777778</v>
      </c>
      <c r="DS156">
        <v>0</v>
      </c>
      <c r="DT156">
        <v>0.242856</v>
      </c>
      <c r="DU156">
        <v>0.7065428888888889</v>
      </c>
      <c r="DV156">
        <v>431.251</v>
      </c>
      <c r="DW156">
        <v>430.6854444444444</v>
      </c>
      <c r="DX156">
        <v>-0.359432</v>
      </c>
      <c r="DY156">
        <v>419.9111111111111</v>
      </c>
      <c r="DZ156">
        <v>25.01674444444444</v>
      </c>
      <c r="EA156">
        <v>2.239126666666666</v>
      </c>
      <c r="EB156">
        <v>2.271765555555556</v>
      </c>
      <c r="EC156">
        <v>19.24498888888889</v>
      </c>
      <c r="ED156">
        <v>19.47756666666667</v>
      </c>
      <c r="EE156">
        <v>0.00500078</v>
      </c>
      <c r="EF156">
        <v>0</v>
      </c>
      <c r="EG156">
        <v>0</v>
      </c>
      <c r="EH156">
        <v>0</v>
      </c>
      <c r="EI156">
        <v>841.7</v>
      </c>
      <c r="EJ156">
        <v>0.00500078</v>
      </c>
      <c r="EK156">
        <v>-10.47777777777778</v>
      </c>
      <c r="EL156">
        <v>-0.8777777777777779</v>
      </c>
      <c r="EM156">
        <v>35.87466666666666</v>
      </c>
      <c r="EN156">
        <v>39.62466666666666</v>
      </c>
      <c r="EO156">
        <v>38.43033333333333</v>
      </c>
      <c r="EP156">
        <v>40.34711111111111</v>
      </c>
      <c r="EQ156">
        <v>38.67333333333333</v>
      </c>
      <c r="ER156">
        <v>0</v>
      </c>
      <c r="ES156">
        <v>0</v>
      </c>
      <c r="ET156">
        <v>0</v>
      </c>
      <c r="EU156">
        <v>1761019090.9</v>
      </c>
      <c r="EV156">
        <v>0</v>
      </c>
      <c r="EW156">
        <v>846.24</v>
      </c>
      <c r="EX156">
        <v>-65.85384629673052</v>
      </c>
      <c r="EY156">
        <v>-1.369231111669446</v>
      </c>
      <c r="EZ156">
        <v>-8.532</v>
      </c>
      <c r="FA156">
        <v>15</v>
      </c>
      <c r="FB156">
        <v>1761018667.1</v>
      </c>
      <c r="FC156" t="s">
        <v>613</v>
      </c>
      <c r="FD156">
        <v>1761018661.6</v>
      </c>
      <c r="FE156">
        <v>1761018667.1</v>
      </c>
      <c r="FF156">
        <v>26</v>
      </c>
      <c r="FG156">
        <v>-0.221</v>
      </c>
      <c r="FH156">
        <v>-0.001</v>
      </c>
      <c r="FI156">
        <v>-1.568</v>
      </c>
      <c r="FJ156">
        <v>0.178</v>
      </c>
      <c r="FK156">
        <v>420</v>
      </c>
      <c r="FL156">
        <v>23</v>
      </c>
      <c r="FM156">
        <v>0.1</v>
      </c>
      <c r="FN156">
        <v>0.08</v>
      </c>
      <c r="FO156">
        <v>0.6917923</v>
      </c>
      <c r="FP156">
        <v>-0.2168780487804877</v>
      </c>
      <c r="FQ156">
        <v>0.05691167663546735</v>
      </c>
      <c r="FR156">
        <v>1</v>
      </c>
      <c r="FS156">
        <v>849.885294117647</v>
      </c>
      <c r="FT156">
        <v>-71.10007647440742</v>
      </c>
      <c r="FU156">
        <v>9.867448932875529</v>
      </c>
      <c r="FV156">
        <v>0</v>
      </c>
      <c r="FW156">
        <v>-0.31543682</v>
      </c>
      <c r="FX156">
        <v>-0.752236097560975</v>
      </c>
      <c r="FY156">
        <v>0.09386646202466353</v>
      </c>
      <c r="FZ156">
        <v>0</v>
      </c>
      <c r="GA156">
        <v>1</v>
      </c>
      <c r="GB156">
        <v>3</v>
      </c>
      <c r="GC156" t="s">
        <v>431</v>
      </c>
      <c r="GD156">
        <v>3.10977</v>
      </c>
      <c r="GE156">
        <v>2.72597</v>
      </c>
      <c r="GF156">
        <v>0.0890606</v>
      </c>
      <c r="GG156">
        <v>0.08873979999999999</v>
      </c>
      <c r="GH156">
        <v>0.111441</v>
      </c>
      <c r="GI156">
        <v>0.11354</v>
      </c>
      <c r="GJ156">
        <v>23926.6</v>
      </c>
      <c r="GK156">
        <v>21660.7</v>
      </c>
      <c r="GL156">
        <v>26821.8</v>
      </c>
      <c r="GM156">
        <v>23973.7</v>
      </c>
      <c r="GN156">
        <v>38075.8</v>
      </c>
      <c r="GO156">
        <v>31337.8</v>
      </c>
      <c r="GP156">
        <v>46815.1</v>
      </c>
      <c r="GQ156">
        <v>37888.7</v>
      </c>
      <c r="GR156">
        <v>1.8989</v>
      </c>
      <c r="GS156">
        <v>1.8985</v>
      </c>
      <c r="GT156">
        <v>0.135005</v>
      </c>
      <c r="GU156">
        <v>0</v>
      </c>
      <c r="GV156">
        <v>27.8658</v>
      </c>
      <c r="GW156">
        <v>999.9</v>
      </c>
      <c r="GX156">
        <v>64.2</v>
      </c>
      <c r="GY156">
        <v>28.5</v>
      </c>
      <c r="GZ156">
        <v>27.6208</v>
      </c>
      <c r="HA156">
        <v>61.4273</v>
      </c>
      <c r="HB156">
        <v>20.1843</v>
      </c>
      <c r="HC156">
        <v>1</v>
      </c>
      <c r="HD156">
        <v>-0.0226169</v>
      </c>
      <c r="HE156">
        <v>-1.47274</v>
      </c>
      <c r="HF156">
        <v>20.3304</v>
      </c>
      <c r="HG156">
        <v>5.22253</v>
      </c>
      <c r="HH156">
        <v>11.9797</v>
      </c>
      <c r="HI156">
        <v>4.9655</v>
      </c>
      <c r="HJ156">
        <v>3.27593</v>
      </c>
      <c r="HK156">
        <v>9999</v>
      </c>
      <c r="HL156">
        <v>9999</v>
      </c>
      <c r="HM156">
        <v>9999</v>
      </c>
      <c r="HN156">
        <v>999.9</v>
      </c>
      <c r="HO156">
        <v>1.86358</v>
      </c>
      <c r="HP156">
        <v>1.85974</v>
      </c>
      <c r="HQ156">
        <v>1.85796</v>
      </c>
      <c r="HR156">
        <v>1.85941</v>
      </c>
      <c r="HS156">
        <v>1.85959</v>
      </c>
      <c r="HT156">
        <v>1.85803</v>
      </c>
      <c r="HU156">
        <v>1.85704</v>
      </c>
      <c r="HV156">
        <v>1.85208</v>
      </c>
      <c r="HW156">
        <v>0</v>
      </c>
      <c r="HX156">
        <v>0</v>
      </c>
      <c r="HY156">
        <v>0</v>
      </c>
      <c r="HZ156">
        <v>0</v>
      </c>
      <c r="IA156" t="s">
        <v>424</v>
      </c>
      <c r="IB156" t="s">
        <v>425</v>
      </c>
      <c r="IC156" t="s">
        <v>426</v>
      </c>
      <c r="ID156" t="s">
        <v>426</v>
      </c>
      <c r="IE156" t="s">
        <v>426</v>
      </c>
      <c r="IF156" t="s">
        <v>426</v>
      </c>
      <c r="IG156">
        <v>0</v>
      </c>
      <c r="IH156">
        <v>100</v>
      </c>
      <c r="II156">
        <v>100</v>
      </c>
      <c r="IJ156">
        <v>-1.567</v>
      </c>
      <c r="IK156">
        <v>0.2144</v>
      </c>
      <c r="IL156">
        <v>-2.357986366295179</v>
      </c>
      <c r="IM156">
        <v>0.001328113201692861</v>
      </c>
      <c r="IN156">
        <v>1.538283238170363E-06</v>
      </c>
      <c r="IO156">
        <v>-5.795655626708063E-10</v>
      </c>
      <c r="IP156">
        <v>-0.06105361615936408</v>
      </c>
      <c r="IQ156">
        <v>-0.004593102289677449</v>
      </c>
      <c r="IR156">
        <v>0.0008253994458280543</v>
      </c>
      <c r="IS156">
        <v>-7.403632370499484E-06</v>
      </c>
      <c r="IT156">
        <v>2</v>
      </c>
      <c r="IU156">
        <v>1985</v>
      </c>
      <c r="IV156">
        <v>1</v>
      </c>
      <c r="IW156">
        <v>27</v>
      </c>
      <c r="IX156">
        <v>7.2</v>
      </c>
      <c r="IY156">
        <v>7.1</v>
      </c>
      <c r="IZ156">
        <v>1.13159</v>
      </c>
      <c r="JA156">
        <v>2.58789</v>
      </c>
      <c r="JB156">
        <v>1.49658</v>
      </c>
      <c r="JC156">
        <v>2.34497</v>
      </c>
      <c r="JD156">
        <v>1.54907</v>
      </c>
      <c r="JE156">
        <v>2.48657</v>
      </c>
      <c r="JF156">
        <v>31.8488</v>
      </c>
      <c r="JG156">
        <v>14.491</v>
      </c>
      <c r="JH156">
        <v>18</v>
      </c>
      <c r="JI156">
        <v>481.542</v>
      </c>
      <c r="JJ156">
        <v>511.106</v>
      </c>
      <c r="JK156">
        <v>31.1901</v>
      </c>
      <c r="JL156">
        <v>27.0035</v>
      </c>
      <c r="JM156">
        <v>29.9999</v>
      </c>
      <c r="JN156">
        <v>27.2865</v>
      </c>
      <c r="JO156">
        <v>27.2916</v>
      </c>
      <c r="JP156">
        <v>22.7509</v>
      </c>
      <c r="JQ156">
        <v>17.0469</v>
      </c>
      <c r="JR156">
        <v>91.94070000000001</v>
      </c>
      <c r="JS156">
        <v>31.14</v>
      </c>
      <c r="JT156">
        <v>420</v>
      </c>
      <c r="JU156">
        <v>24.0325</v>
      </c>
      <c r="JV156">
        <v>102.375</v>
      </c>
      <c r="JW156">
        <v>91.411</v>
      </c>
    </row>
    <row r="157" spans="1:283">
      <c r="A157">
        <v>139</v>
      </c>
      <c r="B157">
        <v>1761019094.1</v>
      </c>
      <c r="C157">
        <v>1024.599999904633</v>
      </c>
      <c r="D157" t="s">
        <v>709</v>
      </c>
      <c r="E157" t="s">
        <v>710</v>
      </c>
      <c r="F157">
        <v>5</v>
      </c>
      <c r="G157" t="s">
        <v>674</v>
      </c>
      <c r="H157">
        <v>1761019091.1</v>
      </c>
      <c r="I157">
        <f>(J157)/1000</f>
        <v>0</v>
      </c>
      <c r="J157">
        <f>1000*DJ157*AH157*(DF157-DG157)/(100*CY157*(1000-AH157*DF157))</f>
        <v>0</v>
      </c>
      <c r="K157">
        <f>DJ157*AH157*(DE157-DD157*(1000-AH157*DG157)/(1000-AH157*DF157))/(100*CY157)</f>
        <v>0</v>
      </c>
      <c r="L157">
        <f>DD157 - IF(AH157&gt;1, K157*CY157*100.0/(AJ157), 0)</f>
        <v>0</v>
      </c>
      <c r="M157">
        <f>((S157-I157/2)*L157-K157)/(S157+I157/2)</f>
        <v>0</v>
      </c>
      <c r="N157">
        <f>M157*(DK157+DL157)/1000.0</f>
        <v>0</v>
      </c>
      <c r="O157">
        <f>(DD157 - IF(AH157&gt;1, K157*CY157*100.0/(AJ157), 0))*(DK157+DL157)/1000.0</f>
        <v>0</v>
      </c>
      <c r="P157">
        <f>2.0/((1/R157-1/Q157)+SIGN(R157)*SQRT((1/R157-1/Q157)*(1/R157-1/Q157) + 4*CZ157/((CZ157+1)*(CZ157+1))*(2*1/R157*1/Q157-1/Q157*1/Q157)))</f>
        <v>0</v>
      </c>
      <c r="Q157">
        <f>IF(LEFT(DA157,1)&lt;&gt;"0",IF(LEFT(DA157,1)="1",3.0,DB157),$D$5+$E$5*(DR157*DK157/($K$5*1000))+$F$5*(DR157*DK157/($K$5*1000))*MAX(MIN(CY157,$J$5),$I$5)*MAX(MIN(CY157,$J$5),$I$5)+$G$5*MAX(MIN(CY157,$J$5),$I$5)*(DR157*DK157/($K$5*1000))+$H$5*(DR157*DK157/($K$5*1000))*(DR157*DK157/($K$5*1000)))</f>
        <v>0</v>
      </c>
      <c r="R157">
        <f>I157*(1000-(1000*0.61365*exp(17.502*V157/(240.97+V157))/(DK157+DL157)+DF157)/2)/(1000*0.61365*exp(17.502*V157/(240.97+V157))/(DK157+DL157)-DF157)</f>
        <v>0</v>
      </c>
      <c r="S157">
        <f>1/((CZ157+1)/(P157/1.6)+1/(Q157/1.37)) + CZ157/((CZ157+1)/(P157/1.6) + CZ157/(Q157/1.37))</f>
        <v>0</v>
      </c>
      <c r="T157">
        <f>(CU157*CX157)</f>
        <v>0</v>
      </c>
      <c r="U157">
        <f>(DM157+(T157+2*0.95*5.67E-8*(((DM157+$B$9)+273)^4-(DM157+273)^4)-44100*I157)/(1.84*29.3*Q157+8*0.95*5.67E-8*(DM157+273)^3))</f>
        <v>0</v>
      </c>
      <c r="V157">
        <f>($C$9*DN157+$D$9*DO157+$E$9*U157)</f>
        <v>0</v>
      </c>
      <c r="W157">
        <f>0.61365*exp(17.502*V157/(240.97+V157))</f>
        <v>0</v>
      </c>
      <c r="X157">
        <f>(Y157/Z157*100)</f>
        <v>0</v>
      </c>
      <c r="Y157">
        <f>DF157*(DK157+DL157)/1000</f>
        <v>0</v>
      </c>
      <c r="Z157">
        <f>0.61365*exp(17.502*DM157/(240.97+DM157))</f>
        <v>0</v>
      </c>
      <c r="AA157">
        <f>(W157-DF157*(DK157+DL157)/1000)</f>
        <v>0</v>
      </c>
      <c r="AB157">
        <f>(-I157*44100)</f>
        <v>0</v>
      </c>
      <c r="AC157">
        <f>2*29.3*Q157*0.92*(DM157-V157)</f>
        <v>0</v>
      </c>
      <c r="AD157">
        <f>2*0.95*5.67E-8*(((DM157+$B$9)+273)^4-(V157+273)^4)</f>
        <v>0</v>
      </c>
      <c r="AE157">
        <f>T157+AD157+AB157+AC157</f>
        <v>0</v>
      </c>
      <c r="AF157">
        <v>1</v>
      </c>
      <c r="AG157">
        <v>0</v>
      </c>
      <c r="AH157">
        <f>IF(AF157*$H$15&gt;=AJ157,1.0,(AJ157/(AJ157-AF157*$H$15)))</f>
        <v>0</v>
      </c>
      <c r="AI157">
        <f>(AH157-1)*100</f>
        <v>0</v>
      </c>
      <c r="AJ157">
        <f>MAX(0,($B$15+$C$15*DR157)/(1+$D$15*DR157)*DK157/(DM157+273)*$E$15)</f>
        <v>0</v>
      </c>
      <c r="AK157" t="s">
        <v>420</v>
      </c>
      <c r="AL157" t="s">
        <v>420</v>
      </c>
      <c r="AM157">
        <v>0</v>
      </c>
      <c r="AN157">
        <v>0</v>
      </c>
      <c r="AO157">
        <f>1-AM157/AN157</f>
        <v>0</v>
      </c>
      <c r="AP157">
        <v>0</v>
      </c>
      <c r="AQ157" t="s">
        <v>420</v>
      </c>
      <c r="AR157" t="s">
        <v>420</v>
      </c>
      <c r="AS157">
        <v>0</v>
      </c>
      <c r="AT157">
        <v>0</v>
      </c>
      <c r="AU157">
        <f>1-AS157/AT157</f>
        <v>0</v>
      </c>
      <c r="AV157">
        <v>0.5</v>
      </c>
      <c r="AW157">
        <f>CV157</f>
        <v>0</v>
      </c>
      <c r="AX157">
        <f>K157</f>
        <v>0</v>
      </c>
      <c r="AY157">
        <f>AU157*AV157*AW157</f>
        <v>0</v>
      </c>
      <c r="AZ157">
        <f>(AX157-AP157)/AW157</f>
        <v>0</v>
      </c>
      <c r="BA157">
        <f>(AN157-AT157)/AT157</f>
        <v>0</v>
      </c>
      <c r="BB157">
        <f>AM157/(AO157+AM157/AT157)</f>
        <v>0</v>
      </c>
      <c r="BC157" t="s">
        <v>420</v>
      </c>
      <c r="BD157">
        <v>0</v>
      </c>
      <c r="BE157">
        <f>IF(BD157&lt;&gt;0, BD157, BB157)</f>
        <v>0</v>
      </c>
      <c r="BF157">
        <f>1-BE157/AT157</f>
        <v>0</v>
      </c>
      <c r="BG157">
        <f>(AT157-AS157)/(AT157-BE157)</f>
        <v>0</v>
      </c>
      <c r="BH157">
        <f>(AN157-AT157)/(AN157-BE157)</f>
        <v>0</v>
      </c>
      <c r="BI157">
        <f>(AT157-AS157)/(AT157-AM157)</f>
        <v>0</v>
      </c>
      <c r="BJ157">
        <f>(AN157-AT157)/(AN157-AM157)</f>
        <v>0</v>
      </c>
      <c r="BK157">
        <f>(BG157*BE157/AS157)</f>
        <v>0</v>
      </c>
      <c r="BL157">
        <f>(1-BK157)</f>
        <v>0</v>
      </c>
      <c r="CU157">
        <f>$B$13*DS157+$C$13*DT157+$F$13*EE157*(1-EH157)</f>
        <v>0</v>
      </c>
      <c r="CV157">
        <f>CU157*CW157</f>
        <v>0</v>
      </c>
      <c r="CW157">
        <f>($B$13*$D$11+$C$13*$D$11+$F$13*((ER157+EJ157)/MAX(ER157+EJ157+ES157, 0.1)*$I$11+ES157/MAX(ER157+EJ157+ES157, 0.1)*$J$11))/($B$13+$C$13+$F$13)</f>
        <v>0</v>
      </c>
      <c r="CX157">
        <f>($B$13*$K$11+$C$13*$K$11+$F$13*((ER157+EJ157)/MAX(ER157+EJ157+ES157, 0.1)*$P$11+ES157/MAX(ER157+EJ157+ES157, 0.1)*$Q$11))/($B$13+$C$13+$F$13)</f>
        <v>0</v>
      </c>
      <c r="CY157">
        <v>5.66</v>
      </c>
      <c r="CZ157">
        <v>0.5</v>
      </c>
      <c r="DA157" t="s">
        <v>421</v>
      </c>
      <c r="DB157">
        <v>2</v>
      </c>
      <c r="DC157">
        <v>1761019091.1</v>
      </c>
      <c r="DD157">
        <v>420.6464444444444</v>
      </c>
      <c r="DE157">
        <v>419.9225555555556</v>
      </c>
      <c r="DF157">
        <v>24.73845555555555</v>
      </c>
      <c r="DG157">
        <v>25.07333333333333</v>
      </c>
      <c r="DH157">
        <v>422.2131111111111</v>
      </c>
      <c r="DI157">
        <v>24.52492222222222</v>
      </c>
      <c r="DJ157">
        <v>499.8823333333334</v>
      </c>
      <c r="DK157">
        <v>90.81022222222222</v>
      </c>
      <c r="DL157">
        <v>0.03417988888888888</v>
      </c>
      <c r="DM157">
        <v>30.57492222222222</v>
      </c>
      <c r="DN157">
        <v>30.07093333333334</v>
      </c>
      <c r="DO157">
        <v>999.9000000000001</v>
      </c>
      <c r="DP157">
        <v>0</v>
      </c>
      <c r="DQ157">
        <v>0</v>
      </c>
      <c r="DR157">
        <v>9991.455555555554</v>
      </c>
      <c r="DS157">
        <v>0</v>
      </c>
      <c r="DT157">
        <v>0.242856</v>
      </c>
      <c r="DU157">
        <v>0.7238903333333333</v>
      </c>
      <c r="DV157">
        <v>431.3163333333334</v>
      </c>
      <c r="DW157">
        <v>430.7222222222222</v>
      </c>
      <c r="DX157">
        <v>-0.3348671111111111</v>
      </c>
      <c r="DY157">
        <v>419.9225555555556</v>
      </c>
      <c r="DZ157">
        <v>25.07333333333333</v>
      </c>
      <c r="EA157">
        <v>2.246504444444445</v>
      </c>
      <c r="EB157">
        <v>2.276914444444445</v>
      </c>
      <c r="EC157">
        <v>19.29782222222222</v>
      </c>
      <c r="ED157">
        <v>19.51397777777778</v>
      </c>
      <c r="EE157">
        <v>0.00500078</v>
      </c>
      <c r="EF157">
        <v>0</v>
      </c>
      <c r="EG157">
        <v>0</v>
      </c>
      <c r="EH157">
        <v>0</v>
      </c>
      <c r="EI157">
        <v>840.4888888888889</v>
      </c>
      <c r="EJ157">
        <v>0.00500078</v>
      </c>
      <c r="EK157">
        <v>-9.488888888888889</v>
      </c>
      <c r="EL157">
        <v>-0.1444444444444445</v>
      </c>
      <c r="EM157">
        <v>35.847</v>
      </c>
      <c r="EN157">
        <v>39.56233333333333</v>
      </c>
      <c r="EO157">
        <v>38.47877777777777</v>
      </c>
      <c r="EP157">
        <v>40.24977777777778</v>
      </c>
      <c r="EQ157">
        <v>38.64555555555555</v>
      </c>
      <c r="ER157">
        <v>0</v>
      </c>
      <c r="ES157">
        <v>0</v>
      </c>
      <c r="ET157">
        <v>0</v>
      </c>
      <c r="EU157">
        <v>1761019093.3</v>
      </c>
      <c r="EV157">
        <v>0</v>
      </c>
      <c r="EW157">
        <v>843.768</v>
      </c>
      <c r="EX157">
        <v>-58.27692322265388</v>
      </c>
      <c r="EY157">
        <v>-2.630769510240958</v>
      </c>
      <c r="EZ157">
        <v>-8.624000000000001</v>
      </c>
      <c r="FA157">
        <v>15</v>
      </c>
      <c r="FB157">
        <v>1761018667.1</v>
      </c>
      <c r="FC157" t="s">
        <v>613</v>
      </c>
      <c r="FD157">
        <v>1761018661.6</v>
      </c>
      <c r="FE157">
        <v>1761018667.1</v>
      </c>
      <c r="FF157">
        <v>26</v>
      </c>
      <c r="FG157">
        <v>-0.221</v>
      </c>
      <c r="FH157">
        <v>-0.001</v>
      </c>
      <c r="FI157">
        <v>-1.568</v>
      </c>
      <c r="FJ157">
        <v>0.178</v>
      </c>
      <c r="FK157">
        <v>420</v>
      </c>
      <c r="FL157">
        <v>23</v>
      </c>
      <c r="FM157">
        <v>0.1</v>
      </c>
      <c r="FN157">
        <v>0.08</v>
      </c>
      <c r="FO157">
        <v>0.6852506097560975</v>
      </c>
      <c r="FP157">
        <v>0.100432243902439</v>
      </c>
      <c r="FQ157">
        <v>0.04409118029602394</v>
      </c>
      <c r="FR157">
        <v>1</v>
      </c>
      <c r="FS157">
        <v>846.8647058823528</v>
      </c>
      <c r="FT157">
        <v>-64.78227659176058</v>
      </c>
      <c r="FU157">
        <v>9.17121078519275</v>
      </c>
      <c r="FV157">
        <v>0</v>
      </c>
      <c r="FW157">
        <v>-0.3371563902439024</v>
      </c>
      <c r="FX157">
        <v>-0.2713589686411151</v>
      </c>
      <c r="FY157">
        <v>0.0560620853030873</v>
      </c>
      <c r="FZ157">
        <v>0</v>
      </c>
      <c r="GA157">
        <v>1</v>
      </c>
      <c r="GB157">
        <v>3</v>
      </c>
      <c r="GC157" t="s">
        <v>431</v>
      </c>
      <c r="GD157">
        <v>3.11005</v>
      </c>
      <c r="GE157">
        <v>2.72592</v>
      </c>
      <c r="GF157">
        <v>0.0890653</v>
      </c>
      <c r="GG157">
        <v>0.0887462</v>
      </c>
      <c r="GH157">
        <v>0.111657</v>
      </c>
      <c r="GI157">
        <v>0.113648</v>
      </c>
      <c r="GJ157">
        <v>23926.6</v>
      </c>
      <c r="GK157">
        <v>21660.2</v>
      </c>
      <c r="GL157">
        <v>26821.9</v>
      </c>
      <c r="GM157">
        <v>23973.3</v>
      </c>
      <c r="GN157">
        <v>38066.3</v>
      </c>
      <c r="GO157">
        <v>31333.5</v>
      </c>
      <c r="GP157">
        <v>46815</v>
      </c>
      <c r="GQ157">
        <v>37888.2</v>
      </c>
      <c r="GR157">
        <v>1.8992</v>
      </c>
      <c r="GS157">
        <v>1.8981</v>
      </c>
      <c r="GT157">
        <v>0.134345</v>
      </c>
      <c r="GU157">
        <v>0</v>
      </c>
      <c r="GV157">
        <v>27.8635</v>
      </c>
      <c r="GW157">
        <v>999.9</v>
      </c>
      <c r="GX157">
        <v>64.2</v>
      </c>
      <c r="GY157">
        <v>28.5</v>
      </c>
      <c r="GZ157">
        <v>27.6174</v>
      </c>
      <c r="HA157">
        <v>61.4674</v>
      </c>
      <c r="HB157">
        <v>20.0881</v>
      </c>
      <c r="HC157">
        <v>1</v>
      </c>
      <c r="HD157">
        <v>-0.0226169</v>
      </c>
      <c r="HE157">
        <v>-1.44639</v>
      </c>
      <c r="HF157">
        <v>20.3307</v>
      </c>
      <c r="HG157">
        <v>5.22253</v>
      </c>
      <c r="HH157">
        <v>11.9797</v>
      </c>
      <c r="HI157">
        <v>4.9655</v>
      </c>
      <c r="HJ157">
        <v>3.27593</v>
      </c>
      <c r="HK157">
        <v>9999</v>
      </c>
      <c r="HL157">
        <v>9999</v>
      </c>
      <c r="HM157">
        <v>9999</v>
      </c>
      <c r="HN157">
        <v>999.9</v>
      </c>
      <c r="HO157">
        <v>1.8636</v>
      </c>
      <c r="HP157">
        <v>1.85974</v>
      </c>
      <c r="HQ157">
        <v>1.85795</v>
      </c>
      <c r="HR157">
        <v>1.85943</v>
      </c>
      <c r="HS157">
        <v>1.85959</v>
      </c>
      <c r="HT157">
        <v>1.85803</v>
      </c>
      <c r="HU157">
        <v>1.85706</v>
      </c>
      <c r="HV157">
        <v>1.85209</v>
      </c>
      <c r="HW157">
        <v>0</v>
      </c>
      <c r="HX157">
        <v>0</v>
      </c>
      <c r="HY157">
        <v>0</v>
      </c>
      <c r="HZ157">
        <v>0</v>
      </c>
      <c r="IA157" t="s">
        <v>424</v>
      </c>
      <c r="IB157" t="s">
        <v>425</v>
      </c>
      <c r="IC157" t="s">
        <v>426</v>
      </c>
      <c r="ID157" t="s">
        <v>426</v>
      </c>
      <c r="IE157" t="s">
        <v>426</v>
      </c>
      <c r="IF157" t="s">
        <v>426</v>
      </c>
      <c r="IG157">
        <v>0</v>
      </c>
      <c r="IH157">
        <v>100</v>
      </c>
      <c r="II157">
        <v>100</v>
      </c>
      <c r="IJ157">
        <v>-1.567</v>
      </c>
      <c r="IK157">
        <v>0.216</v>
      </c>
      <c r="IL157">
        <v>-2.357986366295179</v>
      </c>
      <c r="IM157">
        <v>0.001328113201692861</v>
      </c>
      <c r="IN157">
        <v>1.538283238170363E-06</v>
      </c>
      <c r="IO157">
        <v>-5.795655626708063E-10</v>
      </c>
      <c r="IP157">
        <v>-0.06105361615936408</v>
      </c>
      <c r="IQ157">
        <v>-0.004593102289677449</v>
      </c>
      <c r="IR157">
        <v>0.0008253994458280543</v>
      </c>
      <c r="IS157">
        <v>-7.403632370499484E-06</v>
      </c>
      <c r="IT157">
        <v>2</v>
      </c>
      <c r="IU157">
        <v>1985</v>
      </c>
      <c r="IV157">
        <v>1</v>
      </c>
      <c r="IW157">
        <v>27</v>
      </c>
      <c r="IX157">
        <v>7.2</v>
      </c>
      <c r="IY157">
        <v>7.1</v>
      </c>
      <c r="IZ157">
        <v>1.13159</v>
      </c>
      <c r="JA157">
        <v>2.59644</v>
      </c>
      <c r="JB157">
        <v>1.49658</v>
      </c>
      <c r="JC157">
        <v>2.34619</v>
      </c>
      <c r="JD157">
        <v>1.54907</v>
      </c>
      <c r="JE157">
        <v>2.43408</v>
      </c>
      <c r="JF157">
        <v>31.8488</v>
      </c>
      <c r="JG157">
        <v>14.491</v>
      </c>
      <c r="JH157">
        <v>18</v>
      </c>
      <c r="JI157">
        <v>481.703</v>
      </c>
      <c r="JJ157">
        <v>510.823</v>
      </c>
      <c r="JK157">
        <v>31.1569</v>
      </c>
      <c r="JL157">
        <v>27.0024</v>
      </c>
      <c r="JM157">
        <v>29.9999</v>
      </c>
      <c r="JN157">
        <v>27.2849</v>
      </c>
      <c r="JO157">
        <v>27.29</v>
      </c>
      <c r="JP157">
        <v>22.7488</v>
      </c>
      <c r="JQ157">
        <v>18.8827</v>
      </c>
      <c r="JR157">
        <v>91.94070000000001</v>
      </c>
      <c r="JS157">
        <v>31.14</v>
      </c>
      <c r="JT157">
        <v>420</v>
      </c>
      <c r="JU157">
        <v>23.9166</v>
      </c>
      <c r="JV157">
        <v>102.375</v>
      </c>
      <c r="JW157">
        <v>91.4098</v>
      </c>
    </row>
    <row r="158" spans="1:283">
      <c r="A158">
        <v>140</v>
      </c>
      <c r="B158">
        <v>1761019096.1</v>
      </c>
      <c r="C158">
        <v>1026.599999904633</v>
      </c>
      <c r="D158" t="s">
        <v>711</v>
      </c>
      <c r="E158" t="s">
        <v>712</v>
      </c>
      <c r="F158">
        <v>5</v>
      </c>
      <c r="G158" t="s">
        <v>674</v>
      </c>
      <c r="H158">
        <v>1761019093.1</v>
      </c>
      <c r="I158">
        <f>(J158)/1000</f>
        <v>0</v>
      </c>
      <c r="J158">
        <f>1000*DJ158*AH158*(DF158-DG158)/(100*CY158*(1000-AH158*DF158))</f>
        <v>0</v>
      </c>
      <c r="K158">
        <f>DJ158*AH158*(DE158-DD158*(1000-AH158*DG158)/(1000-AH158*DF158))/(100*CY158)</f>
        <v>0</v>
      </c>
      <c r="L158">
        <f>DD158 - IF(AH158&gt;1, K158*CY158*100.0/(AJ158), 0)</f>
        <v>0</v>
      </c>
      <c r="M158">
        <f>((S158-I158/2)*L158-K158)/(S158+I158/2)</f>
        <v>0</v>
      </c>
      <c r="N158">
        <f>M158*(DK158+DL158)/1000.0</f>
        <v>0</v>
      </c>
      <c r="O158">
        <f>(DD158 - IF(AH158&gt;1, K158*CY158*100.0/(AJ158), 0))*(DK158+DL158)/1000.0</f>
        <v>0</v>
      </c>
      <c r="P158">
        <f>2.0/((1/R158-1/Q158)+SIGN(R158)*SQRT((1/R158-1/Q158)*(1/R158-1/Q158) + 4*CZ158/((CZ158+1)*(CZ158+1))*(2*1/R158*1/Q158-1/Q158*1/Q158)))</f>
        <v>0</v>
      </c>
      <c r="Q158">
        <f>IF(LEFT(DA158,1)&lt;&gt;"0",IF(LEFT(DA158,1)="1",3.0,DB158),$D$5+$E$5*(DR158*DK158/($K$5*1000))+$F$5*(DR158*DK158/($K$5*1000))*MAX(MIN(CY158,$J$5),$I$5)*MAX(MIN(CY158,$J$5),$I$5)+$G$5*MAX(MIN(CY158,$J$5),$I$5)*(DR158*DK158/($K$5*1000))+$H$5*(DR158*DK158/($K$5*1000))*(DR158*DK158/($K$5*1000)))</f>
        <v>0</v>
      </c>
      <c r="R158">
        <f>I158*(1000-(1000*0.61365*exp(17.502*V158/(240.97+V158))/(DK158+DL158)+DF158)/2)/(1000*0.61365*exp(17.502*V158/(240.97+V158))/(DK158+DL158)-DF158)</f>
        <v>0</v>
      </c>
      <c r="S158">
        <f>1/((CZ158+1)/(P158/1.6)+1/(Q158/1.37)) + CZ158/((CZ158+1)/(P158/1.6) + CZ158/(Q158/1.37))</f>
        <v>0</v>
      </c>
      <c r="T158">
        <f>(CU158*CX158)</f>
        <v>0</v>
      </c>
      <c r="U158">
        <f>(DM158+(T158+2*0.95*5.67E-8*(((DM158+$B$9)+273)^4-(DM158+273)^4)-44100*I158)/(1.84*29.3*Q158+8*0.95*5.67E-8*(DM158+273)^3))</f>
        <v>0</v>
      </c>
      <c r="V158">
        <f>($C$9*DN158+$D$9*DO158+$E$9*U158)</f>
        <v>0</v>
      </c>
      <c r="W158">
        <f>0.61365*exp(17.502*V158/(240.97+V158))</f>
        <v>0</v>
      </c>
      <c r="X158">
        <f>(Y158/Z158*100)</f>
        <v>0</v>
      </c>
      <c r="Y158">
        <f>DF158*(DK158+DL158)/1000</f>
        <v>0</v>
      </c>
      <c r="Z158">
        <f>0.61365*exp(17.502*DM158/(240.97+DM158))</f>
        <v>0</v>
      </c>
      <c r="AA158">
        <f>(W158-DF158*(DK158+DL158)/1000)</f>
        <v>0</v>
      </c>
      <c r="AB158">
        <f>(-I158*44100)</f>
        <v>0</v>
      </c>
      <c r="AC158">
        <f>2*29.3*Q158*0.92*(DM158-V158)</f>
        <v>0</v>
      </c>
      <c r="AD158">
        <f>2*0.95*5.67E-8*(((DM158+$B$9)+273)^4-(V158+273)^4)</f>
        <v>0</v>
      </c>
      <c r="AE158">
        <f>T158+AD158+AB158+AC158</f>
        <v>0</v>
      </c>
      <c r="AF158">
        <v>1</v>
      </c>
      <c r="AG158">
        <v>0</v>
      </c>
      <c r="AH158">
        <f>IF(AF158*$H$15&gt;=AJ158,1.0,(AJ158/(AJ158-AF158*$H$15)))</f>
        <v>0</v>
      </c>
      <c r="AI158">
        <f>(AH158-1)*100</f>
        <v>0</v>
      </c>
      <c r="AJ158">
        <f>MAX(0,($B$15+$C$15*DR158)/(1+$D$15*DR158)*DK158/(DM158+273)*$E$15)</f>
        <v>0</v>
      </c>
      <c r="AK158" t="s">
        <v>420</v>
      </c>
      <c r="AL158" t="s">
        <v>420</v>
      </c>
      <c r="AM158">
        <v>0</v>
      </c>
      <c r="AN158">
        <v>0</v>
      </c>
      <c r="AO158">
        <f>1-AM158/AN158</f>
        <v>0</v>
      </c>
      <c r="AP158">
        <v>0</v>
      </c>
      <c r="AQ158" t="s">
        <v>420</v>
      </c>
      <c r="AR158" t="s">
        <v>420</v>
      </c>
      <c r="AS158">
        <v>0</v>
      </c>
      <c r="AT158">
        <v>0</v>
      </c>
      <c r="AU158">
        <f>1-AS158/AT158</f>
        <v>0</v>
      </c>
      <c r="AV158">
        <v>0.5</v>
      </c>
      <c r="AW158">
        <f>CV158</f>
        <v>0</v>
      </c>
      <c r="AX158">
        <f>K158</f>
        <v>0</v>
      </c>
      <c r="AY158">
        <f>AU158*AV158*AW158</f>
        <v>0</v>
      </c>
      <c r="AZ158">
        <f>(AX158-AP158)/AW158</f>
        <v>0</v>
      </c>
      <c r="BA158">
        <f>(AN158-AT158)/AT158</f>
        <v>0</v>
      </c>
      <c r="BB158">
        <f>AM158/(AO158+AM158/AT158)</f>
        <v>0</v>
      </c>
      <c r="BC158" t="s">
        <v>420</v>
      </c>
      <c r="BD158">
        <v>0</v>
      </c>
      <c r="BE158">
        <f>IF(BD158&lt;&gt;0, BD158, BB158)</f>
        <v>0</v>
      </c>
      <c r="BF158">
        <f>1-BE158/AT158</f>
        <v>0</v>
      </c>
      <c r="BG158">
        <f>(AT158-AS158)/(AT158-BE158)</f>
        <v>0</v>
      </c>
      <c r="BH158">
        <f>(AN158-AT158)/(AN158-BE158)</f>
        <v>0</v>
      </c>
      <c r="BI158">
        <f>(AT158-AS158)/(AT158-AM158)</f>
        <v>0</v>
      </c>
      <c r="BJ158">
        <f>(AN158-AT158)/(AN158-AM158)</f>
        <v>0</v>
      </c>
      <c r="BK158">
        <f>(BG158*BE158/AS158)</f>
        <v>0</v>
      </c>
      <c r="BL158">
        <f>(1-BK158)</f>
        <v>0</v>
      </c>
      <c r="CU158">
        <f>$B$13*DS158+$C$13*DT158+$F$13*EE158*(1-EH158)</f>
        <v>0</v>
      </c>
      <c r="CV158">
        <f>CU158*CW158</f>
        <v>0</v>
      </c>
      <c r="CW158">
        <f>($B$13*$D$11+$C$13*$D$11+$F$13*((ER158+EJ158)/MAX(ER158+EJ158+ES158, 0.1)*$I$11+ES158/MAX(ER158+EJ158+ES158, 0.1)*$J$11))/($B$13+$C$13+$F$13)</f>
        <v>0</v>
      </c>
      <c r="CX158">
        <f>($B$13*$K$11+$C$13*$K$11+$F$13*((ER158+EJ158)/MAX(ER158+EJ158+ES158, 0.1)*$P$11+ES158/MAX(ER158+EJ158+ES158, 0.1)*$Q$11))/($B$13+$C$13+$F$13)</f>
        <v>0</v>
      </c>
      <c r="CY158">
        <v>5.66</v>
      </c>
      <c r="CZ158">
        <v>0.5</v>
      </c>
      <c r="DA158" t="s">
        <v>421</v>
      </c>
      <c r="DB158">
        <v>2</v>
      </c>
      <c r="DC158">
        <v>1761019093.1</v>
      </c>
      <c r="DD158">
        <v>420.6737777777778</v>
      </c>
      <c r="DE158">
        <v>419.9476666666666</v>
      </c>
      <c r="DF158">
        <v>24.81243333333333</v>
      </c>
      <c r="DG158">
        <v>25.11497777777778</v>
      </c>
      <c r="DH158">
        <v>422.2404444444444</v>
      </c>
      <c r="DI158">
        <v>24.59727777777778</v>
      </c>
      <c r="DJ158">
        <v>499.9464444444445</v>
      </c>
      <c r="DK158">
        <v>90.81107777777778</v>
      </c>
      <c r="DL158">
        <v>0.03425707777777778</v>
      </c>
      <c r="DM158">
        <v>30.56235555555556</v>
      </c>
      <c r="DN158">
        <v>30.05836666666667</v>
      </c>
      <c r="DO158">
        <v>999.9000000000001</v>
      </c>
      <c r="DP158">
        <v>0</v>
      </c>
      <c r="DQ158">
        <v>0</v>
      </c>
      <c r="DR158">
        <v>10001.65777777778</v>
      </c>
      <c r="DS158">
        <v>0</v>
      </c>
      <c r="DT158">
        <v>0.242856</v>
      </c>
      <c r="DU158">
        <v>0.7262402222222222</v>
      </c>
      <c r="DV158">
        <v>431.3772222222222</v>
      </c>
      <c r="DW158">
        <v>430.7663333333333</v>
      </c>
      <c r="DX158">
        <v>-0.3025333333333333</v>
      </c>
      <c r="DY158">
        <v>419.9476666666666</v>
      </c>
      <c r="DZ158">
        <v>25.11497777777778</v>
      </c>
      <c r="EA158">
        <v>2.253244444444444</v>
      </c>
      <c r="EB158">
        <v>2.280717777777778</v>
      </c>
      <c r="EC158">
        <v>19.34595555555556</v>
      </c>
      <c r="ED158">
        <v>19.54084444444444</v>
      </c>
      <c r="EE158">
        <v>0.00500078</v>
      </c>
      <c r="EF158">
        <v>0</v>
      </c>
      <c r="EG158">
        <v>0</v>
      </c>
      <c r="EH158">
        <v>0</v>
      </c>
      <c r="EI158">
        <v>837.7</v>
      </c>
      <c r="EJ158">
        <v>0.00500078</v>
      </c>
      <c r="EK158">
        <v>-8.733333333333334</v>
      </c>
      <c r="EL158">
        <v>-0.4222222222222223</v>
      </c>
      <c r="EM158">
        <v>35.82622222222223</v>
      </c>
      <c r="EN158">
        <v>39.49966666666666</v>
      </c>
      <c r="EO158">
        <v>38.4511111111111</v>
      </c>
      <c r="EP158">
        <v>40.16644444444444</v>
      </c>
      <c r="EQ158">
        <v>38.62455555555555</v>
      </c>
      <c r="ER158">
        <v>0</v>
      </c>
      <c r="ES158">
        <v>0</v>
      </c>
      <c r="ET158">
        <v>0</v>
      </c>
      <c r="EU158">
        <v>1761019095.1</v>
      </c>
      <c r="EV158">
        <v>0</v>
      </c>
      <c r="EW158">
        <v>842.9576923076924</v>
      </c>
      <c r="EX158">
        <v>-34.12991466350964</v>
      </c>
      <c r="EY158">
        <v>-8.540171295724464</v>
      </c>
      <c r="EZ158">
        <v>-8.715384615384615</v>
      </c>
      <c r="FA158">
        <v>15</v>
      </c>
      <c r="FB158">
        <v>1761018667.1</v>
      </c>
      <c r="FC158" t="s">
        <v>613</v>
      </c>
      <c r="FD158">
        <v>1761018661.6</v>
      </c>
      <c r="FE158">
        <v>1761018667.1</v>
      </c>
      <c r="FF158">
        <v>26</v>
      </c>
      <c r="FG158">
        <v>-0.221</v>
      </c>
      <c r="FH158">
        <v>-0.001</v>
      </c>
      <c r="FI158">
        <v>-1.568</v>
      </c>
      <c r="FJ158">
        <v>0.178</v>
      </c>
      <c r="FK158">
        <v>420</v>
      </c>
      <c r="FL158">
        <v>23</v>
      </c>
      <c r="FM158">
        <v>0.1</v>
      </c>
      <c r="FN158">
        <v>0.08</v>
      </c>
      <c r="FO158">
        <v>0.68553385</v>
      </c>
      <c r="FP158">
        <v>0.2559492607879939</v>
      </c>
      <c r="FQ158">
        <v>0.04466339413129616</v>
      </c>
      <c r="FR158">
        <v>1</v>
      </c>
      <c r="FS158">
        <v>845.6382352941175</v>
      </c>
      <c r="FT158">
        <v>-57.6394194846913</v>
      </c>
      <c r="FU158">
        <v>8.775400601074708</v>
      </c>
      <c r="FV158">
        <v>0</v>
      </c>
      <c r="FW158">
        <v>-0.34613305</v>
      </c>
      <c r="FX158">
        <v>0.05446514071294627</v>
      </c>
      <c r="FY158">
        <v>0.03902072941139748</v>
      </c>
      <c r="FZ158">
        <v>1</v>
      </c>
      <c r="GA158">
        <v>2</v>
      </c>
      <c r="GB158">
        <v>3</v>
      </c>
      <c r="GC158" t="s">
        <v>434</v>
      </c>
      <c r="GD158">
        <v>3.1099</v>
      </c>
      <c r="GE158">
        <v>2.72594</v>
      </c>
      <c r="GF158">
        <v>0.0890736</v>
      </c>
      <c r="GG158">
        <v>0.0887642</v>
      </c>
      <c r="GH158">
        <v>0.111842</v>
      </c>
      <c r="GI158">
        <v>0.113668</v>
      </c>
      <c r="GJ158">
        <v>23926.4</v>
      </c>
      <c r="GK158">
        <v>21659.5</v>
      </c>
      <c r="GL158">
        <v>26821.9</v>
      </c>
      <c r="GM158">
        <v>23973.1</v>
      </c>
      <c r="GN158">
        <v>38058.1</v>
      </c>
      <c r="GO158">
        <v>31332.3</v>
      </c>
      <c r="GP158">
        <v>46814.8</v>
      </c>
      <c r="GQ158">
        <v>37887.6</v>
      </c>
      <c r="GR158">
        <v>1.89937</v>
      </c>
      <c r="GS158">
        <v>1.898</v>
      </c>
      <c r="GT158">
        <v>0.133589</v>
      </c>
      <c r="GU158">
        <v>0</v>
      </c>
      <c r="GV158">
        <v>27.861</v>
      </c>
      <c r="GW158">
        <v>999.9</v>
      </c>
      <c r="GX158">
        <v>64.2</v>
      </c>
      <c r="GY158">
        <v>28.5</v>
      </c>
      <c r="GZ158">
        <v>27.6226</v>
      </c>
      <c r="HA158">
        <v>61.2374</v>
      </c>
      <c r="HB158">
        <v>20.2845</v>
      </c>
      <c r="HC158">
        <v>1</v>
      </c>
      <c r="HD158">
        <v>-0.0227922</v>
      </c>
      <c r="HE158">
        <v>-1.52665</v>
      </c>
      <c r="HF158">
        <v>20.33</v>
      </c>
      <c r="HG158">
        <v>5.22283</v>
      </c>
      <c r="HH158">
        <v>11.9798</v>
      </c>
      <c r="HI158">
        <v>4.9656</v>
      </c>
      <c r="HJ158">
        <v>3.27598</v>
      </c>
      <c r="HK158">
        <v>9999</v>
      </c>
      <c r="HL158">
        <v>9999</v>
      </c>
      <c r="HM158">
        <v>9999</v>
      </c>
      <c r="HN158">
        <v>999.9</v>
      </c>
      <c r="HO158">
        <v>1.8636</v>
      </c>
      <c r="HP158">
        <v>1.85974</v>
      </c>
      <c r="HQ158">
        <v>1.85795</v>
      </c>
      <c r="HR158">
        <v>1.85944</v>
      </c>
      <c r="HS158">
        <v>1.85959</v>
      </c>
      <c r="HT158">
        <v>1.85804</v>
      </c>
      <c r="HU158">
        <v>1.85705</v>
      </c>
      <c r="HV158">
        <v>1.85207</v>
      </c>
      <c r="HW158">
        <v>0</v>
      </c>
      <c r="HX158">
        <v>0</v>
      </c>
      <c r="HY158">
        <v>0</v>
      </c>
      <c r="HZ158">
        <v>0</v>
      </c>
      <c r="IA158" t="s">
        <v>424</v>
      </c>
      <c r="IB158" t="s">
        <v>425</v>
      </c>
      <c r="IC158" t="s">
        <v>426</v>
      </c>
      <c r="ID158" t="s">
        <v>426</v>
      </c>
      <c r="IE158" t="s">
        <v>426</v>
      </c>
      <c r="IF158" t="s">
        <v>426</v>
      </c>
      <c r="IG158">
        <v>0</v>
      </c>
      <c r="IH158">
        <v>100</v>
      </c>
      <c r="II158">
        <v>100</v>
      </c>
      <c r="IJ158">
        <v>-1.566</v>
      </c>
      <c r="IK158">
        <v>0.2174</v>
      </c>
      <c r="IL158">
        <v>-2.357986366295179</v>
      </c>
      <c r="IM158">
        <v>0.001328113201692861</v>
      </c>
      <c r="IN158">
        <v>1.538283238170363E-06</v>
      </c>
      <c r="IO158">
        <v>-5.795655626708063E-10</v>
      </c>
      <c r="IP158">
        <v>-0.06105361615936408</v>
      </c>
      <c r="IQ158">
        <v>-0.004593102289677449</v>
      </c>
      <c r="IR158">
        <v>0.0008253994458280543</v>
      </c>
      <c r="IS158">
        <v>-7.403632370499484E-06</v>
      </c>
      <c r="IT158">
        <v>2</v>
      </c>
      <c r="IU158">
        <v>1985</v>
      </c>
      <c r="IV158">
        <v>1</v>
      </c>
      <c r="IW158">
        <v>27</v>
      </c>
      <c r="IX158">
        <v>7.2</v>
      </c>
      <c r="IY158">
        <v>7.2</v>
      </c>
      <c r="IZ158">
        <v>1.13159</v>
      </c>
      <c r="JA158">
        <v>2.58545</v>
      </c>
      <c r="JB158">
        <v>1.49658</v>
      </c>
      <c r="JC158">
        <v>2.34619</v>
      </c>
      <c r="JD158">
        <v>1.54907</v>
      </c>
      <c r="JE158">
        <v>2.47681</v>
      </c>
      <c r="JF158">
        <v>31.8488</v>
      </c>
      <c r="JG158">
        <v>14.4998</v>
      </c>
      <c r="JH158">
        <v>18</v>
      </c>
      <c r="JI158">
        <v>481.793</v>
      </c>
      <c r="JJ158">
        <v>510.736</v>
      </c>
      <c r="JK158">
        <v>31.12</v>
      </c>
      <c r="JL158">
        <v>27.0023</v>
      </c>
      <c r="JM158">
        <v>29.9998</v>
      </c>
      <c r="JN158">
        <v>27.2836</v>
      </c>
      <c r="JO158">
        <v>27.2877</v>
      </c>
      <c r="JP158">
        <v>22.7473</v>
      </c>
      <c r="JQ158">
        <v>20.8201</v>
      </c>
      <c r="JR158">
        <v>91.94070000000001</v>
      </c>
      <c r="JS158">
        <v>31.0861</v>
      </c>
      <c r="JT158">
        <v>420</v>
      </c>
      <c r="JU158">
        <v>23.8053</v>
      </c>
      <c r="JV158">
        <v>102.374</v>
      </c>
      <c r="JW158">
        <v>91.4085</v>
      </c>
    </row>
    <row r="159" spans="1:283">
      <c r="A159">
        <v>141</v>
      </c>
      <c r="B159">
        <v>1761019098.1</v>
      </c>
      <c r="C159">
        <v>1028.599999904633</v>
      </c>
      <c r="D159" t="s">
        <v>713</v>
      </c>
      <c r="E159" t="s">
        <v>714</v>
      </c>
      <c r="F159">
        <v>5</v>
      </c>
      <c r="G159" t="s">
        <v>674</v>
      </c>
      <c r="H159">
        <v>1761019095.1</v>
      </c>
      <c r="I159">
        <f>(J159)/1000</f>
        <v>0</v>
      </c>
      <c r="J159">
        <f>1000*DJ159*AH159*(DF159-DG159)/(100*CY159*(1000-AH159*DF159))</f>
        <v>0</v>
      </c>
      <c r="K159">
        <f>DJ159*AH159*(DE159-DD159*(1000-AH159*DG159)/(1000-AH159*DF159))/(100*CY159)</f>
        <v>0</v>
      </c>
      <c r="L159">
        <f>DD159 - IF(AH159&gt;1, K159*CY159*100.0/(AJ159), 0)</f>
        <v>0</v>
      </c>
      <c r="M159">
        <f>((S159-I159/2)*L159-K159)/(S159+I159/2)</f>
        <v>0</v>
      </c>
      <c r="N159">
        <f>M159*(DK159+DL159)/1000.0</f>
        <v>0</v>
      </c>
      <c r="O159">
        <f>(DD159 - IF(AH159&gt;1, K159*CY159*100.0/(AJ159), 0))*(DK159+DL159)/1000.0</f>
        <v>0</v>
      </c>
      <c r="P159">
        <f>2.0/((1/R159-1/Q159)+SIGN(R159)*SQRT((1/R159-1/Q159)*(1/R159-1/Q159) + 4*CZ159/((CZ159+1)*(CZ159+1))*(2*1/R159*1/Q159-1/Q159*1/Q159)))</f>
        <v>0</v>
      </c>
      <c r="Q159">
        <f>IF(LEFT(DA159,1)&lt;&gt;"0",IF(LEFT(DA159,1)="1",3.0,DB159),$D$5+$E$5*(DR159*DK159/($K$5*1000))+$F$5*(DR159*DK159/($K$5*1000))*MAX(MIN(CY159,$J$5),$I$5)*MAX(MIN(CY159,$J$5),$I$5)+$G$5*MAX(MIN(CY159,$J$5),$I$5)*(DR159*DK159/($K$5*1000))+$H$5*(DR159*DK159/($K$5*1000))*(DR159*DK159/($K$5*1000)))</f>
        <v>0</v>
      </c>
      <c r="R159">
        <f>I159*(1000-(1000*0.61365*exp(17.502*V159/(240.97+V159))/(DK159+DL159)+DF159)/2)/(1000*0.61365*exp(17.502*V159/(240.97+V159))/(DK159+DL159)-DF159)</f>
        <v>0</v>
      </c>
      <c r="S159">
        <f>1/((CZ159+1)/(P159/1.6)+1/(Q159/1.37)) + CZ159/((CZ159+1)/(P159/1.6) + CZ159/(Q159/1.37))</f>
        <v>0</v>
      </c>
      <c r="T159">
        <f>(CU159*CX159)</f>
        <v>0</v>
      </c>
      <c r="U159">
        <f>(DM159+(T159+2*0.95*5.67E-8*(((DM159+$B$9)+273)^4-(DM159+273)^4)-44100*I159)/(1.84*29.3*Q159+8*0.95*5.67E-8*(DM159+273)^3))</f>
        <v>0</v>
      </c>
      <c r="V159">
        <f>($C$9*DN159+$D$9*DO159+$E$9*U159)</f>
        <v>0</v>
      </c>
      <c r="W159">
        <f>0.61365*exp(17.502*V159/(240.97+V159))</f>
        <v>0</v>
      </c>
      <c r="X159">
        <f>(Y159/Z159*100)</f>
        <v>0</v>
      </c>
      <c r="Y159">
        <f>DF159*(DK159+DL159)/1000</f>
        <v>0</v>
      </c>
      <c r="Z159">
        <f>0.61365*exp(17.502*DM159/(240.97+DM159))</f>
        <v>0</v>
      </c>
      <c r="AA159">
        <f>(W159-DF159*(DK159+DL159)/1000)</f>
        <v>0</v>
      </c>
      <c r="AB159">
        <f>(-I159*44100)</f>
        <v>0</v>
      </c>
      <c r="AC159">
        <f>2*29.3*Q159*0.92*(DM159-V159)</f>
        <v>0</v>
      </c>
      <c r="AD159">
        <f>2*0.95*5.67E-8*(((DM159+$B$9)+273)^4-(V159+273)^4)</f>
        <v>0</v>
      </c>
      <c r="AE159">
        <f>T159+AD159+AB159+AC159</f>
        <v>0</v>
      </c>
      <c r="AF159">
        <v>1</v>
      </c>
      <c r="AG159">
        <v>0</v>
      </c>
      <c r="AH159">
        <f>IF(AF159*$H$15&gt;=AJ159,1.0,(AJ159/(AJ159-AF159*$H$15)))</f>
        <v>0</v>
      </c>
      <c r="AI159">
        <f>(AH159-1)*100</f>
        <v>0</v>
      </c>
      <c r="AJ159">
        <f>MAX(0,($B$15+$C$15*DR159)/(1+$D$15*DR159)*DK159/(DM159+273)*$E$15)</f>
        <v>0</v>
      </c>
      <c r="AK159" t="s">
        <v>420</v>
      </c>
      <c r="AL159" t="s">
        <v>420</v>
      </c>
      <c r="AM159">
        <v>0</v>
      </c>
      <c r="AN159">
        <v>0</v>
      </c>
      <c r="AO159">
        <f>1-AM159/AN159</f>
        <v>0</v>
      </c>
      <c r="AP159">
        <v>0</v>
      </c>
      <c r="AQ159" t="s">
        <v>420</v>
      </c>
      <c r="AR159" t="s">
        <v>420</v>
      </c>
      <c r="AS159">
        <v>0</v>
      </c>
      <c r="AT159">
        <v>0</v>
      </c>
      <c r="AU159">
        <f>1-AS159/AT159</f>
        <v>0</v>
      </c>
      <c r="AV159">
        <v>0.5</v>
      </c>
      <c r="AW159">
        <f>CV159</f>
        <v>0</v>
      </c>
      <c r="AX159">
        <f>K159</f>
        <v>0</v>
      </c>
      <c r="AY159">
        <f>AU159*AV159*AW159</f>
        <v>0</v>
      </c>
      <c r="AZ159">
        <f>(AX159-AP159)/AW159</f>
        <v>0</v>
      </c>
      <c r="BA159">
        <f>(AN159-AT159)/AT159</f>
        <v>0</v>
      </c>
      <c r="BB159">
        <f>AM159/(AO159+AM159/AT159)</f>
        <v>0</v>
      </c>
      <c r="BC159" t="s">
        <v>420</v>
      </c>
      <c r="BD159">
        <v>0</v>
      </c>
      <c r="BE159">
        <f>IF(BD159&lt;&gt;0, BD159, BB159)</f>
        <v>0</v>
      </c>
      <c r="BF159">
        <f>1-BE159/AT159</f>
        <v>0</v>
      </c>
      <c r="BG159">
        <f>(AT159-AS159)/(AT159-BE159)</f>
        <v>0</v>
      </c>
      <c r="BH159">
        <f>(AN159-AT159)/(AN159-BE159)</f>
        <v>0</v>
      </c>
      <c r="BI159">
        <f>(AT159-AS159)/(AT159-AM159)</f>
        <v>0</v>
      </c>
      <c r="BJ159">
        <f>(AN159-AT159)/(AN159-AM159)</f>
        <v>0</v>
      </c>
      <c r="BK159">
        <f>(BG159*BE159/AS159)</f>
        <v>0</v>
      </c>
      <c r="BL159">
        <f>(1-BK159)</f>
        <v>0</v>
      </c>
      <c r="CU159">
        <f>$B$13*DS159+$C$13*DT159+$F$13*EE159*(1-EH159)</f>
        <v>0</v>
      </c>
      <c r="CV159">
        <f>CU159*CW159</f>
        <v>0</v>
      </c>
      <c r="CW159">
        <f>($B$13*$D$11+$C$13*$D$11+$F$13*((ER159+EJ159)/MAX(ER159+EJ159+ES159, 0.1)*$I$11+ES159/MAX(ER159+EJ159+ES159, 0.1)*$J$11))/($B$13+$C$13+$F$13)</f>
        <v>0</v>
      </c>
      <c r="CX159">
        <f>($B$13*$K$11+$C$13*$K$11+$F$13*((ER159+EJ159)/MAX(ER159+EJ159+ES159, 0.1)*$P$11+ES159/MAX(ER159+EJ159+ES159, 0.1)*$Q$11))/($B$13+$C$13+$F$13)</f>
        <v>0</v>
      </c>
      <c r="CY159">
        <v>5.66</v>
      </c>
      <c r="CZ159">
        <v>0.5</v>
      </c>
      <c r="DA159" t="s">
        <v>421</v>
      </c>
      <c r="DB159">
        <v>2</v>
      </c>
      <c r="DC159">
        <v>1761019095.1</v>
      </c>
      <c r="DD159">
        <v>420.7123333333333</v>
      </c>
      <c r="DE159">
        <v>419.9846666666667</v>
      </c>
      <c r="DF159">
        <v>24.87786666666667</v>
      </c>
      <c r="DG159">
        <v>25.13334444444444</v>
      </c>
      <c r="DH159">
        <v>422.2788888888889</v>
      </c>
      <c r="DI159">
        <v>24.66125555555556</v>
      </c>
      <c r="DJ159">
        <v>500.0226666666666</v>
      </c>
      <c r="DK159">
        <v>90.81134444444444</v>
      </c>
      <c r="DL159">
        <v>0.03418816666666667</v>
      </c>
      <c r="DM159">
        <v>30.54985555555555</v>
      </c>
      <c r="DN159">
        <v>30.04573333333333</v>
      </c>
      <c r="DO159">
        <v>999.9000000000001</v>
      </c>
      <c r="DP159">
        <v>0</v>
      </c>
      <c r="DQ159">
        <v>0</v>
      </c>
      <c r="DR159">
        <v>10007.07555555556</v>
      </c>
      <c r="DS159">
        <v>0</v>
      </c>
      <c r="DT159">
        <v>0.242856</v>
      </c>
      <c r="DU159">
        <v>0.7278543333333334</v>
      </c>
      <c r="DV159">
        <v>431.4457777777778</v>
      </c>
      <c r="DW159">
        <v>430.8122222222222</v>
      </c>
      <c r="DX159">
        <v>-0.2554607777777778</v>
      </c>
      <c r="DY159">
        <v>419.9846666666667</v>
      </c>
      <c r="DZ159">
        <v>25.13334444444444</v>
      </c>
      <c r="EA159">
        <v>2.259194444444445</v>
      </c>
      <c r="EB159">
        <v>2.282392222222223</v>
      </c>
      <c r="EC159">
        <v>19.38833333333334</v>
      </c>
      <c r="ED159">
        <v>19.55265555555555</v>
      </c>
      <c r="EE159">
        <v>0.00500078</v>
      </c>
      <c r="EF159">
        <v>0</v>
      </c>
      <c r="EG159">
        <v>0</v>
      </c>
      <c r="EH159">
        <v>0</v>
      </c>
      <c r="EI159">
        <v>838.3777777777777</v>
      </c>
      <c r="EJ159">
        <v>0.00500078</v>
      </c>
      <c r="EK159">
        <v>-10.28888888888889</v>
      </c>
      <c r="EL159">
        <v>-0.4666666666666667</v>
      </c>
      <c r="EM159">
        <v>35.78455555555556</v>
      </c>
      <c r="EN159">
        <v>39.43733333333333</v>
      </c>
      <c r="EO159">
        <v>38.68722222222222</v>
      </c>
      <c r="EP159">
        <v>40.06933333333333</v>
      </c>
      <c r="EQ159">
        <v>38.57599999999999</v>
      </c>
      <c r="ER159">
        <v>0</v>
      </c>
      <c r="ES159">
        <v>0</v>
      </c>
      <c r="ET159">
        <v>0</v>
      </c>
      <c r="EU159">
        <v>1761019096.9</v>
      </c>
      <c r="EV159">
        <v>0</v>
      </c>
      <c r="EW159">
        <v>841.2520000000001</v>
      </c>
      <c r="EX159">
        <v>-8.215384545031252</v>
      </c>
      <c r="EY159">
        <v>-26.99230816733437</v>
      </c>
      <c r="EZ159">
        <v>-9.02</v>
      </c>
      <c r="FA159">
        <v>15</v>
      </c>
      <c r="FB159">
        <v>1761018667.1</v>
      </c>
      <c r="FC159" t="s">
        <v>613</v>
      </c>
      <c r="FD159">
        <v>1761018661.6</v>
      </c>
      <c r="FE159">
        <v>1761018667.1</v>
      </c>
      <c r="FF159">
        <v>26</v>
      </c>
      <c r="FG159">
        <v>-0.221</v>
      </c>
      <c r="FH159">
        <v>-0.001</v>
      </c>
      <c r="FI159">
        <v>-1.568</v>
      </c>
      <c r="FJ159">
        <v>0.178</v>
      </c>
      <c r="FK159">
        <v>420</v>
      </c>
      <c r="FL159">
        <v>23</v>
      </c>
      <c r="FM159">
        <v>0.1</v>
      </c>
      <c r="FN159">
        <v>0.08</v>
      </c>
      <c r="FO159">
        <v>0.6926656097560976</v>
      </c>
      <c r="FP159">
        <v>0.2167987735191644</v>
      </c>
      <c r="FQ159">
        <v>0.04429419083745938</v>
      </c>
      <c r="FR159">
        <v>1</v>
      </c>
      <c r="FS159">
        <v>844.6176470588236</v>
      </c>
      <c r="FT159">
        <v>-49.34453784149738</v>
      </c>
      <c r="FU159">
        <v>8.911508441277594</v>
      </c>
      <c r="FV159">
        <v>0</v>
      </c>
      <c r="FW159">
        <v>-0.336125243902439</v>
      </c>
      <c r="FX159">
        <v>0.4210891986062719</v>
      </c>
      <c r="FY159">
        <v>0.05641800889647694</v>
      </c>
      <c r="FZ159">
        <v>0</v>
      </c>
      <c r="GA159">
        <v>1</v>
      </c>
      <c r="GB159">
        <v>3</v>
      </c>
      <c r="GC159" t="s">
        <v>431</v>
      </c>
      <c r="GD159">
        <v>3.10989</v>
      </c>
      <c r="GE159">
        <v>2.72579</v>
      </c>
      <c r="GF159">
        <v>0.08908000000000001</v>
      </c>
      <c r="GG159">
        <v>0.0887565</v>
      </c>
      <c r="GH159">
        <v>0.112003</v>
      </c>
      <c r="GI159">
        <v>0.113557</v>
      </c>
      <c r="GJ159">
        <v>23926.3</v>
      </c>
      <c r="GK159">
        <v>21659.5</v>
      </c>
      <c r="GL159">
        <v>26822</v>
      </c>
      <c r="GM159">
        <v>23972.8</v>
      </c>
      <c r="GN159">
        <v>38051.2</v>
      </c>
      <c r="GO159">
        <v>31335.9</v>
      </c>
      <c r="GP159">
        <v>46814.9</v>
      </c>
      <c r="GQ159">
        <v>37887.2</v>
      </c>
      <c r="GR159">
        <v>1.8995</v>
      </c>
      <c r="GS159">
        <v>1.89775</v>
      </c>
      <c r="GT159">
        <v>0.132993</v>
      </c>
      <c r="GU159">
        <v>0</v>
      </c>
      <c r="GV159">
        <v>27.8582</v>
      </c>
      <c r="GW159">
        <v>999.9</v>
      </c>
      <c r="GX159">
        <v>64.2</v>
      </c>
      <c r="GY159">
        <v>28.5</v>
      </c>
      <c r="GZ159">
        <v>27.6208</v>
      </c>
      <c r="HA159">
        <v>61.3074</v>
      </c>
      <c r="HB159">
        <v>20.3005</v>
      </c>
      <c r="HC159">
        <v>1</v>
      </c>
      <c r="HD159">
        <v>-0.0230742</v>
      </c>
      <c r="HE159">
        <v>-1.54909</v>
      </c>
      <c r="HF159">
        <v>20.3298</v>
      </c>
      <c r="HG159">
        <v>5.22268</v>
      </c>
      <c r="HH159">
        <v>11.98</v>
      </c>
      <c r="HI159">
        <v>4.9657</v>
      </c>
      <c r="HJ159">
        <v>3.27598</v>
      </c>
      <c r="HK159">
        <v>9999</v>
      </c>
      <c r="HL159">
        <v>9999</v>
      </c>
      <c r="HM159">
        <v>9999</v>
      </c>
      <c r="HN159">
        <v>999.9</v>
      </c>
      <c r="HO159">
        <v>1.86359</v>
      </c>
      <c r="HP159">
        <v>1.85974</v>
      </c>
      <c r="HQ159">
        <v>1.85797</v>
      </c>
      <c r="HR159">
        <v>1.85943</v>
      </c>
      <c r="HS159">
        <v>1.85959</v>
      </c>
      <c r="HT159">
        <v>1.85804</v>
      </c>
      <c r="HU159">
        <v>1.85705</v>
      </c>
      <c r="HV159">
        <v>1.85207</v>
      </c>
      <c r="HW159">
        <v>0</v>
      </c>
      <c r="HX159">
        <v>0</v>
      </c>
      <c r="HY159">
        <v>0</v>
      </c>
      <c r="HZ159">
        <v>0</v>
      </c>
      <c r="IA159" t="s">
        <v>424</v>
      </c>
      <c r="IB159" t="s">
        <v>425</v>
      </c>
      <c r="IC159" t="s">
        <v>426</v>
      </c>
      <c r="ID159" t="s">
        <v>426</v>
      </c>
      <c r="IE159" t="s">
        <v>426</v>
      </c>
      <c r="IF159" t="s">
        <v>426</v>
      </c>
      <c r="IG159">
        <v>0</v>
      </c>
      <c r="IH159">
        <v>100</v>
      </c>
      <c r="II159">
        <v>100</v>
      </c>
      <c r="IJ159">
        <v>-1.567</v>
      </c>
      <c r="IK159">
        <v>0.2185</v>
      </c>
      <c r="IL159">
        <v>-2.357986366295179</v>
      </c>
      <c r="IM159">
        <v>0.001328113201692861</v>
      </c>
      <c r="IN159">
        <v>1.538283238170363E-06</v>
      </c>
      <c r="IO159">
        <v>-5.795655626708063E-10</v>
      </c>
      <c r="IP159">
        <v>-0.06105361615936408</v>
      </c>
      <c r="IQ159">
        <v>-0.004593102289677449</v>
      </c>
      <c r="IR159">
        <v>0.0008253994458280543</v>
      </c>
      <c r="IS159">
        <v>-7.403632370499484E-06</v>
      </c>
      <c r="IT159">
        <v>2</v>
      </c>
      <c r="IU159">
        <v>1985</v>
      </c>
      <c r="IV159">
        <v>1</v>
      </c>
      <c r="IW159">
        <v>27</v>
      </c>
      <c r="IX159">
        <v>7.3</v>
      </c>
      <c r="IY159">
        <v>7.2</v>
      </c>
      <c r="IZ159">
        <v>1.13159</v>
      </c>
      <c r="JA159">
        <v>2.59766</v>
      </c>
      <c r="JB159">
        <v>1.49658</v>
      </c>
      <c r="JC159">
        <v>2.34619</v>
      </c>
      <c r="JD159">
        <v>1.54907</v>
      </c>
      <c r="JE159">
        <v>2.42065</v>
      </c>
      <c r="JF159">
        <v>31.8488</v>
      </c>
      <c r="JG159">
        <v>14.4823</v>
      </c>
      <c r="JH159">
        <v>18</v>
      </c>
      <c r="JI159">
        <v>481.851</v>
      </c>
      <c r="JJ159">
        <v>510.548</v>
      </c>
      <c r="JK159">
        <v>31.0961</v>
      </c>
      <c r="JL159">
        <v>27.0018</v>
      </c>
      <c r="JM159">
        <v>29.9999</v>
      </c>
      <c r="JN159">
        <v>27.2818</v>
      </c>
      <c r="JO159">
        <v>27.2854</v>
      </c>
      <c r="JP159">
        <v>22.7487</v>
      </c>
      <c r="JQ159">
        <v>22.76</v>
      </c>
      <c r="JR159">
        <v>91.94070000000001</v>
      </c>
      <c r="JS159">
        <v>31.0861</v>
      </c>
      <c r="JT159">
        <v>420</v>
      </c>
      <c r="JU159">
        <v>23.6894</v>
      </c>
      <c r="JV159">
        <v>102.375</v>
      </c>
      <c r="JW159">
        <v>91.4074</v>
      </c>
    </row>
    <row r="160" spans="1:283">
      <c r="A160">
        <v>142</v>
      </c>
      <c r="B160">
        <v>1761019100.1</v>
      </c>
      <c r="C160">
        <v>1030.599999904633</v>
      </c>
      <c r="D160" t="s">
        <v>715</v>
      </c>
      <c r="E160" t="s">
        <v>716</v>
      </c>
      <c r="F160">
        <v>5</v>
      </c>
      <c r="G160" t="s">
        <v>674</v>
      </c>
      <c r="H160">
        <v>1761019097.1</v>
      </c>
      <c r="I160">
        <f>(J160)/1000</f>
        <v>0</v>
      </c>
      <c r="J160">
        <f>1000*DJ160*AH160*(DF160-DG160)/(100*CY160*(1000-AH160*DF160))</f>
        <v>0</v>
      </c>
      <c r="K160">
        <f>DJ160*AH160*(DE160-DD160*(1000-AH160*DG160)/(1000-AH160*DF160))/(100*CY160)</f>
        <v>0</v>
      </c>
      <c r="L160">
        <f>DD160 - IF(AH160&gt;1, K160*CY160*100.0/(AJ160), 0)</f>
        <v>0</v>
      </c>
      <c r="M160">
        <f>((S160-I160/2)*L160-K160)/(S160+I160/2)</f>
        <v>0</v>
      </c>
      <c r="N160">
        <f>M160*(DK160+DL160)/1000.0</f>
        <v>0</v>
      </c>
      <c r="O160">
        <f>(DD160 - IF(AH160&gt;1, K160*CY160*100.0/(AJ160), 0))*(DK160+DL160)/1000.0</f>
        <v>0</v>
      </c>
      <c r="P160">
        <f>2.0/((1/R160-1/Q160)+SIGN(R160)*SQRT((1/R160-1/Q160)*(1/R160-1/Q160) + 4*CZ160/((CZ160+1)*(CZ160+1))*(2*1/R160*1/Q160-1/Q160*1/Q160)))</f>
        <v>0</v>
      </c>
      <c r="Q160">
        <f>IF(LEFT(DA160,1)&lt;&gt;"0",IF(LEFT(DA160,1)="1",3.0,DB160),$D$5+$E$5*(DR160*DK160/($K$5*1000))+$F$5*(DR160*DK160/($K$5*1000))*MAX(MIN(CY160,$J$5),$I$5)*MAX(MIN(CY160,$J$5),$I$5)+$G$5*MAX(MIN(CY160,$J$5),$I$5)*(DR160*DK160/($K$5*1000))+$H$5*(DR160*DK160/($K$5*1000))*(DR160*DK160/($K$5*1000)))</f>
        <v>0</v>
      </c>
      <c r="R160">
        <f>I160*(1000-(1000*0.61365*exp(17.502*V160/(240.97+V160))/(DK160+DL160)+DF160)/2)/(1000*0.61365*exp(17.502*V160/(240.97+V160))/(DK160+DL160)-DF160)</f>
        <v>0</v>
      </c>
      <c r="S160">
        <f>1/((CZ160+1)/(P160/1.6)+1/(Q160/1.37)) + CZ160/((CZ160+1)/(P160/1.6) + CZ160/(Q160/1.37))</f>
        <v>0</v>
      </c>
      <c r="T160">
        <f>(CU160*CX160)</f>
        <v>0</v>
      </c>
      <c r="U160">
        <f>(DM160+(T160+2*0.95*5.67E-8*(((DM160+$B$9)+273)^4-(DM160+273)^4)-44100*I160)/(1.84*29.3*Q160+8*0.95*5.67E-8*(DM160+273)^3))</f>
        <v>0</v>
      </c>
      <c r="V160">
        <f>($C$9*DN160+$D$9*DO160+$E$9*U160)</f>
        <v>0</v>
      </c>
      <c r="W160">
        <f>0.61365*exp(17.502*V160/(240.97+V160))</f>
        <v>0</v>
      </c>
      <c r="X160">
        <f>(Y160/Z160*100)</f>
        <v>0</v>
      </c>
      <c r="Y160">
        <f>DF160*(DK160+DL160)/1000</f>
        <v>0</v>
      </c>
      <c r="Z160">
        <f>0.61365*exp(17.502*DM160/(240.97+DM160))</f>
        <v>0</v>
      </c>
      <c r="AA160">
        <f>(W160-DF160*(DK160+DL160)/1000)</f>
        <v>0</v>
      </c>
      <c r="AB160">
        <f>(-I160*44100)</f>
        <v>0</v>
      </c>
      <c r="AC160">
        <f>2*29.3*Q160*0.92*(DM160-V160)</f>
        <v>0</v>
      </c>
      <c r="AD160">
        <f>2*0.95*5.67E-8*(((DM160+$B$9)+273)^4-(V160+273)^4)</f>
        <v>0</v>
      </c>
      <c r="AE160">
        <f>T160+AD160+AB160+AC160</f>
        <v>0</v>
      </c>
      <c r="AF160">
        <v>1</v>
      </c>
      <c r="AG160">
        <v>0</v>
      </c>
      <c r="AH160">
        <f>IF(AF160*$H$15&gt;=AJ160,1.0,(AJ160/(AJ160-AF160*$H$15)))</f>
        <v>0</v>
      </c>
      <c r="AI160">
        <f>(AH160-1)*100</f>
        <v>0</v>
      </c>
      <c r="AJ160">
        <f>MAX(0,($B$15+$C$15*DR160)/(1+$D$15*DR160)*DK160/(DM160+273)*$E$15)</f>
        <v>0</v>
      </c>
      <c r="AK160" t="s">
        <v>420</v>
      </c>
      <c r="AL160" t="s">
        <v>420</v>
      </c>
      <c r="AM160">
        <v>0</v>
      </c>
      <c r="AN160">
        <v>0</v>
      </c>
      <c r="AO160">
        <f>1-AM160/AN160</f>
        <v>0</v>
      </c>
      <c r="AP160">
        <v>0</v>
      </c>
      <c r="AQ160" t="s">
        <v>420</v>
      </c>
      <c r="AR160" t="s">
        <v>420</v>
      </c>
      <c r="AS160">
        <v>0</v>
      </c>
      <c r="AT160">
        <v>0</v>
      </c>
      <c r="AU160">
        <f>1-AS160/AT160</f>
        <v>0</v>
      </c>
      <c r="AV160">
        <v>0.5</v>
      </c>
      <c r="AW160">
        <f>CV160</f>
        <v>0</v>
      </c>
      <c r="AX160">
        <f>K160</f>
        <v>0</v>
      </c>
      <c r="AY160">
        <f>AU160*AV160*AW160</f>
        <v>0</v>
      </c>
      <c r="AZ160">
        <f>(AX160-AP160)/AW160</f>
        <v>0</v>
      </c>
      <c r="BA160">
        <f>(AN160-AT160)/AT160</f>
        <v>0</v>
      </c>
      <c r="BB160">
        <f>AM160/(AO160+AM160/AT160)</f>
        <v>0</v>
      </c>
      <c r="BC160" t="s">
        <v>420</v>
      </c>
      <c r="BD160">
        <v>0</v>
      </c>
      <c r="BE160">
        <f>IF(BD160&lt;&gt;0, BD160, BB160)</f>
        <v>0</v>
      </c>
      <c r="BF160">
        <f>1-BE160/AT160</f>
        <v>0</v>
      </c>
      <c r="BG160">
        <f>(AT160-AS160)/(AT160-BE160)</f>
        <v>0</v>
      </c>
      <c r="BH160">
        <f>(AN160-AT160)/(AN160-BE160)</f>
        <v>0</v>
      </c>
      <c r="BI160">
        <f>(AT160-AS160)/(AT160-AM160)</f>
        <v>0</v>
      </c>
      <c r="BJ160">
        <f>(AN160-AT160)/(AN160-AM160)</f>
        <v>0</v>
      </c>
      <c r="BK160">
        <f>(BG160*BE160/AS160)</f>
        <v>0</v>
      </c>
      <c r="BL160">
        <f>(1-BK160)</f>
        <v>0</v>
      </c>
      <c r="CU160">
        <f>$B$13*DS160+$C$13*DT160+$F$13*EE160*(1-EH160)</f>
        <v>0</v>
      </c>
      <c r="CV160">
        <f>CU160*CW160</f>
        <v>0</v>
      </c>
      <c r="CW160">
        <f>($B$13*$D$11+$C$13*$D$11+$F$13*((ER160+EJ160)/MAX(ER160+EJ160+ES160, 0.1)*$I$11+ES160/MAX(ER160+EJ160+ES160, 0.1)*$J$11))/($B$13+$C$13+$F$13)</f>
        <v>0</v>
      </c>
      <c r="CX160">
        <f>($B$13*$K$11+$C$13*$K$11+$F$13*((ER160+EJ160)/MAX(ER160+EJ160+ES160, 0.1)*$P$11+ES160/MAX(ER160+EJ160+ES160, 0.1)*$Q$11))/($B$13+$C$13+$F$13)</f>
        <v>0</v>
      </c>
      <c r="CY160">
        <v>5.66</v>
      </c>
      <c r="CZ160">
        <v>0.5</v>
      </c>
      <c r="DA160" t="s">
        <v>421</v>
      </c>
      <c r="DB160">
        <v>2</v>
      </c>
      <c r="DC160">
        <v>1761019097.1</v>
      </c>
      <c r="DD160">
        <v>420.7584444444444</v>
      </c>
      <c r="DE160">
        <v>420.0118888888889</v>
      </c>
      <c r="DF160">
        <v>24.93313333333333</v>
      </c>
      <c r="DG160">
        <v>25.11367777777778</v>
      </c>
      <c r="DH160">
        <v>422.3247777777777</v>
      </c>
      <c r="DI160">
        <v>24.7153</v>
      </c>
      <c r="DJ160">
        <v>500.0597777777778</v>
      </c>
      <c r="DK160">
        <v>90.81076666666667</v>
      </c>
      <c r="DL160">
        <v>0.03404577777777778</v>
      </c>
      <c r="DM160">
        <v>30.53772222222222</v>
      </c>
      <c r="DN160">
        <v>30.03405555555555</v>
      </c>
      <c r="DO160">
        <v>999.9000000000001</v>
      </c>
      <c r="DP160">
        <v>0</v>
      </c>
      <c r="DQ160">
        <v>0</v>
      </c>
      <c r="DR160">
        <v>10008.12</v>
      </c>
      <c r="DS160">
        <v>0</v>
      </c>
      <c r="DT160">
        <v>0.242856</v>
      </c>
      <c r="DU160">
        <v>0.7467075555555556</v>
      </c>
      <c r="DV160">
        <v>431.5174444444444</v>
      </c>
      <c r="DW160">
        <v>430.8314444444445</v>
      </c>
      <c r="DX160">
        <v>-0.1805275333333333</v>
      </c>
      <c r="DY160">
        <v>420.0118888888889</v>
      </c>
      <c r="DZ160">
        <v>25.11367777777778</v>
      </c>
      <c r="EA160">
        <v>2.264197777777778</v>
      </c>
      <c r="EB160">
        <v>2.28059</v>
      </c>
      <c r="EC160">
        <v>19.42391111111111</v>
      </c>
      <c r="ED160">
        <v>19.53993333333334</v>
      </c>
      <c r="EE160">
        <v>0.00500078</v>
      </c>
      <c r="EF160">
        <v>0</v>
      </c>
      <c r="EG160">
        <v>0</v>
      </c>
      <c r="EH160">
        <v>0</v>
      </c>
      <c r="EI160">
        <v>840.088888888889</v>
      </c>
      <c r="EJ160">
        <v>0.00500078</v>
      </c>
      <c r="EK160">
        <v>-11.36666666666667</v>
      </c>
      <c r="EL160">
        <v>-0.8888888888888888</v>
      </c>
      <c r="EM160">
        <v>35.77744444444445</v>
      </c>
      <c r="EN160">
        <v>39.37466666666666</v>
      </c>
      <c r="EO160">
        <v>38.39566666666667</v>
      </c>
      <c r="EP160">
        <v>39.986</v>
      </c>
      <c r="EQ160">
        <v>38.56211111111111</v>
      </c>
      <c r="ER160">
        <v>0</v>
      </c>
      <c r="ES160">
        <v>0</v>
      </c>
      <c r="ET160">
        <v>0</v>
      </c>
      <c r="EU160">
        <v>1761019099.3</v>
      </c>
      <c r="EV160">
        <v>0</v>
      </c>
      <c r="EW160">
        <v>840.448</v>
      </c>
      <c r="EX160">
        <v>-16.29999998624504</v>
      </c>
      <c r="EY160">
        <v>6.361537845200548</v>
      </c>
      <c r="EZ160">
        <v>-9.907999999999999</v>
      </c>
      <c r="FA160">
        <v>15</v>
      </c>
      <c r="FB160">
        <v>1761018667.1</v>
      </c>
      <c r="FC160" t="s">
        <v>613</v>
      </c>
      <c r="FD160">
        <v>1761018661.6</v>
      </c>
      <c r="FE160">
        <v>1761018667.1</v>
      </c>
      <c r="FF160">
        <v>26</v>
      </c>
      <c r="FG160">
        <v>-0.221</v>
      </c>
      <c r="FH160">
        <v>-0.001</v>
      </c>
      <c r="FI160">
        <v>-1.568</v>
      </c>
      <c r="FJ160">
        <v>0.178</v>
      </c>
      <c r="FK160">
        <v>420</v>
      </c>
      <c r="FL160">
        <v>23</v>
      </c>
      <c r="FM160">
        <v>0.1</v>
      </c>
      <c r="FN160">
        <v>0.08</v>
      </c>
      <c r="FO160">
        <v>0.696907775</v>
      </c>
      <c r="FP160">
        <v>0.3378992532833008</v>
      </c>
      <c r="FQ160">
        <v>0.04818674862266985</v>
      </c>
      <c r="FR160">
        <v>1</v>
      </c>
      <c r="FS160">
        <v>843.5705882352943</v>
      </c>
      <c r="FT160">
        <v>-32.06111544836838</v>
      </c>
      <c r="FU160">
        <v>8.050594768373786</v>
      </c>
      <c r="FV160">
        <v>0</v>
      </c>
      <c r="FW160">
        <v>-0.3194688425</v>
      </c>
      <c r="FX160">
        <v>0.7286220979362112</v>
      </c>
      <c r="FY160">
        <v>0.08161593884259033</v>
      </c>
      <c r="FZ160">
        <v>0</v>
      </c>
      <c r="GA160">
        <v>1</v>
      </c>
      <c r="GB160">
        <v>3</v>
      </c>
      <c r="GC160" t="s">
        <v>431</v>
      </c>
      <c r="GD160">
        <v>3.10994</v>
      </c>
      <c r="GE160">
        <v>2.72535</v>
      </c>
      <c r="GF160">
        <v>0.08909060000000001</v>
      </c>
      <c r="GG160">
        <v>0.0887525</v>
      </c>
      <c r="GH160">
        <v>0.112109</v>
      </c>
      <c r="GI160">
        <v>0.113212</v>
      </c>
      <c r="GJ160">
        <v>23926.1</v>
      </c>
      <c r="GK160">
        <v>21659.4</v>
      </c>
      <c r="GL160">
        <v>26822</v>
      </c>
      <c r="GM160">
        <v>23972.6</v>
      </c>
      <c r="GN160">
        <v>38046.7</v>
      </c>
      <c r="GO160">
        <v>31348</v>
      </c>
      <c r="GP160">
        <v>46815.1</v>
      </c>
      <c r="GQ160">
        <v>37886.9</v>
      </c>
      <c r="GR160">
        <v>1.89968</v>
      </c>
      <c r="GS160">
        <v>1.89772</v>
      </c>
      <c r="GT160">
        <v>0.132751</v>
      </c>
      <c r="GU160">
        <v>0</v>
      </c>
      <c r="GV160">
        <v>27.8548</v>
      </c>
      <c r="GW160">
        <v>999.9</v>
      </c>
      <c r="GX160">
        <v>64.2</v>
      </c>
      <c r="GY160">
        <v>28.5</v>
      </c>
      <c r="GZ160">
        <v>27.6207</v>
      </c>
      <c r="HA160">
        <v>61.4973</v>
      </c>
      <c r="HB160">
        <v>20.1282</v>
      </c>
      <c r="HC160">
        <v>1</v>
      </c>
      <c r="HD160">
        <v>-0.0231402</v>
      </c>
      <c r="HE160">
        <v>-1.55293</v>
      </c>
      <c r="HF160">
        <v>20.329</v>
      </c>
      <c r="HG160">
        <v>5.21879</v>
      </c>
      <c r="HH160">
        <v>11.9796</v>
      </c>
      <c r="HI160">
        <v>4.96495</v>
      </c>
      <c r="HJ160">
        <v>3.2752</v>
      </c>
      <c r="HK160">
        <v>9999</v>
      </c>
      <c r="HL160">
        <v>9999</v>
      </c>
      <c r="HM160">
        <v>9999</v>
      </c>
      <c r="HN160">
        <v>999.9</v>
      </c>
      <c r="HO160">
        <v>1.8636</v>
      </c>
      <c r="HP160">
        <v>1.85974</v>
      </c>
      <c r="HQ160">
        <v>1.85798</v>
      </c>
      <c r="HR160">
        <v>1.85941</v>
      </c>
      <c r="HS160">
        <v>1.85958</v>
      </c>
      <c r="HT160">
        <v>1.85804</v>
      </c>
      <c r="HU160">
        <v>1.85707</v>
      </c>
      <c r="HV160">
        <v>1.85208</v>
      </c>
      <c r="HW160">
        <v>0</v>
      </c>
      <c r="HX160">
        <v>0</v>
      </c>
      <c r="HY160">
        <v>0</v>
      </c>
      <c r="HZ160">
        <v>0</v>
      </c>
      <c r="IA160" t="s">
        <v>424</v>
      </c>
      <c r="IB160" t="s">
        <v>425</v>
      </c>
      <c r="IC160" t="s">
        <v>426</v>
      </c>
      <c r="ID160" t="s">
        <v>426</v>
      </c>
      <c r="IE160" t="s">
        <v>426</v>
      </c>
      <c r="IF160" t="s">
        <v>426</v>
      </c>
      <c r="IG160">
        <v>0</v>
      </c>
      <c r="IH160">
        <v>100</v>
      </c>
      <c r="II160">
        <v>100</v>
      </c>
      <c r="IJ160">
        <v>-1.566</v>
      </c>
      <c r="IK160">
        <v>0.2193</v>
      </c>
      <c r="IL160">
        <v>-2.357986366295179</v>
      </c>
      <c r="IM160">
        <v>0.001328113201692861</v>
      </c>
      <c r="IN160">
        <v>1.538283238170363E-06</v>
      </c>
      <c r="IO160">
        <v>-5.795655626708063E-10</v>
      </c>
      <c r="IP160">
        <v>-0.06105361615936408</v>
      </c>
      <c r="IQ160">
        <v>-0.004593102289677449</v>
      </c>
      <c r="IR160">
        <v>0.0008253994458280543</v>
      </c>
      <c r="IS160">
        <v>-7.403632370499484E-06</v>
      </c>
      <c r="IT160">
        <v>2</v>
      </c>
      <c r="IU160">
        <v>1985</v>
      </c>
      <c r="IV160">
        <v>1</v>
      </c>
      <c r="IW160">
        <v>27</v>
      </c>
      <c r="IX160">
        <v>7.3</v>
      </c>
      <c r="IY160">
        <v>7.2</v>
      </c>
      <c r="IZ160">
        <v>1.13159</v>
      </c>
      <c r="JA160">
        <v>2.6001</v>
      </c>
      <c r="JB160">
        <v>1.49658</v>
      </c>
      <c r="JC160">
        <v>2.34497</v>
      </c>
      <c r="JD160">
        <v>1.54907</v>
      </c>
      <c r="JE160">
        <v>2.37915</v>
      </c>
      <c r="JF160">
        <v>31.8488</v>
      </c>
      <c r="JG160">
        <v>14.4823</v>
      </c>
      <c r="JH160">
        <v>18</v>
      </c>
      <c r="JI160">
        <v>481.94</v>
      </c>
      <c r="JJ160">
        <v>510.511</v>
      </c>
      <c r="JK160">
        <v>31.074</v>
      </c>
      <c r="JL160">
        <v>27.0007</v>
      </c>
      <c r="JM160">
        <v>29.9999</v>
      </c>
      <c r="JN160">
        <v>27.2802</v>
      </c>
      <c r="JO160">
        <v>27.2833</v>
      </c>
      <c r="JP160">
        <v>22.7477</v>
      </c>
      <c r="JQ160">
        <v>24.7469</v>
      </c>
      <c r="JR160">
        <v>91.5461</v>
      </c>
      <c r="JS160">
        <v>31.0861</v>
      </c>
      <c r="JT160">
        <v>420</v>
      </c>
      <c r="JU160">
        <v>23.4711</v>
      </c>
      <c r="JV160">
        <v>102.375</v>
      </c>
      <c r="JW160">
        <v>91.4068</v>
      </c>
    </row>
    <row r="161" spans="1:283">
      <c r="A161">
        <v>143</v>
      </c>
      <c r="B161">
        <v>1761019102.1</v>
      </c>
      <c r="C161">
        <v>1032.599999904633</v>
      </c>
      <c r="D161" t="s">
        <v>717</v>
      </c>
      <c r="E161" t="s">
        <v>718</v>
      </c>
      <c r="F161">
        <v>5</v>
      </c>
      <c r="G161" t="s">
        <v>674</v>
      </c>
      <c r="H161">
        <v>1761019099.1</v>
      </c>
      <c r="I161">
        <f>(J161)/1000</f>
        <v>0</v>
      </c>
      <c r="J161">
        <f>1000*DJ161*AH161*(DF161-DG161)/(100*CY161*(1000-AH161*DF161))</f>
        <v>0</v>
      </c>
      <c r="K161">
        <f>DJ161*AH161*(DE161-DD161*(1000-AH161*DG161)/(1000-AH161*DF161))/(100*CY161)</f>
        <v>0</v>
      </c>
      <c r="L161">
        <f>DD161 - IF(AH161&gt;1, K161*CY161*100.0/(AJ161), 0)</f>
        <v>0</v>
      </c>
      <c r="M161">
        <f>((S161-I161/2)*L161-K161)/(S161+I161/2)</f>
        <v>0</v>
      </c>
      <c r="N161">
        <f>M161*(DK161+DL161)/1000.0</f>
        <v>0</v>
      </c>
      <c r="O161">
        <f>(DD161 - IF(AH161&gt;1, K161*CY161*100.0/(AJ161), 0))*(DK161+DL161)/1000.0</f>
        <v>0</v>
      </c>
      <c r="P161">
        <f>2.0/((1/R161-1/Q161)+SIGN(R161)*SQRT((1/R161-1/Q161)*(1/R161-1/Q161) + 4*CZ161/((CZ161+1)*(CZ161+1))*(2*1/R161*1/Q161-1/Q161*1/Q161)))</f>
        <v>0</v>
      </c>
      <c r="Q161">
        <f>IF(LEFT(DA161,1)&lt;&gt;"0",IF(LEFT(DA161,1)="1",3.0,DB161),$D$5+$E$5*(DR161*DK161/($K$5*1000))+$F$5*(DR161*DK161/($K$5*1000))*MAX(MIN(CY161,$J$5),$I$5)*MAX(MIN(CY161,$J$5),$I$5)+$G$5*MAX(MIN(CY161,$J$5),$I$5)*(DR161*DK161/($K$5*1000))+$H$5*(DR161*DK161/($K$5*1000))*(DR161*DK161/($K$5*1000)))</f>
        <v>0</v>
      </c>
      <c r="R161">
        <f>I161*(1000-(1000*0.61365*exp(17.502*V161/(240.97+V161))/(DK161+DL161)+DF161)/2)/(1000*0.61365*exp(17.502*V161/(240.97+V161))/(DK161+DL161)-DF161)</f>
        <v>0</v>
      </c>
      <c r="S161">
        <f>1/((CZ161+1)/(P161/1.6)+1/(Q161/1.37)) + CZ161/((CZ161+1)/(P161/1.6) + CZ161/(Q161/1.37))</f>
        <v>0</v>
      </c>
      <c r="T161">
        <f>(CU161*CX161)</f>
        <v>0</v>
      </c>
      <c r="U161">
        <f>(DM161+(T161+2*0.95*5.67E-8*(((DM161+$B$9)+273)^4-(DM161+273)^4)-44100*I161)/(1.84*29.3*Q161+8*0.95*5.67E-8*(DM161+273)^3))</f>
        <v>0</v>
      </c>
      <c r="V161">
        <f>($C$9*DN161+$D$9*DO161+$E$9*U161)</f>
        <v>0</v>
      </c>
      <c r="W161">
        <f>0.61365*exp(17.502*V161/(240.97+V161))</f>
        <v>0</v>
      </c>
      <c r="X161">
        <f>(Y161/Z161*100)</f>
        <v>0</v>
      </c>
      <c r="Y161">
        <f>DF161*(DK161+DL161)/1000</f>
        <v>0</v>
      </c>
      <c r="Z161">
        <f>0.61365*exp(17.502*DM161/(240.97+DM161))</f>
        <v>0</v>
      </c>
      <c r="AA161">
        <f>(W161-DF161*(DK161+DL161)/1000)</f>
        <v>0</v>
      </c>
      <c r="AB161">
        <f>(-I161*44100)</f>
        <v>0</v>
      </c>
      <c r="AC161">
        <f>2*29.3*Q161*0.92*(DM161-V161)</f>
        <v>0</v>
      </c>
      <c r="AD161">
        <f>2*0.95*5.67E-8*(((DM161+$B$9)+273)^4-(V161+273)^4)</f>
        <v>0</v>
      </c>
      <c r="AE161">
        <f>T161+AD161+AB161+AC161</f>
        <v>0</v>
      </c>
      <c r="AF161">
        <v>0</v>
      </c>
      <c r="AG161">
        <v>0</v>
      </c>
      <c r="AH161">
        <f>IF(AF161*$H$15&gt;=AJ161,1.0,(AJ161/(AJ161-AF161*$H$15)))</f>
        <v>0</v>
      </c>
      <c r="AI161">
        <f>(AH161-1)*100</f>
        <v>0</v>
      </c>
      <c r="AJ161">
        <f>MAX(0,($B$15+$C$15*DR161)/(1+$D$15*DR161)*DK161/(DM161+273)*$E$15)</f>
        <v>0</v>
      </c>
      <c r="AK161" t="s">
        <v>420</v>
      </c>
      <c r="AL161" t="s">
        <v>420</v>
      </c>
      <c r="AM161">
        <v>0</v>
      </c>
      <c r="AN161">
        <v>0</v>
      </c>
      <c r="AO161">
        <f>1-AM161/AN161</f>
        <v>0</v>
      </c>
      <c r="AP161">
        <v>0</v>
      </c>
      <c r="AQ161" t="s">
        <v>420</v>
      </c>
      <c r="AR161" t="s">
        <v>420</v>
      </c>
      <c r="AS161">
        <v>0</v>
      </c>
      <c r="AT161">
        <v>0</v>
      </c>
      <c r="AU161">
        <f>1-AS161/AT161</f>
        <v>0</v>
      </c>
      <c r="AV161">
        <v>0.5</v>
      </c>
      <c r="AW161">
        <f>CV161</f>
        <v>0</v>
      </c>
      <c r="AX161">
        <f>K161</f>
        <v>0</v>
      </c>
      <c r="AY161">
        <f>AU161*AV161*AW161</f>
        <v>0</v>
      </c>
      <c r="AZ161">
        <f>(AX161-AP161)/AW161</f>
        <v>0</v>
      </c>
      <c r="BA161">
        <f>(AN161-AT161)/AT161</f>
        <v>0</v>
      </c>
      <c r="BB161">
        <f>AM161/(AO161+AM161/AT161)</f>
        <v>0</v>
      </c>
      <c r="BC161" t="s">
        <v>420</v>
      </c>
      <c r="BD161">
        <v>0</v>
      </c>
      <c r="BE161">
        <f>IF(BD161&lt;&gt;0, BD161, BB161)</f>
        <v>0</v>
      </c>
      <c r="BF161">
        <f>1-BE161/AT161</f>
        <v>0</v>
      </c>
      <c r="BG161">
        <f>(AT161-AS161)/(AT161-BE161)</f>
        <v>0</v>
      </c>
      <c r="BH161">
        <f>(AN161-AT161)/(AN161-BE161)</f>
        <v>0</v>
      </c>
      <c r="BI161">
        <f>(AT161-AS161)/(AT161-AM161)</f>
        <v>0</v>
      </c>
      <c r="BJ161">
        <f>(AN161-AT161)/(AN161-AM161)</f>
        <v>0</v>
      </c>
      <c r="BK161">
        <f>(BG161*BE161/AS161)</f>
        <v>0</v>
      </c>
      <c r="BL161">
        <f>(1-BK161)</f>
        <v>0</v>
      </c>
      <c r="CU161">
        <f>$B$13*DS161+$C$13*DT161+$F$13*EE161*(1-EH161)</f>
        <v>0</v>
      </c>
      <c r="CV161">
        <f>CU161*CW161</f>
        <v>0</v>
      </c>
      <c r="CW161">
        <f>($B$13*$D$11+$C$13*$D$11+$F$13*((ER161+EJ161)/MAX(ER161+EJ161+ES161, 0.1)*$I$11+ES161/MAX(ER161+EJ161+ES161, 0.1)*$J$11))/($B$13+$C$13+$F$13)</f>
        <v>0</v>
      </c>
      <c r="CX161">
        <f>($B$13*$K$11+$C$13*$K$11+$F$13*((ER161+EJ161)/MAX(ER161+EJ161+ES161, 0.1)*$P$11+ES161/MAX(ER161+EJ161+ES161, 0.1)*$Q$11))/($B$13+$C$13+$F$13)</f>
        <v>0</v>
      </c>
      <c r="CY161">
        <v>5.66</v>
      </c>
      <c r="CZ161">
        <v>0.5</v>
      </c>
      <c r="DA161" t="s">
        <v>421</v>
      </c>
      <c r="DB161">
        <v>2</v>
      </c>
      <c r="DC161">
        <v>1761019099.1</v>
      </c>
      <c r="DD161">
        <v>420.8073333333334</v>
      </c>
      <c r="DE161">
        <v>420.0342222222222</v>
      </c>
      <c r="DF161">
        <v>24.97367777777778</v>
      </c>
      <c r="DG161">
        <v>25.03093333333333</v>
      </c>
      <c r="DH161">
        <v>422.3735555555556</v>
      </c>
      <c r="DI161">
        <v>24.75494444444445</v>
      </c>
      <c r="DJ161">
        <v>500.0148888888889</v>
      </c>
      <c r="DK161">
        <v>90.80972222222221</v>
      </c>
      <c r="DL161">
        <v>0.03387892222222222</v>
      </c>
      <c r="DM161">
        <v>30.52638888888889</v>
      </c>
      <c r="DN161">
        <v>30.02372222222222</v>
      </c>
      <c r="DO161">
        <v>999.9000000000001</v>
      </c>
      <c r="DP161">
        <v>0</v>
      </c>
      <c r="DQ161">
        <v>0</v>
      </c>
      <c r="DR161">
        <v>10006.04222222222</v>
      </c>
      <c r="DS161">
        <v>0</v>
      </c>
      <c r="DT161">
        <v>0.242856</v>
      </c>
      <c r="DU161">
        <v>0.7731357777777779</v>
      </c>
      <c r="DV161">
        <v>431.5855555555556</v>
      </c>
      <c r="DW161">
        <v>430.8178888888889</v>
      </c>
      <c r="DX161">
        <v>-0.05724117777777778</v>
      </c>
      <c r="DY161">
        <v>420.0342222222222</v>
      </c>
      <c r="DZ161">
        <v>25.03093333333333</v>
      </c>
      <c r="EA161">
        <v>2.267853333333333</v>
      </c>
      <c r="EB161">
        <v>2.273048888888889</v>
      </c>
      <c r="EC161">
        <v>19.44984444444445</v>
      </c>
      <c r="ED161">
        <v>19.48655555555555</v>
      </c>
      <c r="EE161">
        <v>0.00500078</v>
      </c>
      <c r="EF161">
        <v>0</v>
      </c>
      <c r="EG161">
        <v>0</v>
      </c>
      <c r="EH161">
        <v>0</v>
      </c>
      <c r="EI161">
        <v>840.5222222222224</v>
      </c>
      <c r="EJ161">
        <v>0.00500078</v>
      </c>
      <c r="EK161">
        <v>-13.77777777777778</v>
      </c>
      <c r="EL161">
        <v>-0.6444444444444444</v>
      </c>
      <c r="EM161">
        <v>35.74966666666666</v>
      </c>
      <c r="EN161">
        <v>39.31233333333333</v>
      </c>
      <c r="EO161">
        <v>38.35400000000001</v>
      </c>
      <c r="EP161">
        <v>39.90266666666667</v>
      </c>
      <c r="EQ161">
        <v>38.52755555555555</v>
      </c>
      <c r="ER161">
        <v>0</v>
      </c>
      <c r="ES161">
        <v>0</v>
      </c>
      <c r="ET161">
        <v>0</v>
      </c>
      <c r="EU161">
        <v>1761019101.1</v>
      </c>
      <c r="EV161">
        <v>0</v>
      </c>
      <c r="EW161">
        <v>840.1961538461539</v>
      </c>
      <c r="EX161">
        <v>-3.429059850840028</v>
      </c>
      <c r="EY161">
        <v>-25.13846196486662</v>
      </c>
      <c r="EZ161">
        <v>-10.73461538461538</v>
      </c>
      <c r="FA161">
        <v>15</v>
      </c>
      <c r="FB161">
        <v>1761018667.1</v>
      </c>
      <c r="FC161" t="s">
        <v>613</v>
      </c>
      <c r="FD161">
        <v>1761018661.6</v>
      </c>
      <c r="FE161">
        <v>1761018667.1</v>
      </c>
      <c r="FF161">
        <v>26</v>
      </c>
      <c r="FG161">
        <v>-0.221</v>
      </c>
      <c r="FH161">
        <v>-0.001</v>
      </c>
      <c r="FI161">
        <v>-1.568</v>
      </c>
      <c r="FJ161">
        <v>0.178</v>
      </c>
      <c r="FK161">
        <v>420</v>
      </c>
      <c r="FL161">
        <v>23</v>
      </c>
      <c r="FM161">
        <v>0.1</v>
      </c>
      <c r="FN161">
        <v>0.08</v>
      </c>
      <c r="FO161">
        <v>0.7105466829268293</v>
      </c>
      <c r="FP161">
        <v>0.5292645574912883</v>
      </c>
      <c r="FQ161">
        <v>0.06076244098704678</v>
      </c>
      <c r="FR161">
        <v>0</v>
      </c>
      <c r="FS161">
        <v>841.8382352941176</v>
      </c>
      <c r="FT161">
        <v>-24.45683730216285</v>
      </c>
      <c r="FU161">
        <v>7.60719530544765</v>
      </c>
      <c r="FV161">
        <v>0</v>
      </c>
      <c r="FW161">
        <v>-0.2691584473170732</v>
      </c>
      <c r="FX161">
        <v>1.298880458257839</v>
      </c>
      <c r="FY161">
        <v>0.1463618649214207</v>
      </c>
      <c r="FZ161">
        <v>0</v>
      </c>
      <c r="GA161">
        <v>0</v>
      </c>
      <c r="GB161">
        <v>3</v>
      </c>
      <c r="GC161" t="s">
        <v>423</v>
      </c>
      <c r="GD161">
        <v>3.10965</v>
      </c>
      <c r="GE161">
        <v>2.72544</v>
      </c>
      <c r="GF161">
        <v>0.089097</v>
      </c>
      <c r="GG161">
        <v>0.0887718</v>
      </c>
      <c r="GH161">
        <v>0.11212</v>
      </c>
      <c r="GI161">
        <v>0.112467</v>
      </c>
      <c r="GJ161">
        <v>23926</v>
      </c>
      <c r="GK161">
        <v>21658.9</v>
      </c>
      <c r="GL161">
        <v>26822</v>
      </c>
      <c r="GM161">
        <v>23972.6</v>
      </c>
      <c r="GN161">
        <v>38046.3</v>
      </c>
      <c r="GO161">
        <v>31374.4</v>
      </c>
      <c r="GP161">
        <v>46815.2</v>
      </c>
      <c r="GQ161">
        <v>37886.7</v>
      </c>
      <c r="GR161">
        <v>1.8994</v>
      </c>
      <c r="GS161">
        <v>1.89765</v>
      </c>
      <c r="GT161">
        <v>0.132184</v>
      </c>
      <c r="GU161">
        <v>0</v>
      </c>
      <c r="GV161">
        <v>27.8512</v>
      </c>
      <c r="GW161">
        <v>999.9</v>
      </c>
      <c r="GX161">
        <v>64.2</v>
      </c>
      <c r="GY161">
        <v>28.5</v>
      </c>
      <c r="GZ161">
        <v>27.6203</v>
      </c>
      <c r="HA161">
        <v>61.3873</v>
      </c>
      <c r="HB161">
        <v>20.1803</v>
      </c>
      <c r="HC161">
        <v>1</v>
      </c>
      <c r="HD161">
        <v>-0.0229954</v>
      </c>
      <c r="HE161">
        <v>-1.64544</v>
      </c>
      <c r="HF161">
        <v>20.328</v>
      </c>
      <c r="HG161">
        <v>5.21894</v>
      </c>
      <c r="HH161">
        <v>11.9794</v>
      </c>
      <c r="HI161">
        <v>4.96495</v>
      </c>
      <c r="HJ161">
        <v>3.2752</v>
      </c>
      <c r="HK161">
        <v>9999</v>
      </c>
      <c r="HL161">
        <v>9999</v>
      </c>
      <c r="HM161">
        <v>9999</v>
      </c>
      <c r="HN161">
        <v>999.9</v>
      </c>
      <c r="HO161">
        <v>1.8636</v>
      </c>
      <c r="HP161">
        <v>1.85974</v>
      </c>
      <c r="HQ161">
        <v>1.85798</v>
      </c>
      <c r="HR161">
        <v>1.8594</v>
      </c>
      <c r="HS161">
        <v>1.85958</v>
      </c>
      <c r="HT161">
        <v>1.85804</v>
      </c>
      <c r="HU161">
        <v>1.85706</v>
      </c>
      <c r="HV161">
        <v>1.85208</v>
      </c>
      <c r="HW161">
        <v>0</v>
      </c>
      <c r="HX161">
        <v>0</v>
      </c>
      <c r="HY161">
        <v>0</v>
      </c>
      <c r="HZ161">
        <v>0</v>
      </c>
      <c r="IA161" t="s">
        <v>424</v>
      </c>
      <c r="IB161" t="s">
        <v>425</v>
      </c>
      <c r="IC161" t="s">
        <v>426</v>
      </c>
      <c r="ID161" t="s">
        <v>426</v>
      </c>
      <c r="IE161" t="s">
        <v>426</v>
      </c>
      <c r="IF161" t="s">
        <v>426</v>
      </c>
      <c r="IG161">
        <v>0</v>
      </c>
      <c r="IH161">
        <v>100</v>
      </c>
      <c r="II161">
        <v>100</v>
      </c>
      <c r="IJ161">
        <v>-1.566</v>
      </c>
      <c r="IK161">
        <v>0.2193</v>
      </c>
      <c r="IL161">
        <v>-2.357986366295179</v>
      </c>
      <c r="IM161">
        <v>0.001328113201692861</v>
      </c>
      <c r="IN161">
        <v>1.538283238170363E-06</v>
      </c>
      <c r="IO161">
        <v>-5.795655626708063E-10</v>
      </c>
      <c r="IP161">
        <v>-0.06105361615936408</v>
      </c>
      <c r="IQ161">
        <v>-0.004593102289677449</v>
      </c>
      <c r="IR161">
        <v>0.0008253994458280543</v>
      </c>
      <c r="IS161">
        <v>-7.403632370499484E-06</v>
      </c>
      <c r="IT161">
        <v>2</v>
      </c>
      <c r="IU161">
        <v>1985</v>
      </c>
      <c r="IV161">
        <v>1</v>
      </c>
      <c r="IW161">
        <v>27</v>
      </c>
      <c r="IX161">
        <v>7.3</v>
      </c>
      <c r="IY161">
        <v>7.2</v>
      </c>
      <c r="IZ161">
        <v>1.13159</v>
      </c>
      <c r="JA161">
        <v>2.59766</v>
      </c>
      <c r="JB161">
        <v>1.49658</v>
      </c>
      <c r="JC161">
        <v>2.34497</v>
      </c>
      <c r="JD161">
        <v>1.54907</v>
      </c>
      <c r="JE161">
        <v>2.45239</v>
      </c>
      <c r="JF161">
        <v>31.8488</v>
      </c>
      <c r="JG161">
        <v>14.491</v>
      </c>
      <c r="JH161">
        <v>18</v>
      </c>
      <c r="JI161">
        <v>481.772</v>
      </c>
      <c r="JJ161">
        <v>510.437</v>
      </c>
      <c r="JK161">
        <v>31.0553</v>
      </c>
      <c r="JL161">
        <v>27.0001</v>
      </c>
      <c r="JM161">
        <v>30</v>
      </c>
      <c r="JN161">
        <v>27.279</v>
      </c>
      <c r="JO161">
        <v>27.2806</v>
      </c>
      <c r="JP161">
        <v>22.7421</v>
      </c>
      <c r="JQ161">
        <v>25.8118</v>
      </c>
      <c r="JR161">
        <v>91.5461</v>
      </c>
      <c r="JS161">
        <v>31.0613</v>
      </c>
      <c r="JT161">
        <v>420</v>
      </c>
      <c r="JU161">
        <v>23.3865</v>
      </c>
      <c r="JV161">
        <v>102.375</v>
      </c>
      <c r="JW161">
        <v>91.4063</v>
      </c>
    </row>
    <row r="162" spans="1:283">
      <c r="A162">
        <v>144</v>
      </c>
      <c r="B162">
        <v>1761019104.1</v>
      </c>
      <c r="C162">
        <v>1034.599999904633</v>
      </c>
      <c r="D162" t="s">
        <v>719</v>
      </c>
      <c r="E162" t="s">
        <v>720</v>
      </c>
      <c r="F162">
        <v>5</v>
      </c>
      <c r="G162" t="s">
        <v>674</v>
      </c>
      <c r="H162">
        <v>1761019101.1</v>
      </c>
      <c r="I162">
        <f>(J162)/1000</f>
        <v>0</v>
      </c>
      <c r="J162">
        <f>1000*DJ162*AH162*(DF162-DG162)/(100*CY162*(1000-AH162*DF162))</f>
        <v>0</v>
      </c>
      <c r="K162">
        <f>DJ162*AH162*(DE162-DD162*(1000-AH162*DG162)/(1000-AH162*DF162))/(100*CY162)</f>
        <v>0</v>
      </c>
      <c r="L162">
        <f>DD162 - IF(AH162&gt;1, K162*CY162*100.0/(AJ162), 0)</f>
        <v>0</v>
      </c>
      <c r="M162">
        <f>((S162-I162/2)*L162-K162)/(S162+I162/2)</f>
        <v>0</v>
      </c>
      <c r="N162">
        <f>M162*(DK162+DL162)/1000.0</f>
        <v>0</v>
      </c>
      <c r="O162">
        <f>(DD162 - IF(AH162&gt;1, K162*CY162*100.0/(AJ162), 0))*(DK162+DL162)/1000.0</f>
        <v>0</v>
      </c>
      <c r="P162">
        <f>2.0/((1/R162-1/Q162)+SIGN(R162)*SQRT((1/R162-1/Q162)*(1/R162-1/Q162) + 4*CZ162/((CZ162+1)*(CZ162+1))*(2*1/R162*1/Q162-1/Q162*1/Q162)))</f>
        <v>0</v>
      </c>
      <c r="Q162">
        <f>IF(LEFT(DA162,1)&lt;&gt;"0",IF(LEFT(DA162,1)="1",3.0,DB162),$D$5+$E$5*(DR162*DK162/($K$5*1000))+$F$5*(DR162*DK162/($K$5*1000))*MAX(MIN(CY162,$J$5),$I$5)*MAX(MIN(CY162,$J$5),$I$5)+$G$5*MAX(MIN(CY162,$J$5),$I$5)*(DR162*DK162/($K$5*1000))+$H$5*(DR162*DK162/($K$5*1000))*(DR162*DK162/($K$5*1000)))</f>
        <v>0</v>
      </c>
      <c r="R162">
        <f>I162*(1000-(1000*0.61365*exp(17.502*V162/(240.97+V162))/(DK162+DL162)+DF162)/2)/(1000*0.61365*exp(17.502*V162/(240.97+V162))/(DK162+DL162)-DF162)</f>
        <v>0</v>
      </c>
      <c r="S162">
        <f>1/((CZ162+1)/(P162/1.6)+1/(Q162/1.37)) + CZ162/((CZ162+1)/(P162/1.6) + CZ162/(Q162/1.37))</f>
        <v>0</v>
      </c>
      <c r="T162">
        <f>(CU162*CX162)</f>
        <v>0</v>
      </c>
      <c r="U162">
        <f>(DM162+(T162+2*0.95*5.67E-8*(((DM162+$B$9)+273)^4-(DM162+273)^4)-44100*I162)/(1.84*29.3*Q162+8*0.95*5.67E-8*(DM162+273)^3))</f>
        <v>0</v>
      </c>
      <c r="V162">
        <f>($C$9*DN162+$D$9*DO162+$E$9*U162)</f>
        <v>0</v>
      </c>
      <c r="W162">
        <f>0.61365*exp(17.502*V162/(240.97+V162))</f>
        <v>0</v>
      </c>
      <c r="X162">
        <f>(Y162/Z162*100)</f>
        <v>0</v>
      </c>
      <c r="Y162">
        <f>DF162*(DK162+DL162)/1000</f>
        <v>0</v>
      </c>
      <c r="Z162">
        <f>0.61365*exp(17.502*DM162/(240.97+DM162))</f>
        <v>0</v>
      </c>
      <c r="AA162">
        <f>(W162-DF162*(DK162+DL162)/1000)</f>
        <v>0</v>
      </c>
      <c r="AB162">
        <f>(-I162*44100)</f>
        <v>0</v>
      </c>
      <c r="AC162">
        <f>2*29.3*Q162*0.92*(DM162-V162)</f>
        <v>0</v>
      </c>
      <c r="AD162">
        <f>2*0.95*5.67E-8*(((DM162+$B$9)+273)^4-(V162+273)^4)</f>
        <v>0</v>
      </c>
      <c r="AE162">
        <f>T162+AD162+AB162+AC162</f>
        <v>0</v>
      </c>
      <c r="AF162">
        <v>1</v>
      </c>
      <c r="AG162">
        <v>0</v>
      </c>
      <c r="AH162">
        <f>IF(AF162*$H$15&gt;=AJ162,1.0,(AJ162/(AJ162-AF162*$H$15)))</f>
        <v>0</v>
      </c>
      <c r="AI162">
        <f>(AH162-1)*100</f>
        <v>0</v>
      </c>
      <c r="AJ162">
        <f>MAX(0,($B$15+$C$15*DR162)/(1+$D$15*DR162)*DK162/(DM162+273)*$E$15)</f>
        <v>0</v>
      </c>
      <c r="AK162" t="s">
        <v>420</v>
      </c>
      <c r="AL162" t="s">
        <v>420</v>
      </c>
      <c r="AM162">
        <v>0</v>
      </c>
      <c r="AN162">
        <v>0</v>
      </c>
      <c r="AO162">
        <f>1-AM162/AN162</f>
        <v>0</v>
      </c>
      <c r="AP162">
        <v>0</v>
      </c>
      <c r="AQ162" t="s">
        <v>420</v>
      </c>
      <c r="AR162" t="s">
        <v>420</v>
      </c>
      <c r="AS162">
        <v>0</v>
      </c>
      <c r="AT162">
        <v>0</v>
      </c>
      <c r="AU162">
        <f>1-AS162/AT162</f>
        <v>0</v>
      </c>
      <c r="AV162">
        <v>0.5</v>
      </c>
      <c r="AW162">
        <f>CV162</f>
        <v>0</v>
      </c>
      <c r="AX162">
        <f>K162</f>
        <v>0</v>
      </c>
      <c r="AY162">
        <f>AU162*AV162*AW162</f>
        <v>0</v>
      </c>
      <c r="AZ162">
        <f>(AX162-AP162)/AW162</f>
        <v>0</v>
      </c>
      <c r="BA162">
        <f>(AN162-AT162)/AT162</f>
        <v>0</v>
      </c>
      <c r="BB162">
        <f>AM162/(AO162+AM162/AT162)</f>
        <v>0</v>
      </c>
      <c r="BC162" t="s">
        <v>420</v>
      </c>
      <c r="BD162">
        <v>0</v>
      </c>
      <c r="BE162">
        <f>IF(BD162&lt;&gt;0, BD162, BB162)</f>
        <v>0</v>
      </c>
      <c r="BF162">
        <f>1-BE162/AT162</f>
        <v>0</v>
      </c>
      <c r="BG162">
        <f>(AT162-AS162)/(AT162-BE162)</f>
        <v>0</v>
      </c>
      <c r="BH162">
        <f>(AN162-AT162)/(AN162-BE162)</f>
        <v>0</v>
      </c>
      <c r="BI162">
        <f>(AT162-AS162)/(AT162-AM162)</f>
        <v>0</v>
      </c>
      <c r="BJ162">
        <f>(AN162-AT162)/(AN162-AM162)</f>
        <v>0</v>
      </c>
      <c r="BK162">
        <f>(BG162*BE162/AS162)</f>
        <v>0</v>
      </c>
      <c r="BL162">
        <f>(1-BK162)</f>
        <v>0</v>
      </c>
      <c r="CU162">
        <f>$B$13*DS162+$C$13*DT162+$F$13*EE162*(1-EH162)</f>
        <v>0</v>
      </c>
      <c r="CV162">
        <f>CU162*CW162</f>
        <v>0</v>
      </c>
      <c r="CW162">
        <f>($B$13*$D$11+$C$13*$D$11+$F$13*((ER162+EJ162)/MAX(ER162+EJ162+ES162, 0.1)*$I$11+ES162/MAX(ER162+EJ162+ES162, 0.1)*$J$11))/($B$13+$C$13+$F$13)</f>
        <v>0</v>
      </c>
      <c r="CX162">
        <f>($B$13*$K$11+$C$13*$K$11+$F$13*((ER162+EJ162)/MAX(ER162+EJ162+ES162, 0.1)*$P$11+ES162/MAX(ER162+EJ162+ES162, 0.1)*$Q$11))/($B$13+$C$13+$F$13)</f>
        <v>0</v>
      </c>
      <c r="CY162">
        <v>5.66</v>
      </c>
      <c r="CZ162">
        <v>0.5</v>
      </c>
      <c r="DA162" t="s">
        <v>421</v>
      </c>
      <c r="DB162">
        <v>2</v>
      </c>
      <c r="DC162">
        <v>1761019101.1</v>
      </c>
      <c r="DD162">
        <v>420.843</v>
      </c>
      <c r="DE162">
        <v>420.0982222222223</v>
      </c>
      <c r="DF162">
        <v>24.98876666666666</v>
      </c>
      <c r="DG162">
        <v>24.84037777777778</v>
      </c>
      <c r="DH162">
        <v>422.4091111111111</v>
      </c>
      <c r="DI162">
        <v>24.7697</v>
      </c>
      <c r="DJ162">
        <v>499.9204444444445</v>
      </c>
      <c r="DK162">
        <v>90.8091</v>
      </c>
      <c r="DL162">
        <v>0.03379898888888888</v>
      </c>
      <c r="DM162">
        <v>30.51556666666666</v>
      </c>
      <c r="DN162">
        <v>30.01152222222222</v>
      </c>
      <c r="DO162">
        <v>999.9000000000001</v>
      </c>
      <c r="DP162">
        <v>0</v>
      </c>
      <c r="DQ162">
        <v>0</v>
      </c>
      <c r="DR162">
        <v>10003.33333333333</v>
      </c>
      <c r="DS162">
        <v>0</v>
      </c>
      <c r="DT162">
        <v>0.242856</v>
      </c>
      <c r="DU162">
        <v>0.7447238888888889</v>
      </c>
      <c r="DV162">
        <v>431.6288888888889</v>
      </c>
      <c r="DW162">
        <v>430.7995555555556</v>
      </c>
      <c r="DX162">
        <v>0.1483863777777778</v>
      </c>
      <c r="DY162">
        <v>420.0982222222223</v>
      </c>
      <c r="DZ162">
        <v>24.84037777777778</v>
      </c>
      <c r="EA162">
        <v>2.269206666666667</v>
      </c>
      <c r="EB162">
        <v>2.25573</v>
      </c>
      <c r="EC162">
        <v>19.45944444444444</v>
      </c>
      <c r="ED162">
        <v>19.36316666666667</v>
      </c>
      <c r="EE162">
        <v>0.00500078</v>
      </c>
      <c r="EF162">
        <v>0</v>
      </c>
      <c r="EG162">
        <v>0</v>
      </c>
      <c r="EH162">
        <v>0</v>
      </c>
      <c r="EI162">
        <v>837</v>
      </c>
      <c r="EJ162">
        <v>0.00500078</v>
      </c>
      <c r="EK162">
        <v>-13.88888888888889</v>
      </c>
      <c r="EL162">
        <v>-0.8111111111111111</v>
      </c>
      <c r="EM162">
        <v>35.73588888888889</v>
      </c>
      <c r="EN162">
        <v>39.24966666666666</v>
      </c>
      <c r="EO162">
        <v>38.11788888888889</v>
      </c>
      <c r="EP162">
        <v>39.82611111111111</v>
      </c>
      <c r="EQ162">
        <v>38.52055555555555</v>
      </c>
      <c r="ER162">
        <v>0</v>
      </c>
      <c r="ES162">
        <v>0</v>
      </c>
      <c r="ET162">
        <v>0</v>
      </c>
      <c r="EU162">
        <v>1761019103.5</v>
      </c>
      <c r="EV162">
        <v>0</v>
      </c>
      <c r="EW162">
        <v>839.2307692307693</v>
      </c>
      <c r="EX162">
        <v>-29.41538468272148</v>
      </c>
      <c r="EY162">
        <v>-29.39829087217098</v>
      </c>
      <c r="EZ162">
        <v>-11.38846153846154</v>
      </c>
      <c r="FA162">
        <v>15</v>
      </c>
      <c r="FB162">
        <v>1761018667.1</v>
      </c>
      <c r="FC162" t="s">
        <v>613</v>
      </c>
      <c r="FD162">
        <v>1761018661.6</v>
      </c>
      <c r="FE162">
        <v>1761018667.1</v>
      </c>
      <c r="FF162">
        <v>26</v>
      </c>
      <c r="FG162">
        <v>-0.221</v>
      </c>
      <c r="FH162">
        <v>-0.001</v>
      </c>
      <c r="FI162">
        <v>-1.568</v>
      </c>
      <c r="FJ162">
        <v>0.178</v>
      </c>
      <c r="FK162">
        <v>420</v>
      </c>
      <c r="FL162">
        <v>23</v>
      </c>
      <c r="FM162">
        <v>0.1</v>
      </c>
      <c r="FN162">
        <v>0.08</v>
      </c>
      <c r="FO162">
        <v>0.716957025</v>
      </c>
      <c r="FP162">
        <v>0.415025594746715</v>
      </c>
      <c r="FQ162">
        <v>0.05752217313805499</v>
      </c>
      <c r="FR162">
        <v>1</v>
      </c>
      <c r="FS162">
        <v>840.1382352941176</v>
      </c>
      <c r="FT162">
        <v>-19.7295645665063</v>
      </c>
      <c r="FU162">
        <v>7.173809173813009</v>
      </c>
      <c r="FV162">
        <v>0</v>
      </c>
      <c r="FW162">
        <v>-0.2131138085</v>
      </c>
      <c r="FX162">
        <v>1.921732460262664</v>
      </c>
      <c r="FY162">
        <v>0.2109917295237529</v>
      </c>
      <c r="FZ162">
        <v>0</v>
      </c>
      <c r="GA162">
        <v>1</v>
      </c>
      <c r="GB162">
        <v>3</v>
      </c>
      <c r="GC162" t="s">
        <v>431</v>
      </c>
      <c r="GD162">
        <v>3.10947</v>
      </c>
      <c r="GE162">
        <v>2.72573</v>
      </c>
      <c r="GF162">
        <v>0.08909590000000001</v>
      </c>
      <c r="GG162">
        <v>0.088797</v>
      </c>
      <c r="GH162">
        <v>0.111971</v>
      </c>
      <c r="GI162">
        <v>0.111031</v>
      </c>
      <c r="GJ162">
        <v>23926</v>
      </c>
      <c r="GK162">
        <v>21658.3</v>
      </c>
      <c r="GL162">
        <v>26822</v>
      </c>
      <c r="GM162">
        <v>23972.6</v>
      </c>
      <c r="GN162">
        <v>38052.7</v>
      </c>
      <c r="GO162">
        <v>31425.4</v>
      </c>
      <c r="GP162">
        <v>46815.1</v>
      </c>
      <c r="GQ162">
        <v>37886.4</v>
      </c>
      <c r="GR162">
        <v>1.89925</v>
      </c>
      <c r="GS162">
        <v>1.8969</v>
      </c>
      <c r="GT162">
        <v>0.131615</v>
      </c>
      <c r="GU162">
        <v>0</v>
      </c>
      <c r="GV162">
        <v>27.8475</v>
      </c>
      <c r="GW162">
        <v>999.9</v>
      </c>
      <c r="GX162">
        <v>64.09999999999999</v>
      </c>
      <c r="GY162">
        <v>28.4</v>
      </c>
      <c r="GZ162">
        <v>27.417</v>
      </c>
      <c r="HA162">
        <v>61.3373</v>
      </c>
      <c r="HB162">
        <v>20.4327</v>
      </c>
      <c r="HC162">
        <v>1</v>
      </c>
      <c r="HD162">
        <v>-0.022904</v>
      </c>
      <c r="HE162">
        <v>-1.67331</v>
      </c>
      <c r="HF162">
        <v>20.3284</v>
      </c>
      <c r="HG162">
        <v>5.22223</v>
      </c>
      <c r="HH162">
        <v>11.9798</v>
      </c>
      <c r="HI162">
        <v>4.96555</v>
      </c>
      <c r="HJ162">
        <v>3.27585</v>
      </c>
      <c r="HK162">
        <v>9999</v>
      </c>
      <c r="HL162">
        <v>9999</v>
      </c>
      <c r="HM162">
        <v>9999</v>
      </c>
      <c r="HN162">
        <v>999.9</v>
      </c>
      <c r="HO162">
        <v>1.8636</v>
      </c>
      <c r="HP162">
        <v>1.85974</v>
      </c>
      <c r="HQ162">
        <v>1.85798</v>
      </c>
      <c r="HR162">
        <v>1.85942</v>
      </c>
      <c r="HS162">
        <v>1.85958</v>
      </c>
      <c r="HT162">
        <v>1.85804</v>
      </c>
      <c r="HU162">
        <v>1.85707</v>
      </c>
      <c r="HV162">
        <v>1.85208</v>
      </c>
      <c r="HW162">
        <v>0</v>
      </c>
      <c r="HX162">
        <v>0</v>
      </c>
      <c r="HY162">
        <v>0</v>
      </c>
      <c r="HZ162">
        <v>0</v>
      </c>
      <c r="IA162" t="s">
        <v>424</v>
      </c>
      <c r="IB162" t="s">
        <v>425</v>
      </c>
      <c r="IC162" t="s">
        <v>426</v>
      </c>
      <c r="ID162" t="s">
        <v>426</v>
      </c>
      <c r="IE162" t="s">
        <v>426</v>
      </c>
      <c r="IF162" t="s">
        <v>426</v>
      </c>
      <c r="IG162">
        <v>0</v>
      </c>
      <c r="IH162">
        <v>100</v>
      </c>
      <c r="II162">
        <v>100</v>
      </c>
      <c r="IJ162">
        <v>-1.567</v>
      </c>
      <c r="IK162">
        <v>0.2182</v>
      </c>
      <c r="IL162">
        <v>-2.357986366295179</v>
      </c>
      <c r="IM162">
        <v>0.001328113201692861</v>
      </c>
      <c r="IN162">
        <v>1.538283238170363E-06</v>
      </c>
      <c r="IO162">
        <v>-5.795655626708063E-10</v>
      </c>
      <c r="IP162">
        <v>-0.06105361615936408</v>
      </c>
      <c r="IQ162">
        <v>-0.004593102289677449</v>
      </c>
      <c r="IR162">
        <v>0.0008253994458280543</v>
      </c>
      <c r="IS162">
        <v>-7.403632370499484E-06</v>
      </c>
      <c r="IT162">
        <v>2</v>
      </c>
      <c r="IU162">
        <v>1985</v>
      </c>
      <c r="IV162">
        <v>1</v>
      </c>
      <c r="IW162">
        <v>27</v>
      </c>
      <c r="IX162">
        <v>7.4</v>
      </c>
      <c r="IY162">
        <v>7.3</v>
      </c>
      <c r="IZ162">
        <v>1.13037</v>
      </c>
      <c r="JA162">
        <v>2.58423</v>
      </c>
      <c r="JB162">
        <v>1.49658</v>
      </c>
      <c r="JC162">
        <v>2.34497</v>
      </c>
      <c r="JD162">
        <v>1.54907</v>
      </c>
      <c r="JE162">
        <v>2.45728</v>
      </c>
      <c r="JF162">
        <v>31.8488</v>
      </c>
      <c r="JG162">
        <v>14.491</v>
      </c>
      <c r="JH162">
        <v>18</v>
      </c>
      <c r="JI162">
        <v>481.672</v>
      </c>
      <c r="JJ162">
        <v>509.898</v>
      </c>
      <c r="JK162">
        <v>31.046</v>
      </c>
      <c r="JL162">
        <v>26.9995</v>
      </c>
      <c r="JM162">
        <v>30.0001</v>
      </c>
      <c r="JN162">
        <v>27.2772</v>
      </c>
      <c r="JO162">
        <v>27.2765</v>
      </c>
      <c r="JP162">
        <v>22.7359</v>
      </c>
      <c r="JQ162">
        <v>26.194</v>
      </c>
      <c r="JR162">
        <v>91.5461</v>
      </c>
      <c r="JS162">
        <v>31.0613</v>
      </c>
      <c r="JT162">
        <v>420</v>
      </c>
      <c r="JU162">
        <v>23.3623</v>
      </c>
      <c r="JV162">
        <v>102.375</v>
      </c>
      <c r="JW162">
        <v>91.4061</v>
      </c>
    </row>
    <row r="163" spans="1:283">
      <c r="A163">
        <v>145</v>
      </c>
      <c r="B163">
        <v>1761019106.1</v>
      </c>
      <c r="C163">
        <v>1036.599999904633</v>
      </c>
      <c r="D163" t="s">
        <v>721</v>
      </c>
      <c r="E163" t="s">
        <v>722</v>
      </c>
      <c r="F163">
        <v>5</v>
      </c>
      <c r="G163" t="s">
        <v>674</v>
      </c>
      <c r="H163">
        <v>1761019103.1</v>
      </c>
      <c r="I163">
        <f>(J163)/1000</f>
        <v>0</v>
      </c>
      <c r="J163">
        <f>1000*DJ163*AH163*(DF163-DG163)/(100*CY163*(1000-AH163*DF163))</f>
        <v>0</v>
      </c>
      <c r="K163">
        <f>DJ163*AH163*(DE163-DD163*(1000-AH163*DG163)/(1000-AH163*DF163))/(100*CY163)</f>
        <v>0</v>
      </c>
      <c r="L163">
        <f>DD163 - IF(AH163&gt;1, K163*CY163*100.0/(AJ163), 0)</f>
        <v>0</v>
      </c>
      <c r="M163">
        <f>((S163-I163/2)*L163-K163)/(S163+I163/2)</f>
        <v>0</v>
      </c>
      <c r="N163">
        <f>M163*(DK163+DL163)/1000.0</f>
        <v>0</v>
      </c>
      <c r="O163">
        <f>(DD163 - IF(AH163&gt;1, K163*CY163*100.0/(AJ163), 0))*(DK163+DL163)/1000.0</f>
        <v>0</v>
      </c>
      <c r="P163">
        <f>2.0/((1/R163-1/Q163)+SIGN(R163)*SQRT((1/R163-1/Q163)*(1/R163-1/Q163) + 4*CZ163/((CZ163+1)*(CZ163+1))*(2*1/R163*1/Q163-1/Q163*1/Q163)))</f>
        <v>0</v>
      </c>
      <c r="Q163">
        <f>IF(LEFT(DA163,1)&lt;&gt;"0",IF(LEFT(DA163,1)="1",3.0,DB163),$D$5+$E$5*(DR163*DK163/($K$5*1000))+$F$5*(DR163*DK163/($K$5*1000))*MAX(MIN(CY163,$J$5),$I$5)*MAX(MIN(CY163,$J$5),$I$5)+$G$5*MAX(MIN(CY163,$J$5),$I$5)*(DR163*DK163/($K$5*1000))+$H$5*(DR163*DK163/($K$5*1000))*(DR163*DK163/($K$5*1000)))</f>
        <v>0</v>
      </c>
      <c r="R163">
        <f>I163*(1000-(1000*0.61365*exp(17.502*V163/(240.97+V163))/(DK163+DL163)+DF163)/2)/(1000*0.61365*exp(17.502*V163/(240.97+V163))/(DK163+DL163)-DF163)</f>
        <v>0</v>
      </c>
      <c r="S163">
        <f>1/((CZ163+1)/(P163/1.6)+1/(Q163/1.37)) + CZ163/((CZ163+1)/(P163/1.6) + CZ163/(Q163/1.37))</f>
        <v>0</v>
      </c>
      <c r="T163">
        <f>(CU163*CX163)</f>
        <v>0</v>
      </c>
      <c r="U163">
        <f>(DM163+(T163+2*0.95*5.67E-8*(((DM163+$B$9)+273)^4-(DM163+273)^4)-44100*I163)/(1.84*29.3*Q163+8*0.95*5.67E-8*(DM163+273)^3))</f>
        <v>0</v>
      </c>
      <c r="V163">
        <f>($C$9*DN163+$D$9*DO163+$E$9*U163)</f>
        <v>0</v>
      </c>
      <c r="W163">
        <f>0.61365*exp(17.502*V163/(240.97+V163))</f>
        <v>0</v>
      </c>
      <c r="X163">
        <f>(Y163/Z163*100)</f>
        <v>0</v>
      </c>
      <c r="Y163">
        <f>DF163*(DK163+DL163)/1000</f>
        <v>0</v>
      </c>
      <c r="Z163">
        <f>0.61365*exp(17.502*DM163/(240.97+DM163))</f>
        <v>0</v>
      </c>
      <c r="AA163">
        <f>(W163-DF163*(DK163+DL163)/1000)</f>
        <v>0</v>
      </c>
      <c r="AB163">
        <f>(-I163*44100)</f>
        <v>0</v>
      </c>
      <c r="AC163">
        <f>2*29.3*Q163*0.92*(DM163-V163)</f>
        <v>0</v>
      </c>
      <c r="AD163">
        <f>2*0.95*5.67E-8*(((DM163+$B$9)+273)^4-(V163+273)^4)</f>
        <v>0</v>
      </c>
      <c r="AE163">
        <f>T163+AD163+AB163+AC163</f>
        <v>0</v>
      </c>
      <c r="AF163">
        <v>0</v>
      </c>
      <c r="AG163">
        <v>0</v>
      </c>
      <c r="AH163">
        <f>IF(AF163*$H$15&gt;=AJ163,1.0,(AJ163/(AJ163-AF163*$H$15)))</f>
        <v>0</v>
      </c>
      <c r="AI163">
        <f>(AH163-1)*100</f>
        <v>0</v>
      </c>
      <c r="AJ163">
        <f>MAX(0,($B$15+$C$15*DR163)/(1+$D$15*DR163)*DK163/(DM163+273)*$E$15)</f>
        <v>0</v>
      </c>
      <c r="AK163" t="s">
        <v>420</v>
      </c>
      <c r="AL163" t="s">
        <v>420</v>
      </c>
      <c r="AM163">
        <v>0</v>
      </c>
      <c r="AN163">
        <v>0</v>
      </c>
      <c r="AO163">
        <f>1-AM163/AN163</f>
        <v>0</v>
      </c>
      <c r="AP163">
        <v>0</v>
      </c>
      <c r="AQ163" t="s">
        <v>420</v>
      </c>
      <c r="AR163" t="s">
        <v>420</v>
      </c>
      <c r="AS163">
        <v>0</v>
      </c>
      <c r="AT163">
        <v>0</v>
      </c>
      <c r="AU163">
        <f>1-AS163/AT163</f>
        <v>0</v>
      </c>
      <c r="AV163">
        <v>0.5</v>
      </c>
      <c r="AW163">
        <f>CV163</f>
        <v>0</v>
      </c>
      <c r="AX163">
        <f>K163</f>
        <v>0</v>
      </c>
      <c r="AY163">
        <f>AU163*AV163*AW163</f>
        <v>0</v>
      </c>
      <c r="AZ163">
        <f>(AX163-AP163)/AW163</f>
        <v>0</v>
      </c>
      <c r="BA163">
        <f>(AN163-AT163)/AT163</f>
        <v>0</v>
      </c>
      <c r="BB163">
        <f>AM163/(AO163+AM163/AT163)</f>
        <v>0</v>
      </c>
      <c r="BC163" t="s">
        <v>420</v>
      </c>
      <c r="BD163">
        <v>0</v>
      </c>
      <c r="BE163">
        <f>IF(BD163&lt;&gt;0, BD163, BB163)</f>
        <v>0</v>
      </c>
      <c r="BF163">
        <f>1-BE163/AT163</f>
        <v>0</v>
      </c>
      <c r="BG163">
        <f>(AT163-AS163)/(AT163-BE163)</f>
        <v>0</v>
      </c>
      <c r="BH163">
        <f>(AN163-AT163)/(AN163-BE163)</f>
        <v>0</v>
      </c>
      <c r="BI163">
        <f>(AT163-AS163)/(AT163-AM163)</f>
        <v>0</v>
      </c>
      <c r="BJ163">
        <f>(AN163-AT163)/(AN163-AM163)</f>
        <v>0</v>
      </c>
      <c r="BK163">
        <f>(BG163*BE163/AS163)</f>
        <v>0</v>
      </c>
      <c r="BL163">
        <f>(1-BK163)</f>
        <v>0</v>
      </c>
      <c r="CU163">
        <f>$B$13*DS163+$C$13*DT163+$F$13*EE163*(1-EH163)</f>
        <v>0</v>
      </c>
      <c r="CV163">
        <f>CU163*CW163</f>
        <v>0</v>
      </c>
      <c r="CW163">
        <f>($B$13*$D$11+$C$13*$D$11+$F$13*((ER163+EJ163)/MAX(ER163+EJ163+ES163, 0.1)*$I$11+ES163/MAX(ER163+EJ163+ES163, 0.1)*$J$11))/($B$13+$C$13+$F$13)</f>
        <v>0</v>
      </c>
      <c r="CX163">
        <f>($B$13*$K$11+$C$13*$K$11+$F$13*((ER163+EJ163)/MAX(ER163+EJ163+ES163, 0.1)*$P$11+ES163/MAX(ER163+EJ163+ES163, 0.1)*$Q$11))/($B$13+$C$13+$F$13)</f>
        <v>0</v>
      </c>
      <c r="CY163">
        <v>5.66</v>
      </c>
      <c r="CZ163">
        <v>0.5</v>
      </c>
      <c r="DA163" t="s">
        <v>421</v>
      </c>
      <c r="DB163">
        <v>2</v>
      </c>
      <c r="DC163">
        <v>1761019103.1</v>
      </c>
      <c r="DD163">
        <v>420.8631111111111</v>
      </c>
      <c r="DE163">
        <v>420.2177777777777</v>
      </c>
      <c r="DF163">
        <v>24.9603</v>
      </c>
      <c r="DG163">
        <v>24.47145555555556</v>
      </c>
      <c r="DH163">
        <v>422.4291111111112</v>
      </c>
      <c r="DI163">
        <v>24.74185555555556</v>
      </c>
      <c r="DJ163">
        <v>499.8702222222223</v>
      </c>
      <c r="DK163">
        <v>90.80943333333333</v>
      </c>
      <c r="DL163">
        <v>0.03375455555555555</v>
      </c>
      <c r="DM163">
        <v>30.50428888888889</v>
      </c>
      <c r="DN163">
        <v>30.00018888888889</v>
      </c>
      <c r="DO163">
        <v>999.9000000000001</v>
      </c>
      <c r="DP163">
        <v>0</v>
      </c>
      <c r="DQ163">
        <v>0</v>
      </c>
      <c r="DR163">
        <v>10000.63333333333</v>
      </c>
      <c r="DS163">
        <v>0</v>
      </c>
      <c r="DT163">
        <v>0.242856</v>
      </c>
      <c r="DU163">
        <v>0.6452907777777778</v>
      </c>
      <c r="DV163">
        <v>431.637</v>
      </c>
      <c r="DW163">
        <v>430.7591111111111</v>
      </c>
      <c r="DX163">
        <v>0.4888490222222222</v>
      </c>
      <c r="DY163">
        <v>420.2177777777777</v>
      </c>
      <c r="DZ163">
        <v>24.47145555555556</v>
      </c>
      <c r="EA163">
        <v>2.26663</v>
      </c>
      <c r="EB163">
        <v>2.222237777777778</v>
      </c>
      <c r="EC163">
        <v>19.44114444444444</v>
      </c>
      <c r="ED163">
        <v>19.12161111111111</v>
      </c>
      <c r="EE163">
        <v>0.00500078</v>
      </c>
      <c r="EF163">
        <v>0</v>
      </c>
      <c r="EG163">
        <v>0</v>
      </c>
      <c r="EH163">
        <v>0</v>
      </c>
      <c r="EI163">
        <v>835.1888888888889</v>
      </c>
      <c r="EJ163">
        <v>0.00500078</v>
      </c>
      <c r="EK163">
        <v>-14.02222222222222</v>
      </c>
      <c r="EL163">
        <v>-0.7888888888888889</v>
      </c>
      <c r="EM163">
        <v>35.70822222222223</v>
      </c>
      <c r="EN163">
        <v>39.18733333333333</v>
      </c>
      <c r="EO163">
        <v>38.35400000000001</v>
      </c>
      <c r="EP163">
        <v>39.73577777777778</v>
      </c>
      <c r="EQ163">
        <v>38.48588888888889</v>
      </c>
      <c r="ER163">
        <v>0</v>
      </c>
      <c r="ES163">
        <v>0</v>
      </c>
      <c r="ET163">
        <v>0</v>
      </c>
      <c r="EU163">
        <v>1761019105.3</v>
      </c>
      <c r="EV163">
        <v>0</v>
      </c>
      <c r="EW163">
        <v>837.8679999999999</v>
      </c>
      <c r="EX163">
        <v>-29.16923090424209</v>
      </c>
      <c r="EY163">
        <v>-21.00000036802047</v>
      </c>
      <c r="EZ163">
        <v>-11.576</v>
      </c>
      <c r="FA163">
        <v>15</v>
      </c>
      <c r="FB163">
        <v>1761018667.1</v>
      </c>
      <c r="FC163" t="s">
        <v>613</v>
      </c>
      <c r="FD163">
        <v>1761018661.6</v>
      </c>
      <c r="FE163">
        <v>1761018667.1</v>
      </c>
      <c r="FF163">
        <v>26</v>
      </c>
      <c r="FG163">
        <v>-0.221</v>
      </c>
      <c r="FH163">
        <v>-0.001</v>
      </c>
      <c r="FI163">
        <v>-1.568</v>
      </c>
      <c r="FJ163">
        <v>0.178</v>
      </c>
      <c r="FK163">
        <v>420</v>
      </c>
      <c r="FL163">
        <v>23</v>
      </c>
      <c r="FM163">
        <v>0.1</v>
      </c>
      <c r="FN163">
        <v>0.08</v>
      </c>
      <c r="FO163">
        <v>0.7023188536585366</v>
      </c>
      <c r="FP163">
        <v>-0.160399756097561</v>
      </c>
      <c r="FQ163">
        <v>0.08415969684824405</v>
      </c>
      <c r="FR163">
        <v>1</v>
      </c>
      <c r="FS163">
        <v>839.0705882352942</v>
      </c>
      <c r="FT163">
        <v>-26.44461422249577</v>
      </c>
      <c r="FU163">
        <v>7.52312237320479</v>
      </c>
      <c r="FV163">
        <v>0</v>
      </c>
      <c r="FW163">
        <v>-0.07279176439024392</v>
      </c>
      <c r="FX163">
        <v>3.388050306062718</v>
      </c>
      <c r="FY163">
        <v>0.3879105996560174</v>
      </c>
      <c r="FZ163">
        <v>0</v>
      </c>
      <c r="GA163">
        <v>1</v>
      </c>
      <c r="GB163">
        <v>3</v>
      </c>
      <c r="GC163" t="s">
        <v>431</v>
      </c>
      <c r="GD163">
        <v>3.10944</v>
      </c>
      <c r="GE163">
        <v>2.72527</v>
      </c>
      <c r="GF163">
        <v>0.0890982</v>
      </c>
      <c r="GG163">
        <v>0.0888142</v>
      </c>
      <c r="GH163">
        <v>0.111568</v>
      </c>
      <c r="GI163">
        <v>0.108611</v>
      </c>
      <c r="GJ163">
        <v>23925.9</v>
      </c>
      <c r="GK163">
        <v>21657.9</v>
      </c>
      <c r="GL163">
        <v>26822</v>
      </c>
      <c r="GM163">
        <v>23972.7</v>
      </c>
      <c r="GN163">
        <v>38070.3</v>
      </c>
      <c r="GO163">
        <v>31511.9</v>
      </c>
      <c r="GP163">
        <v>46815.1</v>
      </c>
      <c r="GQ163">
        <v>37886.6</v>
      </c>
      <c r="GR163">
        <v>1.89968</v>
      </c>
      <c r="GS163">
        <v>1.8963</v>
      </c>
      <c r="GT163">
        <v>0.13154</v>
      </c>
      <c r="GU163">
        <v>0</v>
      </c>
      <c r="GV163">
        <v>27.844</v>
      </c>
      <c r="GW163">
        <v>999.9</v>
      </c>
      <c r="GX163">
        <v>64.2</v>
      </c>
      <c r="GY163">
        <v>28.5</v>
      </c>
      <c r="GZ163">
        <v>27.6184</v>
      </c>
      <c r="HA163">
        <v>61.0773</v>
      </c>
      <c r="HB163">
        <v>20.3766</v>
      </c>
      <c r="HC163">
        <v>1</v>
      </c>
      <c r="HD163">
        <v>-0.0229192</v>
      </c>
      <c r="HE163">
        <v>-1.72406</v>
      </c>
      <c r="HF163">
        <v>20.3271</v>
      </c>
      <c r="HG163">
        <v>5.21864</v>
      </c>
      <c r="HH163">
        <v>11.98</v>
      </c>
      <c r="HI163">
        <v>4.9649</v>
      </c>
      <c r="HJ163">
        <v>3.27518</v>
      </c>
      <c r="HK163">
        <v>9999</v>
      </c>
      <c r="HL163">
        <v>9999</v>
      </c>
      <c r="HM163">
        <v>9999</v>
      </c>
      <c r="HN163">
        <v>999.9</v>
      </c>
      <c r="HO163">
        <v>1.86362</v>
      </c>
      <c r="HP163">
        <v>1.85974</v>
      </c>
      <c r="HQ163">
        <v>1.858</v>
      </c>
      <c r="HR163">
        <v>1.85942</v>
      </c>
      <c r="HS163">
        <v>1.85958</v>
      </c>
      <c r="HT163">
        <v>1.85805</v>
      </c>
      <c r="HU163">
        <v>1.8571</v>
      </c>
      <c r="HV163">
        <v>1.85209</v>
      </c>
      <c r="HW163">
        <v>0</v>
      </c>
      <c r="HX163">
        <v>0</v>
      </c>
      <c r="HY163">
        <v>0</v>
      </c>
      <c r="HZ163">
        <v>0</v>
      </c>
      <c r="IA163" t="s">
        <v>424</v>
      </c>
      <c r="IB163" t="s">
        <v>425</v>
      </c>
      <c r="IC163" t="s">
        <v>426</v>
      </c>
      <c r="ID163" t="s">
        <v>426</v>
      </c>
      <c r="IE163" t="s">
        <v>426</v>
      </c>
      <c r="IF163" t="s">
        <v>426</v>
      </c>
      <c r="IG163">
        <v>0</v>
      </c>
      <c r="IH163">
        <v>100</v>
      </c>
      <c r="II163">
        <v>100</v>
      </c>
      <c r="IJ163">
        <v>-1.566</v>
      </c>
      <c r="IK163">
        <v>0.2153</v>
      </c>
      <c r="IL163">
        <v>-2.357986366295179</v>
      </c>
      <c r="IM163">
        <v>0.001328113201692861</v>
      </c>
      <c r="IN163">
        <v>1.538283238170363E-06</v>
      </c>
      <c r="IO163">
        <v>-5.795655626708063E-10</v>
      </c>
      <c r="IP163">
        <v>-0.06105361615936408</v>
      </c>
      <c r="IQ163">
        <v>-0.004593102289677449</v>
      </c>
      <c r="IR163">
        <v>0.0008253994458280543</v>
      </c>
      <c r="IS163">
        <v>-7.403632370499484E-06</v>
      </c>
      <c r="IT163">
        <v>2</v>
      </c>
      <c r="IU163">
        <v>1985</v>
      </c>
      <c r="IV163">
        <v>1</v>
      </c>
      <c r="IW163">
        <v>27</v>
      </c>
      <c r="IX163">
        <v>7.4</v>
      </c>
      <c r="IY163">
        <v>7.3</v>
      </c>
      <c r="IZ163">
        <v>1.13037</v>
      </c>
      <c r="JA163">
        <v>2.59644</v>
      </c>
      <c r="JB163">
        <v>1.49658</v>
      </c>
      <c r="JC163">
        <v>2.34619</v>
      </c>
      <c r="JD163">
        <v>1.54907</v>
      </c>
      <c r="JE163">
        <v>2.37671</v>
      </c>
      <c r="JF163">
        <v>31.8488</v>
      </c>
      <c r="JG163">
        <v>14.491</v>
      </c>
      <c r="JH163">
        <v>18</v>
      </c>
      <c r="JI163">
        <v>481.899</v>
      </c>
      <c r="JJ163">
        <v>509.451</v>
      </c>
      <c r="JK163">
        <v>31.0369</v>
      </c>
      <c r="JL163">
        <v>26.9984</v>
      </c>
      <c r="JM163">
        <v>30.0001</v>
      </c>
      <c r="JN163">
        <v>27.2749</v>
      </c>
      <c r="JO163">
        <v>27.2715</v>
      </c>
      <c r="JP163">
        <v>22.7276</v>
      </c>
      <c r="JQ163">
        <v>24.3592</v>
      </c>
      <c r="JR163">
        <v>91.5461</v>
      </c>
      <c r="JS163">
        <v>32.1635</v>
      </c>
      <c r="JT163">
        <v>420</v>
      </c>
      <c r="JU163">
        <v>23.4383</v>
      </c>
      <c r="JV163">
        <v>102.375</v>
      </c>
      <c r="JW163">
        <v>91.4064</v>
      </c>
    </row>
    <row r="164" spans="1:283">
      <c r="A164">
        <v>146</v>
      </c>
      <c r="B164">
        <v>1761019108.1</v>
      </c>
      <c r="C164">
        <v>1038.599999904633</v>
      </c>
      <c r="D164" t="s">
        <v>723</v>
      </c>
      <c r="E164" t="s">
        <v>724</v>
      </c>
      <c r="F164">
        <v>5</v>
      </c>
      <c r="G164" t="s">
        <v>674</v>
      </c>
      <c r="H164">
        <v>1761019105.1</v>
      </c>
      <c r="I164">
        <f>(J164)/1000</f>
        <v>0</v>
      </c>
      <c r="J164">
        <f>1000*DJ164*AH164*(DF164-DG164)/(100*CY164*(1000-AH164*DF164))</f>
        <v>0</v>
      </c>
      <c r="K164">
        <f>DJ164*AH164*(DE164-DD164*(1000-AH164*DG164)/(1000-AH164*DF164))/(100*CY164)</f>
        <v>0</v>
      </c>
      <c r="L164">
        <f>DD164 - IF(AH164&gt;1, K164*CY164*100.0/(AJ164), 0)</f>
        <v>0</v>
      </c>
      <c r="M164">
        <f>((S164-I164/2)*L164-K164)/(S164+I164/2)</f>
        <v>0</v>
      </c>
      <c r="N164">
        <f>M164*(DK164+DL164)/1000.0</f>
        <v>0</v>
      </c>
      <c r="O164">
        <f>(DD164 - IF(AH164&gt;1, K164*CY164*100.0/(AJ164), 0))*(DK164+DL164)/1000.0</f>
        <v>0</v>
      </c>
      <c r="P164">
        <f>2.0/((1/R164-1/Q164)+SIGN(R164)*SQRT((1/R164-1/Q164)*(1/R164-1/Q164) + 4*CZ164/((CZ164+1)*(CZ164+1))*(2*1/R164*1/Q164-1/Q164*1/Q164)))</f>
        <v>0</v>
      </c>
      <c r="Q164">
        <f>IF(LEFT(DA164,1)&lt;&gt;"0",IF(LEFT(DA164,1)="1",3.0,DB164),$D$5+$E$5*(DR164*DK164/($K$5*1000))+$F$5*(DR164*DK164/($K$5*1000))*MAX(MIN(CY164,$J$5),$I$5)*MAX(MIN(CY164,$J$5),$I$5)+$G$5*MAX(MIN(CY164,$J$5),$I$5)*(DR164*DK164/($K$5*1000))+$H$5*(DR164*DK164/($K$5*1000))*(DR164*DK164/($K$5*1000)))</f>
        <v>0</v>
      </c>
      <c r="R164">
        <f>I164*(1000-(1000*0.61365*exp(17.502*V164/(240.97+V164))/(DK164+DL164)+DF164)/2)/(1000*0.61365*exp(17.502*V164/(240.97+V164))/(DK164+DL164)-DF164)</f>
        <v>0</v>
      </c>
      <c r="S164">
        <f>1/((CZ164+1)/(P164/1.6)+1/(Q164/1.37)) + CZ164/((CZ164+1)/(P164/1.6) + CZ164/(Q164/1.37))</f>
        <v>0</v>
      </c>
      <c r="T164">
        <f>(CU164*CX164)</f>
        <v>0</v>
      </c>
      <c r="U164">
        <f>(DM164+(T164+2*0.95*5.67E-8*(((DM164+$B$9)+273)^4-(DM164+273)^4)-44100*I164)/(1.84*29.3*Q164+8*0.95*5.67E-8*(DM164+273)^3))</f>
        <v>0</v>
      </c>
      <c r="V164">
        <f>($C$9*DN164+$D$9*DO164+$E$9*U164)</f>
        <v>0</v>
      </c>
      <c r="W164">
        <f>0.61365*exp(17.502*V164/(240.97+V164))</f>
        <v>0</v>
      </c>
      <c r="X164">
        <f>(Y164/Z164*100)</f>
        <v>0</v>
      </c>
      <c r="Y164">
        <f>DF164*(DK164+DL164)/1000</f>
        <v>0</v>
      </c>
      <c r="Z164">
        <f>0.61365*exp(17.502*DM164/(240.97+DM164))</f>
        <v>0</v>
      </c>
      <c r="AA164">
        <f>(W164-DF164*(DK164+DL164)/1000)</f>
        <v>0</v>
      </c>
      <c r="AB164">
        <f>(-I164*44100)</f>
        <v>0</v>
      </c>
      <c r="AC164">
        <f>2*29.3*Q164*0.92*(DM164-V164)</f>
        <v>0</v>
      </c>
      <c r="AD164">
        <f>2*0.95*5.67E-8*(((DM164+$B$9)+273)^4-(V164+273)^4)</f>
        <v>0</v>
      </c>
      <c r="AE164">
        <f>T164+AD164+AB164+AC164</f>
        <v>0</v>
      </c>
      <c r="AF164">
        <v>0</v>
      </c>
      <c r="AG164">
        <v>0</v>
      </c>
      <c r="AH164">
        <f>IF(AF164*$H$15&gt;=AJ164,1.0,(AJ164/(AJ164-AF164*$H$15)))</f>
        <v>0</v>
      </c>
      <c r="AI164">
        <f>(AH164-1)*100</f>
        <v>0</v>
      </c>
      <c r="AJ164">
        <f>MAX(0,($B$15+$C$15*DR164)/(1+$D$15*DR164)*DK164/(DM164+273)*$E$15)</f>
        <v>0</v>
      </c>
      <c r="AK164" t="s">
        <v>420</v>
      </c>
      <c r="AL164" t="s">
        <v>420</v>
      </c>
      <c r="AM164">
        <v>0</v>
      </c>
      <c r="AN164">
        <v>0</v>
      </c>
      <c r="AO164">
        <f>1-AM164/AN164</f>
        <v>0</v>
      </c>
      <c r="AP164">
        <v>0</v>
      </c>
      <c r="AQ164" t="s">
        <v>420</v>
      </c>
      <c r="AR164" t="s">
        <v>420</v>
      </c>
      <c r="AS164">
        <v>0</v>
      </c>
      <c r="AT164">
        <v>0</v>
      </c>
      <c r="AU164">
        <f>1-AS164/AT164</f>
        <v>0</v>
      </c>
      <c r="AV164">
        <v>0.5</v>
      </c>
      <c r="AW164">
        <f>CV164</f>
        <v>0</v>
      </c>
      <c r="AX164">
        <f>K164</f>
        <v>0</v>
      </c>
      <c r="AY164">
        <f>AU164*AV164*AW164</f>
        <v>0</v>
      </c>
      <c r="AZ164">
        <f>(AX164-AP164)/AW164</f>
        <v>0</v>
      </c>
      <c r="BA164">
        <f>(AN164-AT164)/AT164</f>
        <v>0</v>
      </c>
      <c r="BB164">
        <f>AM164/(AO164+AM164/AT164)</f>
        <v>0</v>
      </c>
      <c r="BC164" t="s">
        <v>420</v>
      </c>
      <c r="BD164">
        <v>0</v>
      </c>
      <c r="BE164">
        <f>IF(BD164&lt;&gt;0, BD164, BB164)</f>
        <v>0</v>
      </c>
      <c r="BF164">
        <f>1-BE164/AT164</f>
        <v>0</v>
      </c>
      <c r="BG164">
        <f>(AT164-AS164)/(AT164-BE164)</f>
        <v>0</v>
      </c>
      <c r="BH164">
        <f>(AN164-AT164)/(AN164-BE164)</f>
        <v>0</v>
      </c>
      <c r="BI164">
        <f>(AT164-AS164)/(AT164-AM164)</f>
        <v>0</v>
      </c>
      <c r="BJ164">
        <f>(AN164-AT164)/(AN164-AM164)</f>
        <v>0</v>
      </c>
      <c r="BK164">
        <f>(BG164*BE164/AS164)</f>
        <v>0</v>
      </c>
      <c r="BL164">
        <f>(1-BK164)</f>
        <v>0</v>
      </c>
      <c r="CU164">
        <f>$B$13*DS164+$C$13*DT164+$F$13*EE164*(1-EH164)</f>
        <v>0</v>
      </c>
      <c r="CV164">
        <f>CU164*CW164</f>
        <v>0</v>
      </c>
      <c r="CW164">
        <f>($B$13*$D$11+$C$13*$D$11+$F$13*((ER164+EJ164)/MAX(ER164+EJ164+ES164, 0.1)*$I$11+ES164/MAX(ER164+EJ164+ES164, 0.1)*$J$11))/($B$13+$C$13+$F$13)</f>
        <v>0</v>
      </c>
      <c r="CX164">
        <f>($B$13*$K$11+$C$13*$K$11+$F$13*((ER164+EJ164)/MAX(ER164+EJ164+ES164, 0.1)*$P$11+ES164/MAX(ER164+EJ164+ES164, 0.1)*$Q$11))/($B$13+$C$13+$F$13)</f>
        <v>0</v>
      </c>
      <c r="CY164">
        <v>5.66</v>
      </c>
      <c r="CZ164">
        <v>0.5</v>
      </c>
      <c r="DA164" t="s">
        <v>421</v>
      </c>
      <c r="DB164">
        <v>2</v>
      </c>
      <c r="DC164">
        <v>1761019105.1</v>
      </c>
      <c r="DD164">
        <v>420.8785555555556</v>
      </c>
      <c r="DE164">
        <v>420.3717777777778</v>
      </c>
      <c r="DF164">
        <v>24.86127777777778</v>
      </c>
      <c r="DG164">
        <v>23.86854444444445</v>
      </c>
      <c r="DH164">
        <v>422.4446666666666</v>
      </c>
      <c r="DI164">
        <v>24.64501111111111</v>
      </c>
      <c r="DJ164">
        <v>499.9197777777778</v>
      </c>
      <c r="DK164">
        <v>90.81002222222223</v>
      </c>
      <c r="DL164">
        <v>0.03360786666666667</v>
      </c>
      <c r="DM164">
        <v>30.49222222222222</v>
      </c>
      <c r="DN164">
        <v>29.98932222222222</v>
      </c>
      <c r="DO164">
        <v>999.9000000000001</v>
      </c>
      <c r="DP164">
        <v>0</v>
      </c>
      <c r="DQ164">
        <v>0</v>
      </c>
      <c r="DR164">
        <v>10011.87777777778</v>
      </c>
      <c r="DS164">
        <v>0</v>
      </c>
      <c r="DT164">
        <v>0.242856</v>
      </c>
      <c r="DU164">
        <v>0.5068087777777778</v>
      </c>
      <c r="DV164">
        <v>431.609</v>
      </c>
      <c r="DW164">
        <v>430.6508888888889</v>
      </c>
      <c r="DX164">
        <v>0.9927464444444445</v>
      </c>
      <c r="DY164">
        <v>420.3717777777778</v>
      </c>
      <c r="DZ164">
        <v>23.86854444444445</v>
      </c>
      <c r="EA164">
        <v>2.257652222222222</v>
      </c>
      <c r="EB164">
        <v>2.167503333333334</v>
      </c>
      <c r="EC164">
        <v>19.37721111111111</v>
      </c>
      <c r="ED164">
        <v>18.71931111111111</v>
      </c>
      <c r="EE164">
        <v>0.00500078</v>
      </c>
      <c r="EF164">
        <v>0</v>
      </c>
      <c r="EG164">
        <v>0</v>
      </c>
      <c r="EH164">
        <v>0</v>
      </c>
      <c r="EI164">
        <v>831.6666666666666</v>
      </c>
      <c r="EJ164">
        <v>0.00500078</v>
      </c>
      <c r="EK164">
        <v>-13.08888888888889</v>
      </c>
      <c r="EL164">
        <v>-0.5</v>
      </c>
      <c r="EM164">
        <v>35.68033333333334</v>
      </c>
      <c r="EN164">
        <v>39.12466666666666</v>
      </c>
      <c r="EO164">
        <v>38.18044444444445</v>
      </c>
      <c r="EP164">
        <v>39.64544444444444</v>
      </c>
      <c r="EQ164">
        <v>38.43722222222222</v>
      </c>
      <c r="ER164">
        <v>0</v>
      </c>
      <c r="ES164">
        <v>0</v>
      </c>
      <c r="ET164">
        <v>0</v>
      </c>
      <c r="EU164">
        <v>1761019107.1</v>
      </c>
      <c r="EV164">
        <v>0</v>
      </c>
      <c r="EW164">
        <v>837.0192307692307</v>
      </c>
      <c r="EX164">
        <v>-35.26495726746806</v>
      </c>
      <c r="EY164">
        <v>-19.61367560007738</v>
      </c>
      <c r="EZ164">
        <v>-12.20384615384615</v>
      </c>
      <c r="FA164">
        <v>15</v>
      </c>
      <c r="FB164">
        <v>1761018667.1</v>
      </c>
      <c r="FC164" t="s">
        <v>613</v>
      </c>
      <c r="FD164">
        <v>1761018661.6</v>
      </c>
      <c r="FE164">
        <v>1761018667.1</v>
      </c>
      <c r="FF164">
        <v>26</v>
      </c>
      <c r="FG164">
        <v>-0.221</v>
      </c>
      <c r="FH164">
        <v>-0.001</v>
      </c>
      <c r="FI164">
        <v>-1.568</v>
      </c>
      <c r="FJ164">
        <v>0.178</v>
      </c>
      <c r="FK164">
        <v>420</v>
      </c>
      <c r="FL164">
        <v>23</v>
      </c>
      <c r="FM164">
        <v>0.1</v>
      </c>
      <c r="FN164">
        <v>0.08</v>
      </c>
      <c r="FO164">
        <v>0.6860023249999999</v>
      </c>
      <c r="FP164">
        <v>-0.6702536622889316</v>
      </c>
      <c r="FQ164">
        <v>0.1154016131577864</v>
      </c>
      <c r="FR164">
        <v>0</v>
      </c>
      <c r="FS164">
        <v>838.3970588235294</v>
      </c>
      <c r="FT164">
        <v>-29.44079454307166</v>
      </c>
      <c r="FU164">
        <v>7.616525581767332</v>
      </c>
      <c r="FV164">
        <v>0</v>
      </c>
      <c r="FW164">
        <v>0.0724721915</v>
      </c>
      <c r="FX164">
        <v>4.939550225065667</v>
      </c>
      <c r="FY164">
        <v>0.5463438896939239</v>
      </c>
      <c r="FZ164">
        <v>0</v>
      </c>
      <c r="GA164">
        <v>0</v>
      </c>
      <c r="GB164">
        <v>3</v>
      </c>
      <c r="GC164" t="s">
        <v>423</v>
      </c>
      <c r="GD164">
        <v>3.10956</v>
      </c>
      <c r="GE164">
        <v>2.72511</v>
      </c>
      <c r="GF164">
        <v>0.08910709999999999</v>
      </c>
      <c r="GG164">
        <v>0.0888268</v>
      </c>
      <c r="GH164">
        <v>0.110763</v>
      </c>
      <c r="GI164">
        <v>0.105691</v>
      </c>
      <c r="GJ164">
        <v>23925.5</v>
      </c>
      <c r="GK164">
        <v>21657.7</v>
      </c>
      <c r="GL164">
        <v>26821.9</v>
      </c>
      <c r="GM164">
        <v>23972.8</v>
      </c>
      <c r="GN164">
        <v>38105.3</v>
      </c>
      <c r="GO164">
        <v>31616.2</v>
      </c>
      <c r="GP164">
        <v>46815.1</v>
      </c>
      <c r="GQ164">
        <v>37886.8</v>
      </c>
      <c r="GR164">
        <v>1.9006</v>
      </c>
      <c r="GS164">
        <v>1.89585</v>
      </c>
      <c r="GT164">
        <v>0.130739</v>
      </c>
      <c r="GU164">
        <v>0</v>
      </c>
      <c r="GV164">
        <v>27.8406</v>
      </c>
      <c r="GW164">
        <v>999.9</v>
      </c>
      <c r="GX164">
        <v>64.2</v>
      </c>
      <c r="GY164">
        <v>28.5</v>
      </c>
      <c r="GZ164">
        <v>27.6211</v>
      </c>
      <c r="HA164">
        <v>61.0873</v>
      </c>
      <c r="HB164">
        <v>20.1482</v>
      </c>
      <c r="HC164">
        <v>1</v>
      </c>
      <c r="HD164">
        <v>-0.0215193</v>
      </c>
      <c r="HE164">
        <v>-4.13538</v>
      </c>
      <c r="HF164">
        <v>20.2624</v>
      </c>
      <c r="HG164">
        <v>5.21894</v>
      </c>
      <c r="HH164">
        <v>11.98</v>
      </c>
      <c r="HI164">
        <v>4.9649</v>
      </c>
      <c r="HJ164">
        <v>3.2752</v>
      </c>
      <c r="HK164">
        <v>9999</v>
      </c>
      <c r="HL164">
        <v>9999</v>
      </c>
      <c r="HM164">
        <v>9999</v>
      </c>
      <c r="HN164">
        <v>999.9</v>
      </c>
      <c r="HO164">
        <v>1.8636</v>
      </c>
      <c r="HP164">
        <v>1.85973</v>
      </c>
      <c r="HQ164">
        <v>1.85797</v>
      </c>
      <c r="HR164">
        <v>1.85938</v>
      </c>
      <c r="HS164">
        <v>1.85956</v>
      </c>
      <c r="HT164">
        <v>1.858</v>
      </c>
      <c r="HU164">
        <v>1.85706</v>
      </c>
      <c r="HV164">
        <v>1.85205</v>
      </c>
      <c r="HW164">
        <v>0</v>
      </c>
      <c r="HX164">
        <v>0</v>
      </c>
      <c r="HY164">
        <v>0</v>
      </c>
      <c r="HZ164">
        <v>0</v>
      </c>
      <c r="IA164" t="s">
        <v>424</v>
      </c>
      <c r="IB164" t="s">
        <v>425</v>
      </c>
      <c r="IC164" t="s">
        <v>426</v>
      </c>
      <c r="ID164" t="s">
        <v>426</v>
      </c>
      <c r="IE164" t="s">
        <v>426</v>
      </c>
      <c r="IF164" t="s">
        <v>426</v>
      </c>
      <c r="IG164">
        <v>0</v>
      </c>
      <c r="IH164">
        <v>100</v>
      </c>
      <c r="II164">
        <v>100</v>
      </c>
      <c r="IJ164">
        <v>-1.566</v>
      </c>
      <c r="IK164">
        <v>0.2096</v>
      </c>
      <c r="IL164">
        <v>-2.357986366295179</v>
      </c>
      <c r="IM164">
        <v>0.001328113201692861</v>
      </c>
      <c r="IN164">
        <v>1.538283238170363E-06</v>
      </c>
      <c r="IO164">
        <v>-5.795655626708063E-10</v>
      </c>
      <c r="IP164">
        <v>-0.06105361615936408</v>
      </c>
      <c r="IQ164">
        <v>-0.004593102289677449</v>
      </c>
      <c r="IR164">
        <v>0.0008253994458280543</v>
      </c>
      <c r="IS164">
        <v>-7.403632370499484E-06</v>
      </c>
      <c r="IT164">
        <v>2</v>
      </c>
      <c r="IU164">
        <v>1985</v>
      </c>
      <c r="IV164">
        <v>1</v>
      </c>
      <c r="IW164">
        <v>27</v>
      </c>
      <c r="IX164">
        <v>7.4</v>
      </c>
      <c r="IY164">
        <v>7.3</v>
      </c>
      <c r="IZ164">
        <v>1.13037</v>
      </c>
      <c r="JA164">
        <v>2.6001</v>
      </c>
      <c r="JB164">
        <v>1.49658</v>
      </c>
      <c r="JC164">
        <v>2.34619</v>
      </c>
      <c r="JD164">
        <v>1.54907</v>
      </c>
      <c r="JE164">
        <v>2.3999</v>
      </c>
      <c r="JF164">
        <v>31.8488</v>
      </c>
      <c r="JG164">
        <v>14.3684</v>
      </c>
      <c r="JH164">
        <v>18</v>
      </c>
      <c r="JI164">
        <v>482.411</v>
      </c>
      <c r="JJ164">
        <v>509.1</v>
      </c>
      <c r="JK164">
        <v>31.127</v>
      </c>
      <c r="JL164">
        <v>26.9978</v>
      </c>
      <c r="JM164">
        <v>30.0013</v>
      </c>
      <c r="JN164">
        <v>27.2722</v>
      </c>
      <c r="JO164">
        <v>27.266</v>
      </c>
      <c r="JP164">
        <v>22.7173</v>
      </c>
      <c r="JQ164">
        <v>21.0691</v>
      </c>
      <c r="JR164">
        <v>91.5461</v>
      </c>
      <c r="JS164">
        <v>32.1635</v>
      </c>
      <c r="JT164">
        <v>420</v>
      </c>
      <c r="JU164">
        <v>23.6771</v>
      </c>
      <c r="JV164">
        <v>102.375</v>
      </c>
      <c r="JW164">
        <v>91.40689999999999</v>
      </c>
    </row>
    <row r="165" spans="1:283">
      <c r="A165">
        <v>147</v>
      </c>
      <c r="B165">
        <v>1761019110.1</v>
      </c>
      <c r="C165">
        <v>1040.599999904633</v>
      </c>
      <c r="D165" t="s">
        <v>725</v>
      </c>
      <c r="E165" t="s">
        <v>726</v>
      </c>
      <c r="F165">
        <v>5</v>
      </c>
      <c r="G165" t="s">
        <v>674</v>
      </c>
      <c r="H165">
        <v>1761019107.1</v>
      </c>
      <c r="I165">
        <f>(J165)/1000</f>
        <v>0</v>
      </c>
      <c r="J165">
        <f>1000*DJ165*AH165*(DF165-DG165)/(100*CY165*(1000-AH165*DF165))</f>
        <v>0</v>
      </c>
      <c r="K165">
        <f>DJ165*AH165*(DE165-DD165*(1000-AH165*DG165)/(1000-AH165*DF165))/(100*CY165)</f>
        <v>0</v>
      </c>
      <c r="L165">
        <f>DD165 - IF(AH165&gt;1, K165*CY165*100.0/(AJ165), 0)</f>
        <v>0</v>
      </c>
      <c r="M165">
        <f>((S165-I165/2)*L165-K165)/(S165+I165/2)</f>
        <v>0</v>
      </c>
      <c r="N165">
        <f>M165*(DK165+DL165)/1000.0</f>
        <v>0</v>
      </c>
      <c r="O165">
        <f>(DD165 - IF(AH165&gt;1, K165*CY165*100.0/(AJ165), 0))*(DK165+DL165)/1000.0</f>
        <v>0</v>
      </c>
      <c r="P165">
        <f>2.0/((1/R165-1/Q165)+SIGN(R165)*SQRT((1/R165-1/Q165)*(1/R165-1/Q165) + 4*CZ165/((CZ165+1)*(CZ165+1))*(2*1/R165*1/Q165-1/Q165*1/Q165)))</f>
        <v>0</v>
      </c>
      <c r="Q165">
        <f>IF(LEFT(DA165,1)&lt;&gt;"0",IF(LEFT(DA165,1)="1",3.0,DB165),$D$5+$E$5*(DR165*DK165/($K$5*1000))+$F$5*(DR165*DK165/($K$5*1000))*MAX(MIN(CY165,$J$5),$I$5)*MAX(MIN(CY165,$J$5),$I$5)+$G$5*MAX(MIN(CY165,$J$5),$I$5)*(DR165*DK165/($K$5*1000))+$H$5*(DR165*DK165/($K$5*1000))*(DR165*DK165/($K$5*1000)))</f>
        <v>0</v>
      </c>
      <c r="R165">
        <f>I165*(1000-(1000*0.61365*exp(17.502*V165/(240.97+V165))/(DK165+DL165)+DF165)/2)/(1000*0.61365*exp(17.502*V165/(240.97+V165))/(DK165+DL165)-DF165)</f>
        <v>0</v>
      </c>
      <c r="S165">
        <f>1/((CZ165+1)/(P165/1.6)+1/(Q165/1.37)) + CZ165/((CZ165+1)/(P165/1.6) + CZ165/(Q165/1.37))</f>
        <v>0</v>
      </c>
      <c r="T165">
        <f>(CU165*CX165)</f>
        <v>0</v>
      </c>
      <c r="U165">
        <f>(DM165+(T165+2*0.95*5.67E-8*(((DM165+$B$9)+273)^4-(DM165+273)^4)-44100*I165)/(1.84*29.3*Q165+8*0.95*5.67E-8*(DM165+273)^3))</f>
        <v>0</v>
      </c>
      <c r="V165">
        <f>($C$9*DN165+$D$9*DO165+$E$9*U165)</f>
        <v>0</v>
      </c>
      <c r="W165">
        <f>0.61365*exp(17.502*V165/(240.97+V165))</f>
        <v>0</v>
      </c>
      <c r="X165">
        <f>(Y165/Z165*100)</f>
        <v>0</v>
      </c>
      <c r="Y165">
        <f>DF165*(DK165+DL165)/1000</f>
        <v>0</v>
      </c>
      <c r="Z165">
        <f>0.61365*exp(17.502*DM165/(240.97+DM165))</f>
        <v>0</v>
      </c>
      <c r="AA165">
        <f>(W165-DF165*(DK165+DL165)/1000)</f>
        <v>0</v>
      </c>
      <c r="AB165">
        <f>(-I165*44100)</f>
        <v>0</v>
      </c>
      <c r="AC165">
        <f>2*29.3*Q165*0.92*(DM165-V165)</f>
        <v>0</v>
      </c>
      <c r="AD165">
        <f>2*0.95*5.67E-8*(((DM165+$B$9)+273)^4-(V165+273)^4)</f>
        <v>0</v>
      </c>
      <c r="AE165">
        <f>T165+AD165+AB165+AC165</f>
        <v>0</v>
      </c>
      <c r="AF165">
        <v>0</v>
      </c>
      <c r="AG165">
        <v>0</v>
      </c>
      <c r="AH165">
        <f>IF(AF165*$H$15&gt;=AJ165,1.0,(AJ165/(AJ165-AF165*$H$15)))</f>
        <v>0</v>
      </c>
      <c r="AI165">
        <f>(AH165-1)*100</f>
        <v>0</v>
      </c>
      <c r="AJ165">
        <f>MAX(0,($B$15+$C$15*DR165)/(1+$D$15*DR165)*DK165/(DM165+273)*$E$15)</f>
        <v>0</v>
      </c>
      <c r="AK165" t="s">
        <v>420</v>
      </c>
      <c r="AL165" t="s">
        <v>420</v>
      </c>
      <c r="AM165">
        <v>0</v>
      </c>
      <c r="AN165">
        <v>0</v>
      </c>
      <c r="AO165">
        <f>1-AM165/AN165</f>
        <v>0</v>
      </c>
      <c r="AP165">
        <v>0</v>
      </c>
      <c r="AQ165" t="s">
        <v>420</v>
      </c>
      <c r="AR165" t="s">
        <v>420</v>
      </c>
      <c r="AS165">
        <v>0</v>
      </c>
      <c r="AT165">
        <v>0</v>
      </c>
      <c r="AU165">
        <f>1-AS165/AT165</f>
        <v>0</v>
      </c>
      <c r="AV165">
        <v>0.5</v>
      </c>
      <c r="AW165">
        <f>CV165</f>
        <v>0</v>
      </c>
      <c r="AX165">
        <f>K165</f>
        <v>0</v>
      </c>
      <c r="AY165">
        <f>AU165*AV165*AW165</f>
        <v>0</v>
      </c>
      <c r="AZ165">
        <f>(AX165-AP165)/AW165</f>
        <v>0</v>
      </c>
      <c r="BA165">
        <f>(AN165-AT165)/AT165</f>
        <v>0</v>
      </c>
      <c r="BB165">
        <f>AM165/(AO165+AM165/AT165)</f>
        <v>0</v>
      </c>
      <c r="BC165" t="s">
        <v>420</v>
      </c>
      <c r="BD165">
        <v>0</v>
      </c>
      <c r="BE165">
        <f>IF(BD165&lt;&gt;0, BD165, BB165)</f>
        <v>0</v>
      </c>
      <c r="BF165">
        <f>1-BE165/AT165</f>
        <v>0</v>
      </c>
      <c r="BG165">
        <f>(AT165-AS165)/(AT165-BE165)</f>
        <v>0</v>
      </c>
      <c r="BH165">
        <f>(AN165-AT165)/(AN165-BE165)</f>
        <v>0</v>
      </c>
      <c r="BI165">
        <f>(AT165-AS165)/(AT165-AM165)</f>
        <v>0</v>
      </c>
      <c r="BJ165">
        <f>(AN165-AT165)/(AN165-AM165)</f>
        <v>0</v>
      </c>
      <c r="BK165">
        <f>(BG165*BE165/AS165)</f>
        <v>0</v>
      </c>
      <c r="BL165">
        <f>(1-BK165)</f>
        <v>0</v>
      </c>
      <c r="CU165">
        <f>$B$13*DS165+$C$13*DT165+$F$13*EE165*(1-EH165)</f>
        <v>0</v>
      </c>
      <c r="CV165">
        <f>CU165*CW165</f>
        <v>0</v>
      </c>
      <c r="CW165">
        <f>($B$13*$D$11+$C$13*$D$11+$F$13*((ER165+EJ165)/MAX(ER165+EJ165+ES165, 0.1)*$I$11+ES165/MAX(ER165+EJ165+ES165, 0.1)*$J$11))/($B$13+$C$13+$F$13)</f>
        <v>0</v>
      </c>
      <c r="CX165">
        <f>($B$13*$K$11+$C$13*$K$11+$F$13*((ER165+EJ165)/MAX(ER165+EJ165+ES165, 0.1)*$P$11+ES165/MAX(ER165+EJ165+ES165, 0.1)*$Q$11))/($B$13+$C$13+$F$13)</f>
        <v>0</v>
      </c>
      <c r="CY165">
        <v>5.66</v>
      </c>
      <c r="CZ165">
        <v>0.5</v>
      </c>
      <c r="DA165" t="s">
        <v>421</v>
      </c>
      <c r="DB165">
        <v>2</v>
      </c>
      <c r="DC165">
        <v>1761019107.1</v>
      </c>
      <c r="DD165">
        <v>420.9122222222222</v>
      </c>
      <c r="DE165">
        <v>420.4805555555556</v>
      </c>
      <c r="DF165">
        <v>24.65956666666666</v>
      </c>
      <c r="DG165">
        <v>23.11117777777778</v>
      </c>
      <c r="DH165">
        <v>422.4783333333334</v>
      </c>
      <c r="DI165">
        <v>24.44775555555556</v>
      </c>
      <c r="DJ165">
        <v>500.0714444444445</v>
      </c>
      <c r="DK165">
        <v>90.81025555555556</v>
      </c>
      <c r="DL165">
        <v>0.03339132222222222</v>
      </c>
      <c r="DM165">
        <v>30.47997777777778</v>
      </c>
      <c r="DN165">
        <v>29.97775555555556</v>
      </c>
      <c r="DO165">
        <v>999.9000000000001</v>
      </c>
      <c r="DP165">
        <v>0</v>
      </c>
      <c r="DQ165">
        <v>0</v>
      </c>
      <c r="DR165">
        <v>10024.58888888889</v>
      </c>
      <c r="DS165">
        <v>0</v>
      </c>
      <c r="DT165">
        <v>0.242856</v>
      </c>
      <c r="DU165">
        <v>0.4317457777777778</v>
      </c>
      <c r="DV165">
        <v>431.5542222222222</v>
      </c>
      <c r="DW165">
        <v>430.4283333333333</v>
      </c>
      <c r="DX165">
        <v>1.548405</v>
      </c>
      <c r="DY165">
        <v>420.4805555555556</v>
      </c>
      <c r="DZ165">
        <v>23.11117777777778</v>
      </c>
      <c r="EA165">
        <v>2.239341111111111</v>
      </c>
      <c r="EB165">
        <v>2.098733333333334</v>
      </c>
      <c r="EC165">
        <v>19.246</v>
      </c>
      <c r="ED165">
        <v>18.20315555555556</v>
      </c>
      <c r="EE165">
        <v>0.00500078</v>
      </c>
      <c r="EF165">
        <v>0</v>
      </c>
      <c r="EG165">
        <v>0</v>
      </c>
      <c r="EH165">
        <v>0</v>
      </c>
      <c r="EI165">
        <v>832.4777777777778</v>
      </c>
      <c r="EJ165">
        <v>0.00500078</v>
      </c>
      <c r="EK165">
        <v>-13.63333333333333</v>
      </c>
      <c r="EL165">
        <v>-0.4111111111111111</v>
      </c>
      <c r="EM165">
        <v>35.65244444444444</v>
      </c>
      <c r="EN165">
        <v>39.07611111111111</v>
      </c>
      <c r="EO165">
        <v>38.34700000000001</v>
      </c>
      <c r="EP165">
        <v>39.56911111111111</v>
      </c>
      <c r="EQ165">
        <v>38.36088888888889</v>
      </c>
      <c r="ER165">
        <v>0</v>
      </c>
      <c r="ES165">
        <v>0</v>
      </c>
      <c r="ET165">
        <v>0</v>
      </c>
      <c r="EU165">
        <v>1761019108.9</v>
      </c>
      <c r="EV165">
        <v>0</v>
      </c>
      <c r="EW165">
        <v>836.24</v>
      </c>
      <c r="EX165">
        <v>-51.50000021243687</v>
      </c>
      <c r="EY165">
        <v>-20.90000032614441</v>
      </c>
      <c r="EZ165">
        <v>-12.768</v>
      </c>
      <c r="FA165">
        <v>15</v>
      </c>
      <c r="FB165">
        <v>1761018667.1</v>
      </c>
      <c r="FC165" t="s">
        <v>613</v>
      </c>
      <c r="FD165">
        <v>1761018661.6</v>
      </c>
      <c r="FE165">
        <v>1761018667.1</v>
      </c>
      <c r="FF165">
        <v>26</v>
      </c>
      <c r="FG165">
        <v>-0.221</v>
      </c>
      <c r="FH165">
        <v>-0.001</v>
      </c>
      <c r="FI165">
        <v>-1.568</v>
      </c>
      <c r="FJ165">
        <v>0.178</v>
      </c>
      <c r="FK165">
        <v>420</v>
      </c>
      <c r="FL165">
        <v>23</v>
      </c>
      <c r="FM165">
        <v>0.1</v>
      </c>
      <c r="FN165">
        <v>0.08</v>
      </c>
      <c r="FO165">
        <v>0.6512190487804879</v>
      </c>
      <c r="FP165">
        <v>-1.118668703832755</v>
      </c>
      <c r="FQ165">
        <v>0.1456242007478875</v>
      </c>
      <c r="FR165">
        <v>0</v>
      </c>
      <c r="FS165">
        <v>836.9411764705883</v>
      </c>
      <c r="FT165">
        <v>-30.16042789099509</v>
      </c>
      <c r="FU165">
        <v>8.280171838478985</v>
      </c>
      <c r="FV165">
        <v>0</v>
      </c>
      <c r="FW165">
        <v>0.3497559917073171</v>
      </c>
      <c r="FX165">
        <v>7.387118286271777</v>
      </c>
      <c r="FY165">
        <v>0.8044123212889422</v>
      </c>
      <c r="FZ165">
        <v>0</v>
      </c>
      <c r="GA165">
        <v>0</v>
      </c>
      <c r="GB165">
        <v>3</v>
      </c>
      <c r="GC165" t="s">
        <v>423</v>
      </c>
      <c r="GD165">
        <v>3.10959</v>
      </c>
      <c r="GE165">
        <v>2.72517</v>
      </c>
      <c r="GF165">
        <v>0.0891117</v>
      </c>
      <c r="GG165">
        <v>0.0888032</v>
      </c>
      <c r="GH165">
        <v>0.109554</v>
      </c>
      <c r="GI165">
        <v>0.103721</v>
      </c>
      <c r="GJ165">
        <v>23925.2</v>
      </c>
      <c r="GK165">
        <v>21658.4</v>
      </c>
      <c r="GL165">
        <v>26821.7</v>
      </c>
      <c r="GM165">
        <v>23973.1</v>
      </c>
      <c r="GN165">
        <v>38157.7</v>
      </c>
      <c r="GO165">
        <v>31686.6</v>
      </c>
      <c r="GP165">
        <v>46814.8</v>
      </c>
      <c r="GQ165">
        <v>37886.9</v>
      </c>
      <c r="GR165">
        <v>1.90132</v>
      </c>
      <c r="GS165">
        <v>1.89613</v>
      </c>
      <c r="GT165">
        <v>0.129603</v>
      </c>
      <c r="GU165">
        <v>0</v>
      </c>
      <c r="GV165">
        <v>27.8368</v>
      </c>
      <c r="GW165">
        <v>999.9</v>
      </c>
      <c r="GX165">
        <v>64.2</v>
      </c>
      <c r="GY165">
        <v>28.5</v>
      </c>
      <c r="GZ165">
        <v>27.6216</v>
      </c>
      <c r="HA165">
        <v>61.2173</v>
      </c>
      <c r="HB165">
        <v>20.0962</v>
      </c>
      <c r="HC165">
        <v>1</v>
      </c>
      <c r="HD165">
        <v>-0.0168318</v>
      </c>
      <c r="HE165">
        <v>-5.69039</v>
      </c>
      <c r="HF165">
        <v>20.2293</v>
      </c>
      <c r="HG165">
        <v>5.22283</v>
      </c>
      <c r="HH165">
        <v>11.98</v>
      </c>
      <c r="HI165">
        <v>4.9657</v>
      </c>
      <c r="HJ165">
        <v>3.27593</v>
      </c>
      <c r="HK165">
        <v>9999</v>
      </c>
      <c r="HL165">
        <v>9999</v>
      </c>
      <c r="HM165">
        <v>9999</v>
      </c>
      <c r="HN165">
        <v>999.9</v>
      </c>
      <c r="HO165">
        <v>1.86358</v>
      </c>
      <c r="HP165">
        <v>1.85973</v>
      </c>
      <c r="HQ165">
        <v>1.85796</v>
      </c>
      <c r="HR165">
        <v>1.85938</v>
      </c>
      <c r="HS165">
        <v>1.85957</v>
      </c>
      <c r="HT165">
        <v>1.85796</v>
      </c>
      <c r="HU165">
        <v>1.85703</v>
      </c>
      <c r="HV165">
        <v>1.85203</v>
      </c>
      <c r="HW165">
        <v>0</v>
      </c>
      <c r="HX165">
        <v>0</v>
      </c>
      <c r="HY165">
        <v>0</v>
      </c>
      <c r="HZ165">
        <v>0</v>
      </c>
      <c r="IA165" t="s">
        <v>424</v>
      </c>
      <c r="IB165" t="s">
        <v>425</v>
      </c>
      <c r="IC165" t="s">
        <v>426</v>
      </c>
      <c r="ID165" t="s">
        <v>426</v>
      </c>
      <c r="IE165" t="s">
        <v>426</v>
      </c>
      <c r="IF165" t="s">
        <v>426</v>
      </c>
      <c r="IG165">
        <v>0</v>
      </c>
      <c r="IH165">
        <v>100</v>
      </c>
      <c r="II165">
        <v>100</v>
      </c>
      <c r="IJ165">
        <v>-1.566</v>
      </c>
      <c r="IK165">
        <v>0.2012</v>
      </c>
      <c r="IL165">
        <v>-2.357986366295179</v>
      </c>
      <c r="IM165">
        <v>0.001328113201692861</v>
      </c>
      <c r="IN165">
        <v>1.538283238170363E-06</v>
      </c>
      <c r="IO165">
        <v>-5.795655626708063E-10</v>
      </c>
      <c r="IP165">
        <v>-0.06105361615936408</v>
      </c>
      <c r="IQ165">
        <v>-0.004593102289677449</v>
      </c>
      <c r="IR165">
        <v>0.0008253994458280543</v>
      </c>
      <c r="IS165">
        <v>-7.403632370499484E-06</v>
      </c>
      <c r="IT165">
        <v>2</v>
      </c>
      <c r="IU165">
        <v>1985</v>
      </c>
      <c r="IV165">
        <v>1</v>
      </c>
      <c r="IW165">
        <v>27</v>
      </c>
      <c r="IX165">
        <v>7.5</v>
      </c>
      <c r="IY165">
        <v>7.4</v>
      </c>
      <c r="IZ165">
        <v>1.12915</v>
      </c>
      <c r="JA165">
        <v>2.59277</v>
      </c>
      <c r="JB165">
        <v>1.49658</v>
      </c>
      <c r="JC165">
        <v>2.34619</v>
      </c>
      <c r="JD165">
        <v>1.54907</v>
      </c>
      <c r="JE165">
        <v>2.41577</v>
      </c>
      <c r="JF165">
        <v>31.8488</v>
      </c>
      <c r="JG165">
        <v>14.421</v>
      </c>
      <c r="JH165">
        <v>18</v>
      </c>
      <c r="JI165">
        <v>482.805</v>
      </c>
      <c r="JJ165">
        <v>509.238</v>
      </c>
      <c r="JK165">
        <v>31.5521</v>
      </c>
      <c r="JL165">
        <v>26.9978</v>
      </c>
      <c r="JM165">
        <v>30.0045</v>
      </c>
      <c r="JN165">
        <v>27.2692</v>
      </c>
      <c r="JO165">
        <v>27.2609</v>
      </c>
      <c r="JP165">
        <v>22.7148</v>
      </c>
      <c r="JQ165">
        <v>17.6716</v>
      </c>
      <c r="JR165">
        <v>91.98090000000001</v>
      </c>
      <c r="JS165">
        <v>32.1635</v>
      </c>
      <c r="JT165">
        <v>420</v>
      </c>
      <c r="JU165">
        <v>23.9663</v>
      </c>
      <c r="JV165">
        <v>102.374</v>
      </c>
      <c r="JW165">
        <v>91.4075</v>
      </c>
    </row>
    <row r="166" spans="1:283">
      <c r="A166">
        <v>148</v>
      </c>
      <c r="B166">
        <v>1761019112.1</v>
      </c>
      <c r="C166">
        <v>1042.599999904633</v>
      </c>
      <c r="D166" t="s">
        <v>727</v>
      </c>
      <c r="E166" t="s">
        <v>728</v>
      </c>
      <c r="F166">
        <v>5</v>
      </c>
      <c r="G166" t="s">
        <v>674</v>
      </c>
      <c r="H166">
        <v>1761019109.1</v>
      </c>
      <c r="I166">
        <f>(J166)/1000</f>
        <v>0</v>
      </c>
      <c r="J166">
        <f>1000*DJ166*AH166*(DF166-DG166)/(100*CY166*(1000-AH166*DF166))</f>
        <v>0</v>
      </c>
      <c r="K166">
        <f>DJ166*AH166*(DE166-DD166*(1000-AH166*DG166)/(1000-AH166*DF166))/(100*CY166)</f>
        <v>0</v>
      </c>
      <c r="L166">
        <f>DD166 - IF(AH166&gt;1, K166*CY166*100.0/(AJ166), 0)</f>
        <v>0</v>
      </c>
      <c r="M166">
        <f>((S166-I166/2)*L166-K166)/(S166+I166/2)</f>
        <v>0</v>
      </c>
      <c r="N166">
        <f>M166*(DK166+DL166)/1000.0</f>
        <v>0</v>
      </c>
      <c r="O166">
        <f>(DD166 - IF(AH166&gt;1, K166*CY166*100.0/(AJ166), 0))*(DK166+DL166)/1000.0</f>
        <v>0</v>
      </c>
      <c r="P166">
        <f>2.0/((1/R166-1/Q166)+SIGN(R166)*SQRT((1/R166-1/Q166)*(1/R166-1/Q166) + 4*CZ166/((CZ166+1)*(CZ166+1))*(2*1/R166*1/Q166-1/Q166*1/Q166)))</f>
        <v>0</v>
      </c>
      <c r="Q166">
        <f>IF(LEFT(DA166,1)&lt;&gt;"0",IF(LEFT(DA166,1)="1",3.0,DB166),$D$5+$E$5*(DR166*DK166/($K$5*1000))+$F$5*(DR166*DK166/($K$5*1000))*MAX(MIN(CY166,$J$5),$I$5)*MAX(MIN(CY166,$J$5),$I$5)+$G$5*MAX(MIN(CY166,$J$5),$I$5)*(DR166*DK166/($K$5*1000))+$H$5*(DR166*DK166/($K$5*1000))*(DR166*DK166/($K$5*1000)))</f>
        <v>0</v>
      </c>
      <c r="R166">
        <f>I166*(1000-(1000*0.61365*exp(17.502*V166/(240.97+V166))/(DK166+DL166)+DF166)/2)/(1000*0.61365*exp(17.502*V166/(240.97+V166))/(DK166+DL166)-DF166)</f>
        <v>0</v>
      </c>
      <c r="S166">
        <f>1/((CZ166+1)/(P166/1.6)+1/(Q166/1.37)) + CZ166/((CZ166+1)/(P166/1.6) + CZ166/(Q166/1.37))</f>
        <v>0</v>
      </c>
      <c r="T166">
        <f>(CU166*CX166)</f>
        <v>0</v>
      </c>
      <c r="U166">
        <f>(DM166+(T166+2*0.95*5.67E-8*(((DM166+$B$9)+273)^4-(DM166+273)^4)-44100*I166)/(1.84*29.3*Q166+8*0.95*5.67E-8*(DM166+273)^3))</f>
        <v>0</v>
      </c>
      <c r="V166">
        <f>($C$9*DN166+$D$9*DO166+$E$9*U166)</f>
        <v>0</v>
      </c>
      <c r="W166">
        <f>0.61365*exp(17.502*V166/(240.97+V166))</f>
        <v>0</v>
      </c>
      <c r="X166">
        <f>(Y166/Z166*100)</f>
        <v>0</v>
      </c>
      <c r="Y166">
        <f>DF166*(DK166+DL166)/1000</f>
        <v>0</v>
      </c>
      <c r="Z166">
        <f>0.61365*exp(17.502*DM166/(240.97+DM166))</f>
        <v>0</v>
      </c>
      <c r="AA166">
        <f>(W166-DF166*(DK166+DL166)/1000)</f>
        <v>0</v>
      </c>
      <c r="AB166">
        <f>(-I166*44100)</f>
        <v>0</v>
      </c>
      <c r="AC166">
        <f>2*29.3*Q166*0.92*(DM166-V166)</f>
        <v>0</v>
      </c>
      <c r="AD166">
        <f>2*0.95*5.67E-8*(((DM166+$B$9)+273)^4-(V166+273)^4)</f>
        <v>0</v>
      </c>
      <c r="AE166">
        <f>T166+AD166+AB166+AC166</f>
        <v>0</v>
      </c>
      <c r="AF166">
        <v>0</v>
      </c>
      <c r="AG166">
        <v>0</v>
      </c>
      <c r="AH166">
        <f>IF(AF166*$H$15&gt;=AJ166,1.0,(AJ166/(AJ166-AF166*$H$15)))</f>
        <v>0</v>
      </c>
      <c r="AI166">
        <f>(AH166-1)*100</f>
        <v>0</v>
      </c>
      <c r="AJ166">
        <f>MAX(0,($B$15+$C$15*DR166)/(1+$D$15*DR166)*DK166/(DM166+273)*$E$15)</f>
        <v>0</v>
      </c>
      <c r="AK166" t="s">
        <v>420</v>
      </c>
      <c r="AL166" t="s">
        <v>420</v>
      </c>
      <c r="AM166">
        <v>0</v>
      </c>
      <c r="AN166">
        <v>0</v>
      </c>
      <c r="AO166">
        <f>1-AM166/AN166</f>
        <v>0</v>
      </c>
      <c r="AP166">
        <v>0</v>
      </c>
      <c r="AQ166" t="s">
        <v>420</v>
      </c>
      <c r="AR166" t="s">
        <v>420</v>
      </c>
      <c r="AS166">
        <v>0</v>
      </c>
      <c r="AT166">
        <v>0</v>
      </c>
      <c r="AU166">
        <f>1-AS166/AT166</f>
        <v>0</v>
      </c>
      <c r="AV166">
        <v>0.5</v>
      </c>
      <c r="AW166">
        <f>CV166</f>
        <v>0</v>
      </c>
      <c r="AX166">
        <f>K166</f>
        <v>0</v>
      </c>
      <c r="AY166">
        <f>AU166*AV166*AW166</f>
        <v>0</v>
      </c>
      <c r="AZ166">
        <f>(AX166-AP166)/AW166</f>
        <v>0</v>
      </c>
      <c r="BA166">
        <f>(AN166-AT166)/AT166</f>
        <v>0</v>
      </c>
      <c r="BB166">
        <f>AM166/(AO166+AM166/AT166)</f>
        <v>0</v>
      </c>
      <c r="BC166" t="s">
        <v>420</v>
      </c>
      <c r="BD166">
        <v>0</v>
      </c>
      <c r="BE166">
        <f>IF(BD166&lt;&gt;0, BD166, BB166)</f>
        <v>0</v>
      </c>
      <c r="BF166">
        <f>1-BE166/AT166</f>
        <v>0</v>
      </c>
      <c r="BG166">
        <f>(AT166-AS166)/(AT166-BE166)</f>
        <v>0</v>
      </c>
      <c r="BH166">
        <f>(AN166-AT166)/(AN166-BE166)</f>
        <v>0</v>
      </c>
      <c r="BI166">
        <f>(AT166-AS166)/(AT166-AM166)</f>
        <v>0</v>
      </c>
      <c r="BJ166">
        <f>(AN166-AT166)/(AN166-AM166)</f>
        <v>0</v>
      </c>
      <c r="BK166">
        <f>(BG166*BE166/AS166)</f>
        <v>0</v>
      </c>
      <c r="BL166">
        <f>(1-BK166)</f>
        <v>0</v>
      </c>
      <c r="CU166">
        <f>$B$13*DS166+$C$13*DT166+$F$13*EE166*(1-EH166)</f>
        <v>0</v>
      </c>
      <c r="CV166">
        <f>CU166*CW166</f>
        <v>0</v>
      </c>
      <c r="CW166">
        <f>($B$13*$D$11+$C$13*$D$11+$F$13*((ER166+EJ166)/MAX(ER166+EJ166+ES166, 0.1)*$I$11+ES166/MAX(ER166+EJ166+ES166, 0.1)*$J$11))/($B$13+$C$13+$F$13)</f>
        <v>0</v>
      </c>
      <c r="CX166">
        <f>($B$13*$K$11+$C$13*$K$11+$F$13*((ER166+EJ166)/MAX(ER166+EJ166+ES166, 0.1)*$P$11+ES166/MAX(ER166+EJ166+ES166, 0.1)*$Q$11))/($B$13+$C$13+$F$13)</f>
        <v>0</v>
      </c>
      <c r="CY166">
        <v>5.66</v>
      </c>
      <c r="CZ166">
        <v>0.5</v>
      </c>
      <c r="DA166" t="s">
        <v>421</v>
      </c>
      <c r="DB166">
        <v>2</v>
      </c>
      <c r="DC166">
        <v>1761019109.1</v>
      </c>
      <c r="DD166">
        <v>420.9654444444444</v>
      </c>
      <c r="DE166">
        <v>420.4507777777778</v>
      </c>
      <c r="DF166">
        <v>24.34845555555556</v>
      </c>
      <c r="DG166">
        <v>22.44234444444444</v>
      </c>
      <c r="DH166">
        <v>422.5315555555555</v>
      </c>
      <c r="DI166">
        <v>24.14346666666667</v>
      </c>
      <c r="DJ166">
        <v>500.1958888888889</v>
      </c>
      <c r="DK166">
        <v>90.81006666666667</v>
      </c>
      <c r="DL166">
        <v>0.03333754444444444</v>
      </c>
      <c r="DM166">
        <v>30.47013333333333</v>
      </c>
      <c r="DN166">
        <v>29.9638</v>
      </c>
      <c r="DO166">
        <v>999.9000000000001</v>
      </c>
      <c r="DP166">
        <v>0</v>
      </c>
      <c r="DQ166">
        <v>0</v>
      </c>
      <c r="DR166">
        <v>10021.24444444444</v>
      </c>
      <c r="DS166">
        <v>0</v>
      </c>
      <c r="DT166">
        <v>0.242856</v>
      </c>
      <c r="DU166">
        <v>0.5146111111111111</v>
      </c>
      <c r="DV166">
        <v>431.4712222222222</v>
      </c>
      <c r="DW166">
        <v>430.1035555555555</v>
      </c>
      <c r="DX166">
        <v>1.906126666666667</v>
      </c>
      <c r="DY166">
        <v>420.4507777777778</v>
      </c>
      <c r="DZ166">
        <v>22.44234444444444</v>
      </c>
      <c r="EA166">
        <v>2.211085555555555</v>
      </c>
      <c r="EB166">
        <v>2.037991111111111</v>
      </c>
      <c r="EC166">
        <v>19.04171111111111</v>
      </c>
      <c r="ED166">
        <v>17.73925555555556</v>
      </c>
      <c r="EE166">
        <v>0.00500078</v>
      </c>
      <c r="EF166">
        <v>0</v>
      </c>
      <c r="EG166">
        <v>0</v>
      </c>
      <c r="EH166">
        <v>0</v>
      </c>
      <c r="EI166">
        <v>830.0999999999999</v>
      </c>
      <c r="EJ166">
        <v>0.00500078</v>
      </c>
      <c r="EK166">
        <v>-15.11111111111111</v>
      </c>
      <c r="EL166">
        <v>-0.8444444444444444</v>
      </c>
      <c r="EM166">
        <v>35.63155555555555</v>
      </c>
      <c r="EN166">
        <v>39.02744444444444</v>
      </c>
      <c r="EO166">
        <v>38.23577777777778</v>
      </c>
      <c r="EP166">
        <v>39.50677777777778</v>
      </c>
      <c r="EQ166">
        <v>38.31911111111111</v>
      </c>
      <c r="ER166">
        <v>0</v>
      </c>
      <c r="ES166">
        <v>0</v>
      </c>
      <c r="ET166">
        <v>0</v>
      </c>
      <c r="EU166">
        <v>1761019111.3</v>
      </c>
      <c r="EV166">
        <v>0</v>
      </c>
      <c r="EW166">
        <v>834.316</v>
      </c>
      <c r="EX166">
        <v>-68.6769231566324</v>
      </c>
      <c r="EY166">
        <v>-3.392308123271615</v>
      </c>
      <c r="EZ166">
        <v>-13.82</v>
      </c>
      <c r="FA166">
        <v>15</v>
      </c>
      <c r="FB166">
        <v>1761018667.1</v>
      </c>
      <c r="FC166" t="s">
        <v>613</v>
      </c>
      <c r="FD166">
        <v>1761018661.6</v>
      </c>
      <c r="FE166">
        <v>1761018667.1</v>
      </c>
      <c r="FF166">
        <v>26</v>
      </c>
      <c r="FG166">
        <v>-0.221</v>
      </c>
      <c r="FH166">
        <v>-0.001</v>
      </c>
      <c r="FI166">
        <v>-1.568</v>
      </c>
      <c r="FJ166">
        <v>0.178</v>
      </c>
      <c r="FK166">
        <v>420</v>
      </c>
      <c r="FL166">
        <v>23</v>
      </c>
      <c r="FM166">
        <v>0.1</v>
      </c>
      <c r="FN166">
        <v>0.08</v>
      </c>
      <c r="FO166">
        <v>0.64235075</v>
      </c>
      <c r="FP166">
        <v>-1.042734213883679</v>
      </c>
      <c r="FQ166">
        <v>0.1461518774054494</v>
      </c>
      <c r="FR166">
        <v>0</v>
      </c>
      <c r="FS166">
        <v>835.9529411764705</v>
      </c>
      <c r="FT166">
        <v>-32.40336136685234</v>
      </c>
      <c r="FU166">
        <v>8.840955341448172</v>
      </c>
      <c r="FV166">
        <v>0</v>
      </c>
      <c r="FW166">
        <v>0.5494107914999999</v>
      </c>
      <c r="FX166">
        <v>8.739916154971858</v>
      </c>
      <c r="FY166">
        <v>0.894775878488738</v>
      </c>
      <c r="FZ166">
        <v>0</v>
      </c>
      <c r="GA166">
        <v>0</v>
      </c>
      <c r="GB166">
        <v>3</v>
      </c>
      <c r="GC166" t="s">
        <v>423</v>
      </c>
      <c r="GD166">
        <v>3.1092</v>
      </c>
      <c r="GE166">
        <v>2.72514</v>
      </c>
      <c r="GF166">
        <v>0.089113</v>
      </c>
      <c r="GG166">
        <v>0.0887529</v>
      </c>
      <c r="GH166">
        <v>0.108257</v>
      </c>
      <c r="GI166">
        <v>0.103471</v>
      </c>
      <c r="GJ166">
        <v>23925</v>
      </c>
      <c r="GK166">
        <v>21659.6</v>
      </c>
      <c r="GL166">
        <v>26821.6</v>
      </c>
      <c r="GM166">
        <v>23973.1</v>
      </c>
      <c r="GN166">
        <v>38214</v>
      </c>
      <c r="GO166">
        <v>31695.7</v>
      </c>
      <c r="GP166">
        <v>46814.7</v>
      </c>
      <c r="GQ166">
        <v>37887.2</v>
      </c>
      <c r="GR166">
        <v>1.90082</v>
      </c>
      <c r="GS166">
        <v>1.8969</v>
      </c>
      <c r="GT166">
        <v>0.129297</v>
      </c>
      <c r="GU166">
        <v>0</v>
      </c>
      <c r="GV166">
        <v>27.8341</v>
      </c>
      <c r="GW166">
        <v>999.9</v>
      </c>
      <c r="GX166">
        <v>64.2</v>
      </c>
      <c r="GY166">
        <v>28.5</v>
      </c>
      <c r="GZ166">
        <v>27.6184</v>
      </c>
      <c r="HA166">
        <v>61.0773</v>
      </c>
      <c r="HB166">
        <v>20.3045</v>
      </c>
      <c r="HC166">
        <v>1</v>
      </c>
      <c r="HD166">
        <v>-0.0143623</v>
      </c>
      <c r="HE166">
        <v>-4.41792</v>
      </c>
      <c r="HF166">
        <v>20.2732</v>
      </c>
      <c r="HG166">
        <v>5.22268</v>
      </c>
      <c r="HH166">
        <v>11.98</v>
      </c>
      <c r="HI166">
        <v>4.9657</v>
      </c>
      <c r="HJ166">
        <v>3.27593</v>
      </c>
      <c r="HK166">
        <v>9999</v>
      </c>
      <c r="HL166">
        <v>9999</v>
      </c>
      <c r="HM166">
        <v>9999</v>
      </c>
      <c r="HN166">
        <v>999.9</v>
      </c>
      <c r="HO166">
        <v>1.86359</v>
      </c>
      <c r="HP166">
        <v>1.85974</v>
      </c>
      <c r="HQ166">
        <v>1.85799</v>
      </c>
      <c r="HR166">
        <v>1.85941</v>
      </c>
      <c r="HS166">
        <v>1.85959</v>
      </c>
      <c r="HT166">
        <v>1.85798</v>
      </c>
      <c r="HU166">
        <v>1.85703</v>
      </c>
      <c r="HV166">
        <v>1.85208</v>
      </c>
      <c r="HW166">
        <v>0</v>
      </c>
      <c r="HX166">
        <v>0</v>
      </c>
      <c r="HY166">
        <v>0</v>
      </c>
      <c r="HZ166">
        <v>0</v>
      </c>
      <c r="IA166" t="s">
        <v>424</v>
      </c>
      <c r="IB166" t="s">
        <v>425</v>
      </c>
      <c r="IC166" t="s">
        <v>426</v>
      </c>
      <c r="ID166" t="s">
        <v>426</v>
      </c>
      <c r="IE166" t="s">
        <v>426</v>
      </c>
      <c r="IF166" t="s">
        <v>426</v>
      </c>
      <c r="IG166">
        <v>0</v>
      </c>
      <c r="IH166">
        <v>100</v>
      </c>
      <c r="II166">
        <v>100</v>
      </c>
      <c r="IJ166">
        <v>-1.566</v>
      </c>
      <c r="IK166">
        <v>0.1922</v>
      </c>
      <c r="IL166">
        <v>-2.357986366295179</v>
      </c>
      <c r="IM166">
        <v>0.001328113201692861</v>
      </c>
      <c r="IN166">
        <v>1.538283238170363E-06</v>
      </c>
      <c r="IO166">
        <v>-5.795655626708063E-10</v>
      </c>
      <c r="IP166">
        <v>-0.06105361615936408</v>
      </c>
      <c r="IQ166">
        <v>-0.004593102289677449</v>
      </c>
      <c r="IR166">
        <v>0.0008253994458280543</v>
      </c>
      <c r="IS166">
        <v>-7.403632370499484E-06</v>
      </c>
      <c r="IT166">
        <v>2</v>
      </c>
      <c r="IU166">
        <v>1985</v>
      </c>
      <c r="IV166">
        <v>1</v>
      </c>
      <c r="IW166">
        <v>27</v>
      </c>
      <c r="IX166">
        <v>7.5</v>
      </c>
      <c r="IY166">
        <v>7.4</v>
      </c>
      <c r="IZ166">
        <v>1.13037</v>
      </c>
      <c r="JA166">
        <v>2.58667</v>
      </c>
      <c r="JB166">
        <v>1.49658</v>
      </c>
      <c r="JC166">
        <v>2.34619</v>
      </c>
      <c r="JD166">
        <v>1.54907</v>
      </c>
      <c r="JE166">
        <v>2.46216</v>
      </c>
      <c r="JF166">
        <v>31.8488</v>
      </c>
      <c r="JG166">
        <v>14.456</v>
      </c>
      <c r="JH166">
        <v>18</v>
      </c>
      <c r="JI166">
        <v>482.495</v>
      </c>
      <c r="JJ166">
        <v>509.748</v>
      </c>
      <c r="JK166">
        <v>32.016</v>
      </c>
      <c r="JL166">
        <v>26.9967</v>
      </c>
      <c r="JM166">
        <v>30.0048</v>
      </c>
      <c r="JN166">
        <v>27.2664</v>
      </c>
      <c r="JO166">
        <v>27.26</v>
      </c>
      <c r="JP166">
        <v>22.7162</v>
      </c>
      <c r="JQ166">
        <v>14.5435</v>
      </c>
      <c r="JR166">
        <v>92.4344</v>
      </c>
      <c r="JS166">
        <v>32.1879</v>
      </c>
      <c r="JT166">
        <v>420</v>
      </c>
      <c r="JU166">
        <v>24.2896</v>
      </c>
      <c r="JV166">
        <v>102.374</v>
      </c>
      <c r="JW166">
        <v>91.4079</v>
      </c>
    </row>
    <row r="167" spans="1:283">
      <c r="A167">
        <v>149</v>
      </c>
      <c r="B167">
        <v>1761019114.1</v>
      </c>
      <c r="C167">
        <v>1044.599999904633</v>
      </c>
      <c r="D167" t="s">
        <v>729</v>
      </c>
      <c r="E167" t="s">
        <v>730</v>
      </c>
      <c r="F167">
        <v>5</v>
      </c>
      <c r="G167" t="s">
        <v>674</v>
      </c>
      <c r="H167">
        <v>1761019111.1</v>
      </c>
      <c r="I167">
        <f>(J167)/1000</f>
        <v>0</v>
      </c>
      <c r="J167">
        <f>1000*DJ167*AH167*(DF167-DG167)/(100*CY167*(1000-AH167*DF167))</f>
        <v>0</v>
      </c>
      <c r="K167">
        <f>DJ167*AH167*(DE167-DD167*(1000-AH167*DG167)/(1000-AH167*DF167))/(100*CY167)</f>
        <v>0</v>
      </c>
      <c r="L167">
        <f>DD167 - IF(AH167&gt;1, K167*CY167*100.0/(AJ167), 0)</f>
        <v>0</v>
      </c>
      <c r="M167">
        <f>((S167-I167/2)*L167-K167)/(S167+I167/2)</f>
        <v>0</v>
      </c>
      <c r="N167">
        <f>M167*(DK167+DL167)/1000.0</f>
        <v>0</v>
      </c>
      <c r="O167">
        <f>(DD167 - IF(AH167&gt;1, K167*CY167*100.0/(AJ167), 0))*(DK167+DL167)/1000.0</f>
        <v>0</v>
      </c>
      <c r="P167">
        <f>2.0/((1/R167-1/Q167)+SIGN(R167)*SQRT((1/R167-1/Q167)*(1/R167-1/Q167) + 4*CZ167/((CZ167+1)*(CZ167+1))*(2*1/R167*1/Q167-1/Q167*1/Q167)))</f>
        <v>0</v>
      </c>
      <c r="Q167">
        <f>IF(LEFT(DA167,1)&lt;&gt;"0",IF(LEFT(DA167,1)="1",3.0,DB167),$D$5+$E$5*(DR167*DK167/($K$5*1000))+$F$5*(DR167*DK167/($K$5*1000))*MAX(MIN(CY167,$J$5),$I$5)*MAX(MIN(CY167,$J$5),$I$5)+$G$5*MAX(MIN(CY167,$J$5),$I$5)*(DR167*DK167/($K$5*1000))+$H$5*(DR167*DK167/($K$5*1000))*(DR167*DK167/($K$5*1000)))</f>
        <v>0</v>
      </c>
      <c r="R167">
        <f>I167*(1000-(1000*0.61365*exp(17.502*V167/(240.97+V167))/(DK167+DL167)+DF167)/2)/(1000*0.61365*exp(17.502*V167/(240.97+V167))/(DK167+DL167)-DF167)</f>
        <v>0</v>
      </c>
      <c r="S167">
        <f>1/((CZ167+1)/(P167/1.6)+1/(Q167/1.37)) + CZ167/((CZ167+1)/(P167/1.6) + CZ167/(Q167/1.37))</f>
        <v>0</v>
      </c>
      <c r="T167">
        <f>(CU167*CX167)</f>
        <v>0</v>
      </c>
      <c r="U167">
        <f>(DM167+(T167+2*0.95*5.67E-8*(((DM167+$B$9)+273)^4-(DM167+273)^4)-44100*I167)/(1.84*29.3*Q167+8*0.95*5.67E-8*(DM167+273)^3))</f>
        <v>0</v>
      </c>
      <c r="V167">
        <f>($C$9*DN167+$D$9*DO167+$E$9*U167)</f>
        <v>0</v>
      </c>
      <c r="W167">
        <f>0.61365*exp(17.502*V167/(240.97+V167))</f>
        <v>0</v>
      </c>
      <c r="X167">
        <f>(Y167/Z167*100)</f>
        <v>0</v>
      </c>
      <c r="Y167">
        <f>DF167*(DK167+DL167)/1000</f>
        <v>0</v>
      </c>
      <c r="Z167">
        <f>0.61365*exp(17.502*DM167/(240.97+DM167))</f>
        <v>0</v>
      </c>
      <c r="AA167">
        <f>(W167-DF167*(DK167+DL167)/1000)</f>
        <v>0</v>
      </c>
      <c r="AB167">
        <f>(-I167*44100)</f>
        <v>0</v>
      </c>
      <c r="AC167">
        <f>2*29.3*Q167*0.92*(DM167-V167)</f>
        <v>0</v>
      </c>
      <c r="AD167">
        <f>2*0.95*5.67E-8*(((DM167+$B$9)+273)^4-(V167+273)^4)</f>
        <v>0</v>
      </c>
      <c r="AE167">
        <f>T167+AD167+AB167+AC167</f>
        <v>0</v>
      </c>
      <c r="AF167">
        <v>0</v>
      </c>
      <c r="AG167">
        <v>0</v>
      </c>
      <c r="AH167">
        <f>IF(AF167*$H$15&gt;=AJ167,1.0,(AJ167/(AJ167-AF167*$H$15)))</f>
        <v>0</v>
      </c>
      <c r="AI167">
        <f>(AH167-1)*100</f>
        <v>0</v>
      </c>
      <c r="AJ167">
        <f>MAX(0,($B$15+$C$15*DR167)/(1+$D$15*DR167)*DK167/(DM167+273)*$E$15)</f>
        <v>0</v>
      </c>
      <c r="AK167" t="s">
        <v>420</v>
      </c>
      <c r="AL167" t="s">
        <v>420</v>
      </c>
      <c r="AM167">
        <v>0</v>
      </c>
      <c r="AN167">
        <v>0</v>
      </c>
      <c r="AO167">
        <f>1-AM167/AN167</f>
        <v>0</v>
      </c>
      <c r="AP167">
        <v>0</v>
      </c>
      <c r="AQ167" t="s">
        <v>420</v>
      </c>
      <c r="AR167" t="s">
        <v>420</v>
      </c>
      <c r="AS167">
        <v>0</v>
      </c>
      <c r="AT167">
        <v>0</v>
      </c>
      <c r="AU167">
        <f>1-AS167/AT167</f>
        <v>0</v>
      </c>
      <c r="AV167">
        <v>0.5</v>
      </c>
      <c r="AW167">
        <f>CV167</f>
        <v>0</v>
      </c>
      <c r="AX167">
        <f>K167</f>
        <v>0</v>
      </c>
      <c r="AY167">
        <f>AU167*AV167*AW167</f>
        <v>0</v>
      </c>
      <c r="AZ167">
        <f>(AX167-AP167)/AW167</f>
        <v>0</v>
      </c>
      <c r="BA167">
        <f>(AN167-AT167)/AT167</f>
        <v>0</v>
      </c>
      <c r="BB167">
        <f>AM167/(AO167+AM167/AT167)</f>
        <v>0</v>
      </c>
      <c r="BC167" t="s">
        <v>420</v>
      </c>
      <c r="BD167">
        <v>0</v>
      </c>
      <c r="BE167">
        <f>IF(BD167&lt;&gt;0, BD167, BB167)</f>
        <v>0</v>
      </c>
      <c r="BF167">
        <f>1-BE167/AT167</f>
        <v>0</v>
      </c>
      <c r="BG167">
        <f>(AT167-AS167)/(AT167-BE167)</f>
        <v>0</v>
      </c>
      <c r="BH167">
        <f>(AN167-AT167)/(AN167-BE167)</f>
        <v>0</v>
      </c>
      <c r="BI167">
        <f>(AT167-AS167)/(AT167-AM167)</f>
        <v>0</v>
      </c>
      <c r="BJ167">
        <f>(AN167-AT167)/(AN167-AM167)</f>
        <v>0</v>
      </c>
      <c r="BK167">
        <f>(BG167*BE167/AS167)</f>
        <v>0</v>
      </c>
      <c r="BL167">
        <f>(1-BK167)</f>
        <v>0</v>
      </c>
      <c r="CU167">
        <f>$B$13*DS167+$C$13*DT167+$F$13*EE167*(1-EH167)</f>
        <v>0</v>
      </c>
      <c r="CV167">
        <f>CU167*CW167</f>
        <v>0</v>
      </c>
      <c r="CW167">
        <f>($B$13*$D$11+$C$13*$D$11+$F$13*((ER167+EJ167)/MAX(ER167+EJ167+ES167, 0.1)*$I$11+ES167/MAX(ER167+EJ167+ES167, 0.1)*$J$11))/($B$13+$C$13+$F$13)</f>
        <v>0</v>
      </c>
      <c r="CX167">
        <f>($B$13*$K$11+$C$13*$K$11+$F$13*((ER167+EJ167)/MAX(ER167+EJ167+ES167, 0.1)*$P$11+ES167/MAX(ER167+EJ167+ES167, 0.1)*$Q$11))/($B$13+$C$13+$F$13)</f>
        <v>0</v>
      </c>
      <c r="CY167">
        <v>5.66</v>
      </c>
      <c r="CZ167">
        <v>0.5</v>
      </c>
      <c r="DA167" t="s">
        <v>421</v>
      </c>
      <c r="DB167">
        <v>2</v>
      </c>
      <c r="DC167">
        <v>1761019111.1</v>
      </c>
      <c r="DD167">
        <v>420.9972222222222</v>
      </c>
      <c r="DE167">
        <v>420.2841111111111</v>
      </c>
      <c r="DF167">
        <v>23.97438888888889</v>
      </c>
      <c r="DG167">
        <v>22.10828888888889</v>
      </c>
      <c r="DH167">
        <v>422.5632222222223</v>
      </c>
      <c r="DI167">
        <v>23.77753333333333</v>
      </c>
      <c r="DJ167">
        <v>500.1952222222222</v>
      </c>
      <c r="DK167">
        <v>90.80993333333333</v>
      </c>
      <c r="DL167">
        <v>0.03342801111111111</v>
      </c>
      <c r="DM167">
        <v>30.46626666666667</v>
      </c>
      <c r="DN167">
        <v>29.95107777777778</v>
      </c>
      <c r="DO167">
        <v>999.9000000000001</v>
      </c>
      <c r="DP167">
        <v>0</v>
      </c>
      <c r="DQ167">
        <v>0</v>
      </c>
      <c r="DR167">
        <v>10011.66444444444</v>
      </c>
      <c r="DS167">
        <v>0</v>
      </c>
      <c r="DT167">
        <v>0.242856</v>
      </c>
      <c r="DU167">
        <v>0.7131175555555556</v>
      </c>
      <c r="DV167">
        <v>431.3385555555555</v>
      </c>
      <c r="DW167">
        <v>429.7861111111111</v>
      </c>
      <c r="DX167">
        <v>1.866101111111111</v>
      </c>
      <c r="DY167">
        <v>420.2841111111111</v>
      </c>
      <c r="DZ167">
        <v>22.10828888888889</v>
      </c>
      <c r="EA167">
        <v>2.177113333333334</v>
      </c>
      <c r="EB167">
        <v>2.007653333333333</v>
      </c>
      <c r="EC167">
        <v>18.79355555555556</v>
      </c>
      <c r="ED167">
        <v>17.50444444444445</v>
      </c>
      <c r="EE167">
        <v>0.00500078</v>
      </c>
      <c r="EF167">
        <v>0</v>
      </c>
      <c r="EG167">
        <v>0</v>
      </c>
      <c r="EH167">
        <v>0</v>
      </c>
      <c r="EI167">
        <v>830.3444444444444</v>
      </c>
      <c r="EJ167">
        <v>0.00500078</v>
      </c>
      <c r="EK167">
        <v>-15.4</v>
      </c>
      <c r="EL167">
        <v>-1.688888888888889</v>
      </c>
      <c r="EM167">
        <v>35.61088888888889</v>
      </c>
      <c r="EN167">
        <v>38.98577777777777</v>
      </c>
      <c r="EO167">
        <v>38.36766666666666</v>
      </c>
      <c r="EP167">
        <v>39.43044444444445</v>
      </c>
      <c r="EQ167">
        <v>38.29133333333333</v>
      </c>
      <c r="ER167">
        <v>0</v>
      </c>
      <c r="ES167">
        <v>0</v>
      </c>
      <c r="ET167">
        <v>0</v>
      </c>
      <c r="EU167">
        <v>1761019113.1</v>
      </c>
      <c r="EV167">
        <v>0</v>
      </c>
      <c r="EW167">
        <v>833.2692307692309</v>
      </c>
      <c r="EX167">
        <v>-44.83418821113052</v>
      </c>
      <c r="EY167">
        <v>-31.17264961888073</v>
      </c>
      <c r="EZ167">
        <v>-14.85384615384616</v>
      </c>
      <c r="FA167">
        <v>15</v>
      </c>
      <c r="FB167">
        <v>1761018667.1</v>
      </c>
      <c r="FC167" t="s">
        <v>613</v>
      </c>
      <c r="FD167">
        <v>1761018661.6</v>
      </c>
      <c r="FE167">
        <v>1761018667.1</v>
      </c>
      <c r="FF167">
        <v>26</v>
      </c>
      <c r="FG167">
        <v>-0.221</v>
      </c>
      <c r="FH167">
        <v>-0.001</v>
      </c>
      <c r="FI167">
        <v>-1.568</v>
      </c>
      <c r="FJ167">
        <v>0.178</v>
      </c>
      <c r="FK167">
        <v>420</v>
      </c>
      <c r="FL167">
        <v>23</v>
      </c>
      <c r="FM167">
        <v>0.1</v>
      </c>
      <c r="FN167">
        <v>0.08</v>
      </c>
      <c r="FO167">
        <v>0.6675422195121952</v>
      </c>
      <c r="FP167">
        <v>-0.2343349965156786</v>
      </c>
      <c r="FQ167">
        <v>0.1727895095811469</v>
      </c>
      <c r="FR167">
        <v>1</v>
      </c>
      <c r="FS167">
        <v>835.1911764705883</v>
      </c>
      <c r="FT167">
        <v>-46.55920556979223</v>
      </c>
      <c r="FU167">
        <v>9.049288813364376</v>
      </c>
      <c r="FV167">
        <v>0</v>
      </c>
      <c r="FW167">
        <v>0.7673185039024389</v>
      </c>
      <c r="FX167">
        <v>8.506222559163763</v>
      </c>
      <c r="FY167">
        <v>0.9004700442059487</v>
      </c>
      <c r="FZ167">
        <v>0</v>
      </c>
      <c r="GA167">
        <v>1</v>
      </c>
      <c r="GB167">
        <v>3</v>
      </c>
      <c r="GC167" t="s">
        <v>431</v>
      </c>
      <c r="GD167">
        <v>3.10913</v>
      </c>
      <c r="GE167">
        <v>2.72527</v>
      </c>
      <c r="GF167">
        <v>0.0891028</v>
      </c>
      <c r="GG167">
        <v>0.08872149999999999</v>
      </c>
      <c r="GH167">
        <v>0.107228</v>
      </c>
      <c r="GI167">
        <v>0.104453</v>
      </c>
      <c r="GJ167">
        <v>23925.1</v>
      </c>
      <c r="GK167">
        <v>21660.2</v>
      </c>
      <c r="GL167">
        <v>26821.4</v>
      </c>
      <c r="GM167">
        <v>23972.9</v>
      </c>
      <c r="GN167">
        <v>38258.5</v>
      </c>
      <c r="GO167">
        <v>31660.6</v>
      </c>
      <c r="GP167">
        <v>46814.3</v>
      </c>
      <c r="GQ167">
        <v>37887.2</v>
      </c>
      <c r="GR167">
        <v>1.90058</v>
      </c>
      <c r="GS167">
        <v>1.89748</v>
      </c>
      <c r="GT167">
        <v>0.13005</v>
      </c>
      <c r="GU167">
        <v>0</v>
      </c>
      <c r="GV167">
        <v>27.8308</v>
      </c>
      <c r="GW167">
        <v>999.9</v>
      </c>
      <c r="GX167">
        <v>64.2</v>
      </c>
      <c r="GY167">
        <v>28.5</v>
      </c>
      <c r="GZ167">
        <v>27.6205</v>
      </c>
      <c r="HA167">
        <v>61.0273</v>
      </c>
      <c r="HB167">
        <v>20.2404</v>
      </c>
      <c r="HC167">
        <v>1</v>
      </c>
      <c r="HD167">
        <v>-0.0165193</v>
      </c>
      <c r="HE167">
        <v>-3.7969</v>
      </c>
      <c r="HF167">
        <v>20.2909</v>
      </c>
      <c r="HG167">
        <v>5.22268</v>
      </c>
      <c r="HH167">
        <v>11.98</v>
      </c>
      <c r="HI167">
        <v>4.9657</v>
      </c>
      <c r="HJ167">
        <v>3.27598</v>
      </c>
      <c r="HK167">
        <v>9999</v>
      </c>
      <c r="HL167">
        <v>9999</v>
      </c>
      <c r="HM167">
        <v>9999</v>
      </c>
      <c r="HN167">
        <v>999.9</v>
      </c>
      <c r="HO167">
        <v>1.86359</v>
      </c>
      <c r="HP167">
        <v>1.85974</v>
      </c>
      <c r="HQ167">
        <v>1.85798</v>
      </c>
      <c r="HR167">
        <v>1.8594</v>
      </c>
      <c r="HS167">
        <v>1.85958</v>
      </c>
      <c r="HT167">
        <v>1.858</v>
      </c>
      <c r="HU167">
        <v>1.85707</v>
      </c>
      <c r="HV167">
        <v>1.85208</v>
      </c>
      <c r="HW167">
        <v>0</v>
      </c>
      <c r="HX167">
        <v>0</v>
      </c>
      <c r="HY167">
        <v>0</v>
      </c>
      <c r="HZ167">
        <v>0</v>
      </c>
      <c r="IA167" t="s">
        <v>424</v>
      </c>
      <c r="IB167" t="s">
        <v>425</v>
      </c>
      <c r="IC167" t="s">
        <v>426</v>
      </c>
      <c r="ID167" t="s">
        <v>426</v>
      </c>
      <c r="IE167" t="s">
        <v>426</v>
      </c>
      <c r="IF167" t="s">
        <v>426</v>
      </c>
      <c r="IG167">
        <v>0</v>
      </c>
      <c r="IH167">
        <v>100</v>
      </c>
      <c r="II167">
        <v>100</v>
      </c>
      <c r="IJ167">
        <v>-1.566</v>
      </c>
      <c r="IK167">
        <v>0.1852</v>
      </c>
      <c r="IL167">
        <v>-2.357986366295179</v>
      </c>
      <c r="IM167">
        <v>0.001328113201692861</v>
      </c>
      <c r="IN167">
        <v>1.538283238170363E-06</v>
      </c>
      <c r="IO167">
        <v>-5.795655626708063E-10</v>
      </c>
      <c r="IP167">
        <v>-0.06105361615936408</v>
      </c>
      <c r="IQ167">
        <v>-0.004593102289677449</v>
      </c>
      <c r="IR167">
        <v>0.0008253994458280543</v>
      </c>
      <c r="IS167">
        <v>-7.403632370499484E-06</v>
      </c>
      <c r="IT167">
        <v>2</v>
      </c>
      <c r="IU167">
        <v>1985</v>
      </c>
      <c r="IV167">
        <v>1</v>
      </c>
      <c r="IW167">
        <v>27</v>
      </c>
      <c r="IX167">
        <v>7.5</v>
      </c>
      <c r="IY167">
        <v>7.5</v>
      </c>
      <c r="IZ167">
        <v>1.13037</v>
      </c>
      <c r="JA167">
        <v>2.59277</v>
      </c>
      <c r="JB167">
        <v>1.49658</v>
      </c>
      <c r="JC167">
        <v>2.34619</v>
      </c>
      <c r="JD167">
        <v>1.54907</v>
      </c>
      <c r="JE167">
        <v>2.38647</v>
      </c>
      <c r="JF167">
        <v>31.8488</v>
      </c>
      <c r="JG167">
        <v>14.456</v>
      </c>
      <c r="JH167">
        <v>18</v>
      </c>
      <c r="JI167">
        <v>482.328</v>
      </c>
      <c r="JJ167">
        <v>510.152</v>
      </c>
      <c r="JK167">
        <v>32.1905</v>
      </c>
      <c r="JL167">
        <v>26.9955</v>
      </c>
      <c r="JM167">
        <v>30.0016</v>
      </c>
      <c r="JN167">
        <v>27.2634</v>
      </c>
      <c r="JO167">
        <v>27.2621</v>
      </c>
      <c r="JP167">
        <v>22.7228</v>
      </c>
      <c r="JQ167">
        <v>11.9622</v>
      </c>
      <c r="JR167">
        <v>92.9177</v>
      </c>
      <c r="JS167">
        <v>32.1879</v>
      </c>
      <c r="JT167">
        <v>420</v>
      </c>
      <c r="JU167">
        <v>24.5518</v>
      </c>
      <c r="JV167">
        <v>102.373</v>
      </c>
      <c r="JW167">
        <v>91.4076</v>
      </c>
    </row>
    <row r="168" spans="1:283">
      <c r="A168">
        <v>150</v>
      </c>
      <c r="B168">
        <v>1761019116.1</v>
      </c>
      <c r="C168">
        <v>1046.599999904633</v>
      </c>
      <c r="D168" t="s">
        <v>731</v>
      </c>
      <c r="E168" t="s">
        <v>732</v>
      </c>
      <c r="F168">
        <v>5</v>
      </c>
      <c r="G168" t="s">
        <v>674</v>
      </c>
      <c r="H168">
        <v>1761019113.1</v>
      </c>
      <c r="I168">
        <f>(J168)/1000</f>
        <v>0</v>
      </c>
      <c r="J168">
        <f>1000*DJ168*AH168*(DF168-DG168)/(100*CY168*(1000-AH168*DF168))</f>
        <v>0</v>
      </c>
      <c r="K168">
        <f>DJ168*AH168*(DE168-DD168*(1000-AH168*DG168)/(1000-AH168*DF168))/(100*CY168)</f>
        <v>0</v>
      </c>
      <c r="L168">
        <f>DD168 - IF(AH168&gt;1, K168*CY168*100.0/(AJ168), 0)</f>
        <v>0</v>
      </c>
      <c r="M168">
        <f>((S168-I168/2)*L168-K168)/(S168+I168/2)</f>
        <v>0</v>
      </c>
      <c r="N168">
        <f>M168*(DK168+DL168)/1000.0</f>
        <v>0</v>
      </c>
      <c r="O168">
        <f>(DD168 - IF(AH168&gt;1, K168*CY168*100.0/(AJ168), 0))*(DK168+DL168)/1000.0</f>
        <v>0</v>
      </c>
      <c r="P168">
        <f>2.0/((1/R168-1/Q168)+SIGN(R168)*SQRT((1/R168-1/Q168)*(1/R168-1/Q168) + 4*CZ168/((CZ168+1)*(CZ168+1))*(2*1/R168*1/Q168-1/Q168*1/Q168)))</f>
        <v>0</v>
      </c>
      <c r="Q168">
        <f>IF(LEFT(DA168,1)&lt;&gt;"0",IF(LEFT(DA168,1)="1",3.0,DB168),$D$5+$E$5*(DR168*DK168/($K$5*1000))+$F$5*(DR168*DK168/($K$5*1000))*MAX(MIN(CY168,$J$5),$I$5)*MAX(MIN(CY168,$J$5),$I$5)+$G$5*MAX(MIN(CY168,$J$5),$I$5)*(DR168*DK168/($K$5*1000))+$H$5*(DR168*DK168/($K$5*1000))*(DR168*DK168/($K$5*1000)))</f>
        <v>0</v>
      </c>
      <c r="R168">
        <f>I168*(1000-(1000*0.61365*exp(17.502*V168/(240.97+V168))/(DK168+DL168)+DF168)/2)/(1000*0.61365*exp(17.502*V168/(240.97+V168))/(DK168+DL168)-DF168)</f>
        <v>0</v>
      </c>
      <c r="S168">
        <f>1/((CZ168+1)/(P168/1.6)+1/(Q168/1.37)) + CZ168/((CZ168+1)/(P168/1.6) + CZ168/(Q168/1.37))</f>
        <v>0</v>
      </c>
      <c r="T168">
        <f>(CU168*CX168)</f>
        <v>0</v>
      </c>
      <c r="U168">
        <f>(DM168+(T168+2*0.95*5.67E-8*(((DM168+$B$9)+273)^4-(DM168+273)^4)-44100*I168)/(1.84*29.3*Q168+8*0.95*5.67E-8*(DM168+273)^3))</f>
        <v>0</v>
      </c>
      <c r="V168">
        <f>($C$9*DN168+$D$9*DO168+$E$9*U168)</f>
        <v>0</v>
      </c>
      <c r="W168">
        <f>0.61365*exp(17.502*V168/(240.97+V168))</f>
        <v>0</v>
      </c>
      <c r="X168">
        <f>(Y168/Z168*100)</f>
        <v>0</v>
      </c>
      <c r="Y168">
        <f>DF168*(DK168+DL168)/1000</f>
        <v>0</v>
      </c>
      <c r="Z168">
        <f>0.61365*exp(17.502*DM168/(240.97+DM168))</f>
        <v>0</v>
      </c>
      <c r="AA168">
        <f>(W168-DF168*(DK168+DL168)/1000)</f>
        <v>0</v>
      </c>
      <c r="AB168">
        <f>(-I168*44100)</f>
        <v>0</v>
      </c>
      <c r="AC168">
        <f>2*29.3*Q168*0.92*(DM168-V168)</f>
        <v>0</v>
      </c>
      <c r="AD168">
        <f>2*0.95*5.67E-8*(((DM168+$B$9)+273)^4-(V168+273)^4)</f>
        <v>0</v>
      </c>
      <c r="AE168">
        <f>T168+AD168+AB168+AC168</f>
        <v>0</v>
      </c>
      <c r="AF168">
        <v>0</v>
      </c>
      <c r="AG168">
        <v>0</v>
      </c>
      <c r="AH168">
        <f>IF(AF168*$H$15&gt;=AJ168,1.0,(AJ168/(AJ168-AF168*$H$15)))</f>
        <v>0</v>
      </c>
      <c r="AI168">
        <f>(AH168-1)*100</f>
        <v>0</v>
      </c>
      <c r="AJ168">
        <f>MAX(0,($B$15+$C$15*DR168)/(1+$D$15*DR168)*DK168/(DM168+273)*$E$15)</f>
        <v>0</v>
      </c>
      <c r="AK168" t="s">
        <v>420</v>
      </c>
      <c r="AL168" t="s">
        <v>420</v>
      </c>
      <c r="AM168">
        <v>0</v>
      </c>
      <c r="AN168">
        <v>0</v>
      </c>
      <c r="AO168">
        <f>1-AM168/AN168</f>
        <v>0</v>
      </c>
      <c r="AP168">
        <v>0</v>
      </c>
      <c r="AQ168" t="s">
        <v>420</v>
      </c>
      <c r="AR168" t="s">
        <v>420</v>
      </c>
      <c r="AS168">
        <v>0</v>
      </c>
      <c r="AT168">
        <v>0</v>
      </c>
      <c r="AU168">
        <f>1-AS168/AT168</f>
        <v>0</v>
      </c>
      <c r="AV168">
        <v>0.5</v>
      </c>
      <c r="AW168">
        <f>CV168</f>
        <v>0</v>
      </c>
      <c r="AX168">
        <f>K168</f>
        <v>0</v>
      </c>
      <c r="AY168">
        <f>AU168*AV168*AW168</f>
        <v>0</v>
      </c>
      <c r="AZ168">
        <f>(AX168-AP168)/AW168</f>
        <v>0</v>
      </c>
      <c r="BA168">
        <f>(AN168-AT168)/AT168</f>
        <v>0</v>
      </c>
      <c r="BB168">
        <f>AM168/(AO168+AM168/AT168)</f>
        <v>0</v>
      </c>
      <c r="BC168" t="s">
        <v>420</v>
      </c>
      <c r="BD168">
        <v>0</v>
      </c>
      <c r="BE168">
        <f>IF(BD168&lt;&gt;0, BD168, BB168)</f>
        <v>0</v>
      </c>
      <c r="BF168">
        <f>1-BE168/AT168</f>
        <v>0</v>
      </c>
      <c r="BG168">
        <f>(AT168-AS168)/(AT168-BE168)</f>
        <v>0</v>
      </c>
      <c r="BH168">
        <f>(AN168-AT168)/(AN168-BE168)</f>
        <v>0</v>
      </c>
      <c r="BI168">
        <f>(AT168-AS168)/(AT168-AM168)</f>
        <v>0</v>
      </c>
      <c r="BJ168">
        <f>(AN168-AT168)/(AN168-AM168)</f>
        <v>0</v>
      </c>
      <c r="BK168">
        <f>(BG168*BE168/AS168)</f>
        <v>0</v>
      </c>
      <c r="BL168">
        <f>(1-BK168)</f>
        <v>0</v>
      </c>
      <c r="CU168">
        <f>$B$13*DS168+$C$13*DT168+$F$13*EE168*(1-EH168)</f>
        <v>0</v>
      </c>
      <c r="CV168">
        <f>CU168*CW168</f>
        <v>0</v>
      </c>
      <c r="CW168">
        <f>($B$13*$D$11+$C$13*$D$11+$F$13*((ER168+EJ168)/MAX(ER168+EJ168+ES168, 0.1)*$I$11+ES168/MAX(ER168+EJ168+ES168, 0.1)*$J$11))/($B$13+$C$13+$F$13)</f>
        <v>0</v>
      </c>
      <c r="CX168">
        <f>($B$13*$K$11+$C$13*$K$11+$F$13*((ER168+EJ168)/MAX(ER168+EJ168+ES168, 0.1)*$P$11+ES168/MAX(ER168+EJ168+ES168, 0.1)*$Q$11))/($B$13+$C$13+$F$13)</f>
        <v>0</v>
      </c>
      <c r="CY168">
        <v>5.66</v>
      </c>
      <c r="CZ168">
        <v>0.5</v>
      </c>
      <c r="DA168" t="s">
        <v>421</v>
      </c>
      <c r="DB168">
        <v>2</v>
      </c>
      <c r="DC168">
        <v>1761019113.1</v>
      </c>
      <c r="DD168">
        <v>420.9798888888889</v>
      </c>
      <c r="DE168">
        <v>420.0414444444445</v>
      </c>
      <c r="DF168">
        <v>23.62422222222222</v>
      </c>
      <c r="DG168">
        <v>22.17245555555555</v>
      </c>
      <c r="DH168">
        <v>422.546</v>
      </c>
      <c r="DI168">
        <v>23.4349</v>
      </c>
      <c r="DJ168">
        <v>500.1131111111111</v>
      </c>
      <c r="DK168">
        <v>90.81</v>
      </c>
      <c r="DL168">
        <v>0.03354763333333333</v>
      </c>
      <c r="DM168">
        <v>30.4705</v>
      </c>
      <c r="DN168">
        <v>29.9484</v>
      </c>
      <c r="DO168">
        <v>999.9000000000001</v>
      </c>
      <c r="DP168">
        <v>0</v>
      </c>
      <c r="DQ168">
        <v>0</v>
      </c>
      <c r="DR168">
        <v>10001.03666666667</v>
      </c>
      <c r="DS168">
        <v>0</v>
      </c>
      <c r="DT168">
        <v>0.242856</v>
      </c>
      <c r="DU168">
        <v>0.938550777777778</v>
      </c>
      <c r="DV168">
        <v>431.1661111111111</v>
      </c>
      <c r="DW168">
        <v>429.566</v>
      </c>
      <c r="DX168">
        <v>1.451761666666667</v>
      </c>
      <c r="DY168">
        <v>420.0414444444445</v>
      </c>
      <c r="DZ168">
        <v>22.17245555555555</v>
      </c>
      <c r="EA168">
        <v>2.145315555555555</v>
      </c>
      <c r="EB168">
        <v>2.013481111111111</v>
      </c>
      <c r="EC168">
        <v>18.5588</v>
      </c>
      <c r="ED168">
        <v>17.54997777777778</v>
      </c>
      <c r="EE168">
        <v>0.00500078</v>
      </c>
      <c r="EF168">
        <v>0</v>
      </c>
      <c r="EG168">
        <v>0</v>
      </c>
      <c r="EH168">
        <v>0</v>
      </c>
      <c r="EI168">
        <v>827.4888888888888</v>
      </c>
      <c r="EJ168">
        <v>0.00500078</v>
      </c>
      <c r="EK168">
        <v>-13.23333333333333</v>
      </c>
      <c r="EL168">
        <v>-1.611111111111111</v>
      </c>
      <c r="EM168">
        <v>35.58311111111112</v>
      </c>
      <c r="EN168">
        <v>38.93033333333333</v>
      </c>
      <c r="EO168">
        <v>38.29822222222222</v>
      </c>
      <c r="EP168">
        <v>39.35400000000001</v>
      </c>
      <c r="EQ168">
        <v>38.27755555555555</v>
      </c>
      <c r="ER168">
        <v>0</v>
      </c>
      <c r="ES168">
        <v>0</v>
      </c>
      <c r="ET168">
        <v>0</v>
      </c>
      <c r="EU168">
        <v>1761019114.9</v>
      </c>
      <c r="EV168">
        <v>0</v>
      </c>
      <c r="EW168">
        <v>831.1479999999999</v>
      </c>
      <c r="EX168">
        <v>-51.13076931534357</v>
      </c>
      <c r="EY168">
        <v>3.392307879398063</v>
      </c>
      <c r="EZ168">
        <v>-14.8</v>
      </c>
      <c r="FA168">
        <v>15</v>
      </c>
      <c r="FB168">
        <v>1761018667.1</v>
      </c>
      <c r="FC168" t="s">
        <v>613</v>
      </c>
      <c r="FD168">
        <v>1761018661.6</v>
      </c>
      <c r="FE168">
        <v>1761018667.1</v>
      </c>
      <c r="FF168">
        <v>26</v>
      </c>
      <c r="FG168">
        <v>-0.221</v>
      </c>
      <c r="FH168">
        <v>-0.001</v>
      </c>
      <c r="FI168">
        <v>-1.568</v>
      </c>
      <c r="FJ168">
        <v>0.178</v>
      </c>
      <c r="FK168">
        <v>420</v>
      </c>
      <c r="FL168">
        <v>23</v>
      </c>
      <c r="FM168">
        <v>0.1</v>
      </c>
      <c r="FN168">
        <v>0.08</v>
      </c>
      <c r="FO168">
        <v>0.69248645</v>
      </c>
      <c r="FP168">
        <v>0.3976549643527182</v>
      </c>
      <c r="FQ168">
        <v>0.2066872321621428</v>
      </c>
      <c r="FR168">
        <v>1</v>
      </c>
      <c r="FS168">
        <v>834.1235294117647</v>
      </c>
      <c r="FT168">
        <v>-48.31168836597389</v>
      </c>
      <c r="FU168">
        <v>9.142790757606248</v>
      </c>
      <c r="FV168">
        <v>0</v>
      </c>
      <c r="FW168">
        <v>0.8902483914999999</v>
      </c>
      <c r="FX168">
        <v>7.372495368180113</v>
      </c>
      <c r="FY168">
        <v>0.843520023195426</v>
      </c>
      <c r="FZ168">
        <v>0</v>
      </c>
      <c r="GA168">
        <v>1</v>
      </c>
      <c r="GB168">
        <v>3</v>
      </c>
      <c r="GC168" t="s">
        <v>431</v>
      </c>
      <c r="GD168">
        <v>3.10941</v>
      </c>
      <c r="GE168">
        <v>2.72538</v>
      </c>
      <c r="GF168">
        <v>0.0890822</v>
      </c>
      <c r="GG168">
        <v>0.0887018</v>
      </c>
      <c r="GH168">
        <v>0.106645</v>
      </c>
      <c r="GI168">
        <v>0.10593</v>
      </c>
      <c r="GJ168">
        <v>23925.4</v>
      </c>
      <c r="GK168">
        <v>21660.6</v>
      </c>
      <c r="GL168">
        <v>26821.1</v>
      </c>
      <c r="GM168">
        <v>23972.8</v>
      </c>
      <c r="GN168">
        <v>38283.7</v>
      </c>
      <c r="GO168">
        <v>31607.8</v>
      </c>
      <c r="GP168">
        <v>46814.1</v>
      </c>
      <c r="GQ168">
        <v>37887</v>
      </c>
      <c r="GR168">
        <v>1.9009</v>
      </c>
      <c r="GS168">
        <v>1.89785</v>
      </c>
      <c r="GT168">
        <v>0.130981</v>
      </c>
      <c r="GU168">
        <v>0</v>
      </c>
      <c r="GV168">
        <v>27.8274</v>
      </c>
      <c r="GW168">
        <v>999.9</v>
      </c>
      <c r="GX168">
        <v>64.2</v>
      </c>
      <c r="GY168">
        <v>28.5</v>
      </c>
      <c r="GZ168">
        <v>27.6223</v>
      </c>
      <c r="HA168">
        <v>61.1573</v>
      </c>
      <c r="HB168">
        <v>20.0441</v>
      </c>
      <c r="HC168">
        <v>1</v>
      </c>
      <c r="HD168">
        <v>-0.0182952</v>
      </c>
      <c r="HE168">
        <v>-3.45497</v>
      </c>
      <c r="HF168">
        <v>20.299</v>
      </c>
      <c r="HG168">
        <v>5.22283</v>
      </c>
      <c r="HH168">
        <v>11.98</v>
      </c>
      <c r="HI168">
        <v>4.96565</v>
      </c>
      <c r="HJ168">
        <v>3.276</v>
      </c>
      <c r="HK168">
        <v>9999</v>
      </c>
      <c r="HL168">
        <v>9999</v>
      </c>
      <c r="HM168">
        <v>9999</v>
      </c>
      <c r="HN168">
        <v>999.9</v>
      </c>
      <c r="HO168">
        <v>1.86358</v>
      </c>
      <c r="HP168">
        <v>1.85974</v>
      </c>
      <c r="HQ168">
        <v>1.85796</v>
      </c>
      <c r="HR168">
        <v>1.8594</v>
      </c>
      <c r="HS168">
        <v>1.85958</v>
      </c>
      <c r="HT168">
        <v>1.858</v>
      </c>
      <c r="HU168">
        <v>1.85709</v>
      </c>
      <c r="HV168">
        <v>1.85208</v>
      </c>
      <c r="HW168">
        <v>0</v>
      </c>
      <c r="HX168">
        <v>0</v>
      </c>
      <c r="HY168">
        <v>0</v>
      </c>
      <c r="HZ168">
        <v>0</v>
      </c>
      <c r="IA168" t="s">
        <v>424</v>
      </c>
      <c r="IB168" t="s">
        <v>425</v>
      </c>
      <c r="IC168" t="s">
        <v>426</v>
      </c>
      <c r="ID168" t="s">
        <v>426</v>
      </c>
      <c r="IE168" t="s">
        <v>426</v>
      </c>
      <c r="IF168" t="s">
        <v>426</v>
      </c>
      <c r="IG168">
        <v>0</v>
      </c>
      <c r="IH168">
        <v>100</v>
      </c>
      <c r="II168">
        <v>100</v>
      </c>
      <c r="IJ168">
        <v>-1.566</v>
      </c>
      <c r="IK168">
        <v>0.1814</v>
      </c>
      <c r="IL168">
        <v>-2.357986366295179</v>
      </c>
      <c r="IM168">
        <v>0.001328113201692861</v>
      </c>
      <c r="IN168">
        <v>1.538283238170363E-06</v>
      </c>
      <c r="IO168">
        <v>-5.795655626708063E-10</v>
      </c>
      <c r="IP168">
        <v>-0.06105361615936408</v>
      </c>
      <c r="IQ168">
        <v>-0.004593102289677449</v>
      </c>
      <c r="IR168">
        <v>0.0008253994458280543</v>
      </c>
      <c r="IS168">
        <v>-7.403632370499484E-06</v>
      </c>
      <c r="IT168">
        <v>2</v>
      </c>
      <c r="IU168">
        <v>1985</v>
      </c>
      <c r="IV168">
        <v>1</v>
      </c>
      <c r="IW168">
        <v>27</v>
      </c>
      <c r="IX168">
        <v>7.6</v>
      </c>
      <c r="IY168">
        <v>7.5</v>
      </c>
      <c r="IZ168">
        <v>1.13037</v>
      </c>
      <c r="JA168">
        <v>2.58911</v>
      </c>
      <c r="JB168">
        <v>1.49658</v>
      </c>
      <c r="JC168">
        <v>2.34619</v>
      </c>
      <c r="JD168">
        <v>1.54907</v>
      </c>
      <c r="JE168">
        <v>2.46338</v>
      </c>
      <c r="JF168">
        <v>31.8488</v>
      </c>
      <c r="JG168">
        <v>14.456</v>
      </c>
      <c r="JH168">
        <v>18</v>
      </c>
      <c r="JI168">
        <v>482.502</v>
      </c>
      <c r="JJ168">
        <v>510.424</v>
      </c>
      <c r="JK168">
        <v>32.2579</v>
      </c>
      <c r="JL168">
        <v>26.9955</v>
      </c>
      <c r="JM168">
        <v>29.9998</v>
      </c>
      <c r="JN168">
        <v>27.2617</v>
      </c>
      <c r="JO168">
        <v>27.2644</v>
      </c>
      <c r="JP168">
        <v>22.7244</v>
      </c>
      <c r="JQ168">
        <v>9.919119999999999</v>
      </c>
      <c r="JR168">
        <v>93.33240000000001</v>
      </c>
      <c r="JS168">
        <v>32.2233</v>
      </c>
      <c r="JT168">
        <v>420</v>
      </c>
      <c r="JU168">
        <v>24.7296</v>
      </c>
      <c r="JV168">
        <v>102.372</v>
      </c>
      <c r="JW168">
        <v>91.4071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2025-10-21T03:59:09Z</dcterms:created>
  <dcterms:modified xsi:type="dcterms:W3CDTF">2025-10-21T03:59:09Z</dcterms:modified>
</cp:coreProperties>
</file>