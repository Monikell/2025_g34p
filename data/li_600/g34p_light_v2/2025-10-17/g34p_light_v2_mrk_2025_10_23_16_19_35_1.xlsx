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light_v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2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12:14:19</v>
      </c>
      <c r="C4" t="str">
        <v>2025-10-17</v>
      </c>
      <c r="D4" t="str">
        <v>g34p_light_v2</v>
      </c>
      <c r="E4" t="str">
        <v>mrk</v>
      </c>
      <c r="F4" t="str">
        <v/>
      </c>
      <c r="G4" t="str">
        <v>95</v>
      </c>
      <c r="H4" t="str">
        <v/>
      </c>
      <c r="I4" t="str">
        <v/>
      </c>
      <c r="J4" t="str">
        <f>1/((1/L4)-(1/K4))</f>
        <v>0.027737</v>
      </c>
      <c r="K4" t="str">
        <f>BH4+(BI4*AN4)+(BJ4*AN4*POWER(V4,2))+(BK4*AN4*V4)+(BL4*POWER(AN4,2))</f>
        <v>2.923003</v>
      </c>
      <c r="L4" t="str">
        <f>((M4/1000)*(1000-((T4+S4)/2)))/(T4-S4)</f>
        <v>0.027476</v>
      </c>
      <c r="M4" t="str">
        <f>(AN4*(S4-R4))/(100*U4*(1000-S4))*1000</f>
        <v>0.761277</v>
      </c>
      <c r="N4" t="str">
        <v>1.492906</v>
      </c>
      <c r="O4" t="str">
        <v>1.473910</v>
      </c>
      <c r="P4" t="str">
        <f>0.61365*EXP((17.502*AL4)/(240.97+AL4))</f>
        <v>3.914102</v>
      </c>
      <c r="Q4" t="str">
        <f>P4-N4</f>
        <v>2.421196</v>
      </c>
      <c r="R4" t="str">
        <v>16.360331</v>
      </c>
      <c r="S4" t="str">
        <v>16.571182</v>
      </c>
      <c r="T4" t="str">
        <f>(P4/AM4)*1000</f>
        <v>43.446327</v>
      </c>
      <c r="U4" t="str">
        <f>V4*BG4</f>
        <v>0.441786</v>
      </c>
      <c r="V4" t="str">
        <v>7.500000</v>
      </c>
      <c r="W4" t="str">
        <v>PSF-00438_20251017121419_313</v>
      </c>
      <c r="X4" t="str">
        <v>0.000000</v>
      </c>
      <c r="Y4" t="str">
        <v>0.000000</v>
      </c>
      <c r="Z4" t="str">
        <v>0.000000</v>
      </c>
      <c r="AA4" t="str">
        <v>251.744263</v>
      </c>
      <c r="AB4" t="str">
        <v>355.955261</v>
      </c>
      <c r="AC4" t="str">
        <v>0.292764</v>
      </c>
      <c r="AD4" t="str">
        <v>0.5</v>
      </c>
      <c r="AE4" t="str">
        <v>0.80</v>
      </c>
      <c r="AF4" t="str">
        <f>AC4*AD4*AE4*AQ4</f>
        <v>150.565948</v>
      </c>
      <c r="AG4" t="str">
        <v>1.000000</v>
      </c>
      <c r="AH4" t="str">
        <v>49.36</v>
      </c>
      <c r="AI4" t="str">
        <v>48.73</v>
      </c>
      <c r="AJ4" t="str">
        <v>24.16</v>
      </c>
      <c r="AK4" t="str">
        <v>28.53</v>
      </c>
      <c r="AL4" t="str">
        <f>(AK4-AJ4)*(AJ4*0+0)+AK4</f>
        <v>28.53</v>
      </c>
      <c r="AM4" t="str">
        <v>90.09</v>
      </c>
      <c r="AN4" t="str">
        <v>156.9</v>
      </c>
      <c r="AO4" t="str">
        <v>158.0</v>
      </c>
      <c r="AP4" t="str">
        <v>-0.7</v>
      </c>
      <c r="AQ4" t="str">
        <v>1286</v>
      </c>
      <c r="AR4" t="str">
        <v>4.113</v>
      </c>
      <c r="AS4" t="str">
        <v>12:14:02</v>
      </c>
      <c r="AT4" t="str">
        <v>2025-10-17</v>
      </c>
      <c r="AU4" t="str">
        <v>-0.31</v>
      </c>
      <c r="AV4" t="str">
        <v>1</v>
      </c>
      <c r="AW4" t="str">
        <v>-0.014</v>
      </c>
      <c r="AX4" t="str">
        <v>-0.253</v>
      </c>
      <c r="AY4" t="str">
        <v>-0.373</v>
      </c>
      <c r="AZ4" t="str">
        <v>66.580</v>
      </c>
      <c r="BA4" t="str">
        <v>72.786</v>
      </c>
      <c r="BB4" t="str">
        <v>132.474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mpf</v>
      </c>
      <c r="BP4" t="str">
        <v>7000</v>
      </c>
      <c r="BQ4" t="str">
        <v>500</v>
      </c>
      <c r="BR4" t="str">
        <v>5.000000</v>
      </c>
      <c r="BS4" t="str">
        <v>2.000000</v>
      </c>
      <c r="BT4" t="str">
        <v>300</v>
      </c>
      <c r="BU4" t="str">
        <v>300</v>
      </c>
      <c r="BV4" t="str">
        <v>300</v>
      </c>
      <c r="BW4" t="str">
        <v>339.406006</v>
      </c>
      <c r="BX4" t="str">
        <v>25</v>
      </c>
      <c r="BY4" t="str">
        <v>-12.346353</v>
      </c>
      <c r="BZ4" t="str">
        <v>333.980804</v>
      </c>
      <c r="CA4" t="str">
        <v>338.306244</v>
      </c>
      <c r="CB4" t="str">
        <v>-4.325439</v>
      </c>
      <c r="CC4" t="str">
        <v>2.466044</v>
      </c>
      <c r="CD4" t="str">
        <v>2.481505</v>
      </c>
      <c r="CE4" t="str">
        <v>1.656857</v>
      </c>
      <c r="CF4" t="str">
        <v>0.941265</v>
      </c>
      <c r="CG4" t="str">
        <v>0.281994</v>
      </c>
      <c r="CH4" t="str">
        <v>0.051133</v>
      </c>
      <c r="CI4" t="str">
        <v>0.041107</v>
      </c>
      <c r="CJ4" t="str">
        <v>1.263900</v>
      </c>
      <c r="CK4" t="str">
        <v>251.744263</v>
      </c>
      <c r="CL4" t="str">
        <v>0.000242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PSF-00438_20251017121419_313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2025-10-05T12:52:38.073Z</v>
      </c>
    </row>
    <row r="5">
      <c r="A5" t="str">
        <v>2</v>
      </c>
      <c r="B5" t="str">
        <v>12:16:24</v>
      </c>
      <c r="C5" t="str">
        <v>2025-10-17</v>
      </c>
      <c r="D5" t="str">
        <v>g34p_light_v2</v>
      </c>
      <c r="E5" t="str">
        <v>mrk</v>
      </c>
      <c r="F5" t="str">
        <v/>
      </c>
      <c r="G5" t="str">
        <v>67</v>
      </c>
      <c r="H5" t="str">
        <v/>
      </c>
      <c r="I5" t="str">
        <v/>
      </c>
      <c r="J5" t="str">
        <f>1/((1/L5)-(1/K5))</f>
        <v>0.055096</v>
      </c>
      <c r="K5" t="str">
        <f>BH5+(BI5*AN5)+(BJ5*AN5*POWER(V5,2))+(BK5*AN5*V5)+(BL5*POWER(AN5,2))</f>
        <v>2.921842</v>
      </c>
      <c r="L5" t="str">
        <f>((M5/1000)*(1000-((T5+S5)/2)))/(T5-S5)</f>
        <v>0.054076</v>
      </c>
      <c r="M5" t="str">
        <f>(AN5*(S5-R5))/(100*U5*(1000-S5))*1000</f>
        <v>1.494984</v>
      </c>
      <c r="N5" t="str">
        <v>1.602862</v>
      </c>
      <c r="O5" t="str">
        <v>1.565579</v>
      </c>
      <c r="P5" t="str">
        <f>0.61365*EXP((17.502*AL5)/(240.97+AL5))</f>
        <v>4.015261</v>
      </c>
      <c r="Q5" t="str">
        <f>P5-N5</f>
        <v>2.412400</v>
      </c>
      <c r="R5" t="str">
        <v>17.381752</v>
      </c>
      <c r="S5" t="str">
        <v>17.795683</v>
      </c>
      <c r="T5" t="str">
        <f>(P5/AM5)*1000</f>
        <v>44.579216</v>
      </c>
      <c r="U5" t="str">
        <f>V5*BG5</f>
        <v>0.441786</v>
      </c>
      <c r="V5" t="str">
        <v>7.500000</v>
      </c>
      <c r="W5" t="str">
        <v>PSF-00438_20251017121624_967</v>
      </c>
      <c r="X5" t="str">
        <v>0.000000</v>
      </c>
      <c r="Y5" t="str">
        <v>0.000000</v>
      </c>
      <c r="Z5" t="str">
        <v>0.000000</v>
      </c>
      <c r="AA5" t="str">
        <v>96.379280</v>
      </c>
      <c r="AB5" t="str">
        <v>109.846359</v>
      </c>
      <c r="AC5" t="str">
        <v>0.122599</v>
      </c>
      <c r="AD5" t="str">
        <v>0.5</v>
      </c>
      <c r="AE5" t="str">
        <v>0.80</v>
      </c>
      <c r="AF5" t="str">
        <f>AC5*AD5*AE5*AQ5</f>
        <v>77.800735</v>
      </c>
      <c r="AG5" t="str">
        <v>1.000000</v>
      </c>
      <c r="AH5" t="str">
        <v>51.15</v>
      </c>
      <c r="AI5" t="str">
        <v>49.96</v>
      </c>
      <c r="AJ5" t="str">
        <v>24.75</v>
      </c>
      <c r="AK5" t="str">
        <v>28.97</v>
      </c>
      <c r="AL5" t="str">
        <f>(AK5-AJ5)*(AJ5*0+0)+AK5</f>
        <v>28.97</v>
      </c>
      <c r="AM5" t="str">
        <v>90.07</v>
      </c>
      <c r="AN5" t="str">
        <v>156.7</v>
      </c>
      <c r="AO5" t="str">
        <v>155.5</v>
      </c>
      <c r="AP5" t="str">
        <v>0.8</v>
      </c>
      <c r="AQ5" t="str">
        <v>1586</v>
      </c>
      <c r="AR5" t="str">
        <v>4.109</v>
      </c>
      <c r="AS5" t="str">
        <v>12:14:02</v>
      </c>
      <c r="AT5" t="str">
        <v>2025-10-17</v>
      </c>
      <c r="AU5" t="str">
        <v>-0.31</v>
      </c>
      <c r="AV5" t="str">
        <v>1</v>
      </c>
      <c r="AW5" t="str">
        <v>-0.092</v>
      </c>
      <c r="AX5" t="str">
        <v>0.015</v>
      </c>
      <c r="AY5" t="str">
        <v>-9999.000</v>
      </c>
      <c r="AZ5" t="str">
        <v>88.472</v>
      </c>
      <c r="BA5" t="str">
        <v>43.912</v>
      </c>
      <c r="BB5" t="str">
        <v>-9999.000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mpf</v>
      </c>
      <c r="BP5" t="str">
        <v>7000</v>
      </c>
      <c r="BQ5" t="str">
        <v>500</v>
      </c>
      <c r="BR5" t="str">
        <v>5.000000</v>
      </c>
      <c r="BS5" t="str">
        <v>2.000000</v>
      </c>
      <c r="BT5" t="str">
        <v>300</v>
      </c>
      <c r="BU5" t="str">
        <v>300</v>
      </c>
      <c r="BV5" t="str">
        <v>300</v>
      </c>
      <c r="BW5" t="str">
        <v>106.694702</v>
      </c>
      <c r="BX5" t="str">
        <v>25</v>
      </c>
      <c r="BY5" t="str">
        <v>-2.558032</v>
      </c>
      <c r="BZ5" t="str">
        <v>105.362892</v>
      </c>
      <c r="CA5" t="str">
        <v>106.189674</v>
      </c>
      <c r="CB5" t="str">
        <v>-0.826782</v>
      </c>
      <c r="CC5" t="str">
        <v>2.467541</v>
      </c>
      <c r="CD5" t="str">
        <v>2.483758</v>
      </c>
      <c r="CE5" t="str">
        <v>1.655639</v>
      </c>
      <c r="CF5" t="str">
        <v>0.935030</v>
      </c>
      <c r="CG5" t="str">
        <v>0.275414</v>
      </c>
      <c r="CH5" t="str">
        <v>0.049549</v>
      </c>
      <c r="CI5" t="str">
        <v>0.057845</v>
      </c>
      <c r="CJ5" t="str">
        <v>1.534453</v>
      </c>
      <c r="CK5" t="str">
        <v>96.379280</v>
      </c>
      <c r="CL5" t="str">
        <v>0.000242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PSF-00438_20251017121624_967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2025-10-05T12:52:38.073Z</v>
      </c>
    </row>
    <row r="6">
      <c r="A6" t="str">
        <v>3</v>
      </c>
      <c r="B6" t="str">
        <v>12:20:05</v>
      </c>
      <c r="C6" t="str">
        <v>2025-10-17</v>
      </c>
      <c r="D6" t="str">
        <v>g34p_light_v2</v>
      </c>
      <c r="E6" t="str">
        <v>mrk</v>
      </c>
      <c r="F6" t="str">
        <v/>
      </c>
      <c r="G6" t="str">
        <v>81</v>
      </c>
      <c r="H6" t="str">
        <v/>
      </c>
      <c r="I6" t="str">
        <v/>
      </c>
      <c r="J6" t="str">
        <f>1/((1/L6)-(1/K6))</f>
        <v>0.029419</v>
      </c>
      <c r="K6" t="str">
        <f>BH6+(BI6*AN6)+(BJ6*AN6*POWER(V6,2))+(BK6*AN6*V6)+(BL6*POWER(AN6,2))</f>
        <v>2.923092</v>
      </c>
      <c r="L6" t="str">
        <f>((M6/1000)*(1000-((T6+S6)/2)))/(T6-S6)</f>
        <v>0.029125</v>
      </c>
      <c r="M6" t="str">
        <f>(AN6*(S6-R6))/(100*U6*(1000-S6))*1000</f>
        <v>0.769916</v>
      </c>
      <c r="N6" t="str">
        <v>1.651624</v>
      </c>
      <c r="O6" t="str">
        <v>1.632452</v>
      </c>
      <c r="P6" t="str">
        <f>0.61365*EXP((17.502*AL6)/(240.97+AL6))</f>
        <v>3.958477</v>
      </c>
      <c r="Q6" t="str">
        <f>P6-N6</f>
        <v>2.306854</v>
      </c>
      <c r="R6" t="str">
        <v>18.123857</v>
      </c>
      <c r="S6" t="str">
        <v>18.336704</v>
      </c>
      <c r="T6" t="str">
        <f>(P6/AM6)*1000</f>
        <v>43.947926</v>
      </c>
      <c r="U6" t="str">
        <f>V6*BG6</f>
        <v>0.441786</v>
      </c>
      <c r="V6" t="str">
        <v>7.500000</v>
      </c>
      <c r="W6" t="str">
        <v>PSF-00438_20251017122005_ed3</v>
      </c>
      <c r="X6" t="str">
        <v>0.000000</v>
      </c>
      <c r="Y6" t="str">
        <v>0.000000</v>
      </c>
      <c r="Z6" t="str">
        <v>0.000000</v>
      </c>
      <c r="AA6" t="str">
        <v>182.559723</v>
      </c>
      <c r="AB6" t="str">
        <v>241.305481</v>
      </c>
      <c r="AC6" t="str">
        <v>0.243450</v>
      </c>
      <c r="AD6" t="str">
        <v>0.5</v>
      </c>
      <c r="AE6" t="str">
        <v>0.80</v>
      </c>
      <c r="AF6" t="str">
        <f>AC6*AD6*AE6*AQ6</f>
        <v>49.018471</v>
      </c>
      <c r="AG6" t="str">
        <v>1.000000</v>
      </c>
      <c r="AH6" t="str">
        <v>48.82</v>
      </c>
      <c r="AI6" t="str">
        <v>48.25</v>
      </c>
      <c r="AJ6" t="str">
        <v>26.05</v>
      </c>
      <c r="AK6" t="str">
        <v>28.73</v>
      </c>
      <c r="AL6" t="str">
        <f>(AK6-AJ6)*(AJ6*0+0)+AK6</f>
        <v>28.73</v>
      </c>
      <c r="AM6" t="str">
        <v>90.07</v>
      </c>
      <c r="AN6" t="str">
        <v>156.9</v>
      </c>
      <c r="AO6" t="str">
        <v>157.9</v>
      </c>
      <c r="AP6" t="str">
        <v>-0.7</v>
      </c>
      <c r="AQ6" t="str">
        <v>503</v>
      </c>
      <c r="AR6" t="str">
        <v>4.102</v>
      </c>
      <c r="AS6" t="str">
        <v>12:14:02</v>
      </c>
      <c r="AT6" t="str">
        <v>2025-10-17</v>
      </c>
      <c r="AU6" t="str">
        <v>-0.31</v>
      </c>
      <c r="AV6" t="str">
        <v>1</v>
      </c>
      <c r="AW6" t="str">
        <v>0.002</v>
      </c>
      <c r="AX6" t="str">
        <v>0.001</v>
      </c>
      <c r="AY6" t="str">
        <v>0.033</v>
      </c>
      <c r="AZ6" t="str">
        <v>119.847</v>
      </c>
      <c r="BA6" t="str">
        <v>59.980</v>
      </c>
      <c r="BB6" t="str">
        <v>29.141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mpf</v>
      </c>
      <c r="BP6" t="str">
        <v>7000</v>
      </c>
      <c r="BQ6" t="str">
        <v>500</v>
      </c>
      <c r="BR6" t="str">
        <v>5.000000</v>
      </c>
      <c r="BS6" t="str">
        <v>2.000000</v>
      </c>
      <c r="BT6" t="str">
        <v>300</v>
      </c>
      <c r="BU6" t="str">
        <v>300</v>
      </c>
      <c r="BV6" t="str">
        <v>300</v>
      </c>
      <c r="BW6" t="str">
        <v>235.325577</v>
      </c>
      <c r="BX6" t="str">
        <v>25</v>
      </c>
      <c r="BY6" t="str">
        <v>-4.379729</v>
      </c>
      <c r="BZ6" t="str">
        <v>234.116791</v>
      </c>
      <c r="CA6" t="str">
        <v>235.044693</v>
      </c>
      <c r="CB6" t="str">
        <v>-0.927902</v>
      </c>
      <c r="CC6" t="str">
        <v>2.464959</v>
      </c>
      <c r="CD6" t="str">
        <v>2.480318</v>
      </c>
      <c r="CE6" t="str">
        <v>1.656950</v>
      </c>
      <c r="CF6" t="str">
        <v>0.941131</v>
      </c>
      <c r="CG6" t="str">
        <v>0.261601</v>
      </c>
      <c r="CH6" t="str">
        <v>0.031631</v>
      </c>
      <c r="CI6" t="str">
        <v>0.087243</v>
      </c>
      <c r="CJ6" t="str">
        <v>0.560120</v>
      </c>
      <c r="CK6" t="str">
        <v>159.292816</v>
      </c>
      <c r="CL6" t="str">
        <v>0.000243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PSF-00438_20251017122005_ed3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2025-10-05T12:52:38.073Z</v>
      </c>
    </row>
    <row r="7">
      <c r="A7" t="str">
        <v>4</v>
      </c>
      <c r="B7" t="str">
        <v>12:22:09</v>
      </c>
      <c r="C7" t="str">
        <v>2025-10-17</v>
      </c>
      <c r="D7" t="str">
        <v>g34p_light_v2</v>
      </c>
      <c r="E7" t="str">
        <v>mrk</v>
      </c>
      <c r="F7" t="str">
        <v/>
      </c>
      <c r="G7" t="str">
        <v>87</v>
      </c>
      <c r="H7" t="str">
        <v/>
      </c>
      <c r="I7" t="str">
        <v/>
      </c>
      <c r="J7" t="str">
        <f>1/((1/L7)-(1/K7))</f>
        <v>0.211078</v>
      </c>
      <c r="K7" t="str">
        <f>BH7+(BI7*AN7)+(BJ7*AN7*POWER(V7,2))+(BK7*AN7*V7)+(BL7*POWER(AN7,2))</f>
        <v>2.922225</v>
      </c>
      <c r="L7" t="str">
        <f>((M7/1000)*(1000-((T7+S7)/2)))/(T7-S7)</f>
        <v>0.196858</v>
      </c>
      <c r="M7" t="str">
        <f>(AN7*(S7-R7))/(100*U7*(1000-S7))*1000</f>
        <v>4.192544</v>
      </c>
      <c r="N7" t="str">
        <v>1.750309</v>
      </c>
      <c r="O7" t="str">
        <v>1.645953</v>
      </c>
      <c r="P7" t="str">
        <f>0.61365*EXP((17.502*AL7)/(240.97+AL7))</f>
        <v>3.611571</v>
      </c>
      <c r="Q7" t="str">
        <f>P7-N7</f>
        <v>1.861261</v>
      </c>
      <c r="R7" t="str">
        <v>18.273085</v>
      </c>
      <c r="S7" t="str">
        <v>19.431633</v>
      </c>
      <c r="T7" t="str">
        <f>(P7/AM7)*1000</f>
        <v>40.095039</v>
      </c>
      <c r="U7" t="str">
        <f>V7*BG7</f>
        <v>0.441786</v>
      </c>
      <c r="V7" t="str">
        <v>7.500000</v>
      </c>
      <c r="W7" t="str">
        <v>PSF-00438_20251017122209_83b</v>
      </c>
      <c r="X7" t="str">
        <v>0.000000</v>
      </c>
      <c r="Y7" t="str">
        <v>0.000000</v>
      </c>
      <c r="Z7" t="str">
        <v>0.000000</v>
      </c>
      <c r="AA7" t="str">
        <v>158.865097</v>
      </c>
      <c r="AB7" t="str">
        <v>194.463150</v>
      </c>
      <c r="AC7" t="str">
        <v>0.183058</v>
      </c>
      <c r="AD7" t="str">
        <v>0.5</v>
      </c>
      <c r="AE7" t="str">
        <v>0.80</v>
      </c>
      <c r="AF7" t="str">
        <f>AC7*AD7*AE7*AQ7</f>
        <v>97.645325</v>
      </c>
      <c r="AG7" t="str">
        <v>1.000000</v>
      </c>
      <c r="AH7" t="str">
        <v>49.38</v>
      </c>
      <c r="AI7" t="str">
        <v>46.44</v>
      </c>
      <c r="AJ7" t="str">
        <v>26.83</v>
      </c>
      <c r="AK7" t="str">
        <v>27.15</v>
      </c>
      <c r="AL7" t="str">
        <f>(AK7-AJ7)*(AJ7*0+0)+AK7</f>
        <v>27.15</v>
      </c>
      <c r="AM7" t="str">
        <v>90.08</v>
      </c>
      <c r="AN7" t="str">
        <v>156.8</v>
      </c>
      <c r="AO7" t="str">
        <v>157.3</v>
      </c>
      <c r="AP7" t="str">
        <v>-0.3</v>
      </c>
      <c r="AQ7" t="str">
        <v>1334</v>
      </c>
      <c r="AR7" t="str">
        <v>4.097</v>
      </c>
      <c r="AS7" t="str">
        <v>12:14:02</v>
      </c>
      <c r="AT7" t="str">
        <v>2025-10-17</v>
      </c>
      <c r="AU7" t="str">
        <v>-0.31</v>
      </c>
      <c r="AV7" t="str">
        <v>1</v>
      </c>
      <c r="AW7" t="str">
        <v>0.004</v>
      </c>
      <c r="AX7" t="str">
        <v>-9999.000</v>
      </c>
      <c r="AY7" t="str">
        <v>-9999.000</v>
      </c>
      <c r="AZ7" t="str">
        <v>-5.382</v>
      </c>
      <c r="BA7" t="str">
        <v>-9999.000</v>
      </c>
      <c r="BB7" t="str">
        <v>-9999.000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mpf</v>
      </c>
      <c r="BP7" t="str">
        <v>7000</v>
      </c>
      <c r="BQ7" t="str">
        <v>500</v>
      </c>
      <c r="BR7" t="str">
        <v>5.000000</v>
      </c>
      <c r="BS7" t="str">
        <v>2.000000</v>
      </c>
      <c r="BT7" t="str">
        <v>300</v>
      </c>
      <c r="BU7" t="str">
        <v>300</v>
      </c>
      <c r="BV7" t="str">
        <v>300</v>
      </c>
      <c r="BW7" t="str">
        <v>182.920212</v>
      </c>
      <c r="BX7" t="str">
        <v>25</v>
      </c>
      <c r="BY7" t="str">
        <v>-10.425323</v>
      </c>
      <c r="BZ7" t="str">
        <v>175.318832</v>
      </c>
      <c r="CA7" t="str">
        <v>179.560242</v>
      </c>
      <c r="CB7" t="str">
        <v>-4.241409</v>
      </c>
      <c r="CC7" t="str">
        <v>2.462364</v>
      </c>
      <c r="CD7" t="str">
        <v>2.480886</v>
      </c>
      <c r="CE7" t="str">
        <v>1.656041</v>
      </c>
      <c r="CF7" t="str">
        <v>0.939581</v>
      </c>
      <c r="CG7" t="str">
        <v>0.253529</v>
      </c>
      <c r="CH7" t="str">
        <v>0.004014</v>
      </c>
      <c r="CI7" t="str">
        <v>0.103059</v>
      </c>
      <c r="CJ7" t="str">
        <v>1.306902</v>
      </c>
      <c r="CK7" t="str">
        <v>158.865097</v>
      </c>
      <c r="CL7" t="str">
        <v>0.000243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PSF-00438_20251017122209_83b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2025-10-05T12:52:38.073Z</v>
      </c>
    </row>
    <row r="8">
      <c r="A8" t="str">
        <v>5</v>
      </c>
      <c r="B8" t="str">
        <v>12:24:17</v>
      </c>
      <c r="C8" t="str">
        <v>2025-10-17</v>
      </c>
      <c r="D8" t="str">
        <v>g34p_light_v2</v>
      </c>
      <c r="E8" t="str">
        <v>mrk</v>
      </c>
      <c r="F8" t="str">
        <v/>
      </c>
      <c r="G8" t="str">
        <v>93</v>
      </c>
      <c r="H8" t="str">
        <v/>
      </c>
      <c r="I8" t="str">
        <v/>
      </c>
      <c r="J8" t="str">
        <f>1/((1/L8)-(1/K8))</f>
        <v>0.048495</v>
      </c>
      <c r="K8" t="str">
        <f>BH8+(BI8*AN8)+(BJ8*AN8*POWER(V8,2))+(BK8*AN8*V8)+(BL8*POWER(AN8,2))</f>
        <v>2.922256</v>
      </c>
      <c r="L8" t="str">
        <f>((M8/1000)*(1000-((T8+S8)/2)))/(T8-S8)</f>
        <v>0.047703</v>
      </c>
      <c r="M8" t="str">
        <f>(AN8*(S8-R8))/(100*U8*(1000-S8))*1000</f>
        <v>1.584741</v>
      </c>
      <c r="N8" t="str">
        <v>1.748158</v>
      </c>
      <c r="O8" t="str">
        <v>1.708716</v>
      </c>
      <c r="P8" t="str">
        <f>0.61365*EXP((17.502*AL8)/(240.97+AL8))</f>
        <v>4.634179</v>
      </c>
      <c r="Q8" t="str">
        <f>P8-N8</f>
        <v>2.886021</v>
      </c>
      <c r="R8" t="str">
        <v>18.972036</v>
      </c>
      <c r="S8" t="str">
        <v>19.409954</v>
      </c>
      <c r="T8" t="str">
        <f>(P8/AM8)*1000</f>
        <v>51.453709</v>
      </c>
      <c r="U8" t="str">
        <f>V8*BG8</f>
        <v>0.441786</v>
      </c>
      <c r="V8" t="str">
        <v>7.500000</v>
      </c>
      <c r="W8" t="str">
        <v>PSF-00438_20251017122417_9b4</v>
      </c>
      <c r="X8" t="str">
        <v>0.000000</v>
      </c>
      <c r="Y8" t="str">
        <v>0.000000</v>
      </c>
      <c r="Z8" t="str">
        <v>0.000000</v>
      </c>
      <c r="AA8" t="str">
        <v>155.391449</v>
      </c>
      <c r="AB8" t="str">
        <v>203.348160</v>
      </c>
      <c r="AC8" t="str">
        <v>0.235835</v>
      </c>
      <c r="AD8" t="str">
        <v>0.5</v>
      </c>
      <c r="AE8" t="str">
        <v>0.80</v>
      </c>
      <c r="AF8" t="str">
        <f>AC8*AD8*AE8*AQ8</f>
        <v>40.836357</v>
      </c>
      <c r="AG8" t="str">
        <v>1.000000</v>
      </c>
      <c r="AH8" t="str">
        <v>47.15</v>
      </c>
      <c r="AI8" t="str">
        <v>46.09</v>
      </c>
      <c r="AJ8" t="str">
        <v>27.60</v>
      </c>
      <c r="AK8" t="str">
        <v>31.47</v>
      </c>
      <c r="AL8" t="str">
        <f>(AK8-AJ8)*(AJ8*0+0)+AK8</f>
        <v>31.47</v>
      </c>
      <c r="AM8" t="str">
        <v>90.07</v>
      </c>
      <c r="AN8" t="str">
        <v>156.8</v>
      </c>
      <c r="AO8" t="str">
        <v>157.8</v>
      </c>
      <c r="AP8" t="str">
        <v>-0.6</v>
      </c>
      <c r="AQ8" t="str">
        <v>433</v>
      </c>
      <c r="AR8" t="str">
        <v>4.094</v>
      </c>
      <c r="AS8" t="str">
        <v>12:14:02</v>
      </c>
      <c r="AT8" t="str">
        <v>2025-10-17</v>
      </c>
      <c r="AU8" t="str">
        <v>-0.31</v>
      </c>
      <c r="AV8" t="str">
        <v>1</v>
      </c>
      <c r="AW8" t="str">
        <v>-0.017</v>
      </c>
      <c r="AX8" t="str">
        <v>0.009</v>
      </c>
      <c r="AY8" t="str">
        <v>0.016</v>
      </c>
      <c r="AZ8" t="str">
        <v>44.207</v>
      </c>
      <c r="BA8" t="str">
        <v>22.101</v>
      </c>
      <c r="BB8" t="str">
        <v>10.684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mpf</v>
      </c>
      <c r="BP8" t="str">
        <v>7000</v>
      </c>
      <c r="BQ8" t="str">
        <v>500</v>
      </c>
      <c r="BR8" t="str">
        <v>5.000000</v>
      </c>
      <c r="BS8" t="str">
        <v>2.000000</v>
      </c>
      <c r="BT8" t="str">
        <v>300</v>
      </c>
      <c r="BU8" t="str">
        <v>300</v>
      </c>
      <c r="BV8" t="str">
        <v>300</v>
      </c>
      <c r="BW8" t="str">
        <v>201.801544</v>
      </c>
      <c r="BX8" t="str">
        <v>25</v>
      </c>
      <c r="BY8" t="str">
        <v>-1.017016</v>
      </c>
      <c r="BZ8" t="str">
        <v>203.965179</v>
      </c>
      <c r="CA8" t="str">
        <v>201.894348</v>
      </c>
      <c r="CB8" t="str">
        <v>2.070831</v>
      </c>
      <c r="CC8" t="str">
        <v>2.461721</v>
      </c>
      <c r="CD8" t="str">
        <v>2.477715</v>
      </c>
      <c r="CE8" t="str">
        <v>1.656073</v>
      </c>
      <c r="CF8" t="str">
        <v>0.940767</v>
      </c>
      <c r="CG8" t="str">
        <v>0.245919</v>
      </c>
      <c r="CH8" t="str">
        <v>0.046407</v>
      </c>
      <c r="CI8" t="str">
        <v>0.118768</v>
      </c>
      <c r="CJ8" t="str">
        <v>0.496715</v>
      </c>
      <c r="CK8" t="str">
        <v>155.391449</v>
      </c>
      <c r="CL8" t="str">
        <v>0.000245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PSF-00438_20251017122417_9b4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2025-10-05T12:52:38.073Z</v>
      </c>
    </row>
    <row r="9">
      <c r="A9" t="str">
        <v>6</v>
      </c>
      <c r="B9" t="str">
        <v>12:26:02</v>
      </c>
      <c r="C9" t="str">
        <v>2025-10-17</v>
      </c>
      <c r="D9" t="str">
        <v>g34p_light_v2</v>
      </c>
      <c r="E9" t="str">
        <v>mrk</v>
      </c>
      <c r="F9" t="str">
        <v/>
      </c>
      <c r="G9" t="str">
        <v>74</v>
      </c>
      <c r="H9" t="str">
        <v/>
      </c>
      <c r="I9" t="str">
        <v/>
      </c>
      <c r="J9" t="str">
        <f>1/((1/L9)-(1/K9))</f>
        <v>0.093713</v>
      </c>
      <c r="K9" t="str">
        <f>BH9+(BI9*AN9)+(BJ9*AN9*POWER(V9,2))+(BK9*AN9*V9)+(BL9*POWER(AN9,2))</f>
        <v>2.922025</v>
      </c>
      <c r="L9" t="str">
        <f>((M9/1000)*(1000-((T9+S9)/2)))/(T9-S9)</f>
        <v>0.090801</v>
      </c>
      <c r="M9" t="str">
        <f>(AN9*(S9-R9))/(100*U9*(1000-S9))*1000</f>
        <v>2.704169</v>
      </c>
      <c r="N9" t="str">
        <v>1.807233</v>
      </c>
      <c r="O9" t="str">
        <v>1.739965</v>
      </c>
      <c r="P9" t="str">
        <f>0.61365*EXP((17.502*AL9)/(240.97+AL9))</f>
        <v>4.397086</v>
      </c>
      <c r="Q9" t="str">
        <f>P9-N9</f>
        <v>2.589853</v>
      </c>
      <c r="R9" t="str">
        <v>19.319153</v>
      </c>
      <c r="S9" t="str">
        <v>20.066046</v>
      </c>
      <c r="T9" t="str">
        <f>(P9/AM9)*1000</f>
        <v>48.821663</v>
      </c>
      <c r="U9" t="str">
        <f>V9*BG9</f>
        <v>0.441786</v>
      </c>
      <c r="V9" t="str">
        <v>7.500000</v>
      </c>
      <c r="W9" t="str">
        <v>PSF-00438_20251017122602_db7</v>
      </c>
      <c r="X9" t="str">
        <v>0.000000</v>
      </c>
      <c r="Y9" t="str">
        <v>0.000000</v>
      </c>
      <c r="Z9" t="str">
        <v>0.000000</v>
      </c>
      <c r="AA9" t="str">
        <v>148.001785</v>
      </c>
      <c r="AB9" t="str">
        <v>179.964157</v>
      </c>
      <c r="AC9" t="str">
        <v>0.177604</v>
      </c>
      <c r="AD9" t="str">
        <v>0.5</v>
      </c>
      <c r="AE9" t="str">
        <v>0.80</v>
      </c>
      <c r="AF9" t="str">
        <f>AC9*AD9*AE9*AQ9</f>
        <v>106.313110</v>
      </c>
      <c r="AG9" t="str">
        <v>1.000000</v>
      </c>
      <c r="AH9" t="str">
        <v>47.48</v>
      </c>
      <c r="AI9" t="str">
        <v>45.72</v>
      </c>
      <c r="AJ9" t="str">
        <v>28.05</v>
      </c>
      <c r="AK9" t="str">
        <v>30.55</v>
      </c>
      <c r="AL9" t="str">
        <f>(AK9-AJ9)*(AJ9*0+0)+AK9</f>
        <v>30.55</v>
      </c>
      <c r="AM9" t="str">
        <v>90.06</v>
      </c>
      <c r="AN9" t="str">
        <v>156.7</v>
      </c>
      <c r="AO9" t="str">
        <v>-16.2</v>
      </c>
      <c r="AP9" t="str">
        <v>110.3</v>
      </c>
      <c r="AQ9" t="str">
        <v>1496</v>
      </c>
      <c r="AR9" t="str">
        <v>4.093</v>
      </c>
      <c r="AS9" t="str">
        <v>12:24:34</v>
      </c>
      <c r="AT9" t="str">
        <v>2025-10-17</v>
      </c>
      <c r="AU9" t="str">
        <v>-0.16</v>
      </c>
      <c r="AV9" t="str">
        <v>0</v>
      </c>
      <c r="AW9" t="str">
        <v>0.000</v>
      </c>
      <c r="AX9" t="str">
        <v>-0.002</v>
      </c>
      <c r="AY9" t="str">
        <v>0.046</v>
      </c>
      <c r="AZ9" t="str">
        <v>-134.242</v>
      </c>
      <c r="BA9" t="str">
        <v>36.994</v>
      </c>
      <c r="BB9" t="str">
        <v>55.989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mpf</v>
      </c>
      <c r="BP9" t="str">
        <v>7000</v>
      </c>
      <c r="BQ9" t="str">
        <v>500</v>
      </c>
      <c r="BR9" t="str">
        <v>5.000000</v>
      </c>
      <c r="BS9" t="str">
        <v>2.000000</v>
      </c>
      <c r="BT9" t="str">
        <v>300</v>
      </c>
      <c r="BU9" t="str">
        <v>300</v>
      </c>
      <c r="BV9" t="str">
        <v>300</v>
      </c>
      <c r="BW9" t="str">
        <v>174.970871</v>
      </c>
      <c r="BX9" t="str">
        <v>25</v>
      </c>
      <c r="BY9" t="str">
        <v>-3.540418</v>
      </c>
      <c r="BZ9" t="str">
        <v>174.115784</v>
      </c>
      <c r="CA9" t="str">
        <v>174.903168</v>
      </c>
      <c r="CB9" t="str">
        <v>-0.787384</v>
      </c>
      <c r="CC9" t="str">
        <v>2.461124</v>
      </c>
      <c r="CD9" t="str">
        <v>2.477848</v>
      </c>
      <c r="CE9" t="str">
        <v>1.655831</v>
      </c>
      <c r="CF9" t="str">
        <v>0.572702</v>
      </c>
      <c r="CG9" t="str">
        <v>0.241578</v>
      </c>
      <c r="CH9" t="str">
        <v>0.029923</v>
      </c>
      <c r="CI9" t="str">
        <v>0.131395</v>
      </c>
      <c r="CJ9" t="str">
        <v>1.453496</v>
      </c>
      <c r="CK9" t="str">
        <v>148.001785</v>
      </c>
      <c r="CL9" t="str">
        <v>0.000245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PSF-00438_20251017122602_db7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2025-10-05T12:52:38.073Z</v>
      </c>
    </row>
    <row r="10">
      <c r="A10" t="str">
        <v>7</v>
      </c>
      <c r="B10" t="str">
        <v>12:29:06</v>
      </c>
      <c r="C10" t="str">
        <v>2025-10-17</v>
      </c>
      <c r="D10" t="str">
        <v>g34p_light_v2</v>
      </c>
      <c r="E10" t="str">
        <v>mrk</v>
      </c>
      <c r="F10" t="str">
        <v/>
      </c>
      <c r="G10" t="str">
        <v>82</v>
      </c>
      <c r="H10" t="str">
        <v/>
      </c>
      <c r="I10" t="str">
        <v/>
      </c>
      <c r="J10" t="str">
        <f>1/((1/L10)-(1/K10))</f>
        <v>-0.016920</v>
      </c>
      <c r="K10" t="str">
        <f>BH10+(BI10*AN10)+(BJ10*AN10*POWER(V10,2))+(BK10*AN10*V10)+(BL10*POWER(AN10,2))</f>
        <v>2.922236</v>
      </c>
      <c r="L10" t="str">
        <f>((M10/1000)*(1000-((T10+S10)/2)))/(T10-S10)</f>
        <v>-0.017019</v>
      </c>
      <c r="M10" t="str">
        <f>(AN10*(S10-R10))/(100*U10*(1000-S10))*1000</f>
        <v>-0.488631</v>
      </c>
      <c r="N10" t="str">
        <v>1.722148</v>
      </c>
      <c r="O10" t="str">
        <v>1.734315</v>
      </c>
      <c r="P10" t="str">
        <f>0.61365*EXP((17.502*AL10)/(240.97+AL10))</f>
        <v>4.223083</v>
      </c>
      <c r="Q10" t="str">
        <f>P10-N10</f>
        <v>2.500935</v>
      </c>
      <c r="R10" t="str">
        <v>19.253529</v>
      </c>
      <c r="S10" t="str">
        <v>19.118460</v>
      </c>
      <c r="T10" t="str">
        <f>(P10/AM10)*1000</f>
        <v>46.882645</v>
      </c>
      <c r="U10" t="str">
        <f>V10*BG10</f>
        <v>0.441786</v>
      </c>
      <c r="V10" t="str">
        <v>7.500000</v>
      </c>
      <c r="W10" t="str">
        <v>PSF-00438_20251017122906_7cd</v>
      </c>
      <c r="X10" t="str">
        <v>0.000000</v>
      </c>
      <c r="Y10" t="str">
        <v>0.000000</v>
      </c>
      <c r="Z10" t="str">
        <v>0.000000</v>
      </c>
      <c r="AA10" t="str">
        <v>129.196640</v>
      </c>
      <c r="AB10" t="str">
        <v>186.092621</v>
      </c>
      <c r="AC10" t="str">
        <v>0.305740</v>
      </c>
      <c r="AD10" t="str">
        <v>0.5</v>
      </c>
      <c r="AE10" t="str">
        <v>0.80</v>
      </c>
      <c r="AF10" t="str">
        <f>AC10*AD10*AE10*AQ10</f>
        <v>182.192230</v>
      </c>
      <c r="AG10" t="str">
        <v>1.000000</v>
      </c>
      <c r="AH10" t="str">
        <v>43.27</v>
      </c>
      <c r="AI10" t="str">
        <v>43.57</v>
      </c>
      <c r="AJ10" t="str">
        <v>28.82</v>
      </c>
      <c r="AK10" t="str">
        <v>29.85</v>
      </c>
      <c r="AL10" t="str">
        <f>(AK10-AJ10)*(AJ10*0+0)+AK10</f>
        <v>29.85</v>
      </c>
      <c r="AM10" t="str">
        <v>90.08</v>
      </c>
      <c r="AN10" t="str">
        <v>156.8</v>
      </c>
      <c r="AO10" t="str">
        <v>-17.5</v>
      </c>
      <c r="AP10" t="str">
        <v>111.2</v>
      </c>
      <c r="AQ10" t="str">
        <v>1490</v>
      </c>
      <c r="AR10" t="str">
        <v>4.088</v>
      </c>
      <c r="AS10" t="str">
        <v>12:24:34</v>
      </c>
      <c r="AT10" t="str">
        <v>2025-10-17</v>
      </c>
      <c r="AU10" t="str">
        <v>-0.16</v>
      </c>
      <c r="AV10" t="str">
        <v>0</v>
      </c>
      <c r="AW10" t="str">
        <v>0.002</v>
      </c>
      <c r="AX10" t="str">
        <v>-0.025</v>
      </c>
      <c r="AY10" t="str">
        <v>-0.012</v>
      </c>
      <c r="AZ10" t="str">
        <v>81.523</v>
      </c>
      <c r="BA10" t="str">
        <v>99.480</v>
      </c>
      <c r="BB10" t="str">
        <v>49.355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mpf</v>
      </c>
      <c r="BP10" t="str">
        <v>7000</v>
      </c>
      <c r="BQ10" t="str">
        <v>500</v>
      </c>
      <c r="BR10" t="str">
        <v>5.000000</v>
      </c>
      <c r="BS10" t="str">
        <v>2.000000</v>
      </c>
      <c r="BT10" t="str">
        <v>300</v>
      </c>
      <c r="BU10" t="str">
        <v>300</v>
      </c>
      <c r="BV10" t="str">
        <v>300</v>
      </c>
      <c r="BW10" t="str">
        <v>181.750778</v>
      </c>
      <c r="BX10" t="str">
        <v>25</v>
      </c>
      <c r="BY10" t="str">
        <v>-3.032821</v>
      </c>
      <c r="BZ10" t="str">
        <v>181.236145</v>
      </c>
      <c r="CA10" t="str">
        <v>181.757233</v>
      </c>
      <c r="CB10" t="str">
        <v>-0.521088</v>
      </c>
      <c r="CC10" t="str">
        <v>2.458086</v>
      </c>
      <c r="CD10" t="str">
        <v>2.471990</v>
      </c>
      <c r="CE10" t="str">
        <v>1.656053</v>
      </c>
      <c r="CF10" t="str">
        <v>0.570372</v>
      </c>
      <c r="CG10" t="str">
        <v>0.234324</v>
      </c>
      <c r="CH10" t="str">
        <v>0.012374</v>
      </c>
      <c r="CI10" t="str">
        <v>0.152790</v>
      </c>
      <c r="CJ10" t="str">
        <v>1.447446</v>
      </c>
      <c r="CK10" t="str">
        <v>129.196640</v>
      </c>
      <c r="CL10" t="str">
        <v>0.000244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PSF-00438_20251017122906_7cd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2025-10-05T12:52:38.073Z</v>
      </c>
    </row>
    <row r="11">
      <c r="A11" t="str">
        <v>8</v>
      </c>
      <c r="B11" t="str">
        <v>12:31:34</v>
      </c>
      <c r="C11" t="str">
        <v>2025-10-17</v>
      </c>
      <c r="D11" t="str">
        <v>g34p_light_v2</v>
      </c>
      <c r="E11" t="str">
        <v>mrk</v>
      </c>
      <c r="F11" t="str">
        <v/>
      </c>
      <c r="G11" t="str">
        <v>84</v>
      </c>
      <c r="H11" t="str">
        <v/>
      </c>
      <c r="I11" t="str">
        <v/>
      </c>
      <c r="J11" t="str">
        <f>1/((1/L11)-(1/K11))</f>
        <v>-0.007575</v>
      </c>
      <c r="K11" t="str">
        <f>BH11+(BI11*AN11)+(BJ11*AN11*POWER(V11,2))+(BK11*AN11*V11)+(BL11*POWER(AN11,2))</f>
        <v>2.922381</v>
      </c>
      <c r="L11" t="str">
        <f>((M11/1000)*(1000-((T11+S11)/2)))/(T11-S11)</f>
        <v>-0.007595</v>
      </c>
      <c r="M11" t="str">
        <f>(AN11*(S11-R11))/(100*U11*(1000-S11))*1000</f>
        <v>-0.256721</v>
      </c>
      <c r="N11" t="str">
        <v>1.732897</v>
      </c>
      <c r="O11" t="str">
        <v>1.739287</v>
      </c>
      <c r="P11" t="str">
        <f>0.61365*EXP((17.502*AL11)/(240.97+AL11))</f>
        <v>4.669281</v>
      </c>
      <c r="Q11" t="str">
        <f>P11-N11</f>
        <v>2.936384</v>
      </c>
      <c r="R11" t="str">
        <v>19.310926</v>
      </c>
      <c r="S11" t="str">
        <v>19.239981</v>
      </c>
      <c r="T11" t="str">
        <f>(P11/AM11)*1000</f>
        <v>51.842014</v>
      </c>
      <c r="U11" t="str">
        <f>V11*BG11</f>
        <v>0.441786</v>
      </c>
      <c r="V11" t="str">
        <v>7.500000</v>
      </c>
      <c r="W11" t="str">
        <v>PSF-00438_20251017123134_97b</v>
      </c>
      <c r="X11" t="str">
        <v>0.000000</v>
      </c>
      <c r="Y11" t="str">
        <v>0.000000</v>
      </c>
      <c r="Z11" t="str">
        <v>0.000000</v>
      </c>
      <c r="AA11" t="str">
        <v>123.296860</v>
      </c>
      <c r="AB11" t="str">
        <v>150.411407</v>
      </c>
      <c r="AC11" t="str">
        <v>0.180269</v>
      </c>
      <c r="AD11" t="str">
        <v>0.5</v>
      </c>
      <c r="AE11" t="str">
        <v>0.80</v>
      </c>
      <c r="AF11" t="str">
        <f>AC11*AD11*AE11*AQ11</f>
        <v>82.191772</v>
      </c>
      <c r="AG11" t="str">
        <v>1.000000</v>
      </c>
      <c r="AH11" t="str">
        <v>41.84</v>
      </c>
      <c r="AI11" t="str">
        <v>42.00</v>
      </c>
      <c r="AJ11" t="str">
        <v>29.51</v>
      </c>
      <c r="AK11" t="str">
        <v>31.60</v>
      </c>
      <c r="AL11" t="str">
        <f>(AK11-AJ11)*(AJ11*0+0)+AK11</f>
        <v>31.60</v>
      </c>
      <c r="AM11" t="str">
        <v>90.07</v>
      </c>
      <c r="AN11" t="str">
        <v>156.8</v>
      </c>
      <c r="AO11" t="str">
        <v>65.7</v>
      </c>
      <c r="AP11" t="str">
        <v>58.1</v>
      </c>
      <c r="AQ11" t="str">
        <v>1140</v>
      </c>
      <c r="AR11" t="str">
        <v>4.084</v>
      </c>
      <c r="AS11" t="str">
        <v>12:24:34</v>
      </c>
      <c r="AT11" t="str">
        <v>2025-10-17</v>
      </c>
      <c r="AU11" t="str">
        <v>-0.16</v>
      </c>
      <c r="AV11" t="str">
        <v>0</v>
      </c>
      <c r="AW11" t="str">
        <v>-0.001</v>
      </c>
      <c r="AX11" t="str">
        <v>-9999.000</v>
      </c>
      <c r="AY11" t="str">
        <v>-9999.000</v>
      </c>
      <c r="AZ11" t="str">
        <v>0.090</v>
      </c>
      <c r="BA11" t="str">
        <v>-9999.000</v>
      </c>
      <c r="BB11" t="str">
        <v>-9999.000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mpf</v>
      </c>
      <c r="BP11" t="str">
        <v>7000</v>
      </c>
      <c r="BQ11" t="str">
        <v>500</v>
      </c>
      <c r="BR11" t="str">
        <v>5.000000</v>
      </c>
      <c r="BS11" t="str">
        <v>2.000000</v>
      </c>
      <c r="BT11" t="str">
        <v>300</v>
      </c>
      <c r="BU11" t="str">
        <v>300</v>
      </c>
      <c r="BV11" t="str">
        <v>300</v>
      </c>
      <c r="BW11" t="str">
        <v>148.406265</v>
      </c>
      <c r="BX11" t="str">
        <v>25</v>
      </c>
      <c r="BY11" t="str">
        <v>-1.360578</v>
      </c>
      <c r="BZ11" t="str">
        <v>148.612625</v>
      </c>
      <c r="CA11" t="str">
        <v>148.466476</v>
      </c>
      <c r="CB11" t="str">
        <v>0.146149</v>
      </c>
      <c r="CC11" t="str">
        <v>2.455818</v>
      </c>
      <c r="CD11" t="str">
        <v>2.469903</v>
      </c>
      <c r="CE11" t="str">
        <v>1.656204</v>
      </c>
      <c r="CF11" t="str">
        <v>0.727336</v>
      </c>
      <c r="CG11" t="str">
        <v>0.228042</v>
      </c>
      <c r="CH11" t="str">
        <v>0.025345</v>
      </c>
      <c r="CI11" t="str">
        <v>0.169252</v>
      </c>
      <c r="CJ11" t="str">
        <v>1.132672</v>
      </c>
      <c r="CK11" t="str">
        <v>123.296860</v>
      </c>
      <c r="CL11" t="str">
        <v>0.000244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PSF-00438_20251017123134_97b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2025-10-05T12:52:38.073Z</v>
      </c>
    </row>
    <row r="12">
      <c r="A12" t="str">
        <v>9</v>
      </c>
      <c r="B12" t="str">
        <v>12:34:24</v>
      </c>
      <c r="C12" t="str">
        <v>2025-10-17</v>
      </c>
      <c r="D12" t="str">
        <v>g34p_light_v2</v>
      </c>
      <c r="E12" t="str">
        <v>mrk</v>
      </c>
      <c r="F12" t="str">
        <v/>
      </c>
      <c r="G12" t="str">
        <v>77</v>
      </c>
      <c r="H12" t="str">
        <v/>
      </c>
      <c r="I12" t="str">
        <v/>
      </c>
      <c r="J12" t="str">
        <f>1/((1/L12)-(1/K12))</f>
        <v>0.009084</v>
      </c>
      <c r="K12" t="str">
        <f>BH12+(BI12*AN12)+(BJ12*AN12*POWER(V12,2))+(BK12*AN12*V12)+(BL12*POWER(AN12,2))</f>
        <v>2.922274</v>
      </c>
      <c r="L12" t="str">
        <f>((M12/1000)*(1000-((T12+S12)/2)))/(T12-S12)</f>
        <v>0.009056</v>
      </c>
      <c r="M12" t="str">
        <f>(AN12*(S12-R12))/(100*U12*(1000-S12))*1000</f>
        <v>0.339214</v>
      </c>
      <c r="N12" t="str">
        <v>1.767037</v>
      </c>
      <c r="O12" t="str">
        <v>1.758597</v>
      </c>
      <c r="P12" t="str">
        <f>0.61365*EXP((17.502*AL12)/(240.97+AL12))</f>
        <v>5.013644</v>
      </c>
      <c r="Q12" t="str">
        <f>P12-N12</f>
        <v>3.246607</v>
      </c>
      <c r="R12" t="str">
        <v>19.525860</v>
      </c>
      <c r="S12" t="str">
        <v>19.619576</v>
      </c>
      <c r="T12" t="str">
        <f>(P12/AM12)*1000</f>
        <v>55.666946</v>
      </c>
      <c r="U12" t="str">
        <f>V12*BG12</f>
        <v>0.441786</v>
      </c>
      <c r="V12" t="str">
        <v>7.500000</v>
      </c>
      <c r="W12" t="str">
        <v>PSF-00438_20251017123424_81f</v>
      </c>
      <c r="X12" t="str">
        <v>0.000000</v>
      </c>
      <c r="Y12" t="str">
        <v>0.000000</v>
      </c>
      <c r="Z12" t="str">
        <v>0.000000</v>
      </c>
      <c r="AA12" t="str">
        <v>96.568108</v>
      </c>
      <c r="AB12" t="str">
        <v>123.930252</v>
      </c>
      <c r="AC12" t="str">
        <v>0.220787</v>
      </c>
      <c r="AD12" t="str">
        <v>0.5</v>
      </c>
      <c r="AE12" t="str">
        <v>0.80</v>
      </c>
      <c r="AF12" t="str">
        <f>AC12*AD12*AE12*AQ12</f>
        <v>141.200043</v>
      </c>
      <c r="AG12" t="str">
        <v>1.000000</v>
      </c>
      <c r="AH12" t="str">
        <v>41.26</v>
      </c>
      <c r="AI12" t="str">
        <v>41.06</v>
      </c>
      <c r="AJ12" t="str">
        <v>30.09</v>
      </c>
      <c r="AK12" t="str">
        <v>32.86</v>
      </c>
      <c r="AL12" t="str">
        <f>(AK12-AJ12)*(AJ12*0+0)+AK12</f>
        <v>32.86</v>
      </c>
      <c r="AM12" t="str">
        <v>90.07</v>
      </c>
      <c r="AN12" t="str">
        <v>156.8</v>
      </c>
      <c r="AO12" t="str">
        <v>157.2</v>
      </c>
      <c r="AP12" t="str">
        <v>-0.3</v>
      </c>
      <c r="AQ12" t="str">
        <v>1599</v>
      </c>
      <c r="AR12" t="str">
        <v>4.080</v>
      </c>
      <c r="AS12" t="str">
        <v>12:24:34</v>
      </c>
      <c r="AT12" t="str">
        <v>2025-10-17</v>
      </c>
      <c r="AU12" t="str">
        <v>-0.16</v>
      </c>
      <c r="AV12" t="str">
        <v>0</v>
      </c>
      <c r="AW12" t="str">
        <v>-0.000</v>
      </c>
      <c r="AX12" t="str">
        <v>-9999.000</v>
      </c>
      <c r="AY12" t="str">
        <v>-9999.000</v>
      </c>
      <c r="AZ12" t="str">
        <v>-2.289</v>
      </c>
      <c r="BA12" t="str">
        <v>-9999.000</v>
      </c>
      <c r="BB12" t="str">
        <v>-9999.000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mpf</v>
      </c>
      <c r="BP12" t="str">
        <v>7000</v>
      </c>
      <c r="BQ12" t="str">
        <v>500</v>
      </c>
      <c r="BR12" t="str">
        <v>5.000000</v>
      </c>
      <c r="BS12" t="str">
        <v>2.000000</v>
      </c>
      <c r="BT12" t="str">
        <v>300</v>
      </c>
      <c r="BU12" t="str">
        <v>300</v>
      </c>
      <c r="BV12" t="str">
        <v>300</v>
      </c>
      <c r="BW12" t="str">
        <v>121.458290</v>
      </c>
      <c r="BX12" t="str">
        <v>25</v>
      </c>
      <c r="BY12" t="str">
        <v>-1.678623</v>
      </c>
      <c r="BZ12" t="str">
        <v>121.344208</v>
      </c>
      <c r="CA12" t="str">
        <v>121.530678</v>
      </c>
      <c r="CB12" t="str">
        <v>-0.186470</v>
      </c>
      <c r="CC12" t="str">
        <v>2.454439</v>
      </c>
      <c r="CD12" t="str">
        <v>2.468987</v>
      </c>
      <c r="CE12" t="str">
        <v>1.656091</v>
      </c>
      <c r="CF12" t="str">
        <v>0.939402</v>
      </c>
      <c r="CG12" t="str">
        <v>0.222863</v>
      </c>
      <c r="CH12" t="str">
        <v>0.033763</v>
      </c>
      <c r="CI12" t="str">
        <v>0.187401</v>
      </c>
      <c r="CJ12" t="str">
        <v>1.545557</v>
      </c>
      <c r="CK12" t="str">
        <v>96.568108</v>
      </c>
      <c r="CL12" t="str">
        <v>0.000242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PSF-00438_20251017123424_81f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2025-10-05T12:52:38.073Z</v>
      </c>
    </row>
    <row r="13">
      <c r="A13" t="str">
        <v>10</v>
      </c>
      <c r="B13" t="str">
        <v>12:36:58</v>
      </c>
      <c r="C13" t="str">
        <v>2025-10-17</v>
      </c>
      <c r="D13" t="str">
        <v>g34p_light_v2</v>
      </c>
      <c r="E13" t="str">
        <v>mrk</v>
      </c>
      <c r="F13" t="str">
        <v/>
      </c>
      <c r="G13" t="str">
        <v>78</v>
      </c>
      <c r="H13" t="str">
        <v/>
      </c>
      <c r="I13" t="str">
        <v/>
      </c>
      <c r="J13" t="str">
        <f>1/((1/L13)-(1/K13))</f>
        <v>0.046688</v>
      </c>
      <c r="K13" t="str">
        <f>BH13+(BI13*AN13)+(BJ13*AN13*POWER(V13,2))+(BK13*AN13*V13)+(BL13*POWER(AN13,2))</f>
        <v>2.921996</v>
      </c>
      <c r="L13" t="str">
        <f>((M13/1000)*(1000-((T13+S13)/2)))/(T13-S13)</f>
        <v>0.045954</v>
      </c>
      <c r="M13" t="str">
        <f>(AN13*(S13-R13))/(100*U13*(1000-S13))*1000</f>
        <v>1.420739</v>
      </c>
      <c r="N13" t="str">
        <v>1.788501</v>
      </c>
      <c r="O13" t="str">
        <v>1.753146</v>
      </c>
      <c r="P13" t="str">
        <f>0.61365*EXP((17.502*AL13)/(240.97+AL13))</f>
        <v>4.476510</v>
      </c>
      <c r="Q13" t="str">
        <f>P13-N13</f>
        <v>2.688009</v>
      </c>
      <c r="R13" t="str">
        <v>19.462854</v>
      </c>
      <c r="S13" t="str">
        <v>19.855356</v>
      </c>
      <c r="T13" t="str">
        <f>(P13/AM13)*1000</f>
        <v>49.696754</v>
      </c>
      <c r="U13" t="str">
        <f>V13*BG13</f>
        <v>0.441786</v>
      </c>
      <c r="V13" t="str">
        <v>7.500000</v>
      </c>
      <c r="W13" t="str">
        <v>PSF-00438_20251017123658_d60</v>
      </c>
      <c r="X13" t="str">
        <v>0.000000</v>
      </c>
      <c r="Y13" t="str">
        <v>0.000000</v>
      </c>
      <c r="Z13" t="str">
        <v>0.000000</v>
      </c>
      <c r="AA13" t="str">
        <v>146.998291</v>
      </c>
      <c r="AB13" t="str">
        <v>164.561264</v>
      </c>
      <c r="AC13" t="str">
        <v>0.106726</v>
      </c>
      <c r="AD13" t="str">
        <v>0.5</v>
      </c>
      <c r="AE13" t="str">
        <v>0.80</v>
      </c>
      <c r="AF13" t="str">
        <f>AC13*AD13*AE13*AQ13</f>
        <v>66.673775</v>
      </c>
      <c r="AG13" t="str">
        <v>1.000000</v>
      </c>
      <c r="AH13" t="str">
        <v>40.70</v>
      </c>
      <c r="AI13" t="str">
        <v>39.89</v>
      </c>
      <c r="AJ13" t="str">
        <v>30.54</v>
      </c>
      <c r="AK13" t="str">
        <v>30.86</v>
      </c>
      <c r="AL13" t="str">
        <f>(AK13-AJ13)*(AJ13*0+0)+AK13</f>
        <v>30.86</v>
      </c>
      <c r="AM13" t="str">
        <v>90.08</v>
      </c>
      <c r="AN13" t="str">
        <v>156.7</v>
      </c>
      <c r="AO13" t="str">
        <v>157.4</v>
      </c>
      <c r="AP13" t="str">
        <v>-0.4</v>
      </c>
      <c r="AQ13" t="str">
        <v>1562</v>
      </c>
      <c r="AR13" t="str">
        <v>4.049</v>
      </c>
      <c r="AS13" t="str">
        <v>12:24:34</v>
      </c>
      <c r="AT13" t="str">
        <v>2025-10-17</v>
      </c>
      <c r="AU13" t="str">
        <v>-0.16</v>
      </c>
      <c r="AV13" t="str">
        <v>0</v>
      </c>
      <c r="AW13" t="str">
        <v>0.097</v>
      </c>
      <c r="AX13" t="str">
        <v>0.075</v>
      </c>
      <c r="AY13" t="str">
        <v>0.005</v>
      </c>
      <c r="AZ13" t="str">
        <v>35.178</v>
      </c>
      <c r="BA13" t="str">
        <v>128.747</v>
      </c>
      <c r="BB13" t="str">
        <v>64.172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mpf</v>
      </c>
      <c r="BP13" t="str">
        <v>7000</v>
      </c>
      <c r="BQ13" t="str">
        <v>500</v>
      </c>
      <c r="BR13" t="str">
        <v>5.000000</v>
      </c>
      <c r="BS13" t="str">
        <v>2.000000</v>
      </c>
      <c r="BT13" t="str">
        <v>300</v>
      </c>
      <c r="BU13" t="str">
        <v>300</v>
      </c>
      <c r="BV13" t="str">
        <v>300</v>
      </c>
      <c r="BW13" t="str">
        <v>164.284592</v>
      </c>
      <c r="BX13" t="str">
        <v>25</v>
      </c>
      <c r="BY13" t="str">
        <v>-0.164035</v>
      </c>
      <c r="BZ13" t="str">
        <v>165.149689</v>
      </c>
      <c r="CA13" t="str">
        <v>164.326782</v>
      </c>
      <c r="CB13" t="str">
        <v>0.822906</v>
      </c>
      <c r="CC13" t="str">
        <v>2.452763</v>
      </c>
      <c r="CD13" t="str">
        <v>2.468122</v>
      </c>
      <c r="CE13" t="str">
        <v>1.655801</v>
      </c>
      <c r="CF13" t="str">
        <v>0.939888</v>
      </c>
      <c r="CG13" t="str">
        <v>0.218939</v>
      </c>
      <c r="CH13" t="str">
        <v>0.004024</v>
      </c>
      <c r="CI13" t="str">
        <v>0.203430</v>
      </c>
      <c r="CJ13" t="str">
        <v>1.512244</v>
      </c>
      <c r="CK13" t="str">
        <v>146.998291</v>
      </c>
      <c r="CL13" t="str">
        <v>0.000245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PSF-00438_20251017123658_d60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2025-10-05T12:52:38.073Z</v>
      </c>
    </row>
    <row r="14">
      <c r="A14" t="str">
        <v>11</v>
      </c>
      <c r="B14" t="str">
        <v>12:39:21</v>
      </c>
      <c r="C14" t="str">
        <v>2025-10-17</v>
      </c>
      <c r="D14" t="str">
        <v>g34p_light_v2</v>
      </c>
      <c r="E14" t="str">
        <v>mrk</v>
      </c>
      <c r="F14" t="str">
        <v/>
      </c>
      <c r="G14" t="str">
        <v>68</v>
      </c>
      <c r="H14" t="str">
        <v/>
      </c>
      <c r="I14" t="str">
        <v/>
      </c>
      <c r="J14" t="str">
        <f>1/((1/L14)-(1/K14))</f>
        <v>0.012371</v>
      </c>
      <c r="K14" t="str">
        <f>BH14+(BI14*AN14)+(BJ14*AN14*POWER(V14,2))+(BK14*AN14*V14)+(BL14*POWER(AN14,2))</f>
        <v>2.922834</v>
      </c>
      <c r="L14" t="str">
        <f>((M14/1000)*(1000-((T14+S14)/2)))/(T14-S14)</f>
        <v>0.012319</v>
      </c>
      <c r="M14" t="str">
        <f>(AN14*(S14-R14))/(100*U14*(1000-S14))*1000</f>
        <v>0.400304</v>
      </c>
      <c r="N14" t="str">
        <v>1.787392</v>
      </c>
      <c r="O14" t="str">
        <v>1.777438</v>
      </c>
      <c r="P14" t="str">
        <f>0.61365*EXP((17.502*AL14)/(240.97+AL14))</f>
        <v>4.610297</v>
      </c>
      <c r="Q14" t="str">
        <f>P14-N14</f>
        <v>2.822905</v>
      </c>
      <c r="R14" t="str">
        <v>19.734125</v>
      </c>
      <c r="S14" t="str">
        <v>19.844645</v>
      </c>
      <c r="T14" t="str">
        <f>(P14/AM14)*1000</f>
        <v>51.186134</v>
      </c>
      <c r="U14" t="str">
        <f>V14*BG14</f>
        <v>0.441786</v>
      </c>
      <c r="V14" t="str">
        <v>7.500000</v>
      </c>
      <c r="W14" t="str">
        <v>PSF-00438_20251017123921_380</v>
      </c>
      <c r="X14" t="str">
        <v>0.000000</v>
      </c>
      <c r="Y14" t="str">
        <v>0.000000</v>
      </c>
      <c r="Z14" t="str">
        <v>0.000000</v>
      </c>
      <c r="AA14" t="str">
        <v>87.838409</v>
      </c>
      <c r="AB14" t="str">
        <v>101.061958</v>
      </c>
      <c r="AC14" t="str">
        <v>0.130846</v>
      </c>
      <c r="AD14" t="str">
        <v>0.5</v>
      </c>
      <c r="AE14" t="str">
        <v>0.80</v>
      </c>
      <c r="AF14" t="str">
        <f>AC14*AD14*AE14*AQ14</f>
        <v>75.435440</v>
      </c>
      <c r="AG14" t="str">
        <v>1.000000</v>
      </c>
      <c r="AH14" t="str">
        <v>39.93</v>
      </c>
      <c r="AI14" t="str">
        <v>39.71</v>
      </c>
      <c r="AJ14" t="str">
        <v>30.86</v>
      </c>
      <c r="AK14" t="str">
        <v>31.38</v>
      </c>
      <c r="AL14" t="str">
        <f>(AK14-AJ14)*(AJ14*0+0)+AK14</f>
        <v>31.38</v>
      </c>
      <c r="AM14" t="str">
        <v>90.07</v>
      </c>
      <c r="AN14" t="str">
        <v>156.8</v>
      </c>
      <c r="AO14" t="str">
        <v>-8.6</v>
      </c>
      <c r="AP14" t="str">
        <v>105.5</v>
      </c>
      <c r="AQ14" t="str">
        <v>1441</v>
      </c>
      <c r="AR14" t="str">
        <v>4.072</v>
      </c>
      <c r="AS14" t="str">
        <v>12:37:11</v>
      </c>
      <c r="AT14" t="str">
        <v>2025-10-17</v>
      </c>
      <c r="AU14" t="str">
        <v>0.01</v>
      </c>
      <c r="AV14" t="str">
        <v>1</v>
      </c>
      <c r="AW14" t="str">
        <v>-0.007</v>
      </c>
      <c r="AX14" t="str">
        <v>-0.000</v>
      </c>
      <c r="AY14" t="str">
        <v>0.035</v>
      </c>
      <c r="AZ14" t="str">
        <v>63.057</v>
      </c>
      <c r="BA14" t="str">
        <v>46.958</v>
      </c>
      <c r="BB14" t="str">
        <v>23.395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mpf</v>
      </c>
      <c r="BP14" t="str">
        <v>7000</v>
      </c>
      <c r="BQ14" t="str">
        <v>500</v>
      </c>
      <c r="BR14" t="str">
        <v>5.000000</v>
      </c>
      <c r="BS14" t="str">
        <v>2.000000</v>
      </c>
      <c r="BT14" t="str">
        <v>300</v>
      </c>
      <c r="BU14" t="str">
        <v>300</v>
      </c>
      <c r="BV14" t="str">
        <v>300</v>
      </c>
      <c r="BW14" t="str">
        <v>99.547150</v>
      </c>
      <c r="BX14" t="str">
        <v>25</v>
      </c>
      <c r="BY14" t="str">
        <v>-1.086275</v>
      </c>
      <c r="BZ14" t="str">
        <v>99.388000</v>
      </c>
      <c r="CA14" t="str">
        <v>99.509140</v>
      </c>
      <c r="CB14" t="str">
        <v>-0.121140</v>
      </c>
      <c r="CC14" t="str">
        <v>2.452451</v>
      </c>
      <c r="CD14" t="str">
        <v>2.466784</v>
      </c>
      <c r="CE14" t="str">
        <v>1.656680</v>
      </c>
      <c r="CF14" t="str">
        <v>0.585815</v>
      </c>
      <c r="CG14" t="str">
        <v>0.216189</v>
      </c>
      <c r="CH14" t="str">
        <v>0.006389</v>
      </c>
      <c r="CI14" t="str">
        <v>0.217873</v>
      </c>
      <c r="CJ14" t="str">
        <v>1.403851</v>
      </c>
      <c r="CK14" t="str">
        <v>87.838409</v>
      </c>
      <c r="CL14" t="str">
        <v>0.000245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PSF-00438_20251017123921_380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2025-10-05T12:52:38.073Z</v>
      </c>
    </row>
    <row r="15">
      <c r="A15" t="str">
        <v>12</v>
      </c>
      <c r="B15" t="str">
        <v>12:41:58</v>
      </c>
      <c r="C15" t="str">
        <v>2025-10-17</v>
      </c>
      <c r="D15" t="str">
        <v>g34p_light_v2</v>
      </c>
      <c r="E15" t="str">
        <v>mrk</v>
      </c>
      <c r="F15" t="str">
        <v>Flag</v>
      </c>
      <c r="G15" t="str">
        <v>83</v>
      </c>
      <c r="H15" t="str">
        <v/>
      </c>
      <c r="I15" t="str">
        <v/>
      </c>
      <c r="J15" t="str">
        <f>1/((1/L15)-(1/K15))</f>
        <v>0.049217</v>
      </c>
      <c r="K15" t="str">
        <f>BH15+(BI15*AN15)+(BJ15*AN15*POWER(V15,2))+(BK15*AN15*V15)+(BL15*POWER(AN15,2))</f>
        <v>2.921868</v>
      </c>
      <c r="L15" t="str">
        <f>((M15/1000)*(1000-((T15+S15)/2)))/(T15-S15)</f>
        <v>0.048402</v>
      </c>
      <c r="M15" t="str">
        <f>(AN15*(S15-R15))/(100*U15*(1000-S15))*1000</f>
        <v>1.632940</v>
      </c>
      <c r="N15" t="str">
        <v>1.838135</v>
      </c>
      <c r="O15" t="str">
        <v>1.797524</v>
      </c>
      <c r="P15" t="str">
        <f>0.61365*EXP((17.502*AL15)/(240.97+AL15))</f>
        <v>4.765202</v>
      </c>
      <c r="Q15" t="str">
        <f>P15-N15</f>
        <v>2.927067</v>
      </c>
      <c r="R15" t="str">
        <v>19.958519</v>
      </c>
      <c r="S15" t="str">
        <v>20.409435</v>
      </c>
      <c r="T15" t="str">
        <f>(P15/AM15)*1000</f>
        <v>52.909645</v>
      </c>
      <c r="U15" t="str">
        <f>V15*BG15</f>
        <v>0.441786</v>
      </c>
      <c r="V15" t="str">
        <v>7.500000</v>
      </c>
      <c r="W15" t="str">
        <v>PSF-00438_20251017124158_2b9</v>
      </c>
      <c r="X15" t="str">
        <v>0.000000</v>
      </c>
      <c r="Y15" t="str">
        <v>0.000000</v>
      </c>
      <c r="Z15" t="str">
        <v>0.000000</v>
      </c>
      <c r="AA15" t="str">
        <v>100.535629</v>
      </c>
      <c r="AB15" t="str">
        <v>130.941223</v>
      </c>
      <c r="AC15" t="str">
        <v>0.232208</v>
      </c>
      <c r="AD15" t="str">
        <v>0.5</v>
      </c>
      <c r="AE15" t="str">
        <v>0.80</v>
      </c>
      <c r="AF15" t="str">
        <f>AC15*AD15*AE15*AQ15</f>
        <v>148.849487</v>
      </c>
      <c r="AG15" t="str">
        <v>1.000000</v>
      </c>
      <c r="AH15" t="str">
        <v>40.33</v>
      </c>
      <c r="AI15" t="str">
        <v>39.44</v>
      </c>
      <c r="AJ15" t="str">
        <v>31.18</v>
      </c>
      <c r="AK15" t="str">
        <v>31.96</v>
      </c>
      <c r="AL15" t="str">
        <f>(AK15-AJ15)*(AJ15*0+0)+AK15</f>
        <v>31.96</v>
      </c>
      <c r="AM15" t="str">
        <v>90.06</v>
      </c>
      <c r="AN15" t="str">
        <v>156.7</v>
      </c>
      <c r="AO15" t="str">
        <v>57.3</v>
      </c>
      <c r="AP15" t="str">
        <v>63.4</v>
      </c>
      <c r="AQ15" t="str">
        <v>1603</v>
      </c>
      <c r="AR15" t="str">
        <v>4.035</v>
      </c>
      <c r="AS15" t="str">
        <v>12:37:11</v>
      </c>
      <c r="AT15" t="str">
        <v>2025-10-17</v>
      </c>
      <c r="AU15" t="str">
        <v>0.01</v>
      </c>
      <c r="AV15" t="str">
        <v>1</v>
      </c>
      <c r="AW15" t="str">
        <v>-0.014</v>
      </c>
      <c r="AX15" t="str">
        <v>-0.016</v>
      </c>
      <c r="AY15" t="str">
        <v>0.009</v>
      </c>
      <c r="AZ15" t="str">
        <v>85.058</v>
      </c>
      <c r="BA15" t="str">
        <v>42.168</v>
      </c>
      <c r="BB15" t="str">
        <v>20.629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mpf</v>
      </c>
      <c r="BP15" t="str">
        <v>7000</v>
      </c>
      <c r="BQ15" t="str">
        <v>500</v>
      </c>
      <c r="BR15" t="str">
        <v>5.000000</v>
      </c>
      <c r="BS15" t="str">
        <v>2.000000</v>
      </c>
      <c r="BT15" t="str">
        <v>300</v>
      </c>
      <c r="BU15" t="str">
        <v>300</v>
      </c>
      <c r="BV15" t="str">
        <v>300</v>
      </c>
      <c r="BW15" t="str">
        <v>126.185059</v>
      </c>
      <c r="BX15" t="str">
        <v>25</v>
      </c>
      <c r="BY15" t="str">
        <v>-3.262470</v>
      </c>
      <c r="BZ15" t="str">
        <v>125.754837</v>
      </c>
      <c r="CA15" t="str">
        <v>126.277550</v>
      </c>
      <c r="CB15" t="str">
        <v>-0.522713</v>
      </c>
      <c r="CC15" t="str">
        <v>2.452016</v>
      </c>
      <c r="CD15" t="str">
        <v>2.467256</v>
      </c>
      <c r="CE15" t="str">
        <v>1.655667</v>
      </c>
      <c r="CF15" t="str">
        <v>0.710221</v>
      </c>
      <c r="CG15" t="str">
        <v>0.213498</v>
      </c>
      <c r="CH15" t="str">
        <v>0.009600</v>
      </c>
      <c r="CI15" t="str">
        <v>0.233305</v>
      </c>
      <c r="CJ15" t="str">
        <v>1.548900</v>
      </c>
      <c r="CK15" t="str">
        <v>100.535629</v>
      </c>
      <c r="CL15" t="str">
        <v>0.000243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PSF-00438_20251017124158_2b9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2025-10-05T12:52:38.073Z</v>
      </c>
    </row>
    <row r="16">
      <c r="A16" t="str">
        <v>13</v>
      </c>
      <c r="B16" t="str">
        <v>12:42:09</v>
      </c>
      <c r="C16" t="str">
        <v>2025-10-17</v>
      </c>
      <c r="D16" t="str">
        <v>g34p_light_v2</v>
      </c>
      <c r="E16" t="str">
        <v>mrk</v>
      </c>
      <c r="F16" t="str">
        <v>Flag</v>
      </c>
      <c r="G16" t="str">
        <v>83</v>
      </c>
      <c r="H16" t="str">
        <v/>
      </c>
      <c r="I16" t="str">
        <v/>
      </c>
      <c r="J16" t="str">
        <f>1/((1/L16)-(1/K16))</f>
        <v>0.035664</v>
      </c>
      <c r="K16" t="str">
        <f>BH16+(BI16*AN16)+(BJ16*AN16*POWER(V16,2))+(BK16*AN16*V16)+(BL16*POWER(AN16,2))</f>
        <v>2.921430</v>
      </c>
      <c r="L16" t="str">
        <f>((M16/1000)*(1000-((T16+S16)/2)))/(T16-S16)</f>
        <v>0.035234</v>
      </c>
      <c r="M16" t="str">
        <f>(AN16*(S16-R16))/(100*U16*(1000-S16))*1000</f>
        <v>1.220841</v>
      </c>
      <c r="N16" t="str">
        <v>1.868785</v>
      </c>
      <c r="O16" t="str">
        <v>1.838425</v>
      </c>
      <c r="P16" t="str">
        <f>0.61365*EXP((17.502*AL16)/(240.97+AL16))</f>
        <v>4.872480</v>
      </c>
      <c r="Q16" t="str">
        <f>P16-N16</f>
        <v>3.003695</v>
      </c>
      <c r="R16" t="str">
        <v>20.413847</v>
      </c>
      <c r="S16" t="str">
        <v>20.750967</v>
      </c>
      <c r="T16" t="str">
        <f>(P16/AM16)*1000</f>
        <v>54.103954</v>
      </c>
      <c r="U16" t="str">
        <f>V16*BG16</f>
        <v>0.441786</v>
      </c>
      <c r="V16" t="str">
        <v>7.500000</v>
      </c>
      <c r="W16" t="str">
        <v>PSF-00438_20251017124209_2da</v>
      </c>
      <c r="X16" t="str">
        <v>0.000000</v>
      </c>
      <c r="Y16" t="str">
        <v>0.000000</v>
      </c>
      <c r="Z16" t="str">
        <v>0.000000</v>
      </c>
      <c r="AA16" t="str">
        <v>130.910034</v>
      </c>
      <c r="AB16" t="str">
        <v>169.240067</v>
      </c>
      <c r="AC16" t="str">
        <v>0.226483</v>
      </c>
      <c r="AD16" t="str">
        <v>0.5</v>
      </c>
      <c r="AE16" t="str">
        <v>0.80</v>
      </c>
      <c r="AF16" t="str">
        <f>AC16*AD16*AE16*AQ16</f>
        <v>127.418190</v>
      </c>
      <c r="AG16" t="str">
        <v>1.000000</v>
      </c>
      <c r="AH16" t="str">
        <v>40.96</v>
      </c>
      <c r="AI16" t="str">
        <v>40.30</v>
      </c>
      <c r="AJ16" t="str">
        <v>31.20</v>
      </c>
      <c r="AK16" t="str">
        <v>32.36</v>
      </c>
      <c r="AL16" t="str">
        <f>(AK16-AJ16)*(AJ16*0+0)+AK16</f>
        <v>32.36</v>
      </c>
      <c r="AM16" t="str">
        <v>90.06</v>
      </c>
      <c r="AN16" t="str">
        <v>156.7</v>
      </c>
      <c r="AO16" t="str">
        <v>157.0</v>
      </c>
      <c r="AP16" t="str">
        <v>-0.2</v>
      </c>
      <c r="AQ16" t="str">
        <v>1406</v>
      </c>
      <c r="AR16" t="str">
        <v>4.067</v>
      </c>
      <c r="AS16" t="str">
        <v>12:37:11</v>
      </c>
      <c r="AT16" t="str">
        <v>2025-10-17</v>
      </c>
      <c r="AU16" t="str">
        <v>0.01</v>
      </c>
      <c r="AV16" t="str">
        <v>1</v>
      </c>
      <c r="AW16" t="str">
        <v>0.003</v>
      </c>
      <c r="AX16" t="str">
        <v>-9999.000</v>
      </c>
      <c r="AY16" t="str">
        <v>-9999.000</v>
      </c>
      <c r="AZ16" t="str">
        <v>-8.090</v>
      </c>
      <c r="BA16" t="str">
        <v>-9999.000</v>
      </c>
      <c r="BB16" t="str">
        <v>-9999.000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mpf</v>
      </c>
      <c r="BP16" t="str">
        <v>7000</v>
      </c>
      <c r="BQ16" t="str">
        <v>500</v>
      </c>
      <c r="BR16" t="str">
        <v>5.000000</v>
      </c>
      <c r="BS16" t="str">
        <v>2.000000</v>
      </c>
      <c r="BT16" t="str">
        <v>300</v>
      </c>
      <c r="BU16" t="str">
        <v>300</v>
      </c>
      <c r="BV16" t="str">
        <v>300</v>
      </c>
      <c r="BW16" t="str">
        <v>161.260483</v>
      </c>
      <c r="BX16" t="str">
        <v>25</v>
      </c>
      <c r="BY16" t="str">
        <v>-6.018255</v>
      </c>
      <c r="BZ16" t="str">
        <v>158.626205</v>
      </c>
      <c r="CA16" t="str">
        <v>160.637024</v>
      </c>
      <c r="CB16" t="str">
        <v>-2.010818</v>
      </c>
      <c r="CC16" t="str">
        <v>2.453181</v>
      </c>
      <c r="CD16" t="str">
        <v>2.468121</v>
      </c>
      <c r="CE16" t="str">
        <v>1.655208</v>
      </c>
      <c r="CF16" t="str">
        <v>0.938844</v>
      </c>
      <c r="CG16" t="str">
        <v>0.213373</v>
      </c>
      <c r="CH16" t="str">
        <v>0.014214</v>
      </c>
      <c r="CI16" t="str">
        <v>0.234256</v>
      </c>
      <c r="CJ16" t="str">
        <v>1.372531</v>
      </c>
      <c r="CK16" t="str">
        <v>130.910034</v>
      </c>
      <c r="CL16" t="str">
        <v>0.000245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PSF-00438_20251017124209_2da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2025-10-05T12:52:38.073Z</v>
      </c>
    </row>
    <row r="17">
      <c r="A17" t="str">
        <v>14</v>
      </c>
      <c r="B17" t="str">
        <v>12:43:03</v>
      </c>
      <c r="C17" t="str">
        <v>2025-10-17</v>
      </c>
      <c r="D17" t="str">
        <v>g34p_light_v2</v>
      </c>
      <c r="E17" t="str">
        <v>mrk</v>
      </c>
      <c r="F17" t="str">
        <v/>
      </c>
      <c r="G17" t="str">
        <v>83</v>
      </c>
      <c r="H17" t="str">
        <v/>
      </c>
      <c r="I17" t="str">
        <v/>
      </c>
      <c r="J17" t="str">
        <f>1/((1/L17)-(1/K17))</f>
        <v>0.059379</v>
      </c>
      <c r="K17" t="str">
        <f>BH17+(BI17*AN17)+(BJ17*AN17*POWER(V17,2))+(BK17*AN17*V17)+(BL17*POWER(AN17,2))</f>
        <v>2.922141</v>
      </c>
      <c r="L17" t="str">
        <f>((M17/1000)*(1000-((T17+S17)/2)))/(T17-S17)</f>
        <v>0.058196</v>
      </c>
      <c r="M17" t="str">
        <f>(AN17*(S17-R17))/(100*U17*(1000-S17))*1000</f>
        <v>1.987960</v>
      </c>
      <c r="N17" t="str">
        <v>1.862136</v>
      </c>
      <c r="O17" t="str">
        <v>1.812722</v>
      </c>
      <c r="P17" t="str">
        <f>0.61365*EXP((17.502*AL17)/(240.97+AL17))</f>
        <v>4.824295</v>
      </c>
      <c r="Q17" t="str">
        <f>P17-N17</f>
        <v>2.962159</v>
      </c>
      <c r="R17" t="str">
        <v>20.128332</v>
      </c>
      <c r="S17" t="str">
        <v>20.677015</v>
      </c>
      <c r="T17" t="str">
        <f>(P17/AM17)*1000</f>
        <v>53.568607</v>
      </c>
      <c r="U17" t="str">
        <f>V17*BG17</f>
        <v>0.441786</v>
      </c>
      <c r="V17" t="str">
        <v>7.500000</v>
      </c>
      <c r="W17" t="str">
        <v>PSF-00438_20251017124303_fec</v>
      </c>
      <c r="X17" t="str">
        <v>0.000000</v>
      </c>
      <c r="Y17" t="str">
        <v>0.000000</v>
      </c>
      <c r="Z17" t="str">
        <v>0.000000</v>
      </c>
      <c r="AA17" t="str">
        <v>94.965935</v>
      </c>
      <c r="AB17" t="str">
        <v>134.099915</v>
      </c>
      <c r="AC17" t="str">
        <v>0.291827</v>
      </c>
      <c r="AD17" t="str">
        <v>0.5</v>
      </c>
      <c r="AE17" t="str">
        <v>0.80</v>
      </c>
      <c r="AF17" t="str">
        <f>AC17*AD17*AE17*AQ17</f>
        <v>115.657974</v>
      </c>
      <c r="AG17" t="str">
        <v>1.000000</v>
      </c>
      <c r="AH17" t="str">
        <v>40.78</v>
      </c>
      <c r="AI17" t="str">
        <v>39.70</v>
      </c>
      <c r="AJ17" t="str">
        <v>31.21</v>
      </c>
      <c r="AK17" t="str">
        <v>32.18</v>
      </c>
      <c r="AL17" t="str">
        <f>(AK17-AJ17)*(AJ17*0+0)+AK17</f>
        <v>32.18</v>
      </c>
      <c r="AM17" t="str">
        <v>90.06</v>
      </c>
      <c r="AN17" t="str">
        <v>156.8</v>
      </c>
      <c r="AO17" t="str">
        <v>111.7</v>
      </c>
      <c r="AP17" t="str">
        <v>28.8</v>
      </c>
      <c r="AQ17" t="str">
        <v>991</v>
      </c>
      <c r="AR17" t="str">
        <v>4.063</v>
      </c>
      <c r="AS17" t="str">
        <v>12:37:11</v>
      </c>
      <c r="AT17" t="str">
        <v>2025-10-17</v>
      </c>
      <c r="AU17" t="str">
        <v>0.01</v>
      </c>
      <c r="AV17" t="str">
        <v>1</v>
      </c>
      <c r="AW17" t="str">
        <v>0.001</v>
      </c>
      <c r="AX17" t="str">
        <v>0.004</v>
      </c>
      <c r="AY17" t="str">
        <v>-9999.000</v>
      </c>
      <c r="AZ17" t="str">
        <v>-1.359</v>
      </c>
      <c r="BA17" t="str">
        <v>-1.321</v>
      </c>
      <c r="BB17" t="str">
        <v>-9999.000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mpf</v>
      </c>
      <c r="BP17" t="str">
        <v>7000</v>
      </c>
      <c r="BQ17" t="str">
        <v>500</v>
      </c>
      <c r="BR17" t="str">
        <v>5.000000</v>
      </c>
      <c r="BS17" t="str">
        <v>2.000000</v>
      </c>
      <c r="BT17" t="str">
        <v>300</v>
      </c>
      <c r="BU17" t="str">
        <v>300</v>
      </c>
      <c r="BV17" t="str">
        <v>300</v>
      </c>
      <c r="BW17" t="str">
        <v>129.197006</v>
      </c>
      <c r="BX17" t="str">
        <v>25</v>
      </c>
      <c r="BY17" t="str">
        <v>-3.344487</v>
      </c>
      <c r="BZ17" t="str">
        <v>129.320740</v>
      </c>
      <c r="CA17" t="str">
        <v>129.319000</v>
      </c>
      <c r="CB17" t="str">
        <v>0.001740</v>
      </c>
      <c r="CC17" t="str">
        <v>2.452369</v>
      </c>
      <c r="CD17" t="str">
        <v>2.467871</v>
      </c>
      <c r="CE17" t="str">
        <v>1.655952</v>
      </c>
      <c r="CF17" t="str">
        <v>0.828333</v>
      </c>
      <c r="CG17" t="str">
        <v>0.213245</v>
      </c>
      <c r="CH17" t="str">
        <v>0.011884</v>
      </c>
      <c r="CI17" t="str">
        <v>0.239459</v>
      </c>
      <c r="CJ17" t="str">
        <v>0.998602</v>
      </c>
      <c r="CK17" t="str">
        <v>94.965935</v>
      </c>
      <c r="CL17" t="str">
        <v>0.000245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PSF-00438_20251017124303_fec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2025-10-05T12:52:38.073Z</v>
      </c>
    </row>
    <row r="18">
      <c r="A18" t="str">
        <v>15</v>
      </c>
      <c r="B18" t="str">
        <v>12:45:58</v>
      </c>
      <c r="C18" t="str">
        <v>2025-10-17</v>
      </c>
      <c r="D18" t="str">
        <v>g34p_light_v2</v>
      </c>
      <c r="E18" t="str">
        <v>mrk</v>
      </c>
      <c r="F18" t="str">
        <v/>
      </c>
      <c r="G18" t="str">
        <v>76</v>
      </c>
      <c r="H18" t="str">
        <v/>
      </c>
      <c r="I18" t="str">
        <v/>
      </c>
      <c r="J18" t="str">
        <f>1/((1/L18)-(1/K18))</f>
        <v>0.025706</v>
      </c>
      <c r="K18" t="str">
        <f>BH18+(BI18*AN18)+(BJ18*AN18*POWER(V18,2))+(BK18*AN18*V18)+(BL18*POWER(AN18,2))</f>
        <v>2.922159</v>
      </c>
      <c r="L18" t="str">
        <f>((M18/1000)*(1000-((T18+S18)/2)))/(T18-S18)</f>
        <v>0.025481</v>
      </c>
      <c r="M18" t="str">
        <f>(AN18*(S18-R18))/(100*U18*(1000-S18))*1000</f>
        <v>0.831497</v>
      </c>
      <c r="N18" t="str">
        <v>1.760219</v>
      </c>
      <c r="O18" t="str">
        <v>1.739528</v>
      </c>
      <c r="P18" t="str">
        <f>0.61365*EXP((17.502*AL18)/(240.97+AL18))</f>
        <v>4.595217</v>
      </c>
      <c r="Q18" t="str">
        <f>P18-N18</f>
        <v>2.834998</v>
      </c>
      <c r="R18" t="str">
        <v>19.315855</v>
      </c>
      <c r="S18" t="str">
        <v>19.545612</v>
      </c>
      <c r="T18" t="str">
        <f>(P18/AM18)*1000</f>
        <v>51.025654</v>
      </c>
      <c r="U18" t="str">
        <f>V18*BG18</f>
        <v>0.441786</v>
      </c>
      <c r="V18" t="str">
        <v>7.500000</v>
      </c>
      <c r="W18" t="str">
        <v>PSF-00438_20251017124558_90d</v>
      </c>
      <c r="X18" t="str">
        <v>0.000000</v>
      </c>
      <c r="Y18" t="str">
        <v>0.000000</v>
      </c>
      <c r="Z18" t="str">
        <v>0.000000</v>
      </c>
      <c r="AA18" t="str">
        <v>108.040451</v>
      </c>
      <c r="AB18" t="str">
        <v>195.828659</v>
      </c>
      <c r="AC18" t="str">
        <v>0.448291</v>
      </c>
      <c r="AD18" t="str">
        <v>0.5</v>
      </c>
      <c r="AE18" t="str">
        <v>0.80</v>
      </c>
      <c r="AF18" t="str">
        <f>AC18*AD18*AE18*AQ18</f>
        <v>278.056824</v>
      </c>
      <c r="AG18" t="str">
        <v>1.000000</v>
      </c>
      <c r="AH18" t="str">
        <v>38.63</v>
      </c>
      <c r="AI18" t="str">
        <v>38.18</v>
      </c>
      <c r="AJ18" t="str">
        <v>31.17</v>
      </c>
      <c r="AK18" t="str">
        <v>31.32</v>
      </c>
      <c r="AL18" t="str">
        <f>(AK18-AJ18)*(AJ18*0+0)+AK18</f>
        <v>31.32</v>
      </c>
      <c r="AM18" t="str">
        <v>90.06</v>
      </c>
      <c r="AN18" t="str">
        <v>156.8</v>
      </c>
      <c r="AO18" t="str">
        <v>148.5</v>
      </c>
      <c r="AP18" t="str">
        <v>5.3</v>
      </c>
      <c r="AQ18" t="str">
        <v>1551</v>
      </c>
      <c r="AR18" t="str">
        <v>4.029</v>
      </c>
      <c r="AS18" t="str">
        <v>12:37:11</v>
      </c>
      <c r="AT18" t="str">
        <v>2025-10-17</v>
      </c>
      <c r="AU18" t="str">
        <v>0.01</v>
      </c>
      <c r="AV18" t="str">
        <v>1</v>
      </c>
      <c r="AW18" t="str">
        <v>0.000</v>
      </c>
      <c r="AX18" t="str">
        <v>0.048</v>
      </c>
      <c r="AY18" t="str">
        <v>0.044</v>
      </c>
      <c r="AZ18" t="str">
        <v>110.388</v>
      </c>
      <c r="BA18" t="str">
        <v>56.491</v>
      </c>
      <c r="BB18" t="str">
        <v>28.103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mpf</v>
      </c>
      <c r="BP18" t="str">
        <v>7000</v>
      </c>
      <c r="BQ18" t="str">
        <v>500</v>
      </c>
      <c r="BR18" t="str">
        <v>5.000000</v>
      </c>
      <c r="BS18" t="str">
        <v>2.000000</v>
      </c>
      <c r="BT18" t="str">
        <v>300</v>
      </c>
      <c r="BU18" t="str">
        <v>300</v>
      </c>
      <c r="BV18" t="str">
        <v>300</v>
      </c>
      <c r="BW18" t="str">
        <v>184.132935</v>
      </c>
      <c r="BX18" t="str">
        <v>25</v>
      </c>
      <c r="BY18" t="str">
        <v>-8.021301</v>
      </c>
      <c r="BZ18" t="str">
        <v>182.959198</v>
      </c>
      <c r="CA18" t="str">
        <v>184.362274</v>
      </c>
      <c r="CB18" t="str">
        <v>-1.403076</v>
      </c>
      <c r="CC18" t="str">
        <v>2.450308</v>
      </c>
      <c r="CD18" t="str">
        <v>2.464938</v>
      </c>
      <c r="CE18" t="str">
        <v>1.655972</v>
      </c>
      <c r="CF18" t="str">
        <v>0.917218</v>
      </c>
      <c r="CG18" t="str">
        <v>0.213551</v>
      </c>
      <c r="CH18" t="str">
        <v>0.001929</v>
      </c>
      <c r="CI18" t="str">
        <v>0.255519</v>
      </c>
      <c r="CJ18" t="str">
        <v>1.502216</v>
      </c>
      <c r="CK18" t="str">
        <v>118.543266</v>
      </c>
      <c r="CL18" t="str">
        <v>0.000246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PSF-00438_20251017124558_90d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2025-10-05T12:52:38.073Z</v>
      </c>
    </row>
    <row r="19">
      <c r="A19" t="str">
        <v>16</v>
      </c>
      <c r="B19" t="str">
        <v>12:48:22</v>
      </c>
      <c r="C19" t="str">
        <v>2025-10-17</v>
      </c>
      <c r="D19" t="str">
        <v>g34p_light_v2</v>
      </c>
      <c r="E19" t="str">
        <v>mrk</v>
      </c>
      <c r="F19" t="str">
        <v/>
      </c>
      <c r="G19" t="str">
        <v>91</v>
      </c>
      <c r="H19" t="str">
        <v/>
      </c>
      <c r="I19" t="str">
        <v/>
      </c>
      <c r="J19" t="str">
        <f>1/((1/L19)-(1/K19))</f>
        <v>0.048686</v>
      </c>
      <c r="K19" t="str">
        <f>BH19+(BI19*AN19)+(BJ19*AN19*POWER(V19,2))+(BK19*AN19*V19)+(BL19*POWER(AN19,2))</f>
        <v>2.924587</v>
      </c>
      <c r="L19" t="str">
        <f>((M19/1000)*(1000-((T19+S19)/2)))/(T19-S19)</f>
        <v>0.047888</v>
      </c>
      <c r="M19" t="str">
        <f>(AN19*(S19-R19))/(100*U19*(1000-S19))*1000</f>
        <v>1.477574</v>
      </c>
      <c r="N19" t="str">
        <v>1.727558</v>
      </c>
      <c r="O19" t="str">
        <v>1.690844</v>
      </c>
      <c r="P19" t="str">
        <f>0.61365*EXP((17.502*AL19)/(240.97+AL19))</f>
        <v>4.411678</v>
      </c>
      <c r="Q19" t="str">
        <f>P19-N19</f>
        <v>2.684121</v>
      </c>
      <c r="R19" t="str">
        <v>18.774118</v>
      </c>
      <c r="S19" t="str">
        <v>19.181765</v>
      </c>
      <c r="T19" t="str">
        <f>(P19/AM19)*1000</f>
        <v>48.984631</v>
      </c>
      <c r="U19" t="str">
        <f>V19*BG19</f>
        <v>0.441786</v>
      </c>
      <c r="V19" t="str">
        <v>7.500000</v>
      </c>
      <c r="W19" t="str">
        <v>PSF-00438_20251017124822_c79</v>
      </c>
      <c r="X19" t="str">
        <v>0.000000</v>
      </c>
      <c r="Y19" t="str">
        <v>0.000000</v>
      </c>
      <c r="Z19" t="str">
        <v>0.000000</v>
      </c>
      <c r="AA19" t="str">
        <v>197.492844</v>
      </c>
      <c r="AB19" t="str">
        <v>247.307800</v>
      </c>
      <c r="AC19" t="str">
        <v>0.201429</v>
      </c>
      <c r="AD19" t="str">
        <v>0.5</v>
      </c>
      <c r="AE19" t="str">
        <v>0.80</v>
      </c>
      <c r="AF19" t="str">
        <f>AC19*AD19*AE19*AQ19</f>
        <v>37.138107</v>
      </c>
      <c r="AG19" t="str">
        <v>1.000000</v>
      </c>
      <c r="AH19" t="str">
        <v>38.04</v>
      </c>
      <c r="AI19" t="str">
        <v>37.23</v>
      </c>
      <c r="AJ19" t="str">
        <v>31.12</v>
      </c>
      <c r="AK19" t="str">
        <v>30.61</v>
      </c>
      <c r="AL19" t="str">
        <f>(AK19-AJ19)*(AJ19*0+0)+AK19</f>
        <v>30.61</v>
      </c>
      <c r="AM19" t="str">
        <v>90.06</v>
      </c>
      <c r="AN19" t="str">
        <v>157.1</v>
      </c>
      <c r="AO19" t="str">
        <v>157.3</v>
      </c>
      <c r="AP19" t="str">
        <v>-0.1</v>
      </c>
      <c r="AQ19" t="str">
        <v>461</v>
      </c>
      <c r="AR19" t="str">
        <v>4.059</v>
      </c>
      <c r="AS19" t="str">
        <v>12:37:11</v>
      </c>
      <c r="AT19" t="str">
        <v>2025-10-17</v>
      </c>
      <c r="AU19" t="str">
        <v>0.01</v>
      </c>
      <c r="AV19" t="str">
        <v>1</v>
      </c>
      <c r="AW19" t="str">
        <v>0.055</v>
      </c>
      <c r="AX19" t="str">
        <v>0.045</v>
      </c>
      <c r="AY19" t="str">
        <v>0.011</v>
      </c>
      <c r="AZ19" t="str">
        <v>79.541</v>
      </c>
      <c r="BA19" t="str">
        <v>82.000</v>
      </c>
      <c r="BB19" t="str">
        <v>117.544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mpf</v>
      </c>
      <c r="BP19" t="str">
        <v>7000</v>
      </c>
      <c r="BQ19" t="str">
        <v>500</v>
      </c>
      <c r="BR19" t="str">
        <v>5.000000</v>
      </c>
      <c r="BS19" t="str">
        <v>2.000000</v>
      </c>
      <c r="BT19" t="str">
        <v>300</v>
      </c>
      <c r="BU19" t="str">
        <v>300</v>
      </c>
      <c r="BV19" t="str">
        <v>300</v>
      </c>
      <c r="BW19" t="str">
        <v>231.124161</v>
      </c>
      <c r="BX19" t="str">
        <v>25</v>
      </c>
      <c r="BY19" t="str">
        <v>-14.600920</v>
      </c>
      <c r="BZ19" t="str">
        <v>220.328445</v>
      </c>
      <c r="CA19" t="str">
        <v>226.435913</v>
      </c>
      <c r="CB19" t="str">
        <v>-6.107468</v>
      </c>
      <c r="CC19" t="str">
        <v>2.449026</v>
      </c>
      <c r="CD19" t="str">
        <v>2.464134</v>
      </c>
      <c r="CE19" t="str">
        <v>1.658523</v>
      </c>
      <c r="CF19" t="str">
        <v>0.939496</v>
      </c>
      <c r="CG19" t="str">
        <v>0.214032</v>
      </c>
      <c r="CH19" t="str">
        <v>-0.005965</v>
      </c>
      <c r="CI19" t="str">
        <v>0.268724</v>
      </c>
      <c r="CJ19" t="str">
        <v>0.521942</v>
      </c>
      <c r="CK19" t="str">
        <v>197.492844</v>
      </c>
      <c r="CL19" t="str">
        <v>0.000247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PSF-00438_20251017124822_c79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2025-10-05T12:52:38.073Z</v>
      </c>
    </row>
    <row r="20">
      <c r="A20" t="str">
        <v>17</v>
      </c>
      <c r="B20" t="str">
        <v>12:55:31</v>
      </c>
      <c r="C20" t="str">
        <v>2025-10-17</v>
      </c>
      <c r="D20" t="str">
        <v>g34p_light_v2</v>
      </c>
      <c r="E20" t="str">
        <v>mrk</v>
      </c>
      <c r="F20" t="str">
        <v/>
      </c>
      <c r="G20" t="str">
        <v>107</v>
      </c>
      <c r="H20" t="str">
        <v/>
      </c>
      <c r="I20" t="str">
        <v/>
      </c>
      <c r="J20" t="str">
        <f>1/((1/L20)-(1/K20))</f>
        <v>0.008827</v>
      </c>
      <c r="K20" t="str">
        <f>BH20+(BI20*AN20)+(BJ20*AN20*POWER(V20,2))+(BK20*AN20*V20)+(BL20*POWER(AN20,2))</f>
        <v>2.923143</v>
      </c>
      <c r="L20" t="str">
        <f>((M20/1000)*(1000-((T20+S20)/2)))/(T20-S20)</f>
        <v>0.008800</v>
      </c>
      <c r="M20" t="str">
        <f>(AN20*(S20-R20))/(100*U20*(1000-S20))*1000</f>
        <v>0.262371</v>
      </c>
      <c r="N20" t="str">
        <v>1.775227</v>
      </c>
      <c r="O20" t="str">
        <v>1.768704</v>
      </c>
      <c r="P20" t="str">
        <f>0.61365*EXP((17.502*AL20)/(240.97+AL20))</f>
        <v>4.368680</v>
      </c>
      <c r="Q20" t="str">
        <f>P20-N20</f>
        <v>2.593453</v>
      </c>
      <c r="R20" t="str">
        <v>19.639334</v>
      </c>
      <c r="S20" t="str">
        <v>19.711763</v>
      </c>
      <c r="T20" t="str">
        <f>(P20/AM20)*1000</f>
        <v>48.508953</v>
      </c>
      <c r="U20" t="str">
        <f>V20*BG20</f>
        <v>0.441786</v>
      </c>
      <c r="V20" t="str">
        <v>7.500000</v>
      </c>
      <c r="W20" t="str">
        <v>PSF-00438_20251017125531_fb8</v>
      </c>
      <c r="X20" t="str">
        <v>0.000000</v>
      </c>
      <c r="Y20" t="str">
        <v>0.000000</v>
      </c>
      <c r="Z20" t="str">
        <v>0.000000</v>
      </c>
      <c r="AA20" t="str">
        <v>172.757858</v>
      </c>
      <c r="AB20" t="str">
        <v>390.508118</v>
      </c>
      <c r="AC20" t="str">
        <v>0.557608</v>
      </c>
      <c r="AD20" t="str">
        <v>0.5</v>
      </c>
      <c r="AE20" t="str">
        <v>0.80</v>
      </c>
      <c r="AF20" t="str">
        <f>AC20*AD20*AE20*AQ20</f>
        <v>51.998829</v>
      </c>
      <c r="AG20" t="str">
        <v>1.000000</v>
      </c>
      <c r="AH20" t="str">
        <v>38.48</v>
      </c>
      <c r="AI20" t="str">
        <v>38.34</v>
      </c>
      <c r="AJ20" t="str">
        <v>31.39</v>
      </c>
      <c r="AK20" t="str">
        <v>30.44</v>
      </c>
      <c r="AL20" t="str">
        <f>(AK20-AJ20)*(AJ20*0+0)+AK20</f>
        <v>30.44</v>
      </c>
      <c r="AM20" t="str">
        <v>90.06</v>
      </c>
      <c r="AN20" t="str">
        <v>156.9</v>
      </c>
      <c r="AO20" t="str">
        <v>156.0</v>
      </c>
      <c r="AP20" t="str">
        <v>0.5</v>
      </c>
      <c r="AQ20" t="str">
        <v>233</v>
      </c>
      <c r="AR20" t="str">
        <v>4.050</v>
      </c>
      <c r="AS20" t="str">
        <v>12:48:34</v>
      </c>
      <c r="AT20" t="str">
        <v>2025-10-17</v>
      </c>
      <c r="AU20" t="str">
        <v>0.03</v>
      </c>
      <c r="AV20" t="str">
        <v>1</v>
      </c>
      <c r="AW20" t="str">
        <v>-0.074</v>
      </c>
      <c r="AX20" t="str">
        <v>-0.007</v>
      </c>
      <c r="AY20" t="str">
        <v>0.022</v>
      </c>
      <c r="AZ20" t="str">
        <v>129.216</v>
      </c>
      <c r="BA20" t="str">
        <v>70.549</v>
      </c>
      <c r="BB20" t="str">
        <v>34.179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mpf</v>
      </c>
      <c r="BP20" t="str">
        <v>7000</v>
      </c>
      <c r="BQ20" t="str">
        <v>500</v>
      </c>
      <c r="BR20" t="str">
        <v>5.000000</v>
      </c>
      <c r="BS20" t="str">
        <v>2.000000</v>
      </c>
      <c r="BT20" t="str">
        <v>300</v>
      </c>
      <c r="BU20" t="str">
        <v>300</v>
      </c>
      <c r="BV20" t="str">
        <v>300</v>
      </c>
      <c r="BW20" t="str">
        <v>382.753723</v>
      </c>
      <c r="BX20" t="str">
        <v>25</v>
      </c>
      <c r="BY20" t="str">
        <v>-5.507924</v>
      </c>
      <c r="BZ20" t="str">
        <v>381.752014</v>
      </c>
      <c r="CA20" t="str">
        <v>382.634583</v>
      </c>
      <c r="CB20" t="str">
        <v>-0.882568</v>
      </c>
      <c r="CC20" t="str">
        <v>2.450480</v>
      </c>
      <c r="CD20" t="str">
        <v>2.464660</v>
      </c>
      <c r="CE20" t="str">
        <v>1.657004</v>
      </c>
      <c r="CF20" t="str">
        <v>0.936376</v>
      </c>
      <c r="CG20" t="str">
        <v>0.211716</v>
      </c>
      <c r="CH20" t="str">
        <v>-0.011349</v>
      </c>
      <c r="CI20" t="str">
        <v>0.306006</v>
      </c>
      <c r="CJ20" t="str">
        <v>0.317021</v>
      </c>
      <c r="CK20" t="str">
        <v>172.757858</v>
      </c>
      <c r="CL20" t="str">
        <v>0.000243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PSF-00438_20251017125531_fb8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2025-10-05T12:52:38.073Z</v>
      </c>
    </row>
    <row r="21">
      <c r="A21" t="str">
        <v>18</v>
      </c>
      <c r="B21" t="str">
        <v>12:58:14</v>
      </c>
      <c r="C21" t="str">
        <v>2025-10-17</v>
      </c>
      <c r="D21" t="str">
        <v>g34p_light_v2</v>
      </c>
      <c r="E21" t="str">
        <v>mrk</v>
      </c>
      <c r="F21" t="str">
        <v/>
      </c>
      <c r="G21" t="str">
        <v/>
      </c>
      <c r="H21" t="str">
        <v>68100</v>
      </c>
      <c r="I21" t="str">
        <v/>
      </c>
      <c r="J21" t="str">
        <f>1/((1/L21)-(1/K21))</f>
        <v>0.047733</v>
      </c>
      <c r="K21" t="str">
        <f>BH21+(BI21*AN21)+(BJ21*AN21*POWER(V21,2))+(BK21*AN21*V21)+(BL21*POWER(AN21,2))</f>
        <v>2.923193</v>
      </c>
      <c r="L21" t="str">
        <f>((M21/1000)*(1000-((T21+S21)/2)))/(T21-S21)</f>
        <v>0.046966</v>
      </c>
      <c r="M21" t="str">
        <f>(AN21*(S21-R21))/(100*U21*(1000-S21))*1000</f>
        <v>1.010551</v>
      </c>
      <c r="N21" t="str">
        <v>1.787404</v>
      </c>
      <c r="O21" t="str">
        <v>1.762288</v>
      </c>
      <c r="P21" t="str">
        <f>0.61365*EXP((17.502*AL21)/(240.97+AL21))</f>
        <v>3.666278</v>
      </c>
      <c r="Q21" t="str">
        <f>P21-N21</f>
        <v>1.878874</v>
      </c>
      <c r="R21" t="str">
        <v>19.570322</v>
      </c>
      <c r="S21" t="str">
        <v>19.849241</v>
      </c>
      <c r="T21" t="str">
        <f>(P21/AM21)*1000</f>
        <v>40.714256</v>
      </c>
      <c r="U21" t="str">
        <f>V21*BG21</f>
        <v>0.441786</v>
      </c>
      <c r="V21" t="str">
        <v>7.500000</v>
      </c>
      <c r="W21" t="str">
        <v>PSF-00438_20251017125814_f18</v>
      </c>
      <c r="X21" t="str">
        <v>0.000000</v>
      </c>
      <c r="Y21" t="str">
        <v>0.000000</v>
      </c>
      <c r="Z21" t="str">
        <v>0.000000</v>
      </c>
      <c r="AA21" t="str">
        <v>195.370316</v>
      </c>
      <c r="AB21" t="str">
        <v>453.899475</v>
      </c>
      <c r="AC21" t="str">
        <v>0.569574</v>
      </c>
      <c r="AD21" t="str">
        <v>0.5</v>
      </c>
      <c r="AE21" t="str">
        <v>0.80</v>
      </c>
      <c r="AF21" t="str">
        <f>AC21*AD21*AE21*AQ21</f>
        <v>76.176483</v>
      </c>
      <c r="AG21" t="str">
        <v>1.000000</v>
      </c>
      <c r="AH21" t="str">
        <v>38.83</v>
      </c>
      <c r="AI21" t="str">
        <v>38.29</v>
      </c>
      <c r="AJ21" t="str">
        <v>31.35</v>
      </c>
      <c r="AK21" t="str">
        <v>27.41</v>
      </c>
      <c r="AL21" t="str">
        <f>(AK21-AJ21)*(AJ21*0+0)+AK21</f>
        <v>27.41</v>
      </c>
      <c r="AM21" t="str">
        <v>90.05</v>
      </c>
      <c r="AN21" t="str">
        <v>156.9</v>
      </c>
      <c r="AO21" t="str">
        <v>156.5</v>
      </c>
      <c r="AP21" t="str">
        <v>0.3</v>
      </c>
      <c r="AQ21" t="str">
        <v>334</v>
      </c>
      <c r="AR21" t="str">
        <v>4.041</v>
      </c>
      <c r="AS21" t="str">
        <v>12:48:34</v>
      </c>
      <c r="AT21" t="str">
        <v>2025-10-17</v>
      </c>
      <c r="AU21" t="str">
        <v>0.03</v>
      </c>
      <c r="AV21" t="str">
        <v>1</v>
      </c>
      <c r="AW21" t="str">
        <v>-0.079</v>
      </c>
      <c r="AX21" t="str">
        <v>-0.008</v>
      </c>
      <c r="AY21" t="str">
        <v>0.036</v>
      </c>
      <c r="AZ21" t="str">
        <v>91.250</v>
      </c>
      <c r="BA21" t="str">
        <v>138.495</v>
      </c>
      <c r="BB21" t="str">
        <v>69.035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mpf</v>
      </c>
      <c r="BP21" t="str">
        <v>7000</v>
      </c>
      <c r="BQ21" t="str">
        <v>500</v>
      </c>
      <c r="BR21" t="str">
        <v>5.000000</v>
      </c>
      <c r="BS21" t="str">
        <v>2.000000</v>
      </c>
      <c r="BT21" t="str">
        <v>300</v>
      </c>
      <c r="BU21" t="str">
        <v>300</v>
      </c>
      <c r="BV21" t="str">
        <v>300</v>
      </c>
      <c r="BW21" t="str">
        <v>447.028748</v>
      </c>
      <c r="BX21" t="str">
        <v>25</v>
      </c>
      <c r="BY21" t="str">
        <v>-4.910109</v>
      </c>
      <c r="BZ21" t="str">
        <v>447.571625</v>
      </c>
      <c r="CA21" t="str">
        <v>446.880524</v>
      </c>
      <c r="CB21" t="str">
        <v>0.691101</v>
      </c>
      <c r="CC21" t="str">
        <v>2.450424</v>
      </c>
      <c r="CD21" t="str">
        <v>2.465158</v>
      </c>
      <c r="CE21" t="str">
        <v>1.657056</v>
      </c>
      <c r="CF21" t="str">
        <v>0.937417</v>
      </c>
      <c r="CG21" t="str">
        <v>0.212066</v>
      </c>
      <c r="CH21" t="str">
        <v>-0.046392</v>
      </c>
      <c r="CI21" t="str">
        <v>0.319081</v>
      </c>
      <c r="CJ21" t="str">
        <v>0.408078</v>
      </c>
      <c r="CK21" t="str">
        <v>193.089371</v>
      </c>
      <c r="CL21" t="str">
        <v>0.000243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PSF-00438_20251017125814_f18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2025-10-05T12:52:38.073Z</v>
      </c>
    </row>
  </sheetData>
  <ignoredErrors>
    <ignoredError numberStoredAsText="1" sqref="A1:D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g34p_light_v2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