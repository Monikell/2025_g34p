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62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12:21:53</v>
      </c>
      <c r="C4" t="str">
        <v>2025-10-16</v>
      </c>
      <c r="D4" t="str">
        <v>g34p_light_v2</v>
      </c>
      <c r="E4" t="str">
        <v>mrk</v>
      </c>
      <c r="F4" t="str">
        <v/>
      </c>
      <c r="G4" t="str">
        <v>168</v>
      </c>
      <c r="H4" t="str">
        <v/>
      </c>
      <c r="I4" t="str">
        <v/>
      </c>
      <c r="J4" t="str">
        <f>1/((1/L4)-(1/K4))</f>
        <v>0.011797</v>
      </c>
      <c r="K4" t="str">
        <f>BH4+(BI4*AN4)+(BJ4*AN4*POWER(V4,2))+(BK4*AN4*V4)+(BL4*POWER(AN4,2))</f>
        <v>2.922868</v>
      </c>
      <c r="L4" t="str">
        <f>((M4/1000)*(1000-((T4+S4)/2)))/(T4-S4)</f>
        <v>0.011749</v>
      </c>
      <c r="M4" t="str">
        <f>(AN4*(S4-R4))/(100*U4*(1000-S4))*1000</f>
        <v>0.228973</v>
      </c>
      <c r="N4" t="str">
        <v>1.513619</v>
      </c>
      <c r="O4" t="str">
        <v>1.507901</v>
      </c>
      <c r="P4" t="str">
        <f>0.61365*EXP((17.502*AL4)/(240.97+AL4))</f>
        <v>3.224715</v>
      </c>
      <c r="Q4" t="str">
        <f>P4-N4</f>
        <v>1.711097</v>
      </c>
      <c r="R4" t="str">
        <v>16.722496</v>
      </c>
      <c r="S4" t="str">
        <v>16.785908</v>
      </c>
      <c r="T4" t="str">
        <f>(P4/AM4)*1000</f>
        <v>35.761829</v>
      </c>
      <c r="U4" t="str">
        <f>V4*BG4</f>
        <v>0.441786</v>
      </c>
      <c r="V4" t="str">
        <v>7.500000</v>
      </c>
      <c r="W4" t="str">
        <v>PSF-00438_20251016122153_645</v>
      </c>
      <c r="X4" t="str">
        <v>0.000000</v>
      </c>
      <c r="Y4" t="str">
        <v>0.000000</v>
      </c>
      <c r="Z4" t="str">
        <v>0.000000</v>
      </c>
      <c r="AA4" t="str">
        <v>128.579025</v>
      </c>
      <c r="AB4" t="str">
        <v>529.057129</v>
      </c>
      <c r="AC4" t="str">
        <v>0.756966</v>
      </c>
      <c r="AD4" t="str">
        <v>0.5</v>
      </c>
      <c r="AE4" t="str">
        <v>0.80</v>
      </c>
      <c r="AF4" t="str">
        <f>AC4*AD4*AE4*AQ4</f>
        <v>12.816800</v>
      </c>
      <c r="AG4" t="str">
        <v>1.000000</v>
      </c>
      <c r="AH4" t="str">
        <v>50.23</v>
      </c>
      <c r="AI4" t="str">
        <v>50.04</v>
      </c>
      <c r="AJ4" t="str">
        <v>24.10</v>
      </c>
      <c r="AK4" t="str">
        <v>25.24</v>
      </c>
      <c r="AL4" t="str">
        <f>(AK4-AJ4)*(AJ4*0+0)+AK4</f>
        <v>25.24</v>
      </c>
      <c r="AM4" t="str">
        <v>90.17</v>
      </c>
      <c r="AN4" t="str">
        <v>156.8</v>
      </c>
      <c r="AO4" t="str">
        <v>149.9</v>
      </c>
      <c r="AP4" t="str">
        <v>4.4</v>
      </c>
      <c r="AQ4" t="str">
        <v>42</v>
      </c>
      <c r="AR4" t="str">
        <v>4.114</v>
      </c>
      <c r="AS4" t="str">
        <v>12:21:33</v>
      </c>
      <c r="AT4" t="str">
        <v>2025-10-16</v>
      </c>
      <c r="AU4" t="str">
        <v>-0.31</v>
      </c>
      <c r="AV4" t="str">
        <v>1</v>
      </c>
      <c r="AW4" t="str">
        <v>0.000</v>
      </c>
      <c r="AX4" t="str">
        <v>-0.010</v>
      </c>
      <c r="AY4" t="str">
        <v>-0.500</v>
      </c>
      <c r="AZ4" t="str">
        <v>5.230</v>
      </c>
      <c r="BA4" t="str">
        <v>1.088</v>
      </c>
      <c r="BB4" t="str">
        <v>52.221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529.057129</v>
      </c>
      <c r="BX4" t="str">
        <v>25</v>
      </c>
      <c r="BY4" t="str">
        <v>7.574762</v>
      </c>
      <c r="BZ4" t="str">
        <v>533.185974</v>
      </c>
      <c r="CA4" t="str">
        <v>539.885193</v>
      </c>
      <c r="CB4" t="str">
        <v>-6.699219</v>
      </c>
      <c r="CC4" t="str">
        <v>2.467802</v>
      </c>
      <c r="CD4" t="str">
        <v>2.482681</v>
      </c>
      <c r="CE4" t="str">
        <v>1.656715</v>
      </c>
      <c r="CF4" t="str">
        <v>0.920773</v>
      </c>
      <c r="CG4" t="str">
        <v>0.282693</v>
      </c>
      <c r="CH4" t="str">
        <v>0.013367</v>
      </c>
      <c r="CI4" t="str">
        <v>0.038496</v>
      </c>
      <c r="CJ4" t="str">
        <v>0.145379</v>
      </c>
      <c r="CK4" t="str">
        <v>128.579025</v>
      </c>
      <c r="CL4" t="str">
        <v>0.000237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PSF-00438_20251016122153_645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12:23:47</v>
      </c>
      <c r="C5" t="str">
        <v>2025-10-16</v>
      </c>
      <c r="D5" t="str">
        <v>g34p_light_v2</v>
      </c>
      <c r="E5" t="str">
        <v>mrk</v>
      </c>
      <c r="F5" t="str">
        <v/>
      </c>
      <c r="G5" t="str">
        <v>190</v>
      </c>
      <c r="H5" t="str">
        <v/>
      </c>
      <c r="I5" t="str">
        <v/>
      </c>
      <c r="J5" t="str">
        <f>1/((1/L5)-(1/K5))</f>
        <v>0.109963</v>
      </c>
      <c r="K5" t="str">
        <f>BH5+(BI5*AN5)+(BJ5*AN5*POWER(V5,2))+(BK5*AN5*V5)+(BL5*POWER(AN5,2))</f>
        <v>2.921582</v>
      </c>
      <c r="L5" t="str">
        <f>((M5/1000)*(1000-((T5+S5)/2)))/(T5-S5)</f>
        <v>0.105974</v>
      </c>
      <c r="M5" t="str">
        <f>(AN5*(S5-R5))/(100*U5*(1000-S5))*1000</f>
        <v>1.747485</v>
      </c>
      <c r="N5" t="str">
        <v>1.654508</v>
      </c>
      <c r="O5" t="str">
        <v>1.610907</v>
      </c>
      <c r="P5" t="str">
        <f>0.61365*EXP((17.502*AL5)/(240.97+AL5))</f>
        <v>3.101779</v>
      </c>
      <c r="Q5" t="str">
        <f>P5-N5</f>
        <v>1.447270</v>
      </c>
      <c r="R5" t="str">
        <v>17.869932</v>
      </c>
      <c r="S5" t="str">
        <v>18.353601</v>
      </c>
      <c r="T5" t="str">
        <f>(P5/AM5)*1000</f>
        <v>34.408295</v>
      </c>
      <c r="U5" t="str">
        <f>V5*BG5</f>
        <v>0.441786</v>
      </c>
      <c r="V5" t="str">
        <v>7.500000</v>
      </c>
      <c r="W5" t="str">
        <v>PSF-00438_20251016122347_b41</v>
      </c>
      <c r="X5" t="str">
        <v>0.000000</v>
      </c>
      <c r="Y5" t="str">
        <v>0.000000</v>
      </c>
      <c r="Z5" t="str">
        <v>0.000000</v>
      </c>
      <c r="AA5" t="str">
        <v>152.253265</v>
      </c>
      <c r="AB5" t="str">
        <v>490.893707</v>
      </c>
      <c r="AC5" t="str">
        <v>0.689845</v>
      </c>
      <c r="AD5" t="str">
        <v>0.5</v>
      </c>
      <c r="AE5" t="str">
        <v>0.80</v>
      </c>
      <c r="AF5" t="str">
        <f>AC5*AD5*AE5*AQ5</f>
        <v>52.466625</v>
      </c>
      <c r="AG5" t="str">
        <v>1.000000</v>
      </c>
      <c r="AH5" t="str">
        <v>53.42</v>
      </c>
      <c r="AI5" t="str">
        <v>52.01</v>
      </c>
      <c r="AJ5" t="str">
        <v>24.56</v>
      </c>
      <c r="AK5" t="str">
        <v>24.58</v>
      </c>
      <c r="AL5" t="str">
        <f>(AK5-AJ5)*(AJ5*0+0)+AK5</f>
        <v>24.58</v>
      </c>
      <c r="AM5" t="str">
        <v>90.15</v>
      </c>
      <c r="AN5" t="str">
        <v>156.7</v>
      </c>
      <c r="AO5" t="str">
        <v>158.1</v>
      </c>
      <c r="AP5" t="str">
        <v>-0.9</v>
      </c>
      <c r="AQ5" t="str">
        <v>190</v>
      </c>
      <c r="AR5" t="str">
        <v>4.083</v>
      </c>
      <c r="AS5" t="str">
        <v>12:21:33</v>
      </c>
      <c r="AT5" t="str">
        <v>2025-10-16</v>
      </c>
      <c r="AU5" t="str">
        <v>-0.31</v>
      </c>
      <c r="AV5" t="str">
        <v>1</v>
      </c>
      <c r="AW5" t="str">
        <v>-0.042</v>
      </c>
      <c r="AX5" t="str">
        <v>-0.033</v>
      </c>
      <c r="AY5" t="str">
        <v>-0.015</v>
      </c>
      <c r="AZ5" t="str">
        <v>87.334</v>
      </c>
      <c r="BA5" t="str">
        <v>40.743</v>
      </c>
      <c r="BB5" t="str">
        <v>64.581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488.021484</v>
      </c>
      <c r="BX5" t="str">
        <v>25</v>
      </c>
      <c r="BY5" t="str">
        <v>-2.318358</v>
      </c>
      <c r="BZ5" t="str">
        <v>486.759796</v>
      </c>
      <c r="CA5" t="str">
        <v>487.579620</v>
      </c>
      <c r="CB5" t="str">
        <v>-0.819824</v>
      </c>
      <c r="CC5" t="str">
        <v>2.470298</v>
      </c>
      <c r="CD5" t="str">
        <v>2.486813</v>
      </c>
      <c r="CE5" t="str">
        <v>1.655366</v>
      </c>
      <c r="CF5" t="str">
        <v>0.941742</v>
      </c>
      <c r="CG5" t="str">
        <v>0.277559</v>
      </c>
      <c r="CH5" t="str">
        <v>0.000714</v>
      </c>
      <c r="CI5" t="str">
        <v>0.053701</v>
      </c>
      <c r="CJ5" t="str">
        <v>0.278344</v>
      </c>
      <c r="CK5" t="str">
        <v>145.593170</v>
      </c>
      <c r="CL5" t="str">
        <v>0.000241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PSF-00438_20251016122347_b41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12:28:11</v>
      </c>
      <c r="C6" t="str">
        <v>2025-10-16</v>
      </c>
      <c r="D6" t="str">
        <v>g34p_light_v2</v>
      </c>
      <c r="E6" t="str">
        <v>mrk</v>
      </c>
      <c r="F6" t="str">
        <v/>
      </c>
      <c r="G6" t="str">
        <v>167</v>
      </c>
      <c r="H6" t="str">
        <v/>
      </c>
      <c r="I6" t="str">
        <v/>
      </c>
      <c r="J6" t="str">
        <f>1/((1/L6)-(1/K6))</f>
        <v>0.022505</v>
      </c>
      <c r="K6" t="str">
        <f>BH6+(BI6*AN6)+(BJ6*AN6*POWER(V6,2))+(BK6*AN6*V6)+(BL6*POWER(AN6,2))</f>
        <v>2.922099</v>
      </c>
      <c r="L6" t="str">
        <f>((M6/1000)*(1000-((T6+S6)/2)))/(T6-S6)</f>
        <v>0.022333</v>
      </c>
      <c r="M6" t="str">
        <f>(AN6*(S6-R6))/(100*U6*(1000-S6))*1000</f>
        <v>0.370076</v>
      </c>
      <c r="N6" t="str">
        <v>1.722544</v>
      </c>
      <c r="O6" t="str">
        <v>1.713318</v>
      </c>
      <c r="P6" t="str">
        <f>0.61365*EXP((17.502*AL6)/(240.97+AL6))</f>
        <v>3.176185</v>
      </c>
      <c r="Q6" t="str">
        <f>P6-N6</f>
        <v>1.453641</v>
      </c>
      <c r="R6" t="str">
        <v>19.000189</v>
      </c>
      <c r="S6" t="str">
        <v>19.102499</v>
      </c>
      <c r="T6" t="str">
        <f>(P6/AM6)*1000</f>
        <v>35.222942</v>
      </c>
      <c r="U6" t="str">
        <f>V6*BG6</f>
        <v>0.441786</v>
      </c>
      <c r="V6" t="str">
        <v>7.500000</v>
      </c>
      <c r="W6" t="str">
        <v>PSF-00438_20251016122811_f93</v>
      </c>
      <c r="X6" t="str">
        <v>0.000000</v>
      </c>
      <c r="Y6" t="str">
        <v>0.000000</v>
      </c>
      <c r="Z6" t="str">
        <v>0.000000</v>
      </c>
      <c r="AA6" t="str">
        <v>139.089340</v>
      </c>
      <c r="AB6" t="str">
        <v>523.998718</v>
      </c>
      <c r="AC6" t="str">
        <v>0.734562</v>
      </c>
      <c r="AD6" t="str">
        <v>0.5</v>
      </c>
      <c r="AE6" t="str">
        <v>0.80</v>
      </c>
      <c r="AF6" t="str">
        <f>AC6*AD6*AE6*AQ6</f>
        <v>17.561861</v>
      </c>
      <c r="AG6" t="str">
        <v>1.000000</v>
      </c>
      <c r="AH6" t="str">
        <v>51.69</v>
      </c>
      <c r="AI6" t="str">
        <v>51.42</v>
      </c>
      <c r="AJ6" t="str">
        <v>25.79</v>
      </c>
      <c r="AK6" t="str">
        <v>24.98</v>
      </c>
      <c r="AL6" t="str">
        <f>(AK6-AJ6)*(AJ6*0+0)+AK6</f>
        <v>24.98</v>
      </c>
      <c r="AM6" t="str">
        <v>90.17</v>
      </c>
      <c r="AN6" t="str">
        <v>156.8</v>
      </c>
      <c r="AO6" t="str">
        <v>157.8</v>
      </c>
      <c r="AP6" t="str">
        <v>-0.7</v>
      </c>
      <c r="AQ6" t="str">
        <v>60</v>
      </c>
      <c r="AR6" t="str">
        <v>4.101</v>
      </c>
      <c r="AS6" t="str">
        <v>12:21:33</v>
      </c>
      <c r="AT6" t="str">
        <v>2025-10-16</v>
      </c>
      <c r="AU6" t="str">
        <v>-0.31</v>
      </c>
      <c r="AV6" t="str">
        <v>1</v>
      </c>
      <c r="AW6" t="str">
        <v>-0.001</v>
      </c>
      <c r="AX6" t="str">
        <v>-0.004</v>
      </c>
      <c r="AY6" t="str">
        <v>-0.140</v>
      </c>
      <c r="AZ6" t="str">
        <v>-0.467</v>
      </c>
      <c r="BA6" t="str">
        <v>-0.622</v>
      </c>
      <c r="BB6" t="str">
        <v>70.402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522.771118</v>
      </c>
      <c r="BX6" t="str">
        <v>25</v>
      </c>
      <c r="BY6" t="str">
        <v>-0.557718</v>
      </c>
      <c r="BZ6" t="str">
        <v>521.936035</v>
      </c>
      <c r="CA6" t="str">
        <v>523.201477</v>
      </c>
      <c r="CB6" t="str">
        <v>-1.265442</v>
      </c>
      <c r="CC6" t="str">
        <v>2.469217</v>
      </c>
      <c r="CD6" t="str">
        <v>2.484214</v>
      </c>
      <c r="CE6" t="str">
        <v>1.655909</v>
      </c>
      <c r="CF6" t="str">
        <v>0.940988</v>
      </c>
      <c r="CG6" t="str">
        <v>0.264294</v>
      </c>
      <c r="CH6" t="str">
        <v>-0.008840</v>
      </c>
      <c r="CI6" t="str">
        <v>0.089348</v>
      </c>
      <c r="CJ6" t="str">
        <v>0.161068</v>
      </c>
      <c r="CK6" t="str">
        <v>138.087982</v>
      </c>
      <c r="CL6" t="str">
        <v>0.000241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PSF-00438_20251016122811_f93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12:31:58</v>
      </c>
      <c r="C7" t="str">
        <v>2025-10-16</v>
      </c>
      <c r="D7" t="str">
        <v>g34p_light_v2</v>
      </c>
      <c r="E7" t="str">
        <v>mrk</v>
      </c>
      <c r="F7" t="str">
        <v/>
      </c>
      <c r="G7" t="str">
        <v>178</v>
      </c>
      <c r="H7" t="str">
        <v>67114</v>
      </c>
      <c r="I7" t="str">
        <v/>
      </c>
      <c r="J7" t="str">
        <f>1/((1/L7)-(1/K7))</f>
        <v>0.016831</v>
      </c>
      <c r="K7" t="str">
        <f>BH7+(BI7*AN7)+(BJ7*AN7*POWER(V7,2))+(BK7*AN7*V7)+(BL7*POWER(AN7,2))</f>
        <v>2.922671</v>
      </c>
      <c r="L7" t="str">
        <f>((M7/1000)*(1000-((T7+S7)/2)))/(T7-S7)</f>
        <v>0.016735</v>
      </c>
      <c r="M7" t="str">
        <f>(AN7*(S7-R7))/(100*U7*(1000-S7))*1000</f>
        <v>0.359846</v>
      </c>
      <c r="N7" t="str">
        <v>1.757838</v>
      </c>
      <c r="O7" t="str">
        <v>1.748877</v>
      </c>
      <c r="P7" t="str">
        <f>0.61365*EXP((17.502*AL7)/(240.97+AL7))</f>
        <v>3.638428</v>
      </c>
      <c r="Q7" t="str">
        <f>P7-N7</f>
        <v>1.880590</v>
      </c>
      <c r="R7" t="str">
        <v>19.398718</v>
      </c>
      <c r="S7" t="str">
        <v>19.498114</v>
      </c>
      <c r="T7" t="str">
        <f>(P7/AM7)*1000</f>
        <v>40.357811</v>
      </c>
      <c r="U7" t="str">
        <f>V7*BG7</f>
        <v>0.441786</v>
      </c>
      <c r="V7" t="str">
        <v>7.500000</v>
      </c>
      <c r="W7" t="str">
        <v>PSF-00438_20251016123158_d5b</v>
      </c>
      <c r="X7" t="str">
        <v>0.000000</v>
      </c>
      <c r="Y7" t="str">
        <v>0.000000</v>
      </c>
      <c r="Z7" t="str">
        <v>0.000000</v>
      </c>
      <c r="AA7" t="str">
        <v>184.639328</v>
      </c>
      <c r="AB7" t="str">
        <v>271.117493</v>
      </c>
      <c r="AC7" t="str">
        <v>0.318969</v>
      </c>
      <c r="AD7" t="str">
        <v>0.5</v>
      </c>
      <c r="AE7" t="str">
        <v>0.80</v>
      </c>
      <c r="AF7" t="str">
        <f>AC7*AD7*AE7*AQ7</f>
        <v>7.637822</v>
      </c>
      <c r="AG7" t="str">
        <v>1.000000</v>
      </c>
      <c r="AH7" t="str">
        <v>49.89</v>
      </c>
      <c r="AI7" t="str">
        <v>49.64</v>
      </c>
      <c r="AJ7" t="str">
        <v>26.73</v>
      </c>
      <c r="AK7" t="str">
        <v>27.28</v>
      </c>
      <c r="AL7" t="str">
        <f>(AK7-AJ7)*(AJ7*0+0)+AK7</f>
        <v>27.28</v>
      </c>
      <c r="AM7" t="str">
        <v>90.15</v>
      </c>
      <c r="AN7" t="str">
        <v>156.8</v>
      </c>
      <c r="AO7" t="str">
        <v>-14.8</v>
      </c>
      <c r="AP7" t="str">
        <v>109.4</v>
      </c>
      <c r="AQ7" t="str">
        <v>60</v>
      </c>
      <c r="AR7" t="str">
        <v>4.094</v>
      </c>
      <c r="AS7" t="str">
        <v>12:21:33</v>
      </c>
      <c r="AT7" t="str">
        <v>2025-10-16</v>
      </c>
      <c r="AU7" t="str">
        <v>-0.31</v>
      </c>
      <c r="AV7" t="str">
        <v>1</v>
      </c>
      <c r="AW7" t="str">
        <v>-0.010</v>
      </c>
      <c r="AX7" t="str">
        <v>-0.030</v>
      </c>
      <c r="AY7" t="str">
        <v>-0.043</v>
      </c>
      <c r="AZ7" t="str">
        <v>30.372</v>
      </c>
      <c r="BA7" t="str">
        <v>117.037</v>
      </c>
      <c r="BB7" t="str">
        <v>58.822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271.010406</v>
      </c>
      <c r="BX7" t="str">
        <v>25</v>
      </c>
      <c r="BY7" t="str">
        <v>-0.315311</v>
      </c>
      <c r="BZ7" t="str">
        <v>269.880646</v>
      </c>
      <c r="CA7" t="str">
        <v>270.666748</v>
      </c>
      <c r="CB7" t="str">
        <v>-0.786102</v>
      </c>
      <c r="CC7" t="str">
        <v>2.466638</v>
      </c>
      <c r="CD7" t="str">
        <v>2.481580</v>
      </c>
      <c r="CE7" t="str">
        <v>1.656509</v>
      </c>
      <c r="CF7" t="str">
        <v>0.575063</v>
      </c>
      <c r="CG7" t="str">
        <v>0.254546</v>
      </c>
      <c r="CH7" t="str">
        <v>0.006653</v>
      </c>
      <c r="CI7" t="str">
        <v>0.118063</v>
      </c>
      <c r="CJ7" t="str">
        <v>0.161152</v>
      </c>
      <c r="CK7" t="str">
        <v>184.039948</v>
      </c>
      <c r="CL7" t="str">
        <v>0.000241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PSF-00438_20251016123158_d5b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5</v>
      </c>
      <c r="B8" t="str">
        <v>12:34:51</v>
      </c>
      <c r="C8" t="str">
        <v>2025-10-16</v>
      </c>
      <c r="D8" t="str">
        <v>g34p_light_v2</v>
      </c>
      <c r="E8" t="str">
        <v>mrk</v>
      </c>
      <c r="F8" t="str">
        <v/>
      </c>
      <c r="G8" t="str">
        <v>186</v>
      </c>
      <c r="H8" t="str">
        <v/>
      </c>
      <c r="I8" t="str">
        <v/>
      </c>
      <c r="J8" t="str">
        <f>1/((1/L8)-(1/K8))</f>
        <v>0.046515</v>
      </c>
      <c r="K8" t="str">
        <f>BH8+(BI8*AN8)+(BJ8*AN8*POWER(V8,2))+(BK8*AN8*V8)+(BL8*POWER(AN8,2))</f>
        <v>2.921764</v>
      </c>
      <c r="L8" t="str">
        <f>((M8/1000)*(1000-((T8+S8)/2)))/(T8-S8)</f>
        <v>0.045786</v>
      </c>
      <c r="M8" t="str">
        <f>(AN8*(S8-R8))/(100*U8*(1000-S8))*1000</f>
        <v>1.058483</v>
      </c>
      <c r="N8" t="str">
        <v>1.822462</v>
      </c>
      <c r="O8" t="str">
        <v>1.796101</v>
      </c>
      <c r="P8" t="str">
        <f>0.61365*EXP((17.502*AL8)/(240.97+AL8))</f>
        <v>3.841410</v>
      </c>
      <c r="Q8" t="str">
        <f>P8-N8</f>
        <v>2.018948</v>
      </c>
      <c r="R8" t="str">
        <v>19.920435</v>
      </c>
      <c r="S8" t="str">
        <v>20.212805</v>
      </c>
      <c r="T8" t="str">
        <f>(P8/AM8)*1000</f>
        <v>42.604820</v>
      </c>
      <c r="U8" t="str">
        <f>V8*BG8</f>
        <v>0.441786</v>
      </c>
      <c r="V8" t="str">
        <v>7.500000</v>
      </c>
      <c r="W8" t="str">
        <v>PSF-00438_20251016123451_85a</v>
      </c>
      <c r="X8" t="str">
        <v>0.000000</v>
      </c>
      <c r="Y8" t="str">
        <v>0.000000</v>
      </c>
      <c r="Z8" t="str">
        <v>0.000000</v>
      </c>
      <c r="AA8" t="str">
        <v>77.771904</v>
      </c>
      <c r="AB8" t="str">
        <v>125.272797</v>
      </c>
      <c r="AC8" t="str">
        <v>0.379180</v>
      </c>
      <c r="AD8" t="str">
        <v>0.5</v>
      </c>
      <c r="AE8" t="str">
        <v>0.80</v>
      </c>
      <c r="AF8" t="str">
        <f>AC8*AD8*AE8*AQ8</f>
        <v>8.711760</v>
      </c>
      <c r="AG8" t="str">
        <v>1.000000</v>
      </c>
      <c r="AH8" t="str">
        <v>50.05</v>
      </c>
      <c r="AI8" t="str">
        <v>49.33</v>
      </c>
      <c r="AJ8" t="str">
        <v>27.29</v>
      </c>
      <c r="AK8" t="str">
        <v>28.21</v>
      </c>
      <c r="AL8" t="str">
        <f>(AK8-AJ8)*(AJ8*0+0)+AK8</f>
        <v>28.21</v>
      </c>
      <c r="AM8" t="str">
        <v>90.16</v>
      </c>
      <c r="AN8" t="str">
        <v>156.7</v>
      </c>
      <c r="AO8" t="str">
        <v>-18.8</v>
      </c>
      <c r="AP8" t="str">
        <v>112.0</v>
      </c>
      <c r="AQ8" t="str">
        <v>57</v>
      </c>
      <c r="AR8" t="str">
        <v>4.091</v>
      </c>
      <c r="AS8" t="str">
        <v>12:32:11</v>
      </c>
      <c r="AT8" t="str">
        <v>2025-10-16</v>
      </c>
      <c r="AU8" t="str">
        <v>-0.05</v>
      </c>
      <c r="AV8" t="str">
        <v>1</v>
      </c>
      <c r="AW8" t="str">
        <v>-0.012</v>
      </c>
      <c r="AX8" t="str">
        <v>-0.011</v>
      </c>
      <c r="AY8" t="str">
        <v>0.007</v>
      </c>
      <c r="AZ8" t="str">
        <v>41.705</v>
      </c>
      <c r="BA8" t="str">
        <v>-17.779</v>
      </c>
      <c r="BB8" t="str">
        <v>60.643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124.485252</v>
      </c>
      <c r="BX8" t="str">
        <v>25</v>
      </c>
      <c r="BY8" t="str">
        <v>-0.740891</v>
      </c>
      <c r="BZ8" t="str">
        <v>123.605492</v>
      </c>
      <c r="CA8" t="str">
        <v>124.213699</v>
      </c>
      <c r="CB8" t="str">
        <v>-0.608208</v>
      </c>
      <c r="CC8" t="str">
        <v>2.466100</v>
      </c>
      <c r="CD8" t="str">
        <v>2.481328</v>
      </c>
      <c r="CE8" t="str">
        <v>1.655558</v>
      </c>
      <c r="CF8" t="str">
        <v>0.568185</v>
      </c>
      <c r="CG8" t="str">
        <v>0.248953</v>
      </c>
      <c r="CH8" t="str">
        <v>0.010992</v>
      </c>
      <c r="CI8" t="str">
        <v>0.138828</v>
      </c>
      <c r="CJ8" t="str">
        <v>0.158971</v>
      </c>
      <c r="CK8" t="str">
        <v>77.771904</v>
      </c>
      <c r="CL8" t="str">
        <v>0.000244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PSF-00438_20251016123451_85a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6</v>
      </c>
      <c r="B9" t="str">
        <v>12:38:30</v>
      </c>
      <c r="C9" t="str">
        <v>2025-10-16</v>
      </c>
      <c r="D9" t="str">
        <v>g34p_light_v2</v>
      </c>
      <c r="E9" t="str">
        <v>mrk</v>
      </c>
      <c r="F9" t="str">
        <v/>
      </c>
      <c r="G9" t="str">
        <v>181</v>
      </c>
      <c r="H9" t="str">
        <v>65845</v>
      </c>
      <c r="I9" t="str">
        <v/>
      </c>
      <c r="J9" t="str">
        <f>1/((1/L9)-(1/K9))</f>
        <v>0.032995</v>
      </c>
      <c r="K9" t="str">
        <f>BH9+(BI9*AN9)+(BJ9*AN9*POWER(V9,2))+(BK9*AN9*V9)+(BL9*POWER(AN9,2))</f>
        <v>2.921689</v>
      </c>
      <c r="L9" t="str">
        <f>((M9/1000)*(1000-((T9+S9)/2)))/(T9-S9)</f>
        <v>0.032627</v>
      </c>
      <c r="M9" t="str">
        <f>(AN9*(S9-R9))/(100*U9*(1000-S9))*1000</f>
        <v>0.682096</v>
      </c>
      <c r="N9" t="str">
        <v>1.834237</v>
      </c>
      <c r="O9" t="str">
        <v>1.817252</v>
      </c>
      <c r="P9" t="str">
        <f>0.61365*EXP((17.502*AL9)/(240.97+AL9))</f>
        <v>3.661564</v>
      </c>
      <c r="Q9" t="str">
        <f>P9-N9</f>
        <v>1.827328</v>
      </c>
      <c r="R9" t="str">
        <v>20.157032</v>
      </c>
      <c r="S9" t="str">
        <v>20.345423</v>
      </c>
      <c r="T9" t="str">
        <f>(P9/AM9)*1000</f>
        <v>40.614216</v>
      </c>
      <c r="U9" t="str">
        <f>V9*BG9</f>
        <v>0.441786</v>
      </c>
      <c r="V9" t="str">
        <v>7.500000</v>
      </c>
      <c r="W9" t="str">
        <v>PSF-00438_20251016123830_5f2</v>
      </c>
      <c r="X9" t="str">
        <v>0.000000</v>
      </c>
      <c r="Y9" t="str">
        <v>0.000000</v>
      </c>
      <c r="Z9" t="str">
        <v>0.000000</v>
      </c>
      <c r="AA9" t="str">
        <v>199.865692</v>
      </c>
      <c r="AB9" t="str">
        <v>550.279175</v>
      </c>
      <c r="AC9" t="str">
        <v>0.636792</v>
      </c>
      <c r="AD9" t="str">
        <v>0.5</v>
      </c>
      <c r="AE9" t="str">
        <v>0.80</v>
      </c>
      <c r="AF9" t="str">
        <f>AC9*AD9*AE9*AQ9</f>
        <v>14.767591</v>
      </c>
      <c r="AG9" t="str">
        <v>1.000000</v>
      </c>
      <c r="AH9" t="str">
        <v>48.76</v>
      </c>
      <c r="AI9" t="str">
        <v>48.31</v>
      </c>
      <c r="AJ9" t="str">
        <v>27.85</v>
      </c>
      <c r="AK9" t="str">
        <v>27.39</v>
      </c>
      <c r="AL9" t="str">
        <f>(AK9-AJ9)*(AJ9*0+0)+AK9</f>
        <v>27.39</v>
      </c>
      <c r="AM9" t="str">
        <v>90.15</v>
      </c>
      <c r="AN9" t="str">
        <v>156.7</v>
      </c>
      <c r="AO9" t="str">
        <v>157.4</v>
      </c>
      <c r="AP9" t="str">
        <v>-0.5</v>
      </c>
      <c r="AQ9" t="str">
        <v>58</v>
      </c>
      <c r="AR9" t="str">
        <v>4.085</v>
      </c>
      <c r="AS9" t="str">
        <v>12:32:11</v>
      </c>
      <c r="AT9" t="str">
        <v>2025-10-16</v>
      </c>
      <c r="AU9" t="str">
        <v>-0.05</v>
      </c>
      <c r="AV9" t="str">
        <v>1</v>
      </c>
      <c r="AW9" t="str">
        <v>0.007</v>
      </c>
      <c r="AX9" t="str">
        <v>0.004</v>
      </c>
      <c r="AY9" t="str">
        <v>0.036</v>
      </c>
      <c r="AZ9" t="str">
        <v>201.947</v>
      </c>
      <c r="BA9" t="str">
        <v>101.447</v>
      </c>
      <c r="BB9" t="str">
        <v>49.898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544.449829</v>
      </c>
      <c r="BX9" t="str">
        <v>25</v>
      </c>
      <c r="BY9" t="str">
        <v>-5.034046</v>
      </c>
      <c r="BZ9" t="str">
        <v>540.906433</v>
      </c>
      <c r="CA9" t="str">
        <v>543.083069</v>
      </c>
      <c r="CB9" t="str">
        <v>-2.176636</v>
      </c>
      <c r="CC9" t="str">
        <v>2.464617</v>
      </c>
      <c r="CD9" t="str">
        <v>2.479465</v>
      </c>
      <c r="CE9" t="str">
        <v>1.655479</v>
      </c>
      <c r="CF9" t="str">
        <v>0.939929</v>
      </c>
      <c r="CG9" t="str">
        <v>0.243501</v>
      </c>
      <c r="CH9" t="str">
        <v>-0.005126</v>
      </c>
      <c r="CI9" t="str">
        <v>0.163966</v>
      </c>
      <c r="CJ9" t="str">
        <v>0.159455</v>
      </c>
      <c r="CK9" t="str">
        <v>199.865692</v>
      </c>
      <c r="CL9" t="str">
        <v>0.000241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PSF-00438_20251016123830_5f2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7</v>
      </c>
      <c r="B10" t="str">
        <v>12:41:06</v>
      </c>
      <c r="C10" t="str">
        <v>2025-10-16</v>
      </c>
      <c r="D10" t="str">
        <v>g34p_light_v2</v>
      </c>
      <c r="E10" t="str">
        <v>mrk</v>
      </c>
      <c r="F10" t="str">
        <v/>
      </c>
      <c r="G10" t="str">
        <v>177</v>
      </c>
      <c r="H10" t="str">
        <v/>
      </c>
      <c r="I10" t="str">
        <v/>
      </c>
      <c r="J10" t="str">
        <f>1/((1/L10)-(1/K10))</f>
        <v>0.000935</v>
      </c>
      <c r="K10" t="str">
        <f>BH10+(BI10*AN10)+(BJ10*AN10*POWER(V10,2))+(BK10*AN10*V10)+(BL10*POWER(AN10,2))</f>
        <v>2.922699</v>
      </c>
      <c r="L10" t="str">
        <f>((M10/1000)*(1000-((T10+S10)/2)))/(T10-S10)</f>
        <v>0.000935</v>
      </c>
      <c r="M10" t="str">
        <f>(AN10*(S10-R10))/(100*U10*(1000-S10))*1000</f>
        <v>0.020258</v>
      </c>
      <c r="N10" t="str">
        <v>1.878879</v>
      </c>
      <c r="O10" t="str">
        <v>1.878376</v>
      </c>
      <c r="P10" t="str">
        <f>0.61365*EXP((17.502*AL10)/(240.97+AL10))</f>
        <v>3.771322</v>
      </c>
      <c r="Q10" t="str">
        <f>P10-N10</f>
        <v>1.892443</v>
      </c>
      <c r="R10" t="str">
        <v>20.834208</v>
      </c>
      <c r="S10" t="str">
        <v>20.839796</v>
      </c>
      <c r="T10" t="str">
        <f>(P10/AM10)*1000</f>
        <v>41.830025</v>
      </c>
      <c r="U10" t="str">
        <f>V10*BG10</f>
        <v>0.441786</v>
      </c>
      <c r="V10" t="str">
        <v>7.500000</v>
      </c>
      <c r="W10" t="str">
        <v>PSF-00438_20251016124106_125</v>
      </c>
      <c r="X10" t="str">
        <v>0.000000</v>
      </c>
      <c r="Y10" t="str">
        <v>0.000000</v>
      </c>
      <c r="Z10" t="str">
        <v>0.000000</v>
      </c>
      <c r="AA10" t="str">
        <v>130.187988</v>
      </c>
      <c r="AB10" t="str">
        <v>315.527344</v>
      </c>
      <c r="AC10" t="str">
        <v>0.587396</v>
      </c>
      <c r="AD10" t="str">
        <v>0.5</v>
      </c>
      <c r="AE10" t="str">
        <v>0.80</v>
      </c>
      <c r="AF10" t="str">
        <f>AC10*AD10*AE10*AQ10</f>
        <v>11.554731</v>
      </c>
      <c r="AG10" t="str">
        <v>1.000000</v>
      </c>
      <c r="AH10" t="str">
        <v>49.03</v>
      </c>
      <c r="AI10" t="str">
        <v>49.01</v>
      </c>
      <c r="AJ10" t="str">
        <v>28.17</v>
      </c>
      <c r="AK10" t="str">
        <v>27.89</v>
      </c>
      <c r="AL10" t="str">
        <f>(AK10-AJ10)*(AJ10*0+0)+AK10</f>
        <v>27.89</v>
      </c>
      <c r="AM10" t="str">
        <v>90.16</v>
      </c>
      <c r="AN10" t="str">
        <v>156.8</v>
      </c>
      <c r="AO10" t="str">
        <v>-9.5</v>
      </c>
      <c r="AP10" t="str">
        <v>106.1</v>
      </c>
      <c r="AQ10" t="str">
        <v>49</v>
      </c>
      <c r="AR10" t="str">
        <v>4.047</v>
      </c>
      <c r="AS10" t="str">
        <v>12:32:11</v>
      </c>
      <c r="AT10" t="str">
        <v>2025-10-16</v>
      </c>
      <c r="AU10" t="str">
        <v>-0.05</v>
      </c>
      <c r="AV10" t="str">
        <v>1</v>
      </c>
      <c r="AW10" t="str">
        <v>-0.019</v>
      </c>
      <c r="AX10" t="str">
        <v>-0.051</v>
      </c>
      <c r="AY10" t="str">
        <v>-0.009</v>
      </c>
      <c r="AZ10" t="str">
        <v>32.923</v>
      </c>
      <c r="BA10" t="str">
        <v>16.256</v>
      </c>
      <c r="BB10" t="str">
        <v>96.869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307.515991</v>
      </c>
      <c r="BX10" t="str">
        <v>25</v>
      </c>
      <c r="BY10" t="str">
        <v>-5.908898</v>
      </c>
      <c r="BZ10" t="str">
        <v>305.803650</v>
      </c>
      <c r="CA10" t="str">
        <v>307.080627</v>
      </c>
      <c r="CB10" t="str">
        <v>-1.276978</v>
      </c>
      <c r="CC10" t="str">
        <v>2.465475</v>
      </c>
      <c r="CD10" t="str">
        <v>2.479744</v>
      </c>
      <c r="CE10" t="str">
        <v>1.656538</v>
      </c>
      <c r="CF10" t="str">
        <v>0.584150</v>
      </c>
      <c r="CG10" t="str">
        <v>0.240439</v>
      </c>
      <c r="CH10" t="str">
        <v>-0.002988</v>
      </c>
      <c r="CI10" t="str">
        <v>0.181198</v>
      </c>
      <c r="CJ10" t="str">
        <v>0.151540</v>
      </c>
      <c r="CK10" t="str">
        <v>130.187988</v>
      </c>
      <c r="CL10" t="str">
        <v>0.000243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PSF-00438_20251016124106_125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8</v>
      </c>
      <c r="B11" t="str">
        <v>12:44:00</v>
      </c>
      <c r="C11" t="str">
        <v>2025-10-16</v>
      </c>
      <c r="D11" t="str">
        <v>g34p_light_v2</v>
      </c>
      <c r="E11" t="str">
        <v>mrk</v>
      </c>
      <c r="F11" t="str">
        <v/>
      </c>
      <c r="G11" t="str">
        <v>179</v>
      </c>
      <c r="H11" t="str">
        <v/>
      </c>
      <c r="I11" t="str">
        <v/>
      </c>
      <c r="J11" t="str">
        <f>1/((1/L11)-(1/K11))</f>
        <v>-0.004219</v>
      </c>
      <c r="K11" t="str">
        <f>BH11+(BI11*AN11)+(BJ11*AN11*POWER(V11,2))+(BK11*AN11*V11)+(BL11*POWER(AN11,2))</f>
        <v>2.922563</v>
      </c>
      <c r="L11" t="str">
        <f>((M11/1000)*(1000-((T11+S11)/2)))/(T11-S11)</f>
        <v>-0.004225</v>
      </c>
      <c r="M11" t="str">
        <f>(AN11*(S11-R11))/(100*U11*(1000-S11))*1000</f>
        <v>-0.090041</v>
      </c>
      <c r="N11" t="str">
        <v>1.900830</v>
      </c>
      <c r="O11" t="str">
        <v>1.903068</v>
      </c>
      <c r="P11" t="str">
        <f>0.61365*EXP((17.502*AL11)/(240.97+AL11))</f>
        <v>3.761502</v>
      </c>
      <c r="Q11" t="str">
        <f>P11-N11</f>
        <v>1.860672</v>
      </c>
      <c r="R11" t="str">
        <v>21.113647</v>
      </c>
      <c r="S11" t="str">
        <v>21.088814</v>
      </c>
      <c r="T11" t="str">
        <f>(P11/AM11)*1000</f>
        <v>41.732094</v>
      </c>
      <c r="U11" t="str">
        <f>V11*BG11</f>
        <v>0.441786</v>
      </c>
      <c r="V11" t="str">
        <v>7.500000</v>
      </c>
      <c r="W11" t="str">
        <v>PSF-00438_20251016124400_1ee</v>
      </c>
      <c r="X11" t="str">
        <v>0.000000</v>
      </c>
      <c r="Y11" t="str">
        <v>0.000000</v>
      </c>
      <c r="Z11" t="str">
        <v>0.000000</v>
      </c>
      <c r="AA11" t="str">
        <v>134.250641</v>
      </c>
      <c r="AB11" t="str">
        <v>398.484192</v>
      </c>
      <c r="AC11" t="str">
        <v>0.663097</v>
      </c>
      <c r="AD11" t="str">
        <v>0.5</v>
      </c>
      <c r="AE11" t="str">
        <v>0.80</v>
      </c>
      <c r="AF11" t="str">
        <f>AC11*AD11*AE11*AQ11</f>
        <v>32.608063</v>
      </c>
      <c r="AG11" t="str">
        <v>1.000000</v>
      </c>
      <c r="AH11" t="str">
        <v>48.70</v>
      </c>
      <c r="AI11" t="str">
        <v>48.76</v>
      </c>
      <c r="AJ11" t="str">
        <v>28.48</v>
      </c>
      <c r="AK11" t="str">
        <v>27.85</v>
      </c>
      <c r="AL11" t="str">
        <f>(AK11-AJ11)*(AJ11*0+0)+AK11</f>
        <v>27.85</v>
      </c>
      <c r="AM11" t="str">
        <v>90.13</v>
      </c>
      <c r="AN11" t="str">
        <v>156.8</v>
      </c>
      <c r="AO11" t="str">
        <v>157.2</v>
      </c>
      <c r="AP11" t="str">
        <v>-0.2</v>
      </c>
      <c r="AQ11" t="str">
        <v>123</v>
      </c>
      <c r="AR11" t="str">
        <v>4.076</v>
      </c>
      <c r="AS11" t="str">
        <v>12:32:11</v>
      </c>
      <c r="AT11" t="str">
        <v>2025-10-16</v>
      </c>
      <c r="AU11" t="str">
        <v>-0.05</v>
      </c>
      <c r="AV11" t="str">
        <v>1</v>
      </c>
      <c r="AW11" t="str">
        <v>-0.031</v>
      </c>
      <c r="AX11" t="str">
        <v>-0.047</v>
      </c>
      <c r="AY11" t="str">
        <v>-0.021</v>
      </c>
      <c r="AZ11" t="str">
        <v>19.302</v>
      </c>
      <c r="BA11" t="str">
        <v>120.946</v>
      </c>
      <c r="BB11" t="str">
        <v>59.956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395.572540</v>
      </c>
      <c r="BX11" t="str">
        <v>25</v>
      </c>
      <c r="BY11" t="str">
        <v>-1.869997</v>
      </c>
      <c r="BZ11" t="str">
        <v>395.391235</v>
      </c>
      <c r="CA11" t="str">
        <v>395.811035</v>
      </c>
      <c r="CB11" t="str">
        <v>-0.419800</v>
      </c>
      <c r="CC11" t="str">
        <v>2.465071</v>
      </c>
      <c r="CD11" t="str">
        <v>2.479241</v>
      </c>
      <c r="CE11" t="str">
        <v>1.656395</v>
      </c>
      <c r="CF11" t="str">
        <v>0.939312</v>
      </c>
      <c r="CG11" t="str">
        <v>0.237481</v>
      </c>
      <c r="CH11" t="str">
        <v>-0.007184</v>
      </c>
      <c r="CI11" t="str">
        <v>0.199651</v>
      </c>
      <c r="CJ11" t="str">
        <v>0.217893</v>
      </c>
      <c r="CK11" t="str">
        <v>134.250641</v>
      </c>
      <c r="CL11" t="str">
        <v>0.000244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PSF-00438_20251016124400_1ee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9</v>
      </c>
      <c r="B12" t="str">
        <v>12:47:01</v>
      </c>
      <c r="C12" t="str">
        <v>2025-10-16</v>
      </c>
      <c r="D12" t="str">
        <v>g34p_light_v2</v>
      </c>
      <c r="E12" t="str">
        <v>mrk</v>
      </c>
      <c r="F12" t="str">
        <v/>
      </c>
      <c r="G12" t="str">
        <v>164</v>
      </c>
      <c r="H12" t="str">
        <v/>
      </c>
      <c r="I12" t="str">
        <v/>
      </c>
      <c r="J12" t="str">
        <f>1/((1/L12)-(1/K12))</f>
        <v>-0.044175</v>
      </c>
      <c r="K12" t="str">
        <f>BH12+(BI12*AN12)+(BJ12*AN12*POWER(V12,2))+(BK12*AN12*V12)+(BL12*POWER(AN12,2))</f>
        <v>2.922216</v>
      </c>
      <c r="L12" t="str">
        <f>((M12/1000)*(1000-((T12+S12)/2)))/(T12-S12)</f>
        <v>-0.044853</v>
      </c>
      <c r="M12" t="str">
        <f>(AN12*(S12-R12))/(100*U12*(1000-S12))*1000</f>
        <v>-1.123099</v>
      </c>
      <c r="N12" t="str">
        <v>1.807095</v>
      </c>
      <c r="O12" t="str">
        <v>1.835056</v>
      </c>
      <c r="P12" t="str">
        <f>0.61365*EXP((17.502*AL12)/(240.97+AL12))</f>
        <v>3.991831</v>
      </c>
      <c r="Q12" t="str">
        <f>P12-N12</f>
        <v>2.184736</v>
      </c>
      <c r="R12" t="str">
        <v>20.355247</v>
      </c>
      <c r="S12" t="str">
        <v>20.045086</v>
      </c>
      <c r="T12" t="str">
        <f>(P12/AM12)*1000</f>
        <v>44.279144</v>
      </c>
      <c r="U12" t="str">
        <f>V12*BG12</f>
        <v>0.441786</v>
      </c>
      <c r="V12" t="str">
        <v>7.500000</v>
      </c>
      <c r="W12" t="str">
        <v>PSF-00438_20251016124701_0ef</v>
      </c>
      <c r="X12" t="str">
        <v>0.000000</v>
      </c>
      <c r="Y12" t="str">
        <v>0.000000</v>
      </c>
      <c r="Z12" t="str">
        <v>0.000000</v>
      </c>
      <c r="AA12" t="str">
        <v>95.719818</v>
      </c>
      <c r="AB12" t="str">
        <v>250.741653</v>
      </c>
      <c r="AC12" t="str">
        <v>0.618253</v>
      </c>
      <c r="AD12" t="str">
        <v>0.5</v>
      </c>
      <c r="AE12" t="str">
        <v>0.80</v>
      </c>
      <c r="AF12" t="str">
        <f>AC12*AD12*AE12*AQ12</f>
        <v>13.662724</v>
      </c>
      <c r="AG12" t="str">
        <v>1.000000</v>
      </c>
      <c r="AH12" t="str">
        <v>45.36</v>
      </c>
      <c r="AI12" t="str">
        <v>46.06</v>
      </c>
      <c r="AJ12" t="str">
        <v>28.84</v>
      </c>
      <c r="AK12" t="str">
        <v>28.87</v>
      </c>
      <c r="AL12" t="str">
        <f>(AK12-AJ12)*(AJ12*0+0)+AK12</f>
        <v>28.87</v>
      </c>
      <c r="AM12" t="str">
        <v>90.15</v>
      </c>
      <c r="AN12" t="str">
        <v>156.8</v>
      </c>
      <c r="AO12" t="str">
        <v>-16.2</v>
      </c>
      <c r="AP12" t="str">
        <v>110.3</v>
      </c>
      <c r="AQ12" t="str">
        <v>55</v>
      </c>
      <c r="AR12" t="str">
        <v>4.072</v>
      </c>
      <c r="AS12" t="str">
        <v>12:44:13</v>
      </c>
      <c r="AT12" t="str">
        <v>2025-10-16</v>
      </c>
      <c r="AU12" t="str">
        <v>-0.00</v>
      </c>
      <c r="AV12" t="str">
        <v>1</v>
      </c>
      <c r="AW12" t="str">
        <v>-0.001</v>
      </c>
      <c r="AX12" t="str">
        <v>-0.020</v>
      </c>
      <c r="AY12" t="str">
        <v>-0.020</v>
      </c>
      <c r="AZ12" t="str">
        <v>1.895</v>
      </c>
      <c r="BA12" t="str">
        <v>78.908</v>
      </c>
      <c r="BB12" t="str">
        <v>44.947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248.162628</v>
      </c>
      <c r="BX12" t="str">
        <v>25</v>
      </c>
      <c r="BY12" t="str">
        <v>-1.689558</v>
      </c>
      <c r="BZ12" t="str">
        <v>249.175079</v>
      </c>
      <c r="CA12" t="str">
        <v>248.326447</v>
      </c>
      <c r="CB12" t="str">
        <v>0.848633</v>
      </c>
      <c r="CC12" t="str">
        <v>2.461412</v>
      </c>
      <c r="CD12" t="str">
        <v>2.474607</v>
      </c>
      <c r="CE12" t="str">
        <v>1.656031</v>
      </c>
      <c r="CF12" t="str">
        <v>0.572670</v>
      </c>
      <c r="CG12" t="str">
        <v>0.234183</v>
      </c>
      <c r="CH12" t="str">
        <v>0.000628</v>
      </c>
      <c r="CI12" t="str">
        <v>0.218124</v>
      </c>
      <c r="CJ12" t="str">
        <v>0.157000</v>
      </c>
      <c r="CK12" t="str">
        <v>95.719818</v>
      </c>
      <c r="CL12" t="str">
        <v>0.000242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PSF-00438_20251016124701_0ef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10</v>
      </c>
      <c r="B13" t="str">
        <v>12:48:02</v>
      </c>
      <c r="C13" t="str">
        <v>2025-10-16</v>
      </c>
      <c r="D13" t="str">
        <v>g34p_light_v2</v>
      </c>
      <c r="E13" t="str">
        <v>mrk</v>
      </c>
      <c r="F13" t="str">
        <v/>
      </c>
      <c r="G13" t="str">
        <v>164</v>
      </c>
      <c r="H13" t="str">
        <v/>
      </c>
      <c r="I13" t="str">
        <v/>
      </c>
      <c r="J13" t="str">
        <f>1/((1/L13)-(1/K13))</f>
        <v>-0.000245</v>
      </c>
      <c r="K13" t="str">
        <f>BH13+(BI13*AN13)+(BJ13*AN13*POWER(V13,2))+(BK13*AN13*V13)+(BL13*POWER(AN13,2))</f>
        <v>2.922545</v>
      </c>
      <c r="L13" t="str">
        <f>((M13/1000)*(1000-((T13+S13)/2)))/(T13-S13)</f>
        <v>-0.000245</v>
      </c>
      <c r="M13" t="str">
        <f>(AN13*(S13-R13))/(100*U13*(1000-S13))*1000</f>
        <v>-0.006597</v>
      </c>
      <c r="N13" t="str">
        <v>1.878650</v>
      </c>
      <c r="O13" t="str">
        <v>1.878814</v>
      </c>
      <c r="P13" t="str">
        <f>0.61365*EXP((17.502*AL13)/(240.97+AL13))</f>
        <v>4.227664</v>
      </c>
      <c r="Q13" t="str">
        <f>P13-N13</f>
        <v>2.349014</v>
      </c>
      <c r="R13" t="str">
        <v>20.842655</v>
      </c>
      <c r="S13" t="str">
        <v>20.840836</v>
      </c>
      <c r="T13" t="str">
        <f>(P13/AM13)*1000</f>
        <v>46.899654</v>
      </c>
      <c r="U13" t="str">
        <f>V13*BG13</f>
        <v>0.441786</v>
      </c>
      <c r="V13" t="str">
        <v>7.500000</v>
      </c>
      <c r="W13" t="str">
        <v>PSF-00438_20251016124802_189</v>
      </c>
      <c r="X13" t="str">
        <v>0.000000</v>
      </c>
      <c r="Y13" t="str">
        <v>0.000000</v>
      </c>
      <c r="Z13" t="str">
        <v>0.000000</v>
      </c>
      <c r="AA13" t="str">
        <v>83.289383</v>
      </c>
      <c r="AB13" t="str">
        <v>241.534348</v>
      </c>
      <c r="AC13" t="str">
        <v>0.655165</v>
      </c>
      <c r="AD13" t="str">
        <v>0.5</v>
      </c>
      <c r="AE13" t="str">
        <v>0.80</v>
      </c>
      <c r="AF13" t="str">
        <f>AC13*AD13*AE13*AQ13</f>
        <v>14.433229</v>
      </c>
      <c r="AG13" t="str">
        <v>1.000000</v>
      </c>
      <c r="AH13" t="str">
        <v>46.91</v>
      </c>
      <c r="AI13" t="str">
        <v>46.92</v>
      </c>
      <c r="AJ13" t="str">
        <v>28.93</v>
      </c>
      <c r="AK13" t="str">
        <v>29.87</v>
      </c>
      <c r="AL13" t="str">
        <f>(AK13-AJ13)*(AJ13*0+0)+AK13</f>
        <v>29.87</v>
      </c>
      <c r="AM13" t="str">
        <v>90.14</v>
      </c>
      <c r="AN13" t="str">
        <v>156.8</v>
      </c>
      <c r="AO13" t="str">
        <v>-16.5</v>
      </c>
      <c r="AP13" t="str">
        <v>110.5</v>
      </c>
      <c r="AQ13" t="str">
        <v>55</v>
      </c>
      <c r="AR13" t="str">
        <v>4.071</v>
      </c>
      <c r="AS13" t="str">
        <v>12:44:13</v>
      </c>
      <c r="AT13" t="str">
        <v>2025-10-16</v>
      </c>
      <c r="AU13" t="str">
        <v>-0.00</v>
      </c>
      <c r="AV13" t="str">
        <v>1</v>
      </c>
      <c r="AW13" t="str">
        <v>0.010</v>
      </c>
      <c r="AX13" t="str">
        <v>-0.005</v>
      </c>
      <c r="AY13" t="str">
        <v>-0.010</v>
      </c>
      <c r="AZ13" t="str">
        <v>75.510</v>
      </c>
      <c r="BA13" t="str">
        <v>39.788</v>
      </c>
      <c r="BB13" t="str">
        <v>19.481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241.534348</v>
      </c>
      <c r="BX13" t="str">
        <v>25</v>
      </c>
      <c r="BY13" t="str">
        <v>0.623332</v>
      </c>
      <c r="BZ13" t="str">
        <v>244.857437</v>
      </c>
      <c r="CA13" t="str">
        <v>242.425400</v>
      </c>
      <c r="CB13" t="str">
        <v>2.432037</v>
      </c>
      <c r="CC13" t="str">
        <v>2.462526</v>
      </c>
      <c r="CD13" t="str">
        <v>2.476670</v>
      </c>
      <c r="CE13" t="str">
        <v>1.656377</v>
      </c>
      <c r="CF13" t="str">
        <v>0.572070</v>
      </c>
      <c r="CG13" t="str">
        <v>0.233350</v>
      </c>
      <c r="CH13" t="str">
        <v>0.011350</v>
      </c>
      <c r="CI13" t="str">
        <v>0.224095</v>
      </c>
      <c r="CJ13" t="str">
        <v>0.156844</v>
      </c>
      <c r="CK13" t="str">
        <v>83.289383</v>
      </c>
      <c r="CL13" t="str">
        <v>0.000244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PSF-00438_20251016124802_189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11</v>
      </c>
      <c r="B14" t="str">
        <v>12:52:13</v>
      </c>
      <c r="C14" t="str">
        <v>2025-10-16</v>
      </c>
      <c r="D14" t="str">
        <v>g34p_light_v2</v>
      </c>
      <c r="E14" t="str">
        <v>mrk</v>
      </c>
      <c r="F14" t="str">
        <v/>
      </c>
      <c r="G14" t="str">
        <v>188</v>
      </c>
      <c r="H14" t="str">
        <v/>
      </c>
      <c r="I14" t="str">
        <v/>
      </c>
      <c r="J14" t="str">
        <f>1/((1/L14)-(1/K14))</f>
        <v>0.046587</v>
      </c>
      <c r="K14" t="str">
        <f>BH14+(BI14*AN14)+(BJ14*AN14*POWER(V14,2))+(BK14*AN14*V14)+(BL14*POWER(AN14,2))</f>
        <v>2.921948</v>
      </c>
      <c r="L14" t="str">
        <f>((M14/1000)*(1000-((T14+S14)/2)))/(T14-S14)</f>
        <v>0.045856</v>
      </c>
      <c r="M14" t="str">
        <f>(AN14*(S14-R14))/(100*U14*(1000-S14))*1000</f>
        <v>1.130486</v>
      </c>
      <c r="N14" t="str">
        <v>1.923840</v>
      </c>
      <c r="O14" t="str">
        <v>1.895728</v>
      </c>
      <c r="P14" t="str">
        <f>0.61365*EXP((17.502*AL14)/(240.97+AL14))</f>
        <v>4.072238</v>
      </c>
      <c r="Q14" t="str">
        <f>P14-N14</f>
        <v>2.148399</v>
      </c>
      <c r="R14" t="str">
        <v>21.029938</v>
      </c>
      <c r="S14" t="str">
        <v>21.341791</v>
      </c>
      <c r="T14" t="str">
        <f>(P14/AM14)*1000</f>
        <v>45.174686</v>
      </c>
      <c r="U14" t="str">
        <f>V14*BG14</f>
        <v>0.441786</v>
      </c>
      <c r="V14" t="str">
        <v>7.500000</v>
      </c>
      <c r="W14" t="str">
        <v>PSF-00438_20251016125213_825</v>
      </c>
      <c r="X14" t="str">
        <v>0.000000</v>
      </c>
      <c r="Y14" t="str">
        <v>0.000000</v>
      </c>
      <c r="Z14" t="str">
        <v>0.000000</v>
      </c>
      <c r="AA14" t="str">
        <v>109.781387</v>
      </c>
      <c r="AB14" t="str">
        <v>230.646072</v>
      </c>
      <c r="AC14" t="str">
        <v>0.524027</v>
      </c>
      <c r="AD14" t="str">
        <v>0.5</v>
      </c>
      <c r="AE14" t="str">
        <v>0.80</v>
      </c>
      <c r="AF14" t="str">
        <f>AC14*AD14*AE14*AQ14</f>
        <v>13.054891</v>
      </c>
      <c r="AG14" t="str">
        <v>1.000000</v>
      </c>
      <c r="AH14" t="str">
        <v>47.15</v>
      </c>
      <c r="AI14" t="str">
        <v>46.46</v>
      </c>
      <c r="AJ14" t="str">
        <v>29.25</v>
      </c>
      <c r="AK14" t="str">
        <v>29.22</v>
      </c>
      <c r="AL14" t="str">
        <f>(AK14-AJ14)*(AJ14*0+0)+AK14</f>
        <v>29.22</v>
      </c>
      <c r="AM14" t="str">
        <v>90.14</v>
      </c>
      <c r="AN14" t="str">
        <v>156.7</v>
      </c>
      <c r="AO14" t="str">
        <v>-17.5</v>
      </c>
      <c r="AP14" t="str">
        <v>111.2</v>
      </c>
      <c r="AQ14" t="str">
        <v>62</v>
      </c>
      <c r="AR14" t="str">
        <v>4.065</v>
      </c>
      <c r="AS14" t="str">
        <v>12:44:13</v>
      </c>
      <c r="AT14" t="str">
        <v>2025-10-16</v>
      </c>
      <c r="AU14" t="str">
        <v>-0.00</v>
      </c>
      <c r="AV14" t="str">
        <v>1</v>
      </c>
      <c r="AW14" t="str">
        <v>0.023</v>
      </c>
      <c r="AX14" t="str">
        <v>0.047</v>
      </c>
      <c r="AY14" t="str">
        <v>0.038</v>
      </c>
      <c r="AZ14" t="str">
        <v>-3.490</v>
      </c>
      <c r="BA14" t="str">
        <v>21.748</v>
      </c>
      <c r="BB14" t="str">
        <v>75.609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226.088043</v>
      </c>
      <c r="BX14" t="str">
        <v>25</v>
      </c>
      <c r="BY14" t="str">
        <v>-3.125774</v>
      </c>
      <c r="BZ14" t="str">
        <v>225.285172</v>
      </c>
      <c r="CA14" t="str">
        <v>226.177811</v>
      </c>
      <c r="CB14" t="str">
        <v>-0.892639</v>
      </c>
      <c r="CC14" t="str">
        <v>2.461840</v>
      </c>
      <c r="CD14" t="str">
        <v>2.476904</v>
      </c>
      <c r="CE14" t="str">
        <v>1.655751</v>
      </c>
      <c r="CF14" t="str">
        <v>0.570408</v>
      </c>
      <c r="CG14" t="str">
        <v>0.230363</v>
      </c>
      <c r="CH14" t="str">
        <v>-0.000229</v>
      </c>
      <c r="CI14" t="str">
        <v>0.248339</v>
      </c>
      <c r="CJ14" t="str">
        <v>0.163328</v>
      </c>
      <c r="CK14" t="str">
        <v>109.781387</v>
      </c>
      <c r="CL14" t="str">
        <v>0.000245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PSF-00438_20251016125213_825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12</v>
      </c>
      <c r="B15" t="str">
        <v>12:54:57</v>
      </c>
      <c r="C15" t="str">
        <v>2025-10-16</v>
      </c>
      <c r="D15" t="str">
        <v>g34p_light_v2</v>
      </c>
      <c r="E15" t="str">
        <v>mrk</v>
      </c>
      <c r="F15" t="str">
        <v/>
      </c>
      <c r="G15" t="str">
        <v>166</v>
      </c>
      <c r="H15" t="str">
        <v/>
      </c>
      <c r="I15" t="str">
        <v/>
      </c>
      <c r="J15" t="str">
        <f>1/((1/L15)-(1/K15))</f>
        <v>0.073110</v>
      </c>
      <c r="K15" t="str">
        <f>BH15+(BI15*AN15)+(BJ15*AN15*POWER(V15,2))+(BK15*AN15*V15)+(BL15*POWER(AN15,2))</f>
        <v>2.921642</v>
      </c>
      <c r="L15" t="str">
        <f>((M15/1000)*(1000-((T15+S15)/2)))/(T15-S15)</f>
        <v>0.071326</v>
      </c>
      <c r="M15" t="str">
        <f>(AN15*(S15-R15))/(100*U15*(1000-S15))*1000</f>
        <v>1.477263</v>
      </c>
      <c r="N15" t="str">
        <v>1.947765</v>
      </c>
      <c r="O15" t="str">
        <v>1.911033</v>
      </c>
      <c r="P15" t="str">
        <f>0.61365*EXP((17.502*AL15)/(240.97+AL15))</f>
        <v>3.755635</v>
      </c>
      <c r="Q15" t="str">
        <f>P15-N15</f>
        <v>1.807871</v>
      </c>
      <c r="R15" t="str">
        <v>21.200779</v>
      </c>
      <c r="S15" t="str">
        <v>21.608282</v>
      </c>
      <c r="T15" t="str">
        <f>(P15/AM15)*1000</f>
        <v>41.664589</v>
      </c>
      <c r="U15" t="str">
        <f>V15*BG15</f>
        <v>0.441786</v>
      </c>
      <c r="V15" t="str">
        <v>7.500000</v>
      </c>
      <c r="W15" t="str">
        <v>PSF-00438_20251016125457_973</v>
      </c>
      <c r="X15" t="str">
        <v>0.000000</v>
      </c>
      <c r="Y15" t="str">
        <v>0.000000</v>
      </c>
      <c r="Z15" t="str">
        <v>0.000000</v>
      </c>
      <c r="AA15" t="str">
        <v>162.574768</v>
      </c>
      <c r="AB15" t="str">
        <v>518.965942</v>
      </c>
      <c r="AC15" t="str">
        <v>0.686733</v>
      </c>
      <c r="AD15" t="str">
        <v>0.5</v>
      </c>
      <c r="AE15" t="str">
        <v>0.80</v>
      </c>
      <c r="AF15" t="str">
        <f>AC15*AD15*AE15*AQ15</f>
        <v>14.445582</v>
      </c>
      <c r="AG15" t="str">
        <v>1.000000</v>
      </c>
      <c r="AH15" t="str">
        <v>47.16</v>
      </c>
      <c r="AI15" t="str">
        <v>46.27</v>
      </c>
      <c r="AJ15" t="str">
        <v>29.46</v>
      </c>
      <c r="AK15" t="str">
        <v>27.82</v>
      </c>
      <c r="AL15" t="str">
        <f>(AK15-AJ15)*(AJ15*0+0)+AK15</f>
        <v>27.82</v>
      </c>
      <c r="AM15" t="str">
        <v>90.14</v>
      </c>
      <c r="AN15" t="str">
        <v>156.7</v>
      </c>
      <c r="AO15" t="str">
        <v>157.5</v>
      </c>
      <c r="AP15" t="str">
        <v>-0.5</v>
      </c>
      <c r="AQ15" t="str">
        <v>53</v>
      </c>
      <c r="AR15" t="str">
        <v>4.061</v>
      </c>
      <c r="AS15" t="str">
        <v>12:44:13</v>
      </c>
      <c r="AT15" t="str">
        <v>2025-10-16</v>
      </c>
      <c r="AU15" t="str">
        <v>-0.00</v>
      </c>
      <c r="AV15" t="str">
        <v>1</v>
      </c>
      <c r="AW15" t="str">
        <v>0.021</v>
      </c>
      <c r="AX15" t="str">
        <v>0.005</v>
      </c>
      <c r="AY15" t="str">
        <v>0.039</v>
      </c>
      <c r="AZ15" t="str">
        <v>9.011</v>
      </c>
      <c r="BA15" t="str">
        <v>133.334</v>
      </c>
      <c r="BB15" t="str">
        <v>80.256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518.965942</v>
      </c>
      <c r="BX15" t="str">
        <v>25</v>
      </c>
      <c r="BY15" t="str">
        <v>0.160390</v>
      </c>
      <c r="BZ15" t="str">
        <v>518.845459</v>
      </c>
      <c r="CA15" t="str">
        <v>519.195190</v>
      </c>
      <c r="CB15" t="str">
        <v>-0.349731</v>
      </c>
      <c r="CC15" t="str">
        <v>2.461545</v>
      </c>
      <c r="CD15" t="str">
        <v>2.476873</v>
      </c>
      <c r="CE15" t="str">
        <v>1.655430</v>
      </c>
      <c r="CF15" t="str">
        <v>0.939985</v>
      </c>
      <c r="CG15" t="str">
        <v>0.228468</v>
      </c>
      <c r="CH15" t="str">
        <v>-0.019049</v>
      </c>
      <c r="CI15" t="str">
        <v>0.263427</v>
      </c>
      <c r="CJ15" t="str">
        <v>0.154608</v>
      </c>
      <c r="CK15" t="str">
        <v>162.574768</v>
      </c>
      <c r="CL15" t="str">
        <v>0.000244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PSF-00438_20251016125457_973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13</v>
      </c>
      <c r="B16" t="str">
        <v>12:58:06</v>
      </c>
      <c r="C16" t="str">
        <v>2025-10-16</v>
      </c>
      <c r="D16" t="str">
        <v>g34p_light_v2</v>
      </c>
      <c r="E16" t="str">
        <v>mrk</v>
      </c>
      <c r="F16" t="str">
        <v/>
      </c>
      <c r="G16" t="str">
        <v>189</v>
      </c>
      <c r="H16" t="str">
        <v/>
      </c>
      <c r="I16" t="str">
        <v/>
      </c>
      <c r="J16" t="str">
        <f>1/((1/L16)-(1/K16))</f>
        <v>0.098800</v>
      </c>
      <c r="K16" t="str">
        <f>BH16+(BI16*AN16)+(BJ16*AN16*POWER(V16,2))+(BK16*AN16*V16)+(BL16*POWER(AN16,2))</f>
        <v>2.922644</v>
      </c>
      <c r="L16" t="str">
        <f>((M16/1000)*(1000-((T16+S16)/2)))/(T16-S16)</f>
        <v>0.095569</v>
      </c>
      <c r="M16" t="str">
        <f>(AN16*(S16-R16))/(100*U16*(1000-S16))*1000</f>
        <v>2.148126</v>
      </c>
      <c r="N16" t="str">
        <v>1.934631</v>
      </c>
      <c r="O16" t="str">
        <v>1.881250</v>
      </c>
      <c r="P16" t="str">
        <f>0.61365*EXP((17.502*AL16)/(240.97+AL16))</f>
        <v>3.895288</v>
      </c>
      <c r="Q16" t="str">
        <f>P16-N16</f>
        <v>1.960657</v>
      </c>
      <c r="R16" t="str">
        <v>20.869383</v>
      </c>
      <c r="S16" t="str">
        <v>21.461561</v>
      </c>
      <c r="T16" t="str">
        <f>(P16/AM16)*1000</f>
        <v>43.211838</v>
      </c>
      <c r="U16" t="str">
        <f>V16*BG16</f>
        <v>0.441786</v>
      </c>
      <c r="V16" t="str">
        <v>7.500000</v>
      </c>
      <c r="W16" t="str">
        <v>PSF-00438_20251016125806_948</v>
      </c>
      <c r="X16" t="str">
        <v>0.000000</v>
      </c>
      <c r="Y16" t="str">
        <v>0.000000</v>
      </c>
      <c r="Z16" t="str">
        <v>0.000000</v>
      </c>
      <c r="AA16" t="str">
        <v>159.058563</v>
      </c>
      <c r="AB16" t="str">
        <v>533.891174</v>
      </c>
      <c r="AC16" t="str">
        <v>0.702077</v>
      </c>
      <c r="AD16" t="str">
        <v>0.5</v>
      </c>
      <c r="AE16" t="str">
        <v>0.80</v>
      </c>
      <c r="AF16" t="str">
        <f>AC16*AD16*AE16*AQ16</f>
        <v>24.066408</v>
      </c>
      <c r="AG16" t="str">
        <v>1.000000</v>
      </c>
      <c r="AH16" t="str">
        <v>46.28</v>
      </c>
      <c r="AI16" t="str">
        <v>45.00</v>
      </c>
      <c r="AJ16" t="str">
        <v>29.67</v>
      </c>
      <c r="AK16" t="str">
        <v>28.45</v>
      </c>
      <c r="AL16" t="str">
        <f>(AK16-AJ16)*(AJ16*0+0)+AK16</f>
        <v>28.45</v>
      </c>
      <c r="AM16" t="str">
        <v>90.14</v>
      </c>
      <c r="AN16" t="str">
        <v>156.8</v>
      </c>
      <c r="AO16" t="str">
        <v>157.2</v>
      </c>
      <c r="AP16" t="str">
        <v>-0.3</v>
      </c>
      <c r="AQ16" t="str">
        <v>86</v>
      </c>
      <c r="AR16" t="str">
        <v>4.057</v>
      </c>
      <c r="AS16" t="str">
        <v>12:55:10</v>
      </c>
      <c r="AT16" t="str">
        <v>2025-10-16</v>
      </c>
      <c r="AU16" t="str">
        <v>0.05</v>
      </c>
      <c r="AV16" t="str">
        <v>1</v>
      </c>
      <c r="AW16" t="str">
        <v>0.068</v>
      </c>
      <c r="AX16" t="str">
        <v>0.030</v>
      </c>
      <c r="AY16" t="str">
        <v>-0.039</v>
      </c>
      <c r="AZ16" t="str">
        <v>141.070</v>
      </c>
      <c r="BA16" t="str">
        <v>71.409</v>
      </c>
      <c r="BB16" t="str">
        <v>33.120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533.891174</v>
      </c>
      <c r="BX16" t="str">
        <v>25</v>
      </c>
      <c r="BY16" t="str">
        <v>0.823819</v>
      </c>
      <c r="BZ16" t="str">
        <v>534.084656</v>
      </c>
      <c r="CA16" t="str">
        <v>535.068787</v>
      </c>
      <c r="CB16" t="str">
        <v>-0.984131</v>
      </c>
      <c r="CC16" t="str">
        <v>2.459812</v>
      </c>
      <c r="CD16" t="str">
        <v>2.475576</v>
      </c>
      <c r="CE16" t="str">
        <v>1.656480</v>
      </c>
      <c r="CF16" t="str">
        <v>0.939429</v>
      </c>
      <c r="CG16" t="str">
        <v>0.226590</v>
      </c>
      <c r="CH16" t="str">
        <v>-0.014212</v>
      </c>
      <c r="CI16" t="str">
        <v>0.280188</v>
      </c>
      <c r="CJ16" t="str">
        <v>0.184391</v>
      </c>
      <c r="CK16" t="str">
        <v>159.058563</v>
      </c>
      <c r="CL16" t="str">
        <v>0.000244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PSF-00438_20251016125806_948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14</v>
      </c>
      <c r="B17" t="str">
        <v>13:14:51</v>
      </c>
      <c r="C17" t="str">
        <v>2025-10-16</v>
      </c>
      <c r="D17" t="str">
        <v>g34p_light_v2</v>
      </c>
      <c r="E17" t="str">
        <v>mrk</v>
      </c>
      <c r="F17" t="str">
        <v/>
      </c>
      <c r="G17" t="str">
        <v>134</v>
      </c>
      <c r="H17" t="str">
        <v/>
      </c>
      <c r="I17" t="str">
        <v/>
      </c>
      <c r="J17" t="str">
        <f>1/((1/L17)-(1/K17))</f>
        <v>-0.022750</v>
      </c>
      <c r="K17" t="str">
        <f>BH17+(BI17*AN17)+(BJ17*AN17*POWER(V17,2))+(BK17*AN17*V17)+(BL17*POWER(AN17,2))</f>
        <v>2.922946</v>
      </c>
      <c r="L17" t="str">
        <f>((M17/1000)*(1000-((T17+S17)/2)))/(T17-S17)</f>
        <v>-0.022929</v>
      </c>
      <c r="M17" t="str">
        <f>(AN17*(S17-R17))/(100*U17*(1000-S17))*1000</f>
        <v>-0.822322</v>
      </c>
      <c r="N17" t="str">
        <v>1.832223</v>
      </c>
      <c r="O17" t="str">
        <v>1.852669</v>
      </c>
      <c r="P17" t="str">
        <f>0.61365*EXP((17.502*AL17)/(240.97+AL17))</f>
        <v>4.942506</v>
      </c>
      <c r="Q17" t="str">
        <f>P17-N17</f>
        <v>3.110283</v>
      </c>
      <c r="R17" t="str">
        <v>20.559681</v>
      </c>
      <c r="S17" t="str">
        <v>20.332783</v>
      </c>
      <c r="T17" t="str">
        <f>(P17/AM17)*1000</f>
        <v>54.848629</v>
      </c>
      <c r="U17" t="str">
        <f>V17*BG17</f>
        <v>0.441786</v>
      </c>
      <c r="V17" t="str">
        <v>7.500000</v>
      </c>
      <c r="W17" t="str">
        <v>PSF-00438_20251016131451_64d</v>
      </c>
      <c r="X17" t="str">
        <v>0.000000</v>
      </c>
      <c r="Y17" t="str">
        <v>0.000000</v>
      </c>
      <c r="Z17" t="str">
        <v>0.000000</v>
      </c>
      <c r="AA17" t="str">
        <v>1.412630</v>
      </c>
      <c r="AB17" t="str">
        <v>1.325727</v>
      </c>
      <c r="AC17" t="str">
        <v>-0.065552</v>
      </c>
      <c r="AD17" t="str">
        <v>0.5</v>
      </c>
      <c r="AE17" t="str">
        <v>0.80</v>
      </c>
      <c r="AF17" t="str">
        <f>AC17*AD17*AE17*AQ17</f>
        <v>-7.754807</v>
      </c>
      <c r="AG17" t="str">
        <v>1.000000</v>
      </c>
      <c r="AH17" t="str">
        <v>41.74</v>
      </c>
      <c r="AI17" t="str">
        <v>42.21</v>
      </c>
      <c r="AJ17" t="str">
        <v>30.52</v>
      </c>
      <c r="AK17" t="str">
        <v>32.61</v>
      </c>
      <c r="AL17" t="str">
        <f>(AK17-AJ17)*(AJ17*0+0)+AK17</f>
        <v>32.61</v>
      </c>
      <c r="AM17" t="str">
        <v>90.11</v>
      </c>
      <c r="AN17" t="str">
        <v>156.9</v>
      </c>
      <c r="AO17" t="str">
        <v>-18.2</v>
      </c>
      <c r="AP17" t="str">
        <v>111.6</v>
      </c>
      <c r="AQ17" t="str">
        <v>296</v>
      </c>
      <c r="AR17" t="str">
        <v>4.033</v>
      </c>
      <c r="AS17" t="str">
        <v>12:55:10</v>
      </c>
      <c r="AT17" t="str">
        <v>2025-10-16</v>
      </c>
      <c r="AU17" t="str">
        <v>0.05</v>
      </c>
      <c r="AV17" t="str">
        <v>1</v>
      </c>
      <c r="AW17" t="str">
        <v>-0.008</v>
      </c>
      <c r="AX17" t="str">
        <v>0.026</v>
      </c>
      <c r="AY17" t="str">
        <v>-9999.000</v>
      </c>
      <c r="AZ17" t="str">
        <v>-0.084</v>
      </c>
      <c r="BA17" t="str">
        <v>0.001</v>
      </c>
      <c r="BB17" t="str">
        <v>-9999.000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1.325727</v>
      </c>
      <c r="BX17" t="str">
        <v>25</v>
      </c>
      <c r="BY17" t="str">
        <v>0.474590</v>
      </c>
      <c r="BZ17" t="str">
        <v>1.300335</v>
      </c>
      <c r="CA17" t="str">
        <v>2.004149</v>
      </c>
      <c r="CB17" t="str">
        <v>-0.703814</v>
      </c>
      <c r="CC17" t="str">
        <v>2.455892</v>
      </c>
      <c r="CD17" t="str">
        <v>2.469266</v>
      </c>
      <c r="CE17" t="str">
        <v>1.656797</v>
      </c>
      <c r="CF17" t="str">
        <v>0.569242</v>
      </c>
      <c r="CG17" t="str">
        <v>0.219124</v>
      </c>
      <c r="CH17" t="str">
        <v>0.025471</v>
      </c>
      <c r="CI17" t="str">
        <v>0.360330</v>
      </c>
      <c r="CJ17" t="str">
        <v>0.373350</v>
      </c>
      <c r="CK17" t="str">
        <v>1.412630</v>
      </c>
      <c r="CL17" t="str">
        <v>0.000243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PSF-00438_20251016131451_64d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15</v>
      </c>
      <c r="B18" t="str">
        <v>13:16:05</v>
      </c>
      <c r="C18" t="str">
        <v>2025-10-16</v>
      </c>
      <c r="D18" t="str">
        <v>g34p_light_v2</v>
      </c>
      <c r="E18" t="str">
        <v>mrk</v>
      </c>
      <c r="F18" t="str">
        <v/>
      </c>
      <c r="G18" t="str">
        <v>134</v>
      </c>
      <c r="H18" t="str">
        <v>34171</v>
      </c>
      <c r="I18" t="str">
        <v/>
      </c>
      <c r="J18" t="str">
        <f>1/((1/L18)-(1/K18))</f>
        <v>0.042525</v>
      </c>
      <c r="K18" t="str">
        <f>BH18+(BI18*AN18)+(BJ18*AN18*POWER(V18,2))+(BK18*AN18*V18)+(BL18*POWER(AN18,2))</f>
        <v>2.922937</v>
      </c>
      <c r="L18" t="str">
        <f>((M18/1000)*(1000-((T18+S18)/2)))/(T18-S18)</f>
        <v>0.041915</v>
      </c>
      <c r="M18" t="str">
        <f>(AN18*(S18-R18))/(100*U18*(1000-S18))*1000</f>
        <v>1.325904</v>
      </c>
      <c r="N18" t="str">
        <v>1.896515</v>
      </c>
      <c r="O18" t="str">
        <v>1.863569</v>
      </c>
      <c r="P18" t="str">
        <f>0.61365*EXP((17.502*AL18)/(240.97+AL18))</f>
        <v>4.643805</v>
      </c>
      <c r="Q18" t="str">
        <f>P18-N18</f>
        <v>2.747290</v>
      </c>
      <c r="R18" t="str">
        <v>20.679094</v>
      </c>
      <c r="S18" t="str">
        <v>21.044680</v>
      </c>
      <c r="T18" t="str">
        <f>(P18/AM18)*1000</f>
        <v>51.529984</v>
      </c>
      <c r="U18" t="str">
        <f>V18*BG18</f>
        <v>0.441786</v>
      </c>
      <c r="V18" t="str">
        <v>7.500000</v>
      </c>
      <c r="W18" t="str">
        <v>PSF-00438_20251016131605_0d4</v>
      </c>
      <c r="X18" t="str">
        <v>0.000000</v>
      </c>
      <c r="Y18" t="str">
        <v>0.000000</v>
      </c>
      <c r="Z18" t="str">
        <v>0.000000</v>
      </c>
      <c r="AA18" t="str">
        <v>118.478180</v>
      </c>
      <c r="AB18" t="str">
        <v>150.807190</v>
      </c>
      <c r="AC18" t="str">
        <v>0.214373</v>
      </c>
      <c r="AD18" t="str">
        <v>0.5</v>
      </c>
      <c r="AE18" t="str">
        <v>0.80</v>
      </c>
      <c r="AF18" t="str">
        <f>AC18*AD18*AE18*AQ18</f>
        <v>132.246918</v>
      </c>
      <c r="AG18" t="str">
        <v>1.000000</v>
      </c>
      <c r="AH18" t="str">
        <v>43.04</v>
      </c>
      <c r="AI18" t="str">
        <v>42.29</v>
      </c>
      <c r="AJ18" t="str">
        <v>30.59</v>
      </c>
      <c r="AK18" t="str">
        <v>31.51</v>
      </c>
      <c r="AL18" t="str">
        <f>(AK18-AJ18)*(AJ18*0+0)+AK18</f>
        <v>31.51</v>
      </c>
      <c r="AM18" t="str">
        <v>90.12</v>
      </c>
      <c r="AN18" t="str">
        <v>156.9</v>
      </c>
      <c r="AO18" t="str">
        <v>155.1</v>
      </c>
      <c r="AP18" t="str">
        <v>1.1</v>
      </c>
      <c r="AQ18" t="str">
        <v>1542</v>
      </c>
      <c r="AR18" t="str">
        <v>4.032</v>
      </c>
      <c r="AS18" t="str">
        <v>13:15:09</v>
      </c>
      <c r="AT18" t="str">
        <v>2025-10-16</v>
      </c>
      <c r="AU18" t="str">
        <v>0.05</v>
      </c>
      <c r="AV18" t="str">
        <v>1</v>
      </c>
      <c r="AW18" t="str">
        <v>0.012</v>
      </c>
      <c r="AX18" t="str">
        <v>-0.008</v>
      </c>
      <c r="AY18" t="str">
        <v>-0.031</v>
      </c>
      <c r="AZ18" t="str">
        <v>26.182</v>
      </c>
      <c r="BA18" t="str">
        <v>15.492</v>
      </c>
      <c r="BB18" t="str">
        <v>7.332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150.612122</v>
      </c>
      <c r="BX18" t="str">
        <v>25</v>
      </c>
      <c r="BY18" t="str">
        <v>-0.086574</v>
      </c>
      <c r="BZ18" t="str">
        <v>152.440308</v>
      </c>
      <c r="CA18" t="str">
        <v>150.683426</v>
      </c>
      <c r="CB18" t="str">
        <v>1.756882</v>
      </c>
      <c r="CC18" t="str">
        <v>2.455991</v>
      </c>
      <c r="CD18" t="str">
        <v>2.471016</v>
      </c>
      <c r="CE18" t="str">
        <v>1.656788</v>
      </c>
      <c r="CF18" t="str">
        <v>0.933919</v>
      </c>
      <c r="CG18" t="str">
        <v>0.218542</v>
      </c>
      <c r="CH18" t="str">
        <v>0.011239</v>
      </c>
      <c r="CI18" t="str">
        <v>0.365604</v>
      </c>
      <c r="CJ18" t="str">
        <v>1.494662</v>
      </c>
      <c r="CK18" t="str">
        <v>118.478180</v>
      </c>
      <c r="CL18" t="str">
        <v>0.000245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PSF-00438_20251016131605_0d4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16</v>
      </c>
      <c r="B19" t="str">
        <v>13:23:09</v>
      </c>
      <c r="C19" t="str">
        <v>2025-10-16</v>
      </c>
      <c r="D19" t="str">
        <v>g34p_light_v2</v>
      </c>
      <c r="E19" t="str">
        <v>mrk</v>
      </c>
      <c r="F19" t="str">
        <v/>
      </c>
      <c r="G19" t="str">
        <v>154</v>
      </c>
      <c r="H19" t="str">
        <v>41706</v>
      </c>
      <c r="I19" t="str">
        <v/>
      </c>
      <c r="J19" t="str">
        <f>1/((1/L19)-(1/K19))</f>
        <v>-0.000695</v>
      </c>
      <c r="K19" t="str">
        <f>BH19+(BI19*AN19)+(BJ19*AN19*POWER(V19,2))+(BK19*AN19*V19)+(BL19*POWER(AN19,2))</f>
        <v>2.921607</v>
      </c>
      <c r="L19" t="str">
        <f>((M19/1000)*(1000-((T19+S19)/2)))/(T19-S19)</f>
        <v>-0.000696</v>
      </c>
      <c r="M19" t="str">
        <f>(AN19*(S19-R19))/(100*U19*(1000-S19))*1000</f>
        <v>-0.023347</v>
      </c>
      <c r="N19" t="str">
        <v>1.863588</v>
      </c>
      <c r="O19" t="str">
        <v>1.864169</v>
      </c>
      <c r="P19" t="str">
        <f>0.61365*EXP((17.502*AL19)/(240.97+AL19))</f>
        <v>4.776617</v>
      </c>
      <c r="Q19" t="str">
        <f>P19-N19</f>
        <v>2.913028</v>
      </c>
      <c r="R19" t="str">
        <v>20.686613</v>
      </c>
      <c r="S19" t="str">
        <v>20.680166</v>
      </c>
      <c r="T19" t="str">
        <f>(P19/AM19)*1000</f>
        <v>53.005936</v>
      </c>
      <c r="U19" t="str">
        <f>V19*BG19</f>
        <v>0.441786</v>
      </c>
      <c r="V19" t="str">
        <v>7.500000</v>
      </c>
      <c r="W19" t="str">
        <v>PSF-00438_20251016132309_ce9</v>
      </c>
      <c r="X19" t="str">
        <v>0.000000</v>
      </c>
      <c r="Y19" t="str">
        <v>0.000000</v>
      </c>
      <c r="Z19" t="str">
        <v>0.000000</v>
      </c>
      <c r="AA19" t="str">
        <v>121.591331</v>
      </c>
      <c r="AB19" t="str">
        <v>125.191208</v>
      </c>
      <c r="AC19" t="str">
        <v>0.028755</v>
      </c>
      <c r="AD19" t="str">
        <v>0.5</v>
      </c>
      <c r="AE19" t="str">
        <v>0.80</v>
      </c>
      <c r="AF19" t="str">
        <f>AC19*AD19*AE19*AQ19</f>
        <v>18.300888</v>
      </c>
      <c r="AG19" t="str">
        <v>1.000000</v>
      </c>
      <c r="AH19" t="str">
        <v>41.63</v>
      </c>
      <c r="AI19" t="str">
        <v>41.64</v>
      </c>
      <c r="AJ19" t="str">
        <v>30.86</v>
      </c>
      <c r="AK19" t="str">
        <v>32.01</v>
      </c>
      <c r="AL19" t="str">
        <f>(AK19-AJ19)*(AJ19*0+0)+AK19</f>
        <v>32.01</v>
      </c>
      <c r="AM19" t="str">
        <v>90.11</v>
      </c>
      <c r="AN19" t="str">
        <v>156.7</v>
      </c>
      <c r="AO19" t="str">
        <v>-15.2</v>
      </c>
      <c r="AP19" t="str">
        <v>109.7</v>
      </c>
      <c r="AQ19" t="str">
        <v>1591</v>
      </c>
      <c r="AR19" t="str">
        <v>4.023</v>
      </c>
      <c r="AS19" t="str">
        <v>13:15:09</v>
      </c>
      <c r="AT19" t="str">
        <v>2025-10-16</v>
      </c>
      <c r="AU19" t="str">
        <v>0.05</v>
      </c>
      <c r="AV19" t="str">
        <v>1</v>
      </c>
      <c r="AW19" t="str">
        <v>-0.004</v>
      </c>
      <c r="AX19" t="str">
        <v>0.004</v>
      </c>
      <c r="AY19" t="str">
        <v>0.004</v>
      </c>
      <c r="AZ19" t="str">
        <v>107.828</v>
      </c>
      <c r="BA19" t="str">
        <v>53.634</v>
      </c>
      <c r="BB19" t="str">
        <v>26.478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125.191208</v>
      </c>
      <c r="BX19" t="str">
        <v>25</v>
      </c>
      <c r="BY19" t="str">
        <v>0.283416</v>
      </c>
      <c r="BZ19" t="str">
        <v>125.363586</v>
      </c>
      <c r="CA19" t="str">
        <v>125.596352</v>
      </c>
      <c r="CB19" t="str">
        <v>-0.232765</v>
      </c>
      <c r="CC19" t="str">
        <v>2.455060</v>
      </c>
      <c r="CD19" t="str">
        <v>2.469045</v>
      </c>
      <c r="CE19" t="str">
        <v>1.655394</v>
      </c>
      <c r="CF19" t="str">
        <v>0.574263</v>
      </c>
      <c r="CG19" t="str">
        <v>0.216175</v>
      </c>
      <c r="CH19" t="str">
        <v>0.013940</v>
      </c>
      <c r="CI19" t="str">
        <v>0.394538</v>
      </c>
      <c r="CJ19" t="str">
        <v>1.538607</v>
      </c>
      <c r="CK19" t="str">
        <v>119.543549</v>
      </c>
      <c r="CL19" t="str">
        <v>0.000242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PSF-00438_20251016132309_ce9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17</v>
      </c>
      <c r="B20" t="str">
        <v>13:25:55</v>
      </c>
      <c r="C20" t="str">
        <v>2025-10-16</v>
      </c>
      <c r="D20" t="str">
        <v>g34p_light_v2</v>
      </c>
      <c r="E20" t="str">
        <v>mrk</v>
      </c>
      <c r="F20" t="str">
        <v/>
      </c>
      <c r="G20" t="str">
        <v>147</v>
      </c>
      <c r="H20" t="str">
        <v>47599</v>
      </c>
      <c r="I20" t="str">
        <v/>
      </c>
      <c r="J20" t="str">
        <f>1/((1/L20)-(1/K20))</f>
        <v>0.087029</v>
      </c>
      <c r="K20" t="str">
        <f>BH20+(BI20*AN20)+(BJ20*AN20*POWER(V20,2))+(BK20*AN20*V20)+(BL20*POWER(AN20,2))</f>
        <v>2.920996</v>
      </c>
      <c r="L20" t="str">
        <f>((M20/1000)*(1000-((T20+S20)/2)))/(T20-S20)</f>
        <v>0.084511</v>
      </c>
      <c r="M20" t="str">
        <f>(AN20*(S20-R20))/(100*U20*(1000-S20))*1000</f>
        <v>3.007325</v>
      </c>
      <c r="N20" t="str">
        <v>1.959586</v>
      </c>
      <c r="O20" t="str">
        <v>1.884807</v>
      </c>
      <c r="P20" t="str">
        <f>0.61365*EXP((17.502*AL20)/(240.97+AL20))</f>
        <v>5.041545</v>
      </c>
      <c r="Q20" t="str">
        <f>P20-N20</f>
        <v>3.081959</v>
      </c>
      <c r="R20" t="str">
        <v>20.916904</v>
      </c>
      <c r="S20" t="str">
        <v>21.746780</v>
      </c>
      <c r="T20" t="str">
        <f>(P20/AM20)*1000</f>
        <v>55.949253</v>
      </c>
      <c r="U20" t="str">
        <f>V20*BG20</f>
        <v>0.441786</v>
      </c>
      <c r="V20" t="str">
        <v>7.500000</v>
      </c>
      <c r="W20" t="str">
        <v>PSF-00438_20251016132555_83b</v>
      </c>
      <c r="X20" t="str">
        <v>0.000000</v>
      </c>
      <c r="Y20" t="str">
        <v>0.000000</v>
      </c>
      <c r="Z20" t="str">
        <v>0.000000</v>
      </c>
      <c r="AA20" t="str">
        <v>104.752060</v>
      </c>
      <c r="AB20" t="str">
        <v>125.082321</v>
      </c>
      <c r="AC20" t="str">
        <v>0.162535</v>
      </c>
      <c r="AD20" t="str">
        <v>0.5</v>
      </c>
      <c r="AE20" t="str">
        <v>0.80</v>
      </c>
      <c r="AF20" t="str">
        <f>AC20*AD20*AE20*AQ20</f>
        <v>108.821716</v>
      </c>
      <c r="AG20" t="str">
        <v>1.000000</v>
      </c>
      <c r="AH20" t="str">
        <v>43.19</v>
      </c>
      <c r="AI20" t="str">
        <v>41.54</v>
      </c>
      <c r="AJ20" t="str">
        <v>31.10</v>
      </c>
      <c r="AK20" t="str">
        <v>32.96</v>
      </c>
      <c r="AL20" t="str">
        <f>(AK20-AJ20)*(AJ20*0+0)+AK20</f>
        <v>32.96</v>
      </c>
      <c r="AM20" t="str">
        <v>90.11</v>
      </c>
      <c r="AN20" t="str">
        <v>156.6</v>
      </c>
      <c r="AO20" t="str">
        <v>105.1</v>
      </c>
      <c r="AP20" t="str">
        <v>32.9</v>
      </c>
      <c r="AQ20" t="str">
        <v>1674</v>
      </c>
      <c r="AR20" t="str">
        <v>4.019</v>
      </c>
      <c r="AS20" t="str">
        <v>13:15:09</v>
      </c>
      <c r="AT20" t="str">
        <v>2025-10-16</v>
      </c>
      <c r="AU20" t="str">
        <v>0.05</v>
      </c>
      <c r="AV20" t="str">
        <v>1</v>
      </c>
      <c r="AW20" t="str">
        <v>0.037</v>
      </c>
      <c r="AX20" t="str">
        <v>0.033</v>
      </c>
      <c r="AY20" t="str">
        <v>0.015</v>
      </c>
      <c r="AZ20" t="str">
        <v>6.062</v>
      </c>
      <c r="BA20" t="str">
        <v>99.202</v>
      </c>
      <c r="BB20" t="str">
        <v>50.944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122.512581</v>
      </c>
      <c r="BX20" t="str">
        <v>25</v>
      </c>
      <c r="BY20" t="str">
        <v>-1.796181</v>
      </c>
      <c r="BZ20" t="str">
        <v>122.423172</v>
      </c>
      <c r="CA20" t="str">
        <v>122.514694</v>
      </c>
      <c r="CB20" t="str">
        <v>-0.091522</v>
      </c>
      <c r="CC20" t="str">
        <v>2.454878</v>
      </c>
      <c r="CD20" t="str">
        <v>2.471108</v>
      </c>
      <c r="CE20" t="str">
        <v>1.654754</v>
      </c>
      <c r="CF20" t="str">
        <v>0.813261</v>
      </c>
      <c r="CG20" t="str">
        <v>0.214187</v>
      </c>
      <c r="CH20" t="str">
        <v>0.022802</v>
      </c>
      <c r="CI20" t="str">
        <v>0.404957</v>
      </c>
      <c r="CJ20" t="str">
        <v>1.613016</v>
      </c>
      <c r="CK20" t="str">
        <v>104.752060</v>
      </c>
      <c r="CL20" t="str">
        <v>0.000244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PSF-00438_20251016132555_83b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18</v>
      </c>
      <c r="B21" t="str">
        <v>13:31:00</v>
      </c>
      <c r="C21" t="str">
        <v>2025-10-16</v>
      </c>
      <c r="D21" t="str">
        <v>g34p_light_v2</v>
      </c>
      <c r="E21" t="str">
        <v>mrk</v>
      </c>
      <c r="F21" t="str">
        <v/>
      </c>
      <c r="G21" t="str">
        <v>144</v>
      </c>
      <c r="H21" t="str">
        <v>60147</v>
      </c>
      <c r="I21" t="str">
        <v/>
      </c>
      <c r="J21" t="str">
        <f>1/((1/L21)-(1/K21))</f>
        <v>0.060720</v>
      </c>
      <c r="K21" t="str">
        <f>BH21+(BI21*AN21)+(BJ21*AN21*POWER(V21,2))+(BK21*AN21*V21)+(BL21*POWER(AN21,2))</f>
        <v>2.921981</v>
      </c>
      <c r="L21" t="str">
        <f>((M21/1000)*(1000-((T21+S21)/2)))/(T21-S21)</f>
        <v>0.059484</v>
      </c>
      <c r="M21" t="str">
        <f>(AN21*(S21-R21))/(100*U21*(1000-S21))*1000</f>
        <v>1.657462</v>
      </c>
      <c r="N21" t="str">
        <v>1.914829</v>
      </c>
      <c r="O21" t="str">
        <v>1.873623</v>
      </c>
      <c r="P21" t="str">
        <f>0.61365*EXP((17.502*AL21)/(240.97+AL21))</f>
        <v>4.338659</v>
      </c>
      <c r="Q21" t="str">
        <f>P21-N21</f>
        <v>2.423831</v>
      </c>
      <c r="R21" t="str">
        <v>20.791468</v>
      </c>
      <c r="S21" t="str">
        <v>21.248722</v>
      </c>
      <c r="T21" t="str">
        <f>(P21/AM21)*1000</f>
        <v>48.145809</v>
      </c>
      <c r="U21" t="str">
        <f>V21*BG21</f>
        <v>0.441786</v>
      </c>
      <c r="V21" t="str">
        <v>7.500000</v>
      </c>
      <c r="W21" t="str">
        <v>PSF-00438_20251016133100_6df</v>
      </c>
      <c r="X21" t="str">
        <v>0.000000</v>
      </c>
      <c r="Y21" t="str">
        <v>0.000000</v>
      </c>
      <c r="Z21" t="str">
        <v>0.000000</v>
      </c>
      <c r="AA21" t="str">
        <v>272.334686</v>
      </c>
      <c r="AB21" t="str">
        <v>375.408905</v>
      </c>
      <c r="AC21" t="str">
        <v>0.274565</v>
      </c>
      <c r="AD21" t="str">
        <v>0.5</v>
      </c>
      <c r="AE21" t="str">
        <v>0.80</v>
      </c>
      <c r="AF21" t="str">
        <f>AC21*AD21*AE21*AQ21</f>
        <v>177.474167</v>
      </c>
      <c r="AG21" t="str">
        <v>1.000000</v>
      </c>
      <c r="AH21" t="str">
        <v>41.65</v>
      </c>
      <c r="AI21" t="str">
        <v>40.76</v>
      </c>
      <c r="AJ21" t="str">
        <v>31.33</v>
      </c>
      <c r="AK21" t="str">
        <v>30.32</v>
      </c>
      <c r="AL21" t="str">
        <f>(AK21-AJ21)*(AJ21*0+0)+AK21</f>
        <v>30.32</v>
      </c>
      <c r="AM21" t="str">
        <v>90.11</v>
      </c>
      <c r="AN21" t="str">
        <v>156.7</v>
      </c>
      <c r="AO21" t="str">
        <v>156.9</v>
      </c>
      <c r="AP21" t="str">
        <v>-0.1</v>
      </c>
      <c r="AQ21" t="str">
        <v>1616</v>
      </c>
      <c r="AR21" t="str">
        <v>4.012</v>
      </c>
      <c r="AS21" t="str">
        <v>13:26:07</v>
      </c>
      <c r="AT21" t="str">
        <v>2025-10-16</v>
      </c>
      <c r="AU21" t="str">
        <v>0.03</v>
      </c>
      <c r="AV21" t="str">
        <v>1</v>
      </c>
      <c r="AW21" t="str">
        <v>0.034</v>
      </c>
      <c r="AX21" t="str">
        <v>0.015</v>
      </c>
      <c r="AY21" t="str">
        <v>0.003</v>
      </c>
      <c r="AZ21" t="str">
        <v>274.941</v>
      </c>
      <c r="BA21" t="str">
        <v>138.267</v>
      </c>
      <c r="BB21" t="str">
        <v>68.251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349.064484</v>
      </c>
      <c r="BX21" t="str">
        <v>25</v>
      </c>
      <c r="BY21" t="str">
        <v>-22.518333</v>
      </c>
      <c r="BZ21" t="str">
        <v>335.602631</v>
      </c>
      <c r="CA21" t="str">
        <v>343.219147</v>
      </c>
      <c r="CB21" t="str">
        <v>-7.616516</v>
      </c>
      <c r="CC21" t="str">
        <v>2.453770</v>
      </c>
      <c r="CD21" t="str">
        <v>2.469004</v>
      </c>
      <c r="CE21" t="str">
        <v>1.655785</v>
      </c>
      <c r="CF21" t="str">
        <v>0.938612</v>
      </c>
      <c r="CG21" t="str">
        <v>0.212244</v>
      </c>
      <c r="CH21" t="str">
        <v>-0.012020</v>
      </c>
      <c r="CI21" t="str">
        <v>0.423949</v>
      </c>
      <c r="CJ21" t="str">
        <v>1.560964</v>
      </c>
      <c r="CK21" t="str">
        <v>272.334686</v>
      </c>
      <c r="CL21" t="str">
        <v>0.000245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PSF-00438_20251016133100_6df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  <row r="22">
      <c r="A22" t="str">
        <v>19</v>
      </c>
      <c r="B22" t="str">
        <v>13:34:50</v>
      </c>
      <c r="C22" t="str">
        <v>2025-10-16</v>
      </c>
      <c r="D22" t="str">
        <v>g34p_light_v2</v>
      </c>
      <c r="E22" t="str">
        <v>mrk</v>
      </c>
      <c r="F22" t="str">
        <v/>
      </c>
      <c r="G22" t="str">
        <v>156</v>
      </c>
      <c r="H22" t="str">
        <v>68450</v>
      </c>
      <c r="I22" t="str">
        <v/>
      </c>
      <c r="J22" t="str">
        <f>1/((1/L22)-(1/K22))</f>
        <v>0.000300</v>
      </c>
      <c r="K22" t="str">
        <f>BH22+(BI22*AN22)+(BJ22*AN22*POWER(V22,2))+(BK22*AN22*V22)+(BL22*POWER(AN22,2))</f>
        <v>2.922156</v>
      </c>
      <c r="L22" t="str">
        <f>((M22/1000)*(1000-((T22+S22)/2)))/(T22-S22)</f>
        <v>0.000300</v>
      </c>
      <c r="M22" t="str">
        <f>(AN22*(S22-R22))/(100*U22*(1000-S22))*1000</f>
        <v>0.010266</v>
      </c>
      <c r="N22" t="str">
        <v>1.872584</v>
      </c>
      <c r="O22" t="str">
        <v>1.872328</v>
      </c>
      <c r="P22" t="str">
        <f>0.61365*EXP((17.502*AL22)/(240.97+AL22))</f>
        <v>4.846088</v>
      </c>
      <c r="Q22" t="str">
        <f>P22-N22</f>
        <v>2.973505</v>
      </c>
      <c r="R22" t="str">
        <v>20.777330</v>
      </c>
      <c r="S22" t="str">
        <v>20.780163</v>
      </c>
      <c r="T22" t="str">
        <f>(P22/AM22)*1000</f>
        <v>53.777309</v>
      </c>
      <c r="U22" t="str">
        <f>V22*BG22</f>
        <v>0.441786</v>
      </c>
      <c r="V22" t="str">
        <v>7.500000</v>
      </c>
      <c r="W22" t="str">
        <v>PSF-00438_20251016133450_81a</v>
      </c>
      <c r="X22" t="str">
        <v>0.000000</v>
      </c>
      <c r="Y22" t="str">
        <v>0.000000</v>
      </c>
      <c r="Z22" t="str">
        <v>0.000000</v>
      </c>
      <c r="AA22" t="str">
        <v>152.940628</v>
      </c>
      <c r="AB22" t="str">
        <v>208.845642</v>
      </c>
      <c r="AC22" t="str">
        <v>0.267686</v>
      </c>
      <c r="AD22" t="str">
        <v>0.5</v>
      </c>
      <c r="AE22" t="str">
        <v>0.80</v>
      </c>
      <c r="AF22" t="str">
        <f>AC22*AD22*AE22*AQ22</f>
        <v>175.970764</v>
      </c>
      <c r="AG22" t="str">
        <v>1.000000</v>
      </c>
      <c r="AH22" t="str">
        <v>40.05</v>
      </c>
      <c r="AI22" t="str">
        <v>40.05</v>
      </c>
      <c r="AJ22" t="str">
        <v>31.63</v>
      </c>
      <c r="AK22" t="str">
        <v>32.26</v>
      </c>
      <c r="AL22" t="str">
        <f>(AK22-AJ22)*(AJ22*0+0)+AK22</f>
        <v>32.26</v>
      </c>
      <c r="AM22" t="str">
        <v>90.11</v>
      </c>
      <c r="AN22" t="str">
        <v>156.8</v>
      </c>
      <c r="AO22" t="str">
        <v>35.2</v>
      </c>
      <c r="AP22" t="str">
        <v>77.6</v>
      </c>
      <c r="AQ22" t="str">
        <v>1643</v>
      </c>
      <c r="AR22" t="str">
        <v>4.007</v>
      </c>
      <c r="AS22" t="str">
        <v>13:26:07</v>
      </c>
      <c r="AT22" t="str">
        <v>2025-10-16</v>
      </c>
      <c r="AU22" t="str">
        <v>0.03</v>
      </c>
      <c r="AV22" t="str">
        <v>1</v>
      </c>
      <c r="AW22" t="str">
        <v>0.001</v>
      </c>
      <c r="AX22" t="str">
        <v>0.004</v>
      </c>
      <c r="AY22" t="str">
        <v>0.004</v>
      </c>
      <c r="AZ22" t="str">
        <v>67.987</v>
      </c>
      <c r="BA22" t="str">
        <v>33.153</v>
      </c>
      <c r="BB22" t="str">
        <v>16.645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197.517151</v>
      </c>
      <c r="BX22" t="str">
        <v>25</v>
      </c>
      <c r="BY22" t="str">
        <v>-8.156175</v>
      </c>
      <c r="BZ22" t="str">
        <v>194.709778</v>
      </c>
      <c r="CA22" t="str">
        <v>197.186462</v>
      </c>
      <c r="CB22" t="str">
        <v>-2.476685</v>
      </c>
      <c r="CC22" t="str">
        <v>2.452755</v>
      </c>
      <c r="CD22" t="str">
        <v>2.466768</v>
      </c>
      <c r="CE22" t="str">
        <v>1.655968</v>
      </c>
      <c r="CF22" t="str">
        <v>0.666278</v>
      </c>
      <c r="CG22" t="str">
        <v>0.209789</v>
      </c>
      <c r="CH22" t="str">
        <v>0.007819</v>
      </c>
      <c r="CI22" t="str">
        <v>0.437454</v>
      </c>
      <c r="CJ22" t="str">
        <v>1.585692</v>
      </c>
      <c r="CK22" t="str">
        <v>152.940628</v>
      </c>
      <c r="CL22" t="str">
        <v>0.000243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PSF-00438_20251016133450_81a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2025-10-05T12:52:38.073Z</v>
      </c>
    </row>
    <row r="23">
      <c r="A23" t="str">
        <v>20</v>
      </c>
      <c r="B23" t="str">
        <v>13:38:31</v>
      </c>
      <c r="C23" t="str">
        <v>2025-10-16</v>
      </c>
      <c r="D23" t="str">
        <v>g34p_light_v2</v>
      </c>
      <c r="E23" t="str">
        <v>mrk</v>
      </c>
      <c r="F23" t="str">
        <v/>
      </c>
      <c r="G23" t="str">
        <v>136</v>
      </c>
      <c r="H23" t="str">
        <v>58750</v>
      </c>
      <c r="I23" t="str">
        <v/>
      </c>
      <c r="J23" t="str">
        <f>1/((1/L23)-(1/K23))</f>
        <v>0.011976</v>
      </c>
      <c r="K23" t="str">
        <f>BH23+(BI23*AN23)+(BJ23*AN23*POWER(V23,2))+(BK23*AN23*V23)+(BL23*POWER(AN23,2))</f>
        <v>2.923235</v>
      </c>
      <c r="L23" t="str">
        <f>((M23/1000)*(1000-((T23+S23)/2)))/(T23-S23)</f>
        <v>0.011927</v>
      </c>
      <c r="M23" t="str">
        <f>(AN23*(S23-R23))/(100*U23*(1000-S23))*1000</f>
        <v>0.401460</v>
      </c>
      <c r="N23" t="str">
        <v>1.844842</v>
      </c>
      <c r="O23" t="str">
        <v>1.834867</v>
      </c>
      <c r="P23" t="str">
        <f>0.61365*EXP((17.502*AL23)/(240.97+AL23))</f>
        <v>4.766073</v>
      </c>
      <c r="Q23" t="str">
        <f>P23-N23</f>
        <v>2.921230</v>
      </c>
      <c r="R23" t="str">
        <v>20.366812</v>
      </c>
      <c r="S23" t="str">
        <v>20.477543</v>
      </c>
      <c r="T23" t="str">
        <f>(P23/AM23)*1000</f>
        <v>52.902870</v>
      </c>
      <c r="U23" t="str">
        <f>V23*BG23</f>
        <v>0.441786</v>
      </c>
      <c r="V23" t="str">
        <v>7.500000</v>
      </c>
      <c r="W23" t="str">
        <v>PSF-00438_20251016133831_1d5</v>
      </c>
      <c r="X23" t="str">
        <v>0.000000</v>
      </c>
      <c r="Y23" t="str">
        <v>0.000000</v>
      </c>
      <c r="Z23" t="str">
        <v>0.000000</v>
      </c>
      <c r="AA23" t="str">
        <v>230.561249</v>
      </c>
      <c r="AB23" t="str">
        <v>263.127563</v>
      </c>
      <c r="AC23" t="str">
        <v>0.123766</v>
      </c>
      <c r="AD23" t="str">
        <v>0.5</v>
      </c>
      <c r="AE23" t="str">
        <v>0.80</v>
      </c>
      <c r="AF23" t="str">
        <f>AC23*AD23*AE23*AQ23</f>
        <v>78.526131</v>
      </c>
      <c r="AG23" t="str">
        <v>1.000000</v>
      </c>
      <c r="AH23" t="str">
        <v>39.62</v>
      </c>
      <c r="AI23" t="str">
        <v>39.41</v>
      </c>
      <c r="AJ23" t="str">
        <v>31.56</v>
      </c>
      <c r="AK23" t="str">
        <v>31.97</v>
      </c>
      <c r="AL23" t="str">
        <f>(AK23-AJ23)*(AJ23*0+0)+AK23</f>
        <v>31.97</v>
      </c>
      <c r="AM23" t="str">
        <v>90.09</v>
      </c>
      <c r="AN23" t="str">
        <v>156.9</v>
      </c>
      <c r="AO23" t="str">
        <v>157.2</v>
      </c>
      <c r="AP23" t="str">
        <v>-0.2</v>
      </c>
      <c r="AQ23" t="str">
        <v>1586</v>
      </c>
      <c r="AR23" t="str">
        <v>4.002</v>
      </c>
      <c r="AS23" t="str">
        <v>13:26:07</v>
      </c>
      <c r="AT23" t="str">
        <v>2025-10-16</v>
      </c>
      <c r="AU23" t="str">
        <v>0.03</v>
      </c>
      <c r="AV23" t="str">
        <v>1</v>
      </c>
      <c r="AW23" t="str">
        <v>0.000</v>
      </c>
      <c r="AX23" t="str">
        <v>-9999.000</v>
      </c>
      <c r="AY23" t="str">
        <v>-9999.000</v>
      </c>
      <c r="AZ23" t="str">
        <v>-0.875</v>
      </c>
      <c r="BA23" t="str">
        <v>-9999.000</v>
      </c>
      <c r="BB23" t="str">
        <v>-9999.000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256.732117</v>
      </c>
      <c r="BX23" t="str">
        <v>25</v>
      </c>
      <c r="BY23" t="str">
        <v>-5.327486</v>
      </c>
      <c r="BZ23" t="str">
        <v>253.929733</v>
      </c>
      <c r="CA23" t="str">
        <v>255.511963</v>
      </c>
      <c r="CB23" t="str">
        <v>-1.582230</v>
      </c>
      <c r="CC23" t="str">
        <v>2.451900</v>
      </c>
      <c r="CD23" t="str">
        <v>2.466190</v>
      </c>
      <c r="CE23" t="str">
        <v>1.657101</v>
      </c>
      <c r="CF23" t="str">
        <v>0.939288</v>
      </c>
      <c r="CG23" t="str">
        <v>0.210371</v>
      </c>
      <c r="CH23" t="str">
        <v>0.005096</v>
      </c>
      <c r="CI23" t="str">
        <v>0.449580</v>
      </c>
      <c r="CJ23" t="str">
        <v>1.534177</v>
      </c>
      <c r="CK23" t="str">
        <v>230.561249</v>
      </c>
      <c r="CL23" t="str">
        <v>0.000245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PSF-00438_20251016133831_1d5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2025-10-05T12:52:38.073Z</v>
      </c>
    </row>
    <row r="24">
      <c r="A24" t="str">
        <v>21</v>
      </c>
      <c r="B24" t="str">
        <v>13:41:30</v>
      </c>
      <c r="C24" t="str">
        <v>2025-10-16</v>
      </c>
      <c r="D24" t="str">
        <v>g34p_light_v2</v>
      </c>
      <c r="E24" t="str">
        <v>mrk</v>
      </c>
      <c r="F24" t="str">
        <v/>
      </c>
      <c r="G24" t="str">
        <v>153</v>
      </c>
      <c r="H24" t="str">
        <v>29166</v>
      </c>
      <c r="I24" t="str">
        <v/>
      </c>
      <c r="J24" t="str">
        <f>1/((1/L24)-(1/K24))</f>
        <v>0.054556</v>
      </c>
      <c r="K24" t="str">
        <f>BH24+(BI24*AN24)+(BJ24*AN24*POWER(V24,2))+(BK24*AN24*V24)+(BL24*POWER(AN24,2))</f>
        <v>2.922333</v>
      </c>
      <c r="L24" t="str">
        <f>((M24/1000)*(1000-((T24+S24)/2)))/(T24-S24)</f>
        <v>0.053556</v>
      </c>
      <c r="M24" t="str">
        <f>(AN24*(S24-R24))/(100*U24*(1000-S24))*1000</f>
        <v>1.562020</v>
      </c>
      <c r="N24" t="str">
        <v>1.872451</v>
      </c>
      <c r="O24" t="str">
        <v>1.833615</v>
      </c>
      <c r="P24" t="str">
        <f>0.61365*EXP((17.502*AL24)/(240.97+AL24))</f>
        <v>4.408802</v>
      </c>
      <c r="Q24" t="str">
        <f>P24-N24</f>
        <v>2.536351</v>
      </c>
      <c r="R24" t="str">
        <v>20.350216</v>
      </c>
      <c r="S24" t="str">
        <v>20.781227</v>
      </c>
      <c r="T24" t="str">
        <f>(P24/AM24)*1000</f>
        <v>48.930687</v>
      </c>
      <c r="U24" t="str">
        <f>V24*BG24</f>
        <v>0.441786</v>
      </c>
      <c r="V24" t="str">
        <v>7.500000</v>
      </c>
      <c r="W24" t="str">
        <v>PSF-00438_20251016134130_40c</v>
      </c>
      <c r="X24" t="str">
        <v>0.000000</v>
      </c>
      <c r="Y24" t="str">
        <v>0.000000</v>
      </c>
      <c r="Z24" t="str">
        <v>0.000000</v>
      </c>
      <c r="AA24" t="str">
        <v>210.044861</v>
      </c>
      <c r="AB24" t="str">
        <v>247.488281</v>
      </c>
      <c r="AC24" t="str">
        <v>0.151294</v>
      </c>
      <c r="AD24" t="str">
        <v>0.5</v>
      </c>
      <c r="AE24" t="str">
        <v>0.80</v>
      </c>
      <c r="AF24" t="str">
        <f>AC24*AD24*AE24*AQ24</f>
        <v>98.015976</v>
      </c>
      <c r="AG24" t="str">
        <v>1.000000</v>
      </c>
      <c r="AH24" t="str">
        <v>40.45</v>
      </c>
      <c r="AI24" t="str">
        <v>39.61</v>
      </c>
      <c r="AJ24" t="str">
        <v>31.45</v>
      </c>
      <c r="AK24" t="str">
        <v>30.60</v>
      </c>
      <c r="AL24" t="str">
        <f>(AK24-AJ24)*(AJ24*0+0)+AK24</f>
        <v>30.60</v>
      </c>
      <c r="AM24" t="str">
        <v>90.10</v>
      </c>
      <c r="AN24" t="str">
        <v>156.8</v>
      </c>
      <c r="AO24" t="str">
        <v>157.1</v>
      </c>
      <c r="AP24" t="str">
        <v>-0.2</v>
      </c>
      <c r="AQ24" t="str">
        <v>1620</v>
      </c>
      <c r="AR24" t="str">
        <v>3.998</v>
      </c>
      <c r="AS24" t="str">
        <v>13:38:44</v>
      </c>
      <c r="AT24" t="str">
        <v>2025-10-16</v>
      </c>
      <c r="AU24" t="str">
        <v>0.07</v>
      </c>
      <c r="AV24" t="str">
        <v>1</v>
      </c>
      <c r="AW24" t="str">
        <v>0.033</v>
      </c>
      <c r="AX24" t="str">
        <v>0.013</v>
      </c>
      <c r="AY24" t="str">
        <v>0.020</v>
      </c>
      <c r="AZ24" t="str">
        <v>99.916</v>
      </c>
      <c r="BA24" t="str">
        <v>154.748</v>
      </c>
      <c r="BB24" t="str">
        <v>77.671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241.910934</v>
      </c>
      <c r="BX24" t="str">
        <v>25</v>
      </c>
      <c r="BY24" t="str">
        <v>-4.140967</v>
      </c>
      <c r="BZ24" t="str">
        <v>240.291946</v>
      </c>
      <c r="CA24" t="str">
        <v>241.568802</v>
      </c>
      <c r="CB24" t="str">
        <v>-1.276855</v>
      </c>
      <c r="CC24" t="str">
        <v>2.452203</v>
      </c>
      <c r="CD24" t="str">
        <v>2.467291</v>
      </c>
      <c r="CE24" t="str">
        <v>1.656154</v>
      </c>
      <c r="CF24" t="str">
        <v>0.939060</v>
      </c>
      <c r="CG24" t="str">
        <v>0.211240</v>
      </c>
      <c r="CH24" t="str">
        <v>-0.010131</v>
      </c>
      <c r="CI24" t="str">
        <v>0.459025</v>
      </c>
      <c r="CJ24" t="str">
        <v>1.564270</v>
      </c>
      <c r="CK24" t="str">
        <v>210.044861</v>
      </c>
      <c r="CL24" t="str">
        <v>0.000243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PSF-00438_20251016134130_40c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2025-10-05T12:52:38.073Z</v>
      </c>
    </row>
    <row r="25">
      <c r="A25" t="str">
        <v>22</v>
      </c>
      <c r="B25" t="str">
        <v>13:44:28</v>
      </c>
      <c r="C25" t="str">
        <v>2025-10-16</v>
      </c>
      <c r="D25" t="str">
        <v>g34p_light_v2</v>
      </c>
      <c r="E25" t="str">
        <v>mrk</v>
      </c>
      <c r="F25" t="str">
        <v/>
      </c>
      <c r="G25" t="str">
        <v>157</v>
      </c>
      <c r="H25" t="str">
        <v>61216</v>
      </c>
      <c r="I25" t="str">
        <v/>
      </c>
      <c r="J25" t="str">
        <f>1/((1/L25)-(1/K25))</f>
        <v>0.094562</v>
      </c>
      <c r="K25" t="str">
        <f>BH25+(BI25*AN25)+(BJ25*AN25*POWER(V25,2))+(BK25*AN25*V25)+(BL25*POWER(AN25,2))</f>
        <v>2.922411</v>
      </c>
      <c r="L25" t="str">
        <f>((M25/1000)*(1000-((T25+S25)/2)))/(T25-S25)</f>
        <v>0.091598</v>
      </c>
      <c r="M25" t="str">
        <f>(AN25*(S25-R25))/(100*U25*(1000-S25))*1000</f>
        <v>2.790426</v>
      </c>
      <c r="N25" t="str">
        <v>1.886769</v>
      </c>
      <c r="O25" t="str">
        <v>1.817424</v>
      </c>
      <c r="P25" t="str">
        <f>0.61365*EXP((17.502*AL25)/(240.97+AL25))</f>
        <v>4.533249</v>
      </c>
      <c r="Q25" t="str">
        <f>P25-N25</f>
        <v>2.646481</v>
      </c>
      <c r="R25" t="str">
        <v>20.174936</v>
      </c>
      <c r="S25" t="str">
        <v>20.944725</v>
      </c>
      <c r="T25" t="str">
        <f>(P25/AM25)*1000</f>
        <v>50.322887</v>
      </c>
      <c r="U25" t="str">
        <f>V25*BG25</f>
        <v>0.441786</v>
      </c>
      <c r="V25" t="str">
        <v>7.500000</v>
      </c>
      <c r="W25" t="str">
        <v>PSF-00438_20251016134428_87b</v>
      </c>
      <c r="X25" t="str">
        <v>0.000000</v>
      </c>
      <c r="Y25" t="str">
        <v>0.000000</v>
      </c>
      <c r="Z25" t="str">
        <v>0.000000</v>
      </c>
      <c r="AA25" t="str">
        <v>389.660248</v>
      </c>
      <c r="AB25" t="str">
        <v>479.850464</v>
      </c>
      <c r="AC25" t="str">
        <v>0.187955</v>
      </c>
      <c r="AD25" t="str">
        <v>0.5</v>
      </c>
      <c r="AE25" t="str">
        <v>0.80</v>
      </c>
      <c r="AF25" t="str">
        <f>AC25*AD25*AE25*AQ25</f>
        <v>105.394081</v>
      </c>
      <c r="AG25" t="str">
        <v>1.000000</v>
      </c>
      <c r="AH25" t="str">
        <v>40.85</v>
      </c>
      <c r="AI25" t="str">
        <v>39.35</v>
      </c>
      <c r="AJ25" t="str">
        <v>31.41</v>
      </c>
      <c r="AK25" t="str">
        <v>31.08</v>
      </c>
      <c r="AL25" t="str">
        <f>(AK25-AJ25)*(AJ25*0+0)+AK25</f>
        <v>31.08</v>
      </c>
      <c r="AM25" t="str">
        <v>90.08</v>
      </c>
      <c r="AN25" t="str">
        <v>156.8</v>
      </c>
      <c r="AO25" t="str">
        <v>157.4</v>
      </c>
      <c r="AP25" t="str">
        <v>-0.4</v>
      </c>
      <c r="AQ25" t="str">
        <v>1402</v>
      </c>
      <c r="AR25" t="str">
        <v>3.994</v>
      </c>
      <c r="AS25" t="str">
        <v>13:38:44</v>
      </c>
      <c r="AT25" t="str">
        <v>2025-10-16</v>
      </c>
      <c r="AU25" t="str">
        <v>0.07</v>
      </c>
      <c r="AV25" t="str">
        <v>1</v>
      </c>
      <c r="AW25" t="str">
        <v>0.070</v>
      </c>
      <c r="AX25" t="str">
        <v>0.033</v>
      </c>
      <c r="AY25" t="str">
        <v>0.018</v>
      </c>
      <c r="AZ25" t="str">
        <v>368.968</v>
      </c>
      <c r="BA25" t="str">
        <v>194.694</v>
      </c>
      <c r="BB25" t="str">
        <v>96.790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469.322571</v>
      </c>
      <c r="BX25" t="str">
        <v>25</v>
      </c>
      <c r="BY25" t="str">
        <v>-9.688989</v>
      </c>
      <c r="BZ25" t="str">
        <v>461.853516</v>
      </c>
      <c r="CA25" t="str">
        <v>466.000153</v>
      </c>
      <c r="CB25" t="str">
        <v>-4.146637</v>
      </c>
      <c r="CC25" t="str">
        <v>2.451852</v>
      </c>
      <c r="CD25" t="str">
        <v>2.467840</v>
      </c>
      <c r="CE25" t="str">
        <v>1.656236</v>
      </c>
      <c r="CF25" t="str">
        <v>0.939891</v>
      </c>
      <c r="CG25" t="str">
        <v>0.211556</v>
      </c>
      <c r="CH25" t="str">
        <v>-0.003826</v>
      </c>
      <c r="CI25" t="str">
        <v>0.468864</v>
      </c>
      <c r="CJ25" t="str">
        <v>1.368364</v>
      </c>
      <c r="CK25" t="str">
        <v>389.660248</v>
      </c>
      <c r="CL25" t="str">
        <v>0.000246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PSF-00438_20251016134428_87b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2025-10-05T12:52:38.073Z</v>
      </c>
    </row>
    <row r="26">
      <c r="A26" t="str">
        <v>23</v>
      </c>
      <c r="B26" t="str">
        <v>13:47:02</v>
      </c>
      <c r="C26" t="str">
        <v>2025-10-16</v>
      </c>
      <c r="D26" t="str">
        <v>g34p_light_v2</v>
      </c>
      <c r="E26" t="str">
        <v>mrk</v>
      </c>
      <c r="F26" t="str">
        <v/>
      </c>
      <c r="G26" t="str">
        <v>159</v>
      </c>
      <c r="H26" t="str">
        <v>59878</v>
      </c>
      <c r="I26" t="str">
        <v/>
      </c>
      <c r="J26" t="str">
        <f>1/((1/L26)-(1/K26))</f>
        <v>0.081791</v>
      </c>
      <c r="K26" t="str">
        <f>BH26+(BI26*AN26)+(BJ26*AN26*POWER(V26,2))+(BK26*AN26*V26)+(BL26*POWER(AN26,2))</f>
        <v>2.921881</v>
      </c>
      <c r="L26" t="str">
        <f>((M26/1000)*(1000-((T26+S26)/2)))/(T26-S26)</f>
        <v>0.079564</v>
      </c>
      <c r="M26" t="str">
        <f>(AN26*(S26-R26))/(100*U26*(1000-S26))*1000</f>
        <v>2.800838</v>
      </c>
      <c r="N26" t="str">
        <v>1.910833</v>
      </c>
      <c r="O26" t="str">
        <v>1.841219</v>
      </c>
      <c r="P26" t="str">
        <f>0.61365*EXP((17.502*AL26)/(240.97+AL26))</f>
        <v>4.961020</v>
      </c>
      <c r="Q26" t="str">
        <f>P26-N26</f>
        <v>3.050188</v>
      </c>
      <c r="R26" t="str">
        <v>20.439194</v>
      </c>
      <c r="S26" t="str">
        <v>21.211971</v>
      </c>
      <c r="T26" t="str">
        <f>(P26/AM26)*1000</f>
        <v>55.071815</v>
      </c>
      <c r="U26" t="str">
        <f>V26*BG26</f>
        <v>0.441786</v>
      </c>
      <c r="V26" t="str">
        <v>7.500000</v>
      </c>
      <c r="W26" t="str">
        <v>PSF-00438_20251016134702_edc</v>
      </c>
      <c r="X26" t="str">
        <v>0.000000</v>
      </c>
      <c r="Y26" t="str">
        <v>0.000000</v>
      </c>
      <c r="Z26" t="str">
        <v>0.000000</v>
      </c>
      <c r="AA26" t="str">
        <v>173.515320</v>
      </c>
      <c r="AB26" t="str">
        <v>206.207520</v>
      </c>
      <c r="AC26" t="str">
        <v>0.158540</v>
      </c>
      <c r="AD26" t="str">
        <v>0.5</v>
      </c>
      <c r="AE26" t="str">
        <v>0.80</v>
      </c>
      <c r="AF26" t="str">
        <f>AC26*AD26*AE26*AQ26</f>
        <v>101.504913</v>
      </c>
      <c r="AG26" t="str">
        <v>1.000000</v>
      </c>
      <c r="AH26" t="str">
        <v>41.58</v>
      </c>
      <c r="AI26" t="str">
        <v>40.06</v>
      </c>
      <c r="AJ26" t="str">
        <v>31.33</v>
      </c>
      <c r="AK26" t="str">
        <v>32.68</v>
      </c>
      <c r="AL26" t="str">
        <f>(AK26-AJ26)*(AJ26*0+0)+AK26</f>
        <v>32.68</v>
      </c>
      <c r="AM26" t="str">
        <v>90.08</v>
      </c>
      <c r="AN26" t="str">
        <v>156.7</v>
      </c>
      <c r="AO26" t="str">
        <v>157.5</v>
      </c>
      <c r="AP26" t="str">
        <v>-0.5</v>
      </c>
      <c r="AQ26" t="str">
        <v>1601</v>
      </c>
      <c r="AR26" t="str">
        <v>3.991</v>
      </c>
      <c r="AS26" t="str">
        <v>13:38:44</v>
      </c>
      <c r="AT26" t="str">
        <v>2025-10-16</v>
      </c>
      <c r="AU26" t="str">
        <v>0.07</v>
      </c>
      <c r="AV26" t="str">
        <v>1</v>
      </c>
      <c r="AW26" t="str">
        <v>0.005</v>
      </c>
      <c r="AX26" t="str">
        <v>-0.007</v>
      </c>
      <c r="AY26" t="str">
        <v>-0.041</v>
      </c>
      <c r="AZ26" t="str">
        <v>132.301</v>
      </c>
      <c r="BA26" t="str">
        <v>66.968</v>
      </c>
      <c r="BB26" t="str">
        <v>32.690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206.207520</v>
      </c>
      <c r="BX26" t="str">
        <v>25</v>
      </c>
      <c r="BY26" t="str">
        <v>0.780077</v>
      </c>
      <c r="BZ26" t="str">
        <v>209.537033</v>
      </c>
      <c r="CA26" t="str">
        <v>207.322632</v>
      </c>
      <c r="CB26" t="str">
        <v>2.214401</v>
      </c>
      <c r="CC26" t="str">
        <v>2.452832</v>
      </c>
      <c r="CD26" t="str">
        <v>2.468843</v>
      </c>
      <c r="CE26" t="str">
        <v>1.655680</v>
      </c>
      <c r="CF26" t="str">
        <v>0.940028</v>
      </c>
      <c r="CG26" t="str">
        <v>0.212278</v>
      </c>
      <c r="CH26" t="str">
        <v>0.016532</v>
      </c>
      <c r="CI26" t="str">
        <v>0.476776</v>
      </c>
      <c r="CJ26" t="str">
        <v>1.547165</v>
      </c>
      <c r="CK26" t="str">
        <v>172.840469</v>
      </c>
      <c r="CL26" t="str">
        <v>0.000247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PSF-00438_20251016134702_edc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2025-10-05T12:52:38.073Z</v>
      </c>
    </row>
    <row r="27">
      <c r="A27" t="str">
        <v>24</v>
      </c>
      <c r="B27" t="str">
        <v>13:49:58</v>
      </c>
      <c r="C27" t="str">
        <v>2025-10-16</v>
      </c>
      <c r="D27" t="str">
        <v>g34p_light_v2</v>
      </c>
      <c r="E27" t="str">
        <v>mrk</v>
      </c>
      <c r="F27" t="str">
        <v/>
      </c>
      <c r="G27" t="str">
        <v>137</v>
      </c>
      <c r="H27" t="str">
        <v>46261</v>
      </c>
      <c r="I27" t="str">
        <v/>
      </c>
      <c r="J27" t="str">
        <f>1/((1/L27)-(1/K27))</f>
        <v>0.053991</v>
      </c>
      <c r="K27" t="str">
        <f>BH27+(BI27*AN27)+(BJ27*AN27*POWER(V27,2))+(BK27*AN27*V27)+(BL27*POWER(AN27,2))</f>
        <v>2.922625</v>
      </c>
      <c r="L27" t="str">
        <f>((M27/1000)*(1000-((T27+S27)/2)))/(T27-S27)</f>
        <v>0.053011</v>
      </c>
      <c r="M27" t="str">
        <f>(AN27*(S27-R27))/(100*U27*(1000-S27))*1000</f>
        <v>1.601806</v>
      </c>
      <c r="N27" t="str">
        <v>1.875596</v>
      </c>
      <c r="O27" t="str">
        <v>1.835787</v>
      </c>
      <c r="P27" t="str">
        <f>0.61365*EXP((17.502*AL27)/(240.97+AL27))</f>
        <v>4.501542</v>
      </c>
      <c r="Q27" t="str">
        <f>P27-N27</f>
        <v>2.625946</v>
      </c>
      <c r="R27" t="str">
        <v>20.376461</v>
      </c>
      <c r="S27" t="str">
        <v>20.818331</v>
      </c>
      <c r="T27" t="str">
        <f>(P27/AM27)*1000</f>
        <v>49.965225</v>
      </c>
      <c r="U27" t="str">
        <f>V27*BG27</f>
        <v>0.441786</v>
      </c>
      <c r="V27" t="str">
        <v>7.500000</v>
      </c>
      <c r="W27" t="str">
        <v>PSF-00438_20251016134958_0df</v>
      </c>
      <c r="X27" t="str">
        <v>0.000000</v>
      </c>
      <c r="Y27" t="str">
        <v>0.000000</v>
      </c>
      <c r="Z27" t="str">
        <v>0.000000</v>
      </c>
      <c r="AA27" t="str">
        <v>279.393555</v>
      </c>
      <c r="AB27" t="str">
        <v>323.591705</v>
      </c>
      <c r="AC27" t="str">
        <v>0.136586</v>
      </c>
      <c r="AD27" t="str">
        <v>0.5</v>
      </c>
      <c r="AE27" t="str">
        <v>0.80</v>
      </c>
      <c r="AF27" t="str">
        <f>AC27*AD27*AE27*AQ27</f>
        <v>89.453873</v>
      </c>
      <c r="AG27" t="str">
        <v>1.000000</v>
      </c>
      <c r="AH27" t="str">
        <v>40.70</v>
      </c>
      <c r="AI27" t="str">
        <v>39.83</v>
      </c>
      <c r="AJ27" t="str">
        <v>31.37</v>
      </c>
      <c r="AK27" t="str">
        <v>30.96</v>
      </c>
      <c r="AL27" t="str">
        <f>(AK27-AJ27)*(AJ27*0+0)+AK27</f>
        <v>30.96</v>
      </c>
      <c r="AM27" t="str">
        <v>90.09</v>
      </c>
      <c r="AN27" t="str">
        <v>156.8</v>
      </c>
      <c r="AO27" t="str">
        <v>157.2</v>
      </c>
      <c r="AP27" t="str">
        <v>-0.2</v>
      </c>
      <c r="AQ27" t="str">
        <v>1637</v>
      </c>
      <c r="AR27" t="str">
        <v>3.987</v>
      </c>
      <c r="AS27" t="str">
        <v>13:38:44</v>
      </c>
      <c r="AT27" t="str">
        <v>2025-10-16</v>
      </c>
      <c r="AU27" t="str">
        <v>0.07</v>
      </c>
      <c r="AV27" t="str">
        <v>1</v>
      </c>
      <c r="AW27" t="str">
        <v>0.031</v>
      </c>
      <c r="AX27" t="str">
        <v>0.022</v>
      </c>
      <c r="AY27" t="str">
        <v>0.029</v>
      </c>
      <c r="AZ27" t="str">
        <v>207.314</v>
      </c>
      <c r="BA27" t="str">
        <v>173.811</v>
      </c>
      <c r="BB27" t="str">
        <v>87.058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315.115936</v>
      </c>
      <c r="BX27" t="str">
        <v>25</v>
      </c>
      <c r="BY27" t="str">
        <v>-6.506714</v>
      </c>
      <c r="BZ27" t="str">
        <v>312.170135</v>
      </c>
      <c r="CA27" t="str">
        <v>314.290405</v>
      </c>
      <c r="CB27" t="str">
        <v>-2.120270</v>
      </c>
      <c r="CC27" t="str">
        <v>2.452516</v>
      </c>
      <c r="CD27" t="str">
        <v>2.467640</v>
      </c>
      <c r="CE27" t="str">
        <v>1.656460</v>
      </c>
      <c r="CF27" t="str">
        <v>0.939273</v>
      </c>
      <c r="CG27" t="str">
        <v>0.211877</v>
      </c>
      <c r="CH27" t="str">
        <v>-0.004839</v>
      </c>
      <c r="CI27" t="str">
        <v>0.485878</v>
      </c>
      <c r="CJ27" t="str">
        <v>1.580179</v>
      </c>
      <c r="CK27" t="str">
        <v>279.393555</v>
      </c>
      <c r="CL27" t="str">
        <v>0.000244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PSF-00438_20251016134958_0df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2025-10-05T12:52:38.073Z</v>
      </c>
    </row>
    <row r="28">
      <c r="A28" t="str">
        <v>25</v>
      </c>
      <c r="B28" t="str">
        <v>13:53:30</v>
      </c>
      <c r="C28" t="str">
        <v>2025-10-16</v>
      </c>
      <c r="D28" t="str">
        <v>g34p_light_v2</v>
      </c>
      <c r="E28" t="str">
        <v>mrk</v>
      </c>
      <c r="F28" t="str">
        <v/>
      </c>
      <c r="G28" t="str">
        <v>150</v>
      </c>
      <c r="H28" t="str">
        <v>60591</v>
      </c>
      <c r="I28" t="str">
        <v/>
      </c>
      <c r="J28" t="str">
        <f>1/((1/L28)-(1/K28))</f>
        <v>0.010043</v>
      </c>
      <c r="K28" t="str">
        <f>BH28+(BI28*AN28)+(BJ28*AN28*POWER(V28,2))+(BK28*AN28*V28)+(BL28*POWER(AN28,2))</f>
        <v>2.921378</v>
      </c>
      <c r="L28" t="str">
        <f>((M28/1000)*(1000-((T28+S28)/2)))/(T28-S28)</f>
        <v>0.010009</v>
      </c>
      <c r="M28" t="str">
        <f>(AN28*(S28-R28))/(100*U28*(1000-S28))*1000</f>
        <v>0.393959</v>
      </c>
      <c r="N28" t="str">
        <v>1.876430</v>
      </c>
      <c r="O28" t="str">
        <v>1.866632</v>
      </c>
      <c r="P28" t="str">
        <f>0.61365*EXP((17.502*AL28)/(240.97+AL28))</f>
        <v>5.280899</v>
      </c>
      <c r="Q28" t="str">
        <f>P28-N28</f>
        <v>3.404469</v>
      </c>
      <c r="R28" t="str">
        <v>20.724352</v>
      </c>
      <c r="S28" t="str">
        <v>20.833134</v>
      </c>
      <c r="T28" t="str">
        <f>(P28/AM28)*1000</f>
        <v>58.631371</v>
      </c>
      <c r="U28" t="str">
        <f>V28*BG28</f>
        <v>0.441786</v>
      </c>
      <c r="V28" t="str">
        <v>7.500000</v>
      </c>
      <c r="W28" t="str">
        <v>PSF-00438_20251016135330_783</v>
      </c>
      <c r="X28" t="str">
        <v>0.000000</v>
      </c>
      <c r="Y28" t="str">
        <v>0.000000</v>
      </c>
      <c r="Z28" t="str">
        <v>0.000000</v>
      </c>
      <c r="AA28" t="str">
        <v>124.970200</v>
      </c>
      <c r="AB28" t="str">
        <v>167.597992</v>
      </c>
      <c r="AC28" t="str">
        <v>0.254345</v>
      </c>
      <c r="AD28" t="str">
        <v>0.5</v>
      </c>
      <c r="AE28" t="str">
        <v>0.80</v>
      </c>
      <c r="AF28" t="str">
        <f>AC28*AD28*AE28*AQ28</f>
        <v>171.030640</v>
      </c>
      <c r="AG28" t="str">
        <v>1.000000</v>
      </c>
      <c r="AH28" t="str">
        <v>40.63</v>
      </c>
      <c r="AI28" t="str">
        <v>40.42</v>
      </c>
      <c r="AJ28" t="str">
        <v>31.41</v>
      </c>
      <c r="AK28" t="str">
        <v>33.79</v>
      </c>
      <c r="AL28" t="str">
        <f>(AK28-AJ28)*(AJ28*0+0)+AK28</f>
        <v>33.79</v>
      </c>
      <c r="AM28" t="str">
        <v>90.07</v>
      </c>
      <c r="AN28" t="str">
        <v>156.7</v>
      </c>
      <c r="AO28" t="str">
        <v>157.1</v>
      </c>
      <c r="AP28" t="str">
        <v>-0.3</v>
      </c>
      <c r="AQ28" t="str">
        <v>1681</v>
      </c>
      <c r="AR28" t="str">
        <v>3.982</v>
      </c>
      <c r="AS28" t="str">
        <v>13:50:11</v>
      </c>
      <c r="AT28" t="str">
        <v>2025-10-16</v>
      </c>
      <c r="AU28" t="str">
        <v>0.05</v>
      </c>
      <c r="AV28" t="str">
        <v>1</v>
      </c>
      <c r="AW28" t="str">
        <v>0.002</v>
      </c>
      <c r="AX28" t="str">
        <v>0.001</v>
      </c>
      <c r="AY28" t="str">
        <v>0.008</v>
      </c>
      <c r="AZ28" t="str">
        <v>4.970</v>
      </c>
      <c r="BA28" t="str">
        <v>147.634</v>
      </c>
      <c r="BB28" t="str">
        <v>74.036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166.416412</v>
      </c>
      <c r="BX28" t="str">
        <v>25</v>
      </c>
      <c r="BY28" t="str">
        <v>-0.749092</v>
      </c>
      <c r="BZ28" t="str">
        <v>167.119507</v>
      </c>
      <c r="CA28" t="str">
        <v>166.527176</v>
      </c>
      <c r="CB28" t="str">
        <v>0.592331</v>
      </c>
      <c r="CC28" t="str">
        <v>2.453300</v>
      </c>
      <c r="CD28" t="str">
        <v>2.467566</v>
      </c>
      <c r="CE28" t="str">
        <v>1.655154</v>
      </c>
      <c r="CF28" t="str">
        <v>0.939142</v>
      </c>
      <c r="CG28" t="str">
        <v>0.211577</v>
      </c>
      <c r="CH28" t="str">
        <v>0.029239</v>
      </c>
      <c r="CI28" t="str">
        <v>0.496030</v>
      </c>
      <c r="CJ28" t="str">
        <v>1.619553</v>
      </c>
      <c r="CK28" t="str">
        <v>124.970200</v>
      </c>
      <c r="CL28" t="str">
        <v>0.000242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PSF-00438_20251016135330_783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2025-10-05T12:52:38.073Z</v>
      </c>
    </row>
    <row r="29">
      <c r="A29" t="str">
        <v>26</v>
      </c>
      <c r="B29" t="str">
        <v>13:56:22</v>
      </c>
      <c r="C29" t="str">
        <v>2025-10-16</v>
      </c>
      <c r="D29" t="str">
        <v>g34p_light_v2</v>
      </c>
      <c r="E29" t="str">
        <v>mrk</v>
      </c>
      <c r="F29" t="str">
        <v/>
      </c>
      <c r="G29" t="str">
        <v>133</v>
      </c>
      <c r="H29" t="str">
        <v/>
      </c>
      <c r="I29" t="str">
        <v/>
      </c>
      <c r="J29" t="str">
        <f>1/((1/L29)-(1/K29))</f>
        <v>0.223189</v>
      </c>
      <c r="K29" t="str">
        <f>BH29+(BI29*AN29)+(BJ29*AN29*POWER(V29,2))+(BK29*AN29*V29)+(BL29*POWER(AN29,2))</f>
        <v>2.920892</v>
      </c>
      <c r="L29" t="str">
        <f>((M29/1000)*(1000-((T29+S29)/2)))/(T29-S29)</f>
        <v>0.207346</v>
      </c>
      <c r="M29" t="str">
        <f>(AN29*(S29-R29))/(100*U29*(1000-S29))*1000</f>
        <v>6.427360</v>
      </c>
      <c r="N29" t="str">
        <v>2.017335</v>
      </c>
      <c r="O29" t="str">
        <v>1.857689</v>
      </c>
      <c r="P29" t="str">
        <f>0.61365*EXP((17.502*AL29)/(240.97+AL29))</f>
        <v>4.704945</v>
      </c>
      <c r="Q29" t="str">
        <f>P29-N29</f>
        <v>2.687610</v>
      </c>
      <c r="R29" t="str">
        <v>20.626551</v>
      </c>
      <c r="S29" t="str">
        <v>22.399151</v>
      </c>
      <c r="T29" t="str">
        <f>(P29/AM29)*1000</f>
        <v>52.240601</v>
      </c>
      <c r="U29" t="str">
        <f>V29*BG29</f>
        <v>0.441786</v>
      </c>
      <c r="V29" t="str">
        <v>7.500000</v>
      </c>
      <c r="W29" t="str">
        <v>PSF-00438_20251016135622_9b1</v>
      </c>
      <c r="X29" t="str">
        <v>0.000000</v>
      </c>
      <c r="Y29" t="str">
        <v>0.000000</v>
      </c>
      <c r="Z29" t="str">
        <v>0.000000</v>
      </c>
      <c r="AA29" t="str">
        <v>110.532043</v>
      </c>
      <c r="AB29" t="str">
        <v>138.775955</v>
      </c>
      <c r="AC29" t="str">
        <v>0.203522</v>
      </c>
      <c r="AD29" t="str">
        <v>0.5</v>
      </c>
      <c r="AE29" t="str">
        <v>0.80</v>
      </c>
      <c r="AF29" t="str">
        <f>AC29*AD29*AE29*AQ29</f>
        <v>131.784454</v>
      </c>
      <c r="AG29" t="str">
        <v>1.000000</v>
      </c>
      <c r="AH29" t="str">
        <v>43.65</v>
      </c>
      <c r="AI29" t="str">
        <v>40.20</v>
      </c>
      <c r="AJ29" t="str">
        <v>31.42</v>
      </c>
      <c r="AK29" t="str">
        <v>31.74</v>
      </c>
      <c r="AL29" t="str">
        <f>(AK29-AJ29)*(AJ29*0+0)+AK29</f>
        <v>31.74</v>
      </c>
      <c r="AM29" t="str">
        <v>90.06</v>
      </c>
      <c r="AN29" t="str">
        <v>156.6</v>
      </c>
      <c r="AO29" t="str">
        <v>157.5</v>
      </c>
      <c r="AP29" t="str">
        <v>-0.6</v>
      </c>
      <c r="AQ29" t="str">
        <v>1619</v>
      </c>
      <c r="AR29" t="str">
        <v>3.978</v>
      </c>
      <c r="AS29" t="str">
        <v>13:50:11</v>
      </c>
      <c r="AT29" t="str">
        <v>2025-10-16</v>
      </c>
      <c r="AU29" t="str">
        <v>0.05</v>
      </c>
      <c r="AV29" t="str">
        <v>1</v>
      </c>
      <c r="AW29" t="str">
        <v>0.034</v>
      </c>
      <c r="AX29" t="str">
        <v>-9999.000</v>
      </c>
      <c r="AY29" t="str">
        <v>-9999.000</v>
      </c>
      <c r="AZ29" t="str">
        <v>-0.014</v>
      </c>
      <c r="BA29" t="str">
        <v>-9999.000</v>
      </c>
      <c r="BB29" t="str">
        <v>-9999.000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133.332611</v>
      </c>
      <c r="BX29" t="str">
        <v>25</v>
      </c>
      <c r="BY29" t="str">
        <v>-3.904028</v>
      </c>
      <c r="BZ29" t="str">
        <v>132.269379</v>
      </c>
      <c r="CA29" t="str">
        <v>133.195175</v>
      </c>
      <c r="CB29" t="str">
        <v>-0.925797</v>
      </c>
      <c r="CC29" t="str">
        <v>2.452996</v>
      </c>
      <c r="CD29" t="str">
        <v>2.471649</v>
      </c>
      <c r="CE29" t="str">
        <v>1.654646</v>
      </c>
      <c r="CF29" t="str">
        <v>0.940061</v>
      </c>
      <c r="CG29" t="str">
        <v>0.211469</v>
      </c>
      <c r="CH29" t="str">
        <v>0.003937</v>
      </c>
      <c r="CI29" t="str">
        <v>0.504242</v>
      </c>
      <c r="CJ29" t="str">
        <v>1.563524</v>
      </c>
      <c r="CK29" t="str">
        <v>111.196159</v>
      </c>
      <c r="CL29" t="str">
        <v>0.000245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PSF-00438_20251016135622_9b1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2025-10-05T12:52:38.073Z</v>
      </c>
    </row>
    <row r="30">
      <c r="A30" t="str">
        <v>27</v>
      </c>
      <c r="B30" t="str">
        <v>13:59:28</v>
      </c>
      <c r="C30" t="str">
        <v>2025-10-16</v>
      </c>
      <c r="D30" t="str">
        <v>g34p_light_v2</v>
      </c>
      <c r="E30" t="str">
        <v>mrk</v>
      </c>
      <c r="F30" t="str">
        <v/>
      </c>
      <c r="G30" t="str">
        <v>141</v>
      </c>
      <c r="H30" t="str">
        <v>61784</v>
      </c>
      <c r="I30" t="str">
        <v/>
      </c>
      <c r="J30" t="str">
        <f>1/((1/L30)-(1/K30))</f>
        <v>0.283298</v>
      </c>
      <c r="K30" t="str">
        <f>BH30+(BI30*AN30)+(BJ30*AN30*POWER(V30,2))+(BK30*AN30*V30)+(BL30*POWER(AN30,2))</f>
        <v>2.922302</v>
      </c>
      <c r="L30" t="str">
        <f>((M30/1000)*(1000-((T30+S30)/2)))/(T30-S30)</f>
        <v>0.258261</v>
      </c>
      <c r="M30" t="str">
        <f>(AN30*(S30-R30))/(100*U30*(1000-S30))*1000</f>
        <v>7.389886</v>
      </c>
      <c r="N30" t="str">
        <v>2.028672</v>
      </c>
      <c r="O30" t="str">
        <v>1.845341</v>
      </c>
      <c r="P30" t="str">
        <f>0.61365*EXP((17.502*AL30)/(240.97+AL30))</f>
        <v>4.512228</v>
      </c>
      <c r="Q30" t="str">
        <f>P30-N30</f>
        <v>2.483556</v>
      </c>
      <c r="R30" t="str">
        <v>20.488882</v>
      </c>
      <c r="S30" t="str">
        <v>22.524405</v>
      </c>
      <c r="T30" t="str">
        <f>(P30/AM30)*1000</f>
        <v>50.099403</v>
      </c>
      <c r="U30" t="str">
        <f>V30*BG30</f>
        <v>0.441786</v>
      </c>
      <c r="V30" t="str">
        <v>7.500000</v>
      </c>
      <c r="W30" t="str">
        <v>PSF-00438_20251016135928_922</v>
      </c>
      <c r="X30" t="str">
        <v>0.000000</v>
      </c>
      <c r="Y30" t="str">
        <v>0.000000</v>
      </c>
      <c r="Z30" t="str">
        <v>0.000000</v>
      </c>
      <c r="AA30" t="str">
        <v>106.839180</v>
      </c>
      <c r="AB30" t="str">
        <v>153.563049</v>
      </c>
      <c r="AC30" t="str">
        <v>0.304265</v>
      </c>
      <c r="AD30" t="str">
        <v>0.5</v>
      </c>
      <c r="AE30" t="str">
        <v>0.80</v>
      </c>
      <c r="AF30" t="str">
        <f>AC30*AD30*AE30*AQ30</f>
        <v>29.096491</v>
      </c>
      <c r="AG30" t="str">
        <v>1.000000</v>
      </c>
      <c r="AH30" t="str">
        <v>43.95</v>
      </c>
      <c r="AI30" t="str">
        <v>39.98</v>
      </c>
      <c r="AJ30" t="str">
        <v>31.40</v>
      </c>
      <c r="AK30" t="str">
        <v>31.00</v>
      </c>
      <c r="AL30" t="str">
        <f>(AK30-AJ30)*(AJ30*0+0)+AK30</f>
        <v>31.00</v>
      </c>
      <c r="AM30" t="str">
        <v>90.07</v>
      </c>
      <c r="AN30" t="str">
        <v>156.8</v>
      </c>
      <c r="AO30" t="str">
        <v>157.6</v>
      </c>
      <c r="AP30" t="str">
        <v>-0.5</v>
      </c>
      <c r="AQ30" t="str">
        <v>239</v>
      </c>
      <c r="AR30" t="str">
        <v>3.974</v>
      </c>
      <c r="AS30" t="str">
        <v>13:50:11</v>
      </c>
      <c r="AT30" t="str">
        <v>2025-10-16</v>
      </c>
      <c r="AU30" t="str">
        <v>0.05</v>
      </c>
      <c r="AV30" t="str">
        <v>1</v>
      </c>
      <c r="AW30" t="str">
        <v>0.183</v>
      </c>
      <c r="AX30" t="str">
        <v>0.094</v>
      </c>
      <c r="AY30" t="str">
        <v>0.076</v>
      </c>
      <c r="AZ30" t="str">
        <v>38.956</v>
      </c>
      <c r="BA30" t="str">
        <v>95.328</v>
      </c>
      <c r="BB30" t="str">
        <v>47.857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145.026321</v>
      </c>
      <c r="BX30" t="str">
        <v>25</v>
      </c>
      <c r="BY30" t="str">
        <v>-10.437170</v>
      </c>
      <c r="BZ30" t="str">
        <v>136.256226</v>
      </c>
      <c r="CA30" t="str">
        <v>138.643204</v>
      </c>
      <c r="CB30" t="str">
        <v>-2.386978</v>
      </c>
      <c r="CC30" t="str">
        <v>2.452704</v>
      </c>
      <c r="CD30" t="str">
        <v>2.472055</v>
      </c>
      <c r="CE30" t="str">
        <v>1.656121</v>
      </c>
      <c r="CF30" t="str">
        <v>0.940274</v>
      </c>
      <c r="CG30" t="str">
        <v>0.211645</v>
      </c>
      <c r="CH30" t="str">
        <v>-0.004677</v>
      </c>
      <c r="CI30" t="str">
        <v>0.513181</v>
      </c>
      <c r="CJ30" t="str">
        <v>0.322363</v>
      </c>
      <c r="CK30" t="str">
        <v>106.839180</v>
      </c>
      <c r="CL30" t="str">
        <v>0.000245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PSF-00438_20251016135928_922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2025-10-05T12:52:38.073Z</v>
      </c>
    </row>
    <row r="31">
      <c r="A31" t="str">
        <v>28</v>
      </c>
      <c r="B31" t="str">
        <v>14:03:13</v>
      </c>
      <c r="C31" t="str">
        <v>2025-10-16</v>
      </c>
      <c r="D31" t="str">
        <v>g34p_light_v2</v>
      </c>
      <c r="E31" t="str">
        <v>mrk</v>
      </c>
      <c r="F31" t="str">
        <v/>
      </c>
      <c r="G31" t="str">
        <v>146</v>
      </c>
      <c r="H31" t="str">
        <v>60482</v>
      </c>
      <c r="I31" t="str">
        <v/>
      </c>
      <c r="J31" t="str">
        <f>1/((1/L31)-(1/K31))</f>
        <v>0.025635</v>
      </c>
      <c r="K31" t="str">
        <f>BH31+(BI31*AN31)+(BJ31*AN31*POWER(V31,2))+(BK31*AN31*V31)+(BL31*POWER(AN31,2))</f>
        <v>2.922240</v>
      </c>
      <c r="L31" t="str">
        <f>((M31/1000)*(1000-((T31+S31)/2)))/(T31-S31)</f>
        <v>0.025412</v>
      </c>
      <c r="M31" t="str">
        <f>(AN31*(S31-R31))/(100*U31*(1000-S31))*1000</f>
        <v>0.863485</v>
      </c>
      <c r="N31" t="str">
        <v>1.885976</v>
      </c>
      <c r="O31" t="str">
        <v>1.864519</v>
      </c>
      <c r="P31" t="str">
        <f>0.61365*EXP((17.502*AL31)/(240.97+AL31))</f>
        <v>4.832197</v>
      </c>
      <c r="Q31" t="str">
        <f>P31-N31</f>
        <v>2.946221</v>
      </c>
      <c r="R31" t="str">
        <v>20.701633</v>
      </c>
      <c r="S31" t="str">
        <v>20.939875</v>
      </c>
      <c r="T31" t="str">
        <f>(P31/AM31)*1000</f>
        <v>53.651581</v>
      </c>
      <c r="U31" t="str">
        <f>V31*BG31</f>
        <v>0.441786</v>
      </c>
      <c r="V31" t="str">
        <v>7.500000</v>
      </c>
      <c r="W31" t="str">
        <v>PSF-00438_20251016140313_86f</v>
      </c>
      <c r="X31" t="str">
        <v>0.000000</v>
      </c>
      <c r="Y31" t="str">
        <v>0.000000</v>
      </c>
      <c r="Z31" t="str">
        <v>0.000000</v>
      </c>
      <c r="AA31" t="str">
        <v>124.825714</v>
      </c>
      <c r="AB31" t="str">
        <v>168.591156</v>
      </c>
      <c r="AC31" t="str">
        <v>0.259595</v>
      </c>
      <c r="AD31" t="str">
        <v>0.5</v>
      </c>
      <c r="AE31" t="str">
        <v>0.80</v>
      </c>
      <c r="AF31" t="str">
        <f>AC31*AD31*AE31*AQ31</f>
        <v>138.407288</v>
      </c>
      <c r="AG31" t="str">
        <v>1.000000</v>
      </c>
      <c r="AH31" t="str">
        <v>40.60</v>
      </c>
      <c r="AI31" t="str">
        <v>40.13</v>
      </c>
      <c r="AJ31" t="str">
        <v>31.52</v>
      </c>
      <c r="AK31" t="str">
        <v>32.21</v>
      </c>
      <c r="AL31" t="str">
        <f>(AK31-AJ31)*(AJ31*0+0)+AK31</f>
        <v>32.21</v>
      </c>
      <c r="AM31" t="str">
        <v>90.07</v>
      </c>
      <c r="AN31" t="str">
        <v>156.8</v>
      </c>
      <c r="AO31" t="str">
        <v>-16.6</v>
      </c>
      <c r="AP31" t="str">
        <v>110.6</v>
      </c>
      <c r="AQ31" t="str">
        <v>1333</v>
      </c>
      <c r="AR31" t="str">
        <v>3.939</v>
      </c>
      <c r="AS31" t="str">
        <v>13:50:11</v>
      </c>
      <c r="AT31" t="str">
        <v>2025-10-16</v>
      </c>
      <c r="AU31" t="str">
        <v>0.05</v>
      </c>
      <c r="AV31" t="str">
        <v>1</v>
      </c>
      <c r="AW31" t="str">
        <v>0.005</v>
      </c>
      <c r="AX31" t="str">
        <v>-0.001</v>
      </c>
      <c r="AY31" t="str">
        <v>-0.004</v>
      </c>
      <c r="AZ31" t="str">
        <v>71.260</v>
      </c>
      <c r="BA31" t="str">
        <v>88.599</v>
      </c>
      <c r="BB31" t="str">
        <v>43.579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165.264130</v>
      </c>
      <c r="BX31" t="str">
        <v>25</v>
      </c>
      <c r="BY31" t="str">
        <v>-2.261858</v>
      </c>
      <c r="BZ31" t="str">
        <v>165.579910</v>
      </c>
      <c r="CA31" t="str">
        <v>165.357849</v>
      </c>
      <c r="CB31" t="str">
        <v>0.222061</v>
      </c>
      <c r="CC31" t="str">
        <v>2.452893</v>
      </c>
      <c r="CD31" t="str">
        <v>2.467495</v>
      </c>
      <c r="CE31" t="str">
        <v>1.656057</v>
      </c>
      <c r="CF31" t="str">
        <v>0.571900</v>
      </c>
      <c r="CG31" t="str">
        <v>0.210707</v>
      </c>
      <c r="CH31" t="str">
        <v>0.008549</v>
      </c>
      <c r="CI31" t="str">
        <v>0.522608</v>
      </c>
      <c r="CJ31" t="str">
        <v>1.306349</v>
      </c>
      <c r="CK31" t="str">
        <v>124.825714</v>
      </c>
      <c r="CL31" t="str">
        <v>0.000246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PSF-00438_20251016140313_86f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2025-10-05T12:52:38.073Z</v>
      </c>
    </row>
    <row r="32">
      <c r="A32" t="str">
        <v>29</v>
      </c>
      <c r="B32" t="str">
        <v>14:06:35</v>
      </c>
      <c r="C32" t="str">
        <v>2025-10-16</v>
      </c>
      <c r="D32" t="str">
        <v>g34p_light_v2</v>
      </c>
      <c r="E32" t="str">
        <v>mrk</v>
      </c>
      <c r="F32" t="str">
        <v/>
      </c>
      <c r="G32" t="str">
        <v>148</v>
      </c>
      <c r="H32" t="str">
        <v>47251</v>
      </c>
      <c r="I32" t="str">
        <v/>
      </c>
      <c r="J32" t="str">
        <f>1/((1/L32)-(1/K32))</f>
        <v>-0.015781</v>
      </c>
      <c r="K32" t="str">
        <f>BH32+(BI32*AN32)+(BJ32*AN32*POWER(V32,2))+(BK32*AN32*V32)+(BL32*POWER(AN32,2))</f>
        <v>2.922325</v>
      </c>
      <c r="L32" t="str">
        <f>((M32/1000)*(1000-((T32+S32)/2)))/(T32-S32)</f>
        <v>-0.015867</v>
      </c>
      <c r="M32" t="str">
        <f>(AN32*(S32-R32))/(100*U32*(1000-S32))*1000</f>
        <v>-0.538392</v>
      </c>
      <c r="N32" t="str">
        <v>1.857838</v>
      </c>
      <c r="O32" t="str">
        <v>1.871219</v>
      </c>
      <c r="P32" t="str">
        <f>0.61365*EXP((17.502*AL32)/(240.97+AL32))</f>
        <v>4.800658</v>
      </c>
      <c r="Q32" t="str">
        <f>P32-N32</f>
        <v>2.942820</v>
      </c>
      <c r="R32" t="str">
        <v>20.778681</v>
      </c>
      <c r="S32" t="str">
        <v>20.630096</v>
      </c>
      <c r="T32" t="str">
        <f>(P32/AM32)*1000</f>
        <v>53.308220</v>
      </c>
      <c r="U32" t="str">
        <f>V32*BG32</f>
        <v>0.441786</v>
      </c>
      <c r="V32" t="str">
        <v>7.500000</v>
      </c>
      <c r="W32" t="str">
        <v>PSF-00438_20251016140635_0d2</v>
      </c>
      <c r="X32" t="str">
        <v>0.000000</v>
      </c>
      <c r="Y32" t="str">
        <v>0.000000</v>
      </c>
      <c r="Z32" t="str">
        <v>0.000000</v>
      </c>
      <c r="AA32" t="str">
        <v>198.459152</v>
      </c>
      <c r="AB32" t="str">
        <v>233.679489</v>
      </c>
      <c r="AC32" t="str">
        <v>0.150721</v>
      </c>
      <c r="AD32" t="str">
        <v>0.5</v>
      </c>
      <c r="AE32" t="str">
        <v>0.80</v>
      </c>
      <c r="AF32" t="str">
        <f>AC32*AD32*AE32*AQ32</f>
        <v>98.552322</v>
      </c>
      <c r="AG32" t="str">
        <v>1.000000</v>
      </c>
      <c r="AH32" t="str">
        <v>39.70</v>
      </c>
      <c r="AI32" t="str">
        <v>39.99</v>
      </c>
      <c r="AJ32" t="str">
        <v>31.64</v>
      </c>
      <c r="AK32" t="str">
        <v>32.09</v>
      </c>
      <c r="AL32" t="str">
        <f>(AK32-AJ32)*(AJ32*0+0)+AK32</f>
        <v>32.09</v>
      </c>
      <c r="AM32" t="str">
        <v>90.05</v>
      </c>
      <c r="AN32" t="str">
        <v>156.8</v>
      </c>
      <c r="AO32" t="str">
        <v>-3.4</v>
      </c>
      <c r="AP32" t="str">
        <v>102.2</v>
      </c>
      <c r="AQ32" t="str">
        <v>1635</v>
      </c>
      <c r="AR32" t="str">
        <v>3.936</v>
      </c>
      <c r="AS32" t="str">
        <v>14:03:25</v>
      </c>
      <c r="AT32" t="str">
        <v>2025-10-16</v>
      </c>
      <c r="AU32" t="str">
        <v>0.06</v>
      </c>
      <c r="AV32" t="str">
        <v>1</v>
      </c>
      <c r="AW32" t="str">
        <v>-0.001</v>
      </c>
      <c r="AX32" t="str">
        <v>-0.003</v>
      </c>
      <c r="AY32" t="str">
        <v>-0.021</v>
      </c>
      <c r="AZ32" t="str">
        <v>-0.648</v>
      </c>
      <c r="BA32" t="str">
        <v>192.232</v>
      </c>
      <c r="BB32" t="str">
        <v>103.005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225.775116</v>
      </c>
      <c r="BX32" t="str">
        <v>25</v>
      </c>
      <c r="BY32" t="str">
        <v>-6.169531</v>
      </c>
      <c r="BZ32" t="str">
        <v>222.597595</v>
      </c>
      <c r="CA32" t="str">
        <v>224.860199</v>
      </c>
      <c r="CB32" t="str">
        <v>-2.262604</v>
      </c>
      <c r="CC32" t="str">
        <v>2.452667</v>
      </c>
      <c r="CD32" t="str">
        <v>2.466238</v>
      </c>
      <c r="CE32" t="str">
        <v>1.656145</v>
      </c>
      <c r="CF32" t="str">
        <v>0.594947</v>
      </c>
      <c r="CG32" t="str">
        <v>0.209646</v>
      </c>
      <c r="CH32" t="str">
        <v>0.005581</v>
      </c>
      <c r="CI32" t="str">
        <v>0.531269</v>
      </c>
      <c r="CJ32" t="str">
        <v>1.577812</v>
      </c>
      <c r="CK32" t="str">
        <v>198.459152</v>
      </c>
      <c r="CL32" t="str">
        <v>0.000244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PSF-00438_20251016140635_0d2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2025-10-05T12:52:38.073Z</v>
      </c>
    </row>
    <row r="33">
      <c r="A33" t="str">
        <v>30</v>
      </c>
      <c r="B33" t="str">
        <v>14:13:28</v>
      </c>
      <c r="C33" t="str">
        <v>2025-10-16</v>
      </c>
      <c r="D33" t="str">
        <v>g34p_light_v2</v>
      </c>
      <c r="E33" t="str">
        <v>mrk</v>
      </c>
      <c r="F33" t="str">
        <v/>
      </c>
      <c r="G33" t="str">
        <v>126</v>
      </c>
      <c r="H33" t="str">
        <v/>
      </c>
      <c r="I33" t="str">
        <v/>
      </c>
      <c r="J33" t="str">
        <f>1/((1/L33)-(1/K33))</f>
        <v>0.097586</v>
      </c>
      <c r="K33" t="str">
        <f>BH33+(BI33*AN33)+(BJ33*AN33*POWER(V33,2))+(BK33*AN33*V33)+(BL33*POWER(AN33,2))</f>
        <v>2.922802</v>
      </c>
      <c r="L33" t="str">
        <f>((M33/1000)*(1000-((T33+S33)/2)))/(T33-S33)</f>
        <v>0.094433</v>
      </c>
      <c r="M33" t="str">
        <f>(AN33*(S33-R33))/(100*U33*(1000-S33))*1000</f>
        <v>2.711179</v>
      </c>
      <c r="N33" t="str">
        <v>2.033029</v>
      </c>
      <c r="O33" t="str">
        <v>1.965814</v>
      </c>
      <c r="P33" t="str">
        <f>0.61365*EXP((17.502*AL33)/(240.97+AL33))</f>
        <v>4.524134</v>
      </c>
      <c r="Q33" t="str">
        <f>P33-N33</f>
        <v>2.491105</v>
      </c>
      <c r="R33" t="str">
        <v>21.831095</v>
      </c>
      <c r="S33" t="str">
        <v>22.577545</v>
      </c>
      <c r="T33" t="str">
        <f>(P33/AM33)*1000</f>
        <v>50.242191</v>
      </c>
      <c r="U33" t="str">
        <f>V33*BG33</f>
        <v>0.441786</v>
      </c>
      <c r="V33" t="str">
        <v>7.500000</v>
      </c>
      <c r="W33" t="str">
        <v>PSF-00438_20251016141328_1bc</v>
      </c>
      <c r="X33" t="str">
        <v>0.000000</v>
      </c>
      <c r="Y33" t="str">
        <v>0.000000</v>
      </c>
      <c r="Z33" t="str">
        <v>0.000000</v>
      </c>
      <c r="AA33" t="str">
        <v>206.580872</v>
      </c>
      <c r="AB33" t="str">
        <v>510.367004</v>
      </c>
      <c r="AC33" t="str">
        <v>0.595231</v>
      </c>
      <c r="AD33" t="str">
        <v>0.5</v>
      </c>
      <c r="AE33" t="str">
        <v>0.80</v>
      </c>
      <c r="AF33" t="str">
        <f>AC33*AD33*AE33*AQ33</f>
        <v>61.992310</v>
      </c>
      <c r="AG33" t="str">
        <v>1.000000</v>
      </c>
      <c r="AH33" t="str">
        <v>42.76</v>
      </c>
      <c r="AI33" t="str">
        <v>41.35</v>
      </c>
      <c r="AJ33" t="str">
        <v>31.92</v>
      </c>
      <c r="AK33" t="str">
        <v>31.05</v>
      </c>
      <c r="AL33" t="str">
        <f>(AK33-AJ33)*(AJ33*0+0)+AK33</f>
        <v>31.05</v>
      </c>
      <c r="AM33" t="str">
        <v>90.05</v>
      </c>
      <c r="AN33" t="str">
        <v>156.8</v>
      </c>
      <c r="AO33" t="str">
        <v>157.3</v>
      </c>
      <c r="AP33" t="str">
        <v>-0.3</v>
      </c>
      <c r="AQ33" t="str">
        <v>260</v>
      </c>
      <c r="AR33" t="str">
        <v>3.956</v>
      </c>
      <c r="AS33" t="str">
        <v>14:03:25</v>
      </c>
      <c r="AT33" t="str">
        <v>2025-10-16</v>
      </c>
      <c r="AU33" t="str">
        <v>0.06</v>
      </c>
      <c r="AV33" t="str">
        <v>1</v>
      </c>
      <c r="AW33" t="str">
        <v>-0.001</v>
      </c>
      <c r="AX33" t="str">
        <v>0.004</v>
      </c>
      <c r="AY33" t="str">
        <v>-9999.000</v>
      </c>
      <c r="AZ33" t="str">
        <v>12.542</v>
      </c>
      <c r="BA33" t="str">
        <v>10.324</v>
      </c>
      <c r="BB33" t="str">
        <v>-9999.000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501.888153</v>
      </c>
      <c r="BX33" t="str">
        <v>25</v>
      </c>
      <c r="BY33" t="str">
        <v>-7.086303</v>
      </c>
      <c r="BZ33" t="str">
        <v>497.262238</v>
      </c>
      <c r="CA33" t="str">
        <v>500.237183</v>
      </c>
      <c r="CB33" t="str">
        <v>-2.974945</v>
      </c>
      <c r="CC33" t="str">
        <v>2.454445</v>
      </c>
      <c r="CD33" t="str">
        <v>2.470335</v>
      </c>
      <c r="CE33" t="str">
        <v>1.656646</v>
      </c>
      <c r="CF33" t="str">
        <v>0.939557</v>
      </c>
      <c r="CG33" t="str">
        <v>0.207367</v>
      </c>
      <c r="CH33" t="str">
        <v>-0.010418</v>
      </c>
      <c r="CI33" t="str">
        <v>0.547871</v>
      </c>
      <c r="CJ33" t="str">
        <v>0.341522</v>
      </c>
      <c r="CK33" t="str">
        <v>206.580872</v>
      </c>
      <c r="CL33" t="str">
        <v>0.000246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PSF-00438_20251016141328_1bc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2025-10-05T12:52:38.073Z</v>
      </c>
    </row>
    <row r="34">
      <c r="A34" t="str">
        <v>31</v>
      </c>
      <c r="B34" t="str">
        <v>14:15:45</v>
      </c>
      <c r="C34" t="str">
        <v>2025-10-16</v>
      </c>
      <c r="D34" t="str">
        <v>g34p_light_v2</v>
      </c>
      <c r="E34" t="str">
        <v>mrk</v>
      </c>
      <c r="F34" t="str">
        <v/>
      </c>
      <c r="G34" t="str">
        <v>117</v>
      </c>
      <c r="H34" t="str">
        <v/>
      </c>
      <c r="I34" t="str">
        <v/>
      </c>
      <c r="J34" t="str">
        <f>1/((1/L34)-(1/K34))</f>
        <v>0.245222</v>
      </c>
      <c r="K34" t="str">
        <f>BH34+(BI34*AN34)+(BJ34*AN34*POWER(V34,2))+(BK34*AN34*V34)+(BL34*POWER(AN34,2))</f>
        <v>2.922327</v>
      </c>
      <c r="L34" t="str">
        <f>((M34/1000)*(1000-((T34+S34)/2)))/(T34-S34)</f>
        <v>0.226238</v>
      </c>
      <c r="M34" t="str">
        <f>(AN34*(S34-R34))/(100*U34*(1000-S34))*1000</f>
        <v>4.887306</v>
      </c>
      <c r="N34" t="str">
        <v>2.074698</v>
      </c>
      <c r="O34" t="str">
        <v>1.953557</v>
      </c>
      <c r="P34" t="str">
        <f>0.61365*EXP((17.502*AL34)/(240.97+AL34))</f>
        <v>3.954608</v>
      </c>
      <c r="Q34" t="str">
        <f>P34-N34</f>
        <v>1.879910</v>
      </c>
      <c r="R34" t="str">
        <v>21.697145</v>
      </c>
      <c r="S34" t="str">
        <v>23.042599</v>
      </c>
      <c r="T34" t="str">
        <f>(P34/AM34)*1000</f>
        <v>43.921791</v>
      </c>
      <c r="U34" t="str">
        <f>V34*BG34</f>
        <v>0.441786</v>
      </c>
      <c r="V34" t="str">
        <v>7.500000</v>
      </c>
      <c r="W34" t="str">
        <v>PSF-00438_20251016141545_fa0</v>
      </c>
      <c r="X34" t="str">
        <v>0.000000</v>
      </c>
      <c r="Y34" t="str">
        <v>0.000000</v>
      </c>
      <c r="Z34" t="str">
        <v>0.000000</v>
      </c>
      <c r="AA34" t="str">
        <v>246.978882</v>
      </c>
      <c r="AB34" t="str">
        <v>466.674683</v>
      </c>
      <c r="AC34" t="str">
        <v>0.470769</v>
      </c>
      <c r="AD34" t="str">
        <v>0.5</v>
      </c>
      <c r="AE34" t="str">
        <v>0.80</v>
      </c>
      <c r="AF34" t="str">
        <f>AC34*AD34*AE34*AQ34</f>
        <v>67.302383</v>
      </c>
      <c r="AG34" t="str">
        <v>1.000000</v>
      </c>
      <c r="AH34" t="str">
        <v>43.69</v>
      </c>
      <c r="AI34" t="str">
        <v>41.14</v>
      </c>
      <c r="AJ34" t="str">
        <v>31.90</v>
      </c>
      <c r="AK34" t="str">
        <v>28.71</v>
      </c>
      <c r="AL34" t="str">
        <f>(AK34-AJ34)*(AJ34*0+0)+AK34</f>
        <v>28.71</v>
      </c>
      <c r="AM34" t="str">
        <v>90.04</v>
      </c>
      <c r="AN34" t="str">
        <v>156.8</v>
      </c>
      <c r="AO34" t="str">
        <v>157.5</v>
      </c>
      <c r="AP34" t="str">
        <v>-0.4</v>
      </c>
      <c r="AQ34" t="str">
        <v>357</v>
      </c>
      <c r="AR34" t="str">
        <v>3.923</v>
      </c>
      <c r="AS34" t="str">
        <v>14:13:40</v>
      </c>
      <c r="AT34" t="str">
        <v>2025-10-16</v>
      </c>
      <c r="AU34" t="str">
        <v>0.01</v>
      </c>
      <c r="AV34" t="str">
        <v>1</v>
      </c>
      <c r="AW34" t="str">
        <v>0.013</v>
      </c>
      <c r="AX34" t="str">
        <v>0.094</v>
      </c>
      <c r="AY34" t="str">
        <v>0.104</v>
      </c>
      <c r="AZ34" t="str">
        <v>22.294</v>
      </c>
      <c r="BA34" t="str">
        <v>125.384</v>
      </c>
      <c r="BB34" t="str">
        <v>170.167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466.674683</v>
      </c>
      <c r="BX34" t="str">
        <v>25</v>
      </c>
      <c r="BY34" t="str">
        <v>3.054693</v>
      </c>
      <c r="BZ34" t="str">
        <v>467.854858</v>
      </c>
      <c r="CA34" t="str">
        <v>471.041351</v>
      </c>
      <c r="CB34" t="str">
        <v>-3.186493</v>
      </c>
      <c r="CC34" t="str">
        <v>2.454165</v>
      </c>
      <c r="CD34" t="str">
        <v>2.471646</v>
      </c>
      <c r="CE34" t="str">
        <v>1.656147</v>
      </c>
      <c r="CF34" t="str">
        <v>0.939969</v>
      </c>
      <c r="CG34" t="str">
        <v>0.207529</v>
      </c>
      <c r="CH34" t="str">
        <v>-0.037924</v>
      </c>
      <c r="CI34" t="str">
        <v>0.552577</v>
      </c>
      <c r="CJ34" t="str">
        <v>0.428813</v>
      </c>
      <c r="CK34" t="str">
        <v>246.978882</v>
      </c>
      <c r="CL34" t="str">
        <v>0.000245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PSF-00438_20251016141545_fa0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2025-10-05T12:52:38.073Z</v>
      </c>
    </row>
    <row r="35">
      <c r="A35" t="str">
        <v>32</v>
      </c>
      <c r="B35" t="str">
        <v>14:19:00</v>
      </c>
      <c r="C35" t="str">
        <v>2025-10-16</v>
      </c>
      <c r="D35" t="str">
        <v>g34p_light_v2</v>
      </c>
      <c r="E35" t="str">
        <v>mrk</v>
      </c>
      <c r="F35" t="str">
        <v/>
      </c>
      <c r="G35" t="str">
        <v>122</v>
      </c>
      <c r="H35" t="str">
        <v/>
      </c>
      <c r="I35" t="str">
        <v/>
      </c>
      <c r="J35" t="str">
        <f>1/((1/L35)-(1/K35))</f>
        <v>0.050001</v>
      </c>
      <c r="K35" t="str">
        <f>BH35+(BI35*AN35)+(BJ35*AN35*POWER(V35,2))+(BK35*AN35*V35)+(BL35*POWER(AN35,2))</f>
        <v>2.921778</v>
      </c>
      <c r="L35" t="str">
        <f>((M35/1000)*(1000-((T35+S35)/2)))/(T35-S35)</f>
        <v>0.049160</v>
      </c>
      <c r="M35" t="str">
        <f>(AN35*(S35-R35))/(100*U35*(1000-S35))*1000</f>
        <v>1.632741</v>
      </c>
      <c r="N35" t="str">
        <v>1.921316</v>
      </c>
      <c r="O35" t="str">
        <v>1.880750</v>
      </c>
      <c r="P35" t="str">
        <f>0.61365*EXP((17.502*AL35)/(240.97+AL35))</f>
        <v>4.800593</v>
      </c>
      <c r="Q35" t="str">
        <f>P35-N35</f>
        <v>2.879277</v>
      </c>
      <c r="R35" t="str">
        <v>20.885096</v>
      </c>
      <c r="S35" t="str">
        <v>21.335562</v>
      </c>
      <c r="T35" t="str">
        <f>(P35/AM35)*1000</f>
        <v>53.308971</v>
      </c>
      <c r="U35" t="str">
        <f>V35*BG35</f>
        <v>0.441786</v>
      </c>
      <c r="V35" t="str">
        <v>7.500000</v>
      </c>
      <c r="W35" t="str">
        <v>PSF-00438_20251016141900_6bb</v>
      </c>
      <c r="X35" t="str">
        <v>0.000000</v>
      </c>
      <c r="Y35" t="str">
        <v>0.000000</v>
      </c>
      <c r="Z35" t="str">
        <v>0.000000</v>
      </c>
      <c r="AA35" t="str">
        <v>133.768921</v>
      </c>
      <c r="AB35" t="str">
        <v>236.025009</v>
      </c>
      <c r="AC35" t="str">
        <v>0.433243</v>
      </c>
      <c r="AD35" t="str">
        <v>0.5</v>
      </c>
      <c r="AE35" t="str">
        <v>0.80</v>
      </c>
      <c r="AF35" t="str">
        <f>AC35*AD35*AE35*AQ35</f>
        <v>57.380699</v>
      </c>
      <c r="AG35" t="str">
        <v>1.000000</v>
      </c>
      <c r="AH35" t="str">
        <v>40.77</v>
      </c>
      <c r="AI35" t="str">
        <v>39.91</v>
      </c>
      <c r="AJ35" t="str">
        <v>31.77</v>
      </c>
      <c r="AK35" t="str">
        <v>32.09</v>
      </c>
      <c r="AL35" t="str">
        <f>(AK35-AJ35)*(AJ35*0+0)+AK35</f>
        <v>32.09</v>
      </c>
      <c r="AM35" t="str">
        <v>90.05</v>
      </c>
      <c r="AN35" t="str">
        <v>156.7</v>
      </c>
      <c r="AO35" t="str">
        <v>-16.7</v>
      </c>
      <c r="AP35" t="str">
        <v>110.7</v>
      </c>
      <c r="AQ35" t="str">
        <v>331</v>
      </c>
      <c r="AR35" t="str">
        <v>3.921</v>
      </c>
      <c r="AS35" t="str">
        <v>14:13:40</v>
      </c>
      <c r="AT35" t="str">
        <v>2025-10-16</v>
      </c>
      <c r="AU35" t="str">
        <v>0.01</v>
      </c>
      <c r="AV35" t="str">
        <v>1</v>
      </c>
      <c r="AW35" t="str">
        <v>-0.003</v>
      </c>
      <c r="AX35" t="str">
        <v>0.009</v>
      </c>
      <c r="AY35" t="str">
        <v>-9999.000</v>
      </c>
      <c r="AZ35" t="str">
        <v>46.800</v>
      </c>
      <c r="BA35" t="str">
        <v>23.104</v>
      </c>
      <c r="BB35" t="str">
        <v>-9999.000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229.796646</v>
      </c>
      <c r="BX35" t="str">
        <v>25</v>
      </c>
      <c r="BY35" t="str">
        <v>-4.317760</v>
      </c>
      <c r="BZ35" t="str">
        <v>228.206635</v>
      </c>
      <c r="CA35" t="str">
        <v>229.852814</v>
      </c>
      <c r="CB35" t="str">
        <v>-1.646179</v>
      </c>
      <c r="CC35" t="str">
        <v>2.452542</v>
      </c>
      <c r="CD35" t="str">
        <v>2.467734</v>
      </c>
      <c r="CE35" t="str">
        <v>1.655572</v>
      </c>
      <c r="CF35" t="str">
        <v>0.571757</v>
      </c>
      <c r="CG35" t="str">
        <v>0.208642</v>
      </c>
      <c r="CH35" t="str">
        <v>0.004094</v>
      </c>
      <c r="CI35" t="str">
        <v>0.559114</v>
      </c>
      <c r="CJ35" t="str">
        <v>0.405159</v>
      </c>
      <c r="CK35" t="str">
        <v>133.768921</v>
      </c>
      <c r="CL35" t="str">
        <v>0.000244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PSF-00438_20251016141900_6bb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2025-10-05T12:52:38.073Z</v>
      </c>
    </row>
    <row r="36">
      <c r="A36" t="str">
        <v>33</v>
      </c>
      <c r="B36" t="str">
        <v>14:21:11</v>
      </c>
      <c r="C36" t="str">
        <v>2025-10-16</v>
      </c>
      <c r="D36" t="str">
        <v>g34p_light_v2</v>
      </c>
      <c r="E36" t="str">
        <v>mrk</v>
      </c>
      <c r="F36" t="str">
        <v/>
      </c>
      <c r="G36" t="str">
        <v>121</v>
      </c>
      <c r="H36" t="str">
        <v/>
      </c>
      <c r="I36" t="str">
        <v/>
      </c>
      <c r="J36" t="str">
        <f>1/((1/L36)-(1/K36))</f>
        <v>0.073783</v>
      </c>
      <c r="K36" t="str">
        <f>BH36+(BI36*AN36)+(BJ36*AN36*POWER(V36,2))+(BK36*AN36*V36)+(BL36*POWER(AN36,2))</f>
        <v>2.922732</v>
      </c>
      <c r="L36" t="str">
        <f>((M36/1000)*(1000-((T36+S36)/2)))/(T36-S36)</f>
        <v>0.071967</v>
      </c>
      <c r="M36" t="str">
        <f>(AN36*(S36-R36))/(100*U36*(1000-S36))*1000</f>
        <v>1.867786</v>
      </c>
      <c r="N36" t="str">
        <v>1.949355</v>
      </c>
      <c r="O36" t="str">
        <v>1.903007</v>
      </c>
      <c r="P36" t="str">
        <f>0.61365*EXP((17.502*AL36)/(240.97+AL36))</f>
        <v>4.206252</v>
      </c>
      <c r="Q36" t="str">
        <f>P36-N36</f>
        <v>2.256897</v>
      </c>
      <c r="R36" t="str">
        <v>21.135838</v>
      </c>
      <c r="S36" t="str">
        <v>21.650597</v>
      </c>
      <c r="T36" t="str">
        <f>(P36/AM36)*1000</f>
        <v>46.716923</v>
      </c>
      <c r="U36" t="str">
        <f>V36*BG36</f>
        <v>0.441786</v>
      </c>
      <c r="V36" t="str">
        <v>7.500000</v>
      </c>
      <c r="W36" t="str">
        <v>PSF-00438_20251016142111_701</v>
      </c>
      <c r="X36" t="str">
        <v>0.000000</v>
      </c>
      <c r="Y36" t="str">
        <v>0.000000</v>
      </c>
      <c r="Z36" t="str">
        <v>0.000000</v>
      </c>
      <c r="AA36" t="str">
        <v>156.056641</v>
      </c>
      <c r="AB36" t="str">
        <v>348.570923</v>
      </c>
      <c r="AC36" t="str">
        <v>0.552296</v>
      </c>
      <c r="AD36" t="str">
        <v>0.5</v>
      </c>
      <c r="AE36" t="str">
        <v>0.80</v>
      </c>
      <c r="AF36" t="str">
        <f>AC36*AD36*AE36*AQ36</f>
        <v>57.902496</v>
      </c>
      <c r="AG36" t="str">
        <v>1.000000</v>
      </c>
      <c r="AH36" t="str">
        <v>41.54</v>
      </c>
      <c r="AI36" t="str">
        <v>40.56</v>
      </c>
      <c r="AJ36" t="str">
        <v>31.69</v>
      </c>
      <c r="AK36" t="str">
        <v>29.78</v>
      </c>
      <c r="AL36" t="str">
        <f>(AK36-AJ36)*(AJ36*0+0)+AK36</f>
        <v>29.78</v>
      </c>
      <c r="AM36" t="str">
        <v>90.04</v>
      </c>
      <c r="AN36" t="str">
        <v>156.8</v>
      </c>
      <c r="AO36" t="str">
        <v>-9.2</v>
      </c>
      <c r="AP36" t="str">
        <v>105.9</v>
      </c>
      <c r="AQ36" t="str">
        <v>262</v>
      </c>
      <c r="AR36" t="str">
        <v>3.946</v>
      </c>
      <c r="AS36" t="str">
        <v>14:13:40</v>
      </c>
      <c r="AT36" t="str">
        <v>2025-10-16</v>
      </c>
      <c r="AU36" t="str">
        <v>0.01</v>
      </c>
      <c r="AV36" t="str">
        <v>1</v>
      </c>
      <c r="AW36" t="str">
        <v>-0.014</v>
      </c>
      <c r="AX36" t="str">
        <v>-0.013</v>
      </c>
      <c r="AY36" t="str">
        <v>-0.008</v>
      </c>
      <c r="AZ36" t="str">
        <v>-4.392</v>
      </c>
      <c r="BA36" t="str">
        <v>124.486</v>
      </c>
      <c r="BB36" t="str">
        <v>62.581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333.565247</v>
      </c>
      <c r="BX36" t="str">
        <v>25</v>
      </c>
      <c r="BY36" t="str">
        <v>-11.382193</v>
      </c>
      <c r="BZ36" t="str">
        <v>328.660736</v>
      </c>
      <c r="CA36" t="str">
        <v>332.300171</v>
      </c>
      <c r="CB36" t="str">
        <v>-3.639435</v>
      </c>
      <c r="CC36" t="str">
        <v>2.453425</v>
      </c>
      <c r="CD36" t="str">
        <v>2.468796</v>
      </c>
      <c r="CE36" t="str">
        <v>1.656572</v>
      </c>
      <c r="CF36" t="str">
        <v>0.584671</v>
      </c>
      <c r="CG36" t="str">
        <v>0.209255</v>
      </c>
      <c r="CH36" t="str">
        <v>-0.022795</v>
      </c>
      <c r="CI36" t="str">
        <v>0.563480</v>
      </c>
      <c r="CJ36" t="str">
        <v>0.343077</v>
      </c>
      <c r="CK36" t="str">
        <v>151.347763</v>
      </c>
      <c r="CL36" t="str">
        <v>0.000244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PSF-00438_20251016142111_701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2025-10-05T12:52:38.073Z</v>
      </c>
    </row>
    <row r="37">
      <c r="A37" t="str">
        <v>34</v>
      </c>
      <c r="B37" t="str">
        <v>14:23:47</v>
      </c>
      <c r="C37" t="str">
        <v>2025-10-16</v>
      </c>
      <c r="D37" t="str">
        <v>g34p_light_v2</v>
      </c>
      <c r="E37" t="str">
        <v>mrk</v>
      </c>
      <c r="F37" t="str">
        <v/>
      </c>
      <c r="G37" t="str">
        <v>127</v>
      </c>
      <c r="H37" t="str">
        <v/>
      </c>
      <c r="I37" t="str">
        <v/>
      </c>
      <c r="J37" t="str">
        <f>1/((1/L37)-(1/K37))</f>
        <v>0.100797</v>
      </c>
      <c r="K37" t="str">
        <f>BH37+(BI37*AN37)+(BJ37*AN37*POWER(V37,2))+(BK37*AN37*V37)+(BL37*POWER(AN37,2))</f>
        <v>2.923281</v>
      </c>
      <c r="L37" t="str">
        <f>((M37/1000)*(1000-((T37+S37)/2)))/(T37-S37)</f>
        <v>0.097437</v>
      </c>
      <c r="M37" t="str">
        <f>(AN37*(S37-R37))/(100*U37*(1000-S37))*1000</f>
        <v>1.966716</v>
      </c>
      <c r="N37" t="str">
        <v>2.005945</v>
      </c>
      <c r="O37" t="str">
        <v>1.957205</v>
      </c>
      <c r="P37" t="str">
        <f>0.61365*EXP((17.502*AL37)/(240.97+AL37))</f>
        <v>3.764726</v>
      </c>
      <c r="Q37" t="str">
        <f>P37-N37</f>
        <v>1.758781</v>
      </c>
      <c r="R37" t="str">
        <v>21.741705</v>
      </c>
      <c r="S37" t="str">
        <v>22.283144</v>
      </c>
      <c r="T37" t="str">
        <f>(P37/AM37)*1000</f>
        <v>41.820648</v>
      </c>
      <c r="U37" t="str">
        <f>V37*BG37</f>
        <v>0.441786</v>
      </c>
      <c r="V37" t="str">
        <v>7.500000</v>
      </c>
      <c r="W37" t="str">
        <v>PSF-00438_20251016142347_292</v>
      </c>
      <c r="X37" t="str">
        <v>0.000000</v>
      </c>
      <c r="Y37" t="str">
        <v>0.000000</v>
      </c>
      <c r="Z37" t="str">
        <v>0.000000</v>
      </c>
      <c r="AA37" t="str">
        <v>169.170135</v>
      </c>
      <c r="AB37" t="str">
        <v>492.338654</v>
      </c>
      <c r="AC37" t="str">
        <v>0.656395</v>
      </c>
      <c r="AD37" t="str">
        <v>0.5</v>
      </c>
      <c r="AE37" t="str">
        <v>0.80</v>
      </c>
      <c r="AF37" t="str">
        <f>AC37*AD37*AE37*AQ37</f>
        <v>58.748726</v>
      </c>
      <c r="AG37" t="str">
        <v>1.000000</v>
      </c>
      <c r="AH37" t="str">
        <v>42.91</v>
      </c>
      <c r="AI37" t="str">
        <v>41.87</v>
      </c>
      <c r="AJ37" t="str">
        <v>31.62</v>
      </c>
      <c r="AK37" t="str">
        <v>27.86</v>
      </c>
      <c r="AL37" t="str">
        <f>(AK37-AJ37)*(AJ37*0+0)+AK37</f>
        <v>27.86</v>
      </c>
      <c r="AM37" t="str">
        <v>90.02</v>
      </c>
      <c r="AN37" t="str">
        <v>156.9</v>
      </c>
      <c r="AO37" t="str">
        <v>157.2</v>
      </c>
      <c r="AP37" t="str">
        <v>-0.2</v>
      </c>
      <c r="AQ37" t="str">
        <v>224</v>
      </c>
      <c r="AR37" t="str">
        <v>3.943</v>
      </c>
      <c r="AS37" t="str">
        <v>14:13:40</v>
      </c>
      <c r="AT37" t="str">
        <v>2025-10-16</v>
      </c>
      <c r="AU37" t="str">
        <v>0.01</v>
      </c>
      <c r="AV37" t="str">
        <v>1</v>
      </c>
      <c r="AW37" t="str">
        <v>-0.035</v>
      </c>
      <c r="AX37" t="str">
        <v>-0.022</v>
      </c>
      <c r="AY37" t="str">
        <v>0.008</v>
      </c>
      <c r="AZ37" t="str">
        <v>175.437</v>
      </c>
      <c r="BA37" t="str">
        <v>89.967</v>
      </c>
      <c r="BB37" t="str">
        <v>44.302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490.852478</v>
      </c>
      <c r="BX37" t="str">
        <v>25</v>
      </c>
      <c r="BY37" t="str">
        <v>-1.713252</v>
      </c>
      <c r="BZ37" t="str">
        <v>488.258606</v>
      </c>
      <c r="CA37" t="str">
        <v>489.889587</v>
      </c>
      <c r="CB37" t="str">
        <v>-1.630981</v>
      </c>
      <c r="CC37" t="str">
        <v>2.455206</v>
      </c>
      <c r="CD37" t="str">
        <v>2.470663</v>
      </c>
      <c r="CE37" t="str">
        <v>1.657149</v>
      </c>
      <c r="CF37" t="str">
        <v>0.939384</v>
      </c>
      <c r="CG37" t="str">
        <v>0.209810</v>
      </c>
      <c r="CH37" t="str">
        <v>-0.044422</v>
      </c>
      <c r="CI37" t="str">
        <v>0.569000</v>
      </c>
      <c r="CJ37" t="str">
        <v>0.308584</v>
      </c>
      <c r="CK37" t="str">
        <v>169.170135</v>
      </c>
      <c r="CL37" t="str">
        <v>0.000244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PSF-00438_20251016142347_292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2025-10-05T12:52:38.073Z</v>
      </c>
    </row>
    <row r="38">
      <c r="A38" t="str">
        <v>35</v>
      </c>
      <c r="B38" t="str">
        <v>14:27:24</v>
      </c>
      <c r="C38" t="str">
        <v>2025-10-16</v>
      </c>
      <c r="D38" t="str">
        <v>g34p_light_v2</v>
      </c>
      <c r="E38" t="str">
        <v>mrk</v>
      </c>
      <c r="F38" t="str">
        <v/>
      </c>
      <c r="G38" t="str">
        <v>105</v>
      </c>
      <c r="H38" t="str">
        <v/>
      </c>
      <c r="I38" t="str">
        <v/>
      </c>
      <c r="J38" t="str">
        <f>1/((1/L38)-(1/K38))</f>
        <v>0.071031</v>
      </c>
      <c r="K38" t="str">
        <f>BH38+(BI38*AN38)+(BJ38*AN38*POWER(V38,2))+(BK38*AN38*V38)+(BL38*POWER(AN38,2))</f>
        <v>2.921637</v>
      </c>
      <c r="L38" t="str">
        <f>((M38/1000)*(1000-((T38+S38)/2)))/(T38-S38)</f>
        <v>0.069345</v>
      </c>
      <c r="M38" t="str">
        <f>(AN38*(S38-R38))/(100*U38*(1000-S38))*1000</f>
        <v>1.880766</v>
      </c>
      <c r="N38" t="str">
        <v>1.970851</v>
      </c>
      <c r="O38" t="str">
        <v>1.924162</v>
      </c>
      <c r="P38" t="str">
        <f>0.61365*EXP((17.502*AL38)/(240.97+AL38))</f>
        <v>4.326960</v>
      </c>
      <c r="Q38" t="str">
        <f>P38-N38</f>
        <v>2.356109</v>
      </c>
      <c r="R38" t="str">
        <v>21.374763</v>
      </c>
      <c r="S38" t="str">
        <v>21.893423</v>
      </c>
      <c r="T38" t="str">
        <f>(P38/AM38)*1000</f>
        <v>48.066521</v>
      </c>
      <c r="U38" t="str">
        <f>V38*BG38</f>
        <v>0.441786</v>
      </c>
      <c r="V38" t="str">
        <v>7.500000</v>
      </c>
      <c r="W38" t="str">
        <v>PSF-00438_20251016142724_135</v>
      </c>
      <c r="X38" t="str">
        <v>0.000000</v>
      </c>
      <c r="Y38" t="str">
        <v>0.000000</v>
      </c>
      <c r="Z38" t="str">
        <v>0.000000</v>
      </c>
      <c r="AA38" t="str">
        <v>203.531387</v>
      </c>
      <c r="AB38" t="str">
        <v>327.335358</v>
      </c>
      <c r="AC38" t="str">
        <v>0.378218</v>
      </c>
      <c r="AD38" t="str">
        <v>0.5</v>
      </c>
      <c r="AE38" t="str">
        <v>0.80</v>
      </c>
      <c r="AF38" t="str">
        <f>AC38*AD38*AE38*AQ38</f>
        <v>35.793713</v>
      </c>
      <c r="AG38" t="str">
        <v>1.000000</v>
      </c>
      <c r="AH38" t="str">
        <v>42.77</v>
      </c>
      <c r="AI38" t="str">
        <v>41.75</v>
      </c>
      <c r="AJ38" t="str">
        <v>31.37</v>
      </c>
      <c r="AK38" t="str">
        <v>30.27</v>
      </c>
      <c r="AL38" t="str">
        <f>(AK38-AJ38)*(AJ38*0+0)+AK38</f>
        <v>30.27</v>
      </c>
      <c r="AM38" t="str">
        <v>90.02</v>
      </c>
      <c r="AN38" t="str">
        <v>156.7</v>
      </c>
      <c r="AO38" t="str">
        <v>-11.3</v>
      </c>
      <c r="AP38" t="str">
        <v>107.2</v>
      </c>
      <c r="AQ38" t="str">
        <v>237</v>
      </c>
      <c r="AR38" t="str">
        <v>3.939</v>
      </c>
      <c r="AS38" t="str">
        <v>14:24:00</v>
      </c>
      <c r="AT38" t="str">
        <v>2025-10-16</v>
      </c>
      <c r="AU38" t="str">
        <v>0.03</v>
      </c>
      <c r="AV38" t="str">
        <v>1</v>
      </c>
      <c r="AW38" t="str">
        <v>-0.011</v>
      </c>
      <c r="AX38" t="str">
        <v>0.009</v>
      </c>
      <c r="AY38" t="str">
        <v>0.001</v>
      </c>
      <c r="AZ38" t="str">
        <v>148.065</v>
      </c>
      <c r="BA38" t="str">
        <v>74.220</v>
      </c>
      <c r="BB38" t="str">
        <v>36.275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321.898346</v>
      </c>
      <c r="BX38" t="str">
        <v>25</v>
      </c>
      <c r="BY38" t="str">
        <v>-4.664056</v>
      </c>
      <c r="BZ38" t="str">
        <v>318.279877</v>
      </c>
      <c r="CA38" t="str">
        <v>320.668121</v>
      </c>
      <c r="CB38" t="str">
        <v>-2.388245</v>
      </c>
      <c r="CC38" t="str">
        <v>2.455103</v>
      </c>
      <c r="CD38" t="str">
        <v>2.470497</v>
      </c>
      <c r="CE38" t="str">
        <v>1.655424</v>
      </c>
      <c r="CF38" t="str">
        <v>0.581098</v>
      </c>
      <c r="CG38" t="str">
        <v>0.211888</v>
      </c>
      <c r="CH38" t="str">
        <v>-0.013097</v>
      </c>
      <c r="CI38" t="str">
        <v>0.575896</v>
      </c>
      <c r="CJ38" t="str">
        <v>0.320134</v>
      </c>
      <c r="CK38" t="str">
        <v>203.531387</v>
      </c>
      <c r="CL38" t="str">
        <v>0.000242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PSF-00438_20251016142724_135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2025-10-05T12:52:38.073Z</v>
      </c>
    </row>
    <row r="39">
      <c r="A39" t="str">
        <v>36</v>
      </c>
      <c r="B39" t="str">
        <v>14:30:07</v>
      </c>
      <c r="C39" t="str">
        <v>2025-10-16</v>
      </c>
      <c r="D39" t="str">
        <v>g34p_light_v2</v>
      </c>
      <c r="E39" t="str">
        <v>mrk</v>
      </c>
      <c r="F39" t="str">
        <v/>
      </c>
      <c r="G39" t="str">
        <v>108</v>
      </c>
      <c r="H39" t="str">
        <v/>
      </c>
      <c r="I39" t="str">
        <v/>
      </c>
      <c r="J39" t="str">
        <f>1/((1/L39)-(1/K39))</f>
        <v>0.075395</v>
      </c>
      <c r="K39" t="str">
        <f>BH39+(BI39*AN39)+(BJ39*AN39*POWER(V39,2))+(BK39*AN39*V39)+(BL39*POWER(AN39,2))</f>
        <v>2.921438</v>
      </c>
      <c r="L39" t="str">
        <f>((M39/1000)*(1000-((T39+S39)/2)))/(T39-S39)</f>
        <v>0.073498</v>
      </c>
      <c r="M39" t="str">
        <f>(AN39*(S39-R39))/(100*U39*(1000-S39))*1000</f>
        <v>1.675618</v>
      </c>
      <c r="N39" t="str">
        <v>1.945653</v>
      </c>
      <c r="O39" t="str">
        <v>1.904039</v>
      </c>
      <c r="P39" t="str">
        <f>0.61365*EXP((17.502*AL39)/(240.97+AL39))</f>
        <v>3.930892</v>
      </c>
      <c r="Q39" t="str">
        <f>P39-N39</f>
        <v>1.985240</v>
      </c>
      <c r="R39" t="str">
        <v>21.151989</v>
      </c>
      <c r="S39" t="str">
        <v>21.614279</v>
      </c>
      <c r="T39" t="str">
        <f>(P39/AM39)*1000</f>
        <v>43.668339</v>
      </c>
      <c r="U39" t="str">
        <f>V39*BG39</f>
        <v>0.441786</v>
      </c>
      <c r="V39" t="str">
        <v>7.500000</v>
      </c>
      <c r="W39" t="str">
        <v>PSF-00438_20251016143007_2c1</v>
      </c>
      <c r="X39" t="str">
        <v>0.000000</v>
      </c>
      <c r="Y39" t="str">
        <v>0.000000</v>
      </c>
      <c r="Z39" t="str">
        <v>0.000000</v>
      </c>
      <c r="AA39" t="str">
        <v>149.826401</v>
      </c>
      <c r="AB39" t="str">
        <v>339.168396</v>
      </c>
      <c r="AC39" t="str">
        <v>0.558254</v>
      </c>
      <c r="AD39" t="str">
        <v>0.5</v>
      </c>
      <c r="AE39" t="str">
        <v>0.80</v>
      </c>
      <c r="AF39" t="str">
        <f>AC39*AD39*AE39*AQ39</f>
        <v>50.216564</v>
      </c>
      <c r="AG39" t="str">
        <v>1.000000</v>
      </c>
      <c r="AH39" t="str">
        <v>42.60</v>
      </c>
      <c r="AI39" t="str">
        <v>41.69</v>
      </c>
      <c r="AJ39" t="str">
        <v>31.22</v>
      </c>
      <c r="AK39" t="str">
        <v>28.61</v>
      </c>
      <c r="AL39" t="str">
        <f>(AK39-AJ39)*(AJ39*0+0)+AK39</f>
        <v>28.61</v>
      </c>
      <c r="AM39" t="str">
        <v>90.02</v>
      </c>
      <c r="AN39" t="str">
        <v>156.7</v>
      </c>
      <c r="AO39" t="str">
        <v>16.5</v>
      </c>
      <c r="AP39" t="str">
        <v>89.5</v>
      </c>
      <c r="AQ39" t="str">
        <v>225</v>
      </c>
      <c r="AR39" t="str">
        <v>3.935</v>
      </c>
      <c r="AS39" t="str">
        <v>14:24:00</v>
      </c>
      <c r="AT39" t="str">
        <v>2025-10-16</v>
      </c>
      <c r="AU39" t="str">
        <v>0.03</v>
      </c>
      <c r="AV39" t="str">
        <v>1</v>
      </c>
      <c r="AW39" t="str">
        <v>-0.027</v>
      </c>
      <c r="AX39" t="str">
        <v>0.030</v>
      </c>
      <c r="AY39" t="str">
        <v>0.054</v>
      </c>
      <c r="AZ39" t="str">
        <v>66.593</v>
      </c>
      <c r="BA39" t="str">
        <v>111.884</v>
      </c>
      <c r="BB39" t="str">
        <v>55.568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334.253662</v>
      </c>
      <c r="BX39" t="str">
        <v>25</v>
      </c>
      <c r="BY39" t="str">
        <v>-3.834769</v>
      </c>
      <c r="BZ39" t="str">
        <v>333.061340</v>
      </c>
      <c r="CA39" t="str">
        <v>333.686615</v>
      </c>
      <c r="CB39" t="str">
        <v>-0.625275</v>
      </c>
      <c r="CC39" t="str">
        <v>2.455048</v>
      </c>
      <c r="CD39" t="str">
        <v>2.470304</v>
      </c>
      <c r="CE39" t="str">
        <v>1.655217</v>
      </c>
      <c r="CF39" t="str">
        <v>0.630927</v>
      </c>
      <c r="CG39" t="str">
        <v>0.213201</v>
      </c>
      <c r="CH39" t="str">
        <v>-0.030857</v>
      </c>
      <c r="CI39" t="str">
        <v>0.581114</v>
      </c>
      <c r="CJ39" t="str">
        <v>0.309598</v>
      </c>
      <c r="CK39" t="str">
        <v>149.826401</v>
      </c>
      <c r="CL39" t="str">
        <v>0.000244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PSF-00438_20251016143007_2c1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2025-10-05T12:52:38.073Z</v>
      </c>
    </row>
    <row r="40">
      <c r="A40" t="str">
        <v>37</v>
      </c>
      <c r="B40" t="str">
        <v>14:33:04</v>
      </c>
      <c r="C40" t="str">
        <v>2025-10-16</v>
      </c>
      <c r="D40" t="str">
        <v>g34p_light_v2</v>
      </c>
      <c r="E40" t="str">
        <v>mrk</v>
      </c>
      <c r="F40" t="str">
        <v/>
      </c>
      <c r="G40" t="str">
        <v>102</v>
      </c>
      <c r="H40" t="str">
        <v/>
      </c>
      <c r="I40" t="str">
        <v/>
      </c>
      <c r="J40" t="str">
        <f>1/((1/L40)-(1/K40))</f>
        <v>0.057606</v>
      </c>
      <c r="K40" t="str">
        <f>BH40+(BI40*AN40)+(BJ40*AN40*POWER(V40,2))+(BK40*AN40*V40)+(BL40*POWER(AN40,2))</f>
        <v>2.921334</v>
      </c>
      <c r="L40" t="str">
        <f>((M40/1000)*(1000-((T40+S40)/2)))/(T40-S40)</f>
        <v>0.056492</v>
      </c>
      <c r="M40" t="str">
        <f>(AN40*(S40-R40))/(100*U40*(1000-S40))*1000</f>
        <v>1.481716</v>
      </c>
      <c r="N40" t="str">
        <v>1.920950</v>
      </c>
      <c r="O40" t="str">
        <v>1.884141</v>
      </c>
      <c r="P40" t="str">
        <f>0.61365*EXP((17.502*AL40)/(240.97+AL40))</f>
        <v>4.201507</v>
      </c>
      <c r="Q40" t="str">
        <f>P40-N40</f>
        <v>2.280557</v>
      </c>
      <c r="R40" t="str">
        <v>20.932575</v>
      </c>
      <c r="S40" t="str">
        <v>21.341518</v>
      </c>
      <c r="T40" t="str">
        <f>(P40/AM40)*1000</f>
        <v>46.678223</v>
      </c>
      <c r="U40" t="str">
        <f>V40*BG40</f>
        <v>0.441786</v>
      </c>
      <c r="V40" t="str">
        <v>7.500000</v>
      </c>
      <c r="W40" t="str">
        <v>PSF-00438_20251016143304_838</v>
      </c>
      <c r="X40" t="str">
        <v>0.000000</v>
      </c>
      <c r="Y40" t="str">
        <v>0.000000</v>
      </c>
      <c r="Z40" t="str">
        <v>0.000000</v>
      </c>
      <c r="AA40" t="str">
        <v>185.775162</v>
      </c>
      <c r="AB40" t="str">
        <v>499.807770</v>
      </c>
      <c r="AC40" t="str">
        <v>0.628307</v>
      </c>
      <c r="AD40" t="str">
        <v>0.5</v>
      </c>
      <c r="AE40" t="str">
        <v>0.80</v>
      </c>
      <c r="AF40" t="str">
        <f>AC40*AD40*AE40*AQ40</f>
        <v>63.697914</v>
      </c>
      <c r="AG40" t="str">
        <v>1.000000</v>
      </c>
      <c r="AH40" t="str">
        <v>42.30</v>
      </c>
      <c r="AI40" t="str">
        <v>41.49</v>
      </c>
      <c r="AJ40" t="str">
        <v>31.12</v>
      </c>
      <c r="AK40" t="str">
        <v>29.76</v>
      </c>
      <c r="AL40" t="str">
        <f>(AK40-AJ40)*(AJ40*0+0)+AK40</f>
        <v>29.76</v>
      </c>
      <c r="AM40" t="str">
        <v>90.01</v>
      </c>
      <c r="AN40" t="str">
        <v>156.7</v>
      </c>
      <c r="AO40" t="str">
        <v>157.3</v>
      </c>
      <c r="AP40" t="str">
        <v>-0.4</v>
      </c>
      <c r="AQ40" t="str">
        <v>253</v>
      </c>
      <c r="AR40" t="str">
        <v>3.896</v>
      </c>
      <c r="AS40" t="str">
        <v>14:24:00</v>
      </c>
      <c r="AT40" t="str">
        <v>2025-10-16</v>
      </c>
      <c r="AU40" t="str">
        <v>0.03</v>
      </c>
      <c r="AV40" t="str">
        <v>1</v>
      </c>
      <c r="AW40" t="str">
        <v>0.008</v>
      </c>
      <c r="AX40" t="str">
        <v>0.020</v>
      </c>
      <c r="AY40" t="str">
        <v>0.002</v>
      </c>
      <c r="AZ40" t="str">
        <v>38.716</v>
      </c>
      <c r="BA40" t="str">
        <v>83.906</v>
      </c>
      <c r="BB40" t="str">
        <v>87.439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497.963562</v>
      </c>
      <c r="BX40" t="str">
        <v>25</v>
      </c>
      <c r="BY40" t="str">
        <v>-1.122727</v>
      </c>
      <c r="BZ40" t="str">
        <v>497.915985</v>
      </c>
      <c r="CA40" t="str">
        <v>498.202850</v>
      </c>
      <c r="CB40" t="str">
        <v>-0.286865</v>
      </c>
      <c r="CC40" t="str">
        <v>2.454800</v>
      </c>
      <c r="CD40" t="str">
        <v>2.469920</v>
      </c>
      <c r="CE40" t="str">
        <v>1.655107</v>
      </c>
      <c r="CF40" t="str">
        <v>0.939467</v>
      </c>
      <c r="CG40" t="str">
        <v>0.214042</v>
      </c>
      <c r="CH40" t="str">
        <v>-0.016083</v>
      </c>
      <c r="CI40" t="str">
        <v>0.587325</v>
      </c>
      <c r="CJ40" t="str">
        <v>0.335297</v>
      </c>
      <c r="CK40" t="str">
        <v>185.775162</v>
      </c>
      <c r="CL40" t="str">
        <v>0.000246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PSF-00438_20251016143304_838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2025-10-05T12:52:38.073Z</v>
      </c>
    </row>
    <row r="41">
      <c r="A41" t="str">
        <v>38</v>
      </c>
      <c r="B41" t="str">
        <v>14:35:59</v>
      </c>
      <c r="C41" t="str">
        <v>2025-10-16</v>
      </c>
      <c r="D41" t="str">
        <v>g34p_light_v2</v>
      </c>
      <c r="E41" t="str">
        <v>mrk</v>
      </c>
      <c r="F41" t="str">
        <v/>
      </c>
      <c r="G41" t="str">
        <v>99</v>
      </c>
      <c r="H41" t="str">
        <v/>
      </c>
      <c r="I41" t="str">
        <v/>
      </c>
      <c r="J41" t="str">
        <f>1/((1/L41)-(1/K41))</f>
        <v>0.029815</v>
      </c>
      <c r="K41" t="str">
        <f>BH41+(BI41*AN41)+(BJ41*AN41*POWER(V41,2))+(BK41*AN41*V41)+(BL41*POWER(AN41,2))</f>
        <v>2.922392</v>
      </c>
      <c r="L41" t="str">
        <f>((M41/1000)*(1000-((T41+S41)/2)))/(T41-S41)</f>
        <v>0.029514</v>
      </c>
      <c r="M41" t="str">
        <f>(AN41*(S41-R41))/(100*U41*(1000-S41))*1000</f>
        <v>0.891935</v>
      </c>
      <c r="N41" t="str">
        <v>1.930667</v>
      </c>
      <c r="O41" t="str">
        <v>1.908534</v>
      </c>
      <c r="P41" t="str">
        <f>0.61365*EXP((17.502*AL41)/(240.97+AL41))</f>
        <v>4.552456</v>
      </c>
      <c r="Q41" t="str">
        <f>P41-N41</f>
        <v>2.621789</v>
      </c>
      <c r="R41" t="str">
        <v>21.206995</v>
      </c>
      <c r="S41" t="str">
        <v>21.452929</v>
      </c>
      <c r="T41" t="str">
        <f>(P41/AM41)*1000</f>
        <v>50.585377</v>
      </c>
      <c r="U41" t="str">
        <f>V41*BG41</f>
        <v>0.441786</v>
      </c>
      <c r="V41" t="str">
        <v>7.500000</v>
      </c>
      <c r="W41" t="str">
        <v>PSF-00438_20251016143559_7c9</v>
      </c>
      <c r="X41" t="str">
        <v>0.000000</v>
      </c>
      <c r="Y41" t="str">
        <v>0.000000</v>
      </c>
      <c r="Z41" t="str">
        <v>0.000000</v>
      </c>
      <c r="AA41" t="str">
        <v>126.087067</v>
      </c>
      <c r="AB41" t="str">
        <v>363.596680</v>
      </c>
      <c r="AC41" t="str">
        <v>0.653223</v>
      </c>
      <c r="AD41" t="str">
        <v>0.5</v>
      </c>
      <c r="AE41" t="str">
        <v>0.80</v>
      </c>
      <c r="AF41" t="str">
        <f>AC41*AD41*AE41*AQ41</f>
        <v>33.182777</v>
      </c>
      <c r="AG41" t="str">
        <v>1.000000</v>
      </c>
      <c r="AH41" t="str">
        <v>42.59</v>
      </c>
      <c r="AI41" t="str">
        <v>42.10</v>
      </c>
      <c r="AJ41" t="str">
        <v>31.08</v>
      </c>
      <c r="AK41" t="str">
        <v>31.16</v>
      </c>
      <c r="AL41" t="str">
        <f>(AK41-AJ41)*(AJ41*0+0)+AK41</f>
        <v>31.16</v>
      </c>
      <c r="AM41" t="str">
        <v>90.00</v>
      </c>
      <c r="AN41" t="str">
        <v>156.8</v>
      </c>
      <c r="AO41" t="str">
        <v>122.2</v>
      </c>
      <c r="AP41" t="str">
        <v>22.1</v>
      </c>
      <c r="AQ41" t="str">
        <v>127</v>
      </c>
      <c r="AR41" t="str">
        <v>3.928</v>
      </c>
      <c r="AS41" t="str">
        <v>14:24:00</v>
      </c>
      <c r="AT41" t="str">
        <v>2025-10-16</v>
      </c>
      <c r="AU41" t="str">
        <v>0.03</v>
      </c>
      <c r="AV41" t="str">
        <v>1</v>
      </c>
      <c r="AW41" t="str">
        <v>0.010</v>
      </c>
      <c r="AX41" t="str">
        <v>0.009</v>
      </c>
      <c r="AY41" t="str">
        <v>0.075</v>
      </c>
      <c r="AZ41" t="str">
        <v>-16.531</v>
      </c>
      <c r="BA41" t="str">
        <v>115.244</v>
      </c>
      <c r="BB41" t="str">
        <v>57.005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363.596680</v>
      </c>
      <c r="BX41" t="str">
        <v>25</v>
      </c>
      <c r="BY41" t="str">
        <v>1.658574</v>
      </c>
      <c r="BZ41" t="str">
        <v>365.318665</v>
      </c>
      <c r="CA41" t="str">
        <v>365.967590</v>
      </c>
      <c r="CB41" t="str">
        <v>-0.648926</v>
      </c>
      <c r="CC41" t="str">
        <v>2.455632</v>
      </c>
      <c r="CD41" t="str">
        <v>2.470323</v>
      </c>
      <c r="CE41" t="str">
        <v>1.656216</v>
      </c>
      <c r="CF41" t="str">
        <v>0.853051</v>
      </c>
      <c r="CG41" t="str">
        <v>0.214314</v>
      </c>
      <c r="CH41" t="str">
        <v>0.001045</v>
      </c>
      <c r="CI41" t="str">
        <v>0.593149</v>
      </c>
      <c r="CJ41" t="str">
        <v>0.221543</v>
      </c>
      <c r="CK41" t="str">
        <v>126.087067</v>
      </c>
      <c r="CL41" t="str">
        <v>0.000242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PSF-00438_20251016143559_7c9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2025-10-05T12:52:38.073Z</v>
      </c>
    </row>
    <row r="42">
      <c r="A42" t="str">
        <v>39</v>
      </c>
      <c r="B42" t="str">
        <v>14:38:31</v>
      </c>
      <c r="C42" t="str">
        <v>2025-10-16</v>
      </c>
      <c r="D42" t="str">
        <v>g34p_light_v2</v>
      </c>
      <c r="E42" t="str">
        <v>mrk</v>
      </c>
      <c r="F42" t="str">
        <v/>
      </c>
      <c r="G42" t="str">
        <v>101</v>
      </c>
      <c r="H42" t="str">
        <v/>
      </c>
      <c r="I42" t="str">
        <v/>
      </c>
      <c r="J42" t="str">
        <f>1/((1/L42)-(1/K42))</f>
        <v>0.188075</v>
      </c>
      <c r="K42" t="str">
        <f>BH42+(BI42*AN42)+(BJ42*AN42*POWER(V42,2))+(BK42*AN42*V42)+(BL42*POWER(AN42,2))</f>
        <v>2.922556</v>
      </c>
      <c r="L42" t="str">
        <f>((M42/1000)*(1000-((T42+S42)/2)))/(T42-S42)</f>
        <v>0.176704</v>
      </c>
      <c r="M42" t="str">
        <f>(AN42*(S42-R42))/(100*U42*(1000-S42))*1000</f>
        <v>3.840691</v>
      </c>
      <c r="N42" t="str">
        <v>1.984466</v>
      </c>
      <c r="O42" t="str">
        <v>1.889234</v>
      </c>
      <c r="P42" t="str">
        <f>0.61365*EXP((17.502*AL42)/(240.97+AL42))</f>
        <v>3.876803</v>
      </c>
      <c r="Q42" t="str">
        <f>P42-N42</f>
        <v>1.892337</v>
      </c>
      <c r="R42" t="str">
        <v>20.992884</v>
      </c>
      <c r="S42" t="str">
        <v>22.051090</v>
      </c>
      <c r="T42" t="str">
        <f>(P42/AM42)*1000</f>
        <v>43.078461</v>
      </c>
      <c r="U42" t="str">
        <f>V42*BG42</f>
        <v>0.441786</v>
      </c>
      <c r="V42" t="str">
        <v>7.500000</v>
      </c>
      <c r="W42" t="str">
        <v>PSF-00438_20251016143831_b44</v>
      </c>
      <c r="X42" t="str">
        <v>0.000000</v>
      </c>
      <c r="Y42" t="str">
        <v>0.000000</v>
      </c>
      <c r="Z42" t="str">
        <v>0.000000</v>
      </c>
      <c r="AA42" t="str">
        <v>136.722565</v>
      </c>
      <c r="AB42" t="str">
        <v>477.702698</v>
      </c>
      <c r="AC42" t="str">
        <v>0.713791</v>
      </c>
      <c r="AD42" t="str">
        <v>0.5</v>
      </c>
      <c r="AE42" t="str">
        <v>0.80</v>
      </c>
      <c r="AF42" t="str">
        <f>AC42*AD42*AE42*AQ42</f>
        <v>66.827545</v>
      </c>
      <c r="AG42" t="str">
        <v>1.000000</v>
      </c>
      <c r="AH42" t="str">
        <v>43.94</v>
      </c>
      <c r="AI42" t="str">
        <v>41.83</v>
      </c>
      <c r="AJ42" t="str">
        <v>31.02</v>
      </c>
      <c r="AK42" t="str">
        <v>28.37</v>
      </c>
      <c r="AL42" t="str">
        <f>(AK42-AJ42)*(AJ42*0+0)+AK42</f>
        <v>28.37</v>
      </c>
      <c r="AM42" t="str">
        <v>89.99</v>
      </c>
      <c r="AN42" t="str">
        <v>156.8</v>
      </c>
      <c r="AO42" t="str">
        <v>157.4</v>
      </c>
      <c r="AP42" t="str">
        <v>-0.4</v>
      </c>
      <c r="AQ42" t="str">
        <v>234</v>
      </c>
      <c r="AR42" t="str">
        <v>3.925</v>
      </c>
      <c r="AS42" t="str">
        <v>14:36:12</v>
      </c>
      <c r="AT42" t="str">
        <v>2025-10-16</v>
      </c>
      <c r="AU42" t="str">
        <v>0.05</v>
      </c>
      <c r="AV42" t="str">
        <v>1</v>
      </c>
      <c r="AW42" t="str">
        <v>0.053</v>
      </c>
      <c r="AX42" t="str">
        <v>0.039</v>
      </c>
      <c r="AY42" t="str">
        <v>0.050</v>
      </c>
      <c r="AZ42" t="str">
        <v>30.334</v>
      </c>
      <c r="BA42" t="str">
        <v>92.863</v>
      </c>
      <c r="BB42" t="str">
        <v>76.308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460.394379</v>
      </c>
      <c r="BX42" t="str">
        <v>25</v>
      </c>
      <c r="BY42" t="str">
        <v>-12.470290</v>
      </c>
      <c r="BZ42" t="str">
        <v>457.104919</v>
      </c>
      <c r="CA42" t="str">
        <v>459.876526</v>
      </c>
      <c r="CB42" t="str">
        <v>-2.771606</v>
      </c>
      <c r="CC42" t="str">
        <v>2.455281</v>
      </c>
      <c r="CD42" t="str">
        <v>2.472128</v>
      </c>
      <c r="CE42" t="str">
        <v>1.656388</v>
      </c>
      <c r="CF42" t="str">
        <v>0.939788</v>
      </c>
      <c r="CG42" t="str">
        <v>0.214860</v>
      </c>
      <c r="CH42" t="str">
        <v>-0.031276</v>
      </c>
      <c r="CI42" t="str">
        <v>0.597573</v>
      </c>
      <c r="CJ42" t="str">
        <v>0.317852</v>
      </c>
      <c r="CK42" t="str">
        <v>136.722565</v>
      </c>
      <c r="CL42" t="str">
        <v>0.000243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PSF-00438_20251016143831_b44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2025-10-05T12:52:38.073Z</v>
      </c>
    </row>
    <row r="43">
      <c r="A43" t="str">
        <v>40</v>
      </c>
      <c r="B43" t="str">
        <v>14:40:55</v>
      </c>
      <c r="C43" t="str">
        <v>2025-10-16</v>
      </c>
      <c r="D43" t="str">
        <v>g34p_light_v2</v>
      </c>
      <c r="E43" t="str">
        <v>mrk</v>
      </c>
      <c r="F43" t="str">
        <v/>
      </c>
      <c r="G43" t="str">
        <v>103</v>
      </c>
      <c r="H43" t="str">
        <v/>
      </c>
      <c r="I43" t="str">
        <v/>
      </c>
      <c r="J43" t="str">
        <f>1/((1/L43)-(1/K43))</f>
        <v>0.088784</v>
      </c>
      <c r="K43" t="str">
        <f>BH43+(BI43*AN43)+(BJ43*AN43*POWER(V43,2))+(BK43*AN43*V43)+(BL43*POWER(AN43,2))</f>
        <v>2.921129</v>
      </c>
      <c r="L43" t="str">
        <f>((M43/1000)*(1000-((T43+S43)/2)))/(T43-S43)</f>
        <v>0.086165</v>
      </c>
      <c r="M43" t="str">
        <f>(AN43*(S43-R43))/(100*U43*(1000-S43))*1000</f>
        <v>2.379909</v>
      </c>
      <c r="N43" t="str">
        <v>1.924041</v>
      </c>
      <c r="O43" t="str">
        <v>1.864926</v>
      </c>
      <c r="P43" t="str">
        <f>0.61365*EXP((17.502*AL43)/(240.97+AL43))</f>
        <v>4.323317</v>
      </c>
      <c r="Q43" t="str">
        <f>P43-N43</f>
        <v>2.399276</v>
      </c>
      <c r="R43" t="str">
        <v>20.723755</v>
      </c>
      <c r="S43" t="str">
        <v>21.380671</v>
      </c>
      <c r="T43" t="str">
        <f>(P43/AM43)*1000</f>
        <v>48.042328</v>
      </c>
      <c r="U43" t="str">
        <f>V43*BG43</f>
        <v>0.441786</v>
      </c>
      <c r="V43" t="str">
        <v>7.500000</v>
      </c>
      <c r="W43" t="str">
        <v>PSF-00438_20251016144055_89d</v>
      </c>
      <c r="X43" t="str">
        <v>0.000000</v>
      </c>
      <c r="Y43" t="str">
        <v>0.000000</v>
      </c>
      <c r="Z43" t="str">
        <v>0.000000</v>
      </c>
      <c r="AA43" t="str">
        <v>208.370453</v>
      </c>
      <c r="AB43" t="str">
        <v>502.908783</v>
      </c>
      <c r="AC43" t="str">
        <v>0.585670</v>
      </c>
      <c r="AD43" t="str">
        <v>0.5</v>
      </c>
      <c r="AE43" t="str">
        <v>0.80</v>
      </c>
      <c r="AF43" t="str">
        <f>AC43*AD43*AE43*AQ43</f>
        <v>73.916763</v>
      </c>
      <c r="AG43" t="str">
        <v>1.000000</v>
      </c>
      <c r="AH43" t="str">
        <v>42.90</v>
      </c>
      <c r="AI43" t="str">
        <v>41.59</v>
      </c>
      <c r="AJ43" t="str">
        <v>30.90</v>
      </c>
      <c r="AK43" t="str">
        <v>30.26</v>
      </c>
      <c r="AL43" t="str">
        <f>(AK43-AJ43)*(AJ43*0+0)+AK43</f>
        <v>30.26</v>
      </c>
      <c r="AM43" t="str">
        <v>89.99</v>
      </c>
      <c r="AN43" t="str">
        <v>156.6</v>
      </c>
      <c r="AO43" t="str">
        <v>157.2</v>
      </c>
      <c r="AP43" t="str">
        <v>-0.4</v>
      </c>
      <c r="AQ43" t="str">
        <v>316</v>
      </c>
      <c r="AR43" t="str">
        <v>3.921</v>
      </c>
      <c r="AS43" t="str">
        <v>14:36:12</v>
      </c>
      <c r="AT43" t="str">
        <v>2025-10-16</v>
      </c>
      <c r="AU43" t="str">
        <v>0.05</v>
      </c>
      <c r="AV43" t="str">
        <v>1</v>
      </c>
      <c r="AW43" t="str">
        <v>-0.014</v>
      </c>
      <c r="AX43" t="str">
        <v>-0.023</v>
      </c>
      <c r="AY43" t="str">
        <v>0.036</v>
      </c>
      <c r="AZ43" t="str">
        <v>202.477</v>
      </c>
      <c r="BA43" t="str">
        <v>101.742</v>
      </c>
      <c r="BB43" t="str">
        <v>50.542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5.000000</v>
      </c>
      <c r="BS43" t="str">
        <v>2.000000</v>
      </c>
      <c r="BT43" t="str">
        <v>300</v>
      </c>
      <c r="BU43" t="str">
        <v>300</v>
      </c>
      <c r="BV43" t="str">
        <v>300</v>
      </c>
      <c r="BW43" t="str">
        <v>498.801483</v>
      </c>
      <c r="BX43" t="str">
        <v>25</v>
      </c>
      <c r="BY43" t="str">
        <v>-3.554087</v>
      </c>
      <c r="BZ43" t="str">
        <v>495.780579</v>
      </c>
      <c r="CA43" t="str">
        <v>497.828247</v>
      </c>
      <c r="CB43" t="str">
        <v>-2.047668</v>
      </c>
      <c r="CC43" t="str">
        <v>2.454974</v>
      </c>
      <c r="CD43" t="str">
        <v>2.470756</v>
      </c>
      <c r="CE43" t="str">
        <v>1.654894</v>
      </c>
      <c r="CF43" t="str">
        <v>0.939340</v>
      </c>
      <c r="CG43" t="str">
        <v>0.215904</v>
      </c>
      <c r="CH43" t="str">
        <v>-0.007521</v>
      </c>
      <c r="CI43" t="str">
        <v>0.601466</v>
      </c>
      <c r="CJ43" t="str">
        <v>0.391135</v>
      </c>
      <c r="CK43" t="str">
        <v>208.370453</v>
      </c>
      <c r="CL43" t="str">
        <v>0.000244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PSF-00438_20251016144055_89d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2025-10-05T12:52:38.073Z</v>
      </c>
    </row>
    <row r="44">
      <c r="A44" t="str">
        <v>41</v>
      </c>
      <c r="B44" t="str">
        <v>14:43:17</v>
      </c>
      <c r="C44" t="str">
        <v>2025-10-16</v>
      </c>
      <c r="D44" t="str">
        <v>g34p_light_v2</v>
      </c>
      <c r="E44" t="str">
        <v>mrk</v>
      </c>
      <c r="F44" t="str">
        <v/>
      </c>
      <c r="G44" t="str">
        <v>97</v>
      </c>
      <c r="H44" t="str">
        <v/>
      </c>
      <c r="I44" t="str">
        <v/>
      </c>
      <c r="J44" t="str">
        <f>1/((1/L44)-(1/K44))</f>
        <v>0.058395</v>
      </c>
      <c r="K44" t="str">
        <f>BH44+(BI44*AN44)+(BJ44*AN44*POWER(V44,2))+(BK44*AN44*V44)+(BL44*POWER(AN44,2))</f>
        <v>2.922015</v>
      </c>
      <c r="L44" t="str">
        <f>((M44/1000)*(1000-((T44+S44)/2)))/(T44-S44)</f>
        <v>0.057251</v>
      </c>
      <c r="M44" t="str">
        <f>(AN44*(S44-R44))/(100*U44*(1000-S44))*1000</f>
        <v>1.704559</v>
      </c>
      <c r="N44" t="str">
        <v>1.894447</v>
      </c>
      <c r="O44" t="str">
        <v>1.852125</v>
      </c>
      <c r="P44" t="str">
        <f>0.61365*EXP((17.502*AL44)/(240.97+AL44))</f>
        <v>4.478704</v>
      </c>
      <c r="Q44" t="str">
        <f>P44-N44</f>
        <v>2.584257</v>
      </c>
      <c r="R44" t="str">
        <v>20.582998</v>
      </c>
      <c r="S44" t="str">
        <v>21.053328</v>
      </c>
      <c r="T44" t="str">
        <f>(P44/AM44)*1000</f>
        <v>49.772640</v>
      </c>
      <c r="U44" t="str">
        <f>V44*BG44</f>
        <v>0.441786</v>
      </c>
      <c r="V44" t="str">
        <v>7.500000</v>
      </c>
      <c r="W44" t="str">
        <v>PSF-00438_20251016144317_90f</v>
      </c>
      <c r="X44" t="str">
        <v>0.000000</v>
      </c>
      <c r="Y44" t="str">
        <v>0.000000</v>
      </c>
      <c r="Z44" t="str">
        <v>0.000000</v>
      </c>
      <c r="AA44" t="str">
        <v>154.709106</v>
      </c>
      <c r="AB44" t="str">
        <v>265.312408</v>
      </c>
      <c r="AC44" t="str">
        <v>0.416880</v>
      </c>
      <c r="AD44" t="str">
        <v>0.5</v>
      </c>
      <c r="AE44" t="str">
        <v>0.80</v>
      </c>
      <c r="AF44" t="str">
        <f>AC44*AD44*AE44*AQ44</f>
        <v>54.063313</v>
      </c>
      <c r="AG44" t="str">
        <v>1.000000</v>
      </c>
      <c r="AH44" t="str">
        <v>42.52</v>
      </c>
      <c r="AI44" t="str">
        <v>41.57</v>
      </c>
      <c r="AJ44" t="str">
        <v>30.78</v>
      </c>
      <c r="AK44" t="str">
        <v>30.87</v>
      </c>
      <c r="AL44" t="str">
        <f>(AK44-AJ44)*(AJ44*0+0)+AK44</f>
        <v>30.87</v>
      </c>
      <c r="AM44" t="str">
        <v>89.98</v>
      </c>
      <c r="AN44" t="str">
        <v>156.7</v>
      </c>
      <c r="AO44" t="str">
        <v>-16.7</v>
      </c>
      <c r="AP44" t="str">
        <v>110.7</v>
      </c>
      <c r="AQ44" t="str">
        <v>324</v>
      </c>
      <c r="AR44" t="str">
        <v>3.918</v>
      </c>
      <c r="AS44" t="str">
        <v>14:36:12</v>
      </c>
      <c r="AT44" t="str">
        <v>2025-10-16</v>
      </c>
      <c r="AU44" t="str">
        <v>0.05</v>
      </c>
      <c r="AV44" t="str">
        <v>1</v>
      </c>
      <c r="AW44" t="str">
        <v>0.009</v>
      </c>
      <c r="AX44" t="str">
        <v>0.034</v>
      </c>
      <c r="AY44" t="str">
        <v>0.010</v>
      </c>
      <c r="AZ44" t="str">
        <v>129.555</v>
      </c>
      <c r="BA44" t="str">
        <v>64.392</v>
      </c>
      <c r="BB44" t="str">
        <v>31.847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5.000000</v>
      </c>
      <c r="BS44" t="str">
        <v>2.000000</v>
      </c>
      <c r="BT44" t="str">
        <v>300</v>
      </c>
      <c r="BU44" t="str">
        <v>300</v>
      </c>
      <c r="BV44" t="str">
        <v>300</v>
      </c>
      <c r="BW44" t="str">
        <v>260.691772</v>
      </c>
      <c r="BX44" t="str">
        <v>25</v>
      </c>
      <c r="BY44" t="str">
        <v>-3.364536</v>
      </c>
      <c r="BZ44" t="str">
        <v>259.259460</v>
      </c>
      <c r="CA44" t="str">
        <v>260.502838</v>
      </c>
      <c r="CB44" t="str">
        <v>-1.243378</v>
      </c>
      <c r="CC44" t="str">
        <v>2.454980</v>
      </c>
      <c r="CD44" t="str">
        <v>2.470264</v>
      </c>
      <c r="CE44" t="str">
        <v>1.655821</v>
      </c>
      <c r="CF44" t="str">
        <v>0.571718</v>
      </c>
      <c r="CG44" t="str">
        <v>0.216883</v>
      </c>
      <c r="CH44" t="str">
        <v>0.001247</v>
      </c>
      <c r="CI44" t="str">
        <v>0.605715</v>
      </c>
      <c r="CJ44" t="str">
        <v>0.398954</v>
      </c>
      <c r="CK44" t="str">
        <v>154.709106</v>
      </c>
      <c r="CL44" t="str">
        <v>0.000246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PSF-00438_20251016144317_90f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2025-10-05T12:52:38.073Z</v>
      </c>
    </row>
    <row r="45">
      <c r="A45" t="str">
        <v>42</v>
      </c>
      <c r="B45" t="str">
        <v>14:47:10</v>
      </c>
      <c r="C45" t="str">
        <v>2025-10-16</v>
      </c>
      <c r="D45" t="str">
        <v>g34p_light_v2</v>
      </c>
      <c r="E45" t="str">
        <v>mrk</v>
      </c>
      <c r="F45" t="str">
        <v/>
      </c>
      <c r="G45" t="str">
        <v>69</v>
      </c>
      <c r="H45" t="str">
        <v/>
      </c>
      <c r="I45" t="str">
        <v/>
      </c>
      <c r="J45" t="str">
        <f>1/((1/L45)-(1/K45))</f>
        <v>0.035681</v>
      </c>
      <c r="K45" t="str">
        <f>BH45+(BI45*AN45)+(BJ45*AN45*POWER(V45,2))+(BK45*AN45*V45)+(BL45*POWER(AN45,2))</f>
        <v>2.922203</v>
      </c>
      <c r="L45" t="str">
        <f>((M45/1000)*(1000-((T45+S45)/2)))/(T45-S45)</f>
        <v>0.035251</v>
      </c>
      <c r="M45" t="str">
        <f>(AN45*(S45-R45))/(100*U45*(1000-S45))*1000</f>
        <v>1.149540</v>
      </c>
      <c r="N45" t="str">
        <v>1.860293</v>
      </c>
      <c r="O45" t="str">
        <v>1.831743</v>
      </c>
      <c r="P45" t="str">
        <f>0.61365*EXP((17.502*AL45)/(240.97+AL45))</f>
        <v>4.688088</v>
      </c>
      <c r="Q45" t="str">
        <f>P45-N45</f>
        <v>2.827796</v>
      </c>
      <c r="R45" t="str">
        <v>20.355185</v>
      </c>
      <c r="S45" t="str">
        <v>20.672445</v>
      </c>
      <c r="T45" t="str">
        <f>(P45/AM45)*1000</f>
        <v>52.096241</v>
      </c>
      <c r="U45" t="str">
        <f>V45*BG45</f>
        <v>0.441786</v>
      </c>
      <c r="V45" t="str">
        <v>7.500000</v>
      </c>
      <c r="W45" t="str">
        <v>PSF-00438_20251016144710_d75</v>
      </c>
      <c r="X45" t="str">
        <v>0.000000</v>
      </c>
      <c r="Y45" t="str">
        <v>0.000000</v>
      </c>
      <c r="Z45" t="str">
        <v>0.000000</v>
      </c>
      <c r="AA45" t="str">
        <v>173.381210</v>
      </c>
      <c r="AB45" t="str">
        <v>217.026230</v>
      </c>
      <c r="AC45" t="str">
        <v>0.201105</v>
      </c>
      <c r="AD45" t="str">
        <v>0.5</v>
      </c>
      <c r="AE45" t="str">
        <v>0.80</v>
      </c>
      <c r="AF45" t="str">
        <f>AC45*AD45*AE45*AQ45</f>
        <v>130.733658</v>
      </c>
      <c r="AG45" t="str">
        <v>1.000000</v>
      </c>
      <c r="AH45" t="str">
        <v>41.15</v>
      </c>
      <c r="AI45" t="str">
        <v>40.52</v>
      </c>
      <c r="AJ45" t="str">
        <v>31.04</v>
      </c>
      <c r="AK45" t="str">
        <v>31.68</v>
      </c>
      <c r="AL45" t="str">
        <f>(AK45-AJ45)*(AJ45*0+0)+AK45</f>
        <v>31.68</v>
      </c>
      <c r="AM45" t="str">
        <v>89.99</v>
      </c>
      <c r="AN45" t="str">
        <v>156.8</v>
      </c>
      <c r="AO45" t="str">
        <v>157.2</v>
      </c>
      <c r="AP45" t="str">
        <v>-0.3</v>
      </c>
      <c r="AQ45" t="str">
        <v>1625</v>
      </c>
      <c r="AR45" t="str">
        <v>3.914</v>
      </c>
      <c r="AS45" t="str">
        <v>14:36:12</v>
      </c>
      <c r="AT45" t="str">
        <v>2025-10-16</v>
      </c>
      <c r="AU45" t="str">
        <v>0.05</v>
      </c>
      <c r="AV45" t="str">
        <v>1</v>
      </c>
      <c r="AW45" t="str">
        <v>0.007</v>
      </c>
      <c r="AX45" t="str">
        <v>0.028</v>
      </c>
      <c r="AY45" t="str">
        <v>-0.004</v>
      </c>
      <c r="AZ45" t="str">
        <v>66.090</v>
      </c>
      <c r="BA45" t="str">
        <v>32.616</v>
      </c>
      <c r="BB45" t="str">
        <v>15.961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mpf</v>
      </c>
      <c r="BP45" t="str">
        <v>7000</v>
      </c>
      <c r="BQ45" t="str">
        <v>500</v>
      </c>
      <c r="BR45" t="str">
        <v>5.000000</v>
      </c>
      <c r="BS45" t="str">
        <v>2.000000</v>
      </c>
      <c r="BT45" t="str">
        <v>300</v>
      </c>
      <c r="BU45" t="str">
        <v>300</v>
      </c>
      <c r="BV45" t="str">
        <v>300</v>
      </c>
      <c r="BW45" t="str">
        <v>210.717911</v>
      </c>
      <c r="BX45" t="str">
        <v>25</v>
      </c>
      <c r="BY45" t="str">
        <v>-5.353003</v>
      </c>
      <c r="BZ45" t="str">
        <v>207.666992</v>
      </c>
      <c r="CA45" t="str">
        <v>209.374161</v>
      </c>
      <c r="CB45" t="str">
        <v>-1.707169</v>
      </c>
      <c r="CC45" t="str">
        <v>2.453508</v>
      </c>
      <c r="CD45" t="str">
        <v>2.468348</v>
      </c>
      <c r="CE45" t="str">
        <v>1.656017</v>
      </c>
      <c r="CF45" t="str">
        <v>0.939440</v>
      </c>
      <c r="CG45" t="str">
        <v>0.214710</v>
      </c>
      <c r="CH45" t="str">
        <v>0.007847</v>
      </c>
      <c r="CI45" t="str">
        <v>0.614806</v>
      </c>
      <c r="CJ45" t="str">
        <v>1.569273</v>
      </c>
      <c r="CK45" t="str">
        <v>192.711716</v>
      </c>
      <c r="CL45" t="str">
        <v>0.000245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PSF-00438_20251016144710_d75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2025-10-05T12:52:38.073Z</v>
      </c>
    </row>
    <row r="46">
      <c r="A46" t="str">
        <v>43</v>
      </c>
      <c r="B46" t="str">
        <v>14:49:56</v>
      </c>
      <c r="C46" t="str">
        <v>2025-10-16</v>
      </c>
      <c r="D46" t="str">
        <v>g34p_light_v2</v>
      </c>
      <c r="E46" t="str">
        <v>mrk</v>
      </c>
      <c r="F46" t="str">
        <v/>
      </c>
      <c r="G46" t="str">
        <v>65</v>
      </c>
      <c r="H46" t="str">
        <v/>
      </c>
      <c r="I46" t="str">
        <v/>
      </c>
      <c r="J46" t="str">
        <f>1/((1/L46)-(1/K46))</f>
        <v>-0.064540</v>
      </c>
      <c r="K46" t="str">
        <f>BH46+(BI46*AN46)+(BJ46*AN46*POWER(V46,2))+(BK46*AN46*V46)+(BL46*POWER(AN46,2))</f>
        <v>2.922584</v>
      </c>
      <c r="L46" t="str">
        <f>((M46/1000)*(1000-((T46+S46)/2)))/(T46-S46)</f>
        <v>-0.065998</v>
      </c>
      <c r="M46" t="str">
        <f>(AN46*(S46-R46))/(100*U46*(1000-S46))*1000</f>
        <v>-2.201816</v>
      </c>
      <c r="N46" t="str">
        <v>1.780565</v>
      </c>
      <c r="O46" t="str">
        <v>1.835286</v>
      </c>
      <c r="P46" t="str">
        <f>0.61365*EXP((17.502*AL46)/(240.97+AL46))</f>
        <v>4.675279</v>
      </c>
      <c r="Q46" t="str">
        <f>P46-N46</f>
        <v>2.894714</v>
      </c>
      <c r="R46" t="str">
        <v>20.393204</v>
      </c>
      <c r="S46" t="str">
        <v>19.785156</v>
      </c>
      <c r="T46" t="str">
        <f>(P46/AM46)*1000</f>
        <v>51.950432</v>
      </c>
      <c r="U46" t="str">
        <f>V46*BG46</f>
        <v>0.441786</v>
      </c>
      <c r="V46" t="str">
        <v>7.500000</v>
      </c>
      <c r="W46" t="str">
        <v>PSF-00438_20251016144956_a8e</v>
      </c>
      <c r="X46" t="str">
        <v>0.000000</v>
      </c>
      <c r="Y46" t="str">
        <v>0.000000</v>
      </c>
      <c r="Z46" t="str">
        <v>0.000000</v>
      </c>
      <c r="AA46" t="str">
        <v>91.181877</v>
      </c>
      <c r="AB46" t="str">
        <v>163.032974</v>
      </c>
      <c r="AC46" t="str">
        <v>0.440715</v>
      </c>
      <c r="AD46" t="str">
        <v>0.5</v>
      </c>
      <c r="AE46" t="str">
        <v>0.80</v>
      </c>
      <c r="AF46" t="str">
        <f>AC46*AD46*AE46*AQ46</f>
        <v>237.985794</v>
      </c>
      <c r="AG46" t="str">
        <v>1.000000</v>
      </c>
      <c r="AH46" t="str">
        <v>39.08</v>
      </c>
      <c r="AI46" t="str">
        <v>40.28</v>
      </c>
      <c r="AJ46" t="str">
        <v>31.17</v>
      </c>
      <c r="AK46" t="str">
        <v>31.63</v>
      </c>
      <c r="AL46" t="str">
        <f>(AK46-AJ46)*(AJ46*0+0)+AK46</f>
        <v>31.63</v>
      </c>
      <c r="AM46" t="str">
        <v>90.00</v>
      </c>
      <c r="AN46" t="str">
        <v>156.8</v>
      </c>
      <c r="AO46" t="str">
        <v>-2.6</v>
      </c>
      <c r="AP46" t="str">
        <v>101.6</v>
      </c>
      <c r="AQ46" t="str">
        <v>1350</v>
      </c>
      <c r="AR46" t="str">
        <v>3.909</v>
      </c>
      <c r="AS46" t="str">
        <v>14:47:22</v>
      </c>
      <c r="AT46" t="str">
        <v>2025-10-16</v>
      </c>
      <c r="AU46" t="str">
        <v>0.06</v>
      </c>
      <c r="AV46" t="str">
        <v>1</v>
      </c>
      <c r="AW46" t="str">
        <v>-0.007</v>
      </c>
      <c r="AX46" t="str">
        <v>-9999.000</v>
      </c>
      <c r="AY46" t="str">
        <v>-9999.000</v>
      </c>
      <c r="AZ46" t="str">
        <v>-6.531</v>
      </c>
      <c r="BA46" t="str">
        <v>-9999.000</v>
      </c>
      <c r="BB46" t="str">
        <v>-9999.000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mpf</v>
      </c>
      <c r="BP46" t="str">
        <v>7000</v>
      </c>
      <c r="BQ46" t="str">
        <v>500</v>
      </c>
      <c r="BR46" t="str">
        <v>5.000000</v>
      </c>
      <c r="BS46" t="str">
        <v>2.000000</v>
      </c>
      <c r="BT46" t="str">
        <v>300</v>
      </c>
      <c r="BU46" t="str">
        <v>300</v>
      </c>
      <c r="BV46" t="str">
        <v>300</v>
      </c>
      <c r="BW46" t="str">
        <v>155.647873</v>
      </c>
      <c r="BX46" t="str">
        <v>25</v>
      </c>
      <c r="BY46" t="str">
        <v>-5.211750</v>
      </c>
      <c r="BZ46" t="str">
        <v>156.259064</v>
      </c>
      <c r="CA46" t="str">
        <v>155.582825</v>
      </c>
      <c r="CB46" t="str">
        <v>0.676239</v>
      </c>
      <c r="CC46" t="str">
        <v>2.453163</v>
      </c>
      <c r="CD46" t="str">
        <v>2.465493</v>
      </c>
      <c r="CE46" t="str">
        <v>1.656417</v>
      </c>
      <c r="CF46" t="str">
        <v>0.596393</v>
      </c>
      <c r="CG46" t="str">
        <v>0.213563</v>
      </c>
      <c r="CH46" t="str">
        <v>0.005619</v>
      </c>
      <c r="CI46" t="str">
        <v>0.619063</v>
      </c>
      <c r="CJ46" t="str">
        <v>1.321716</v>
      </c>
      <c r="CK46" t="str">
        <v>91.181877</v>
      </c>
      <c r="CL46" t="str">
        <v>0.000243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PSF-00438_20251016144956_a8e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2025-10-05T12:52:38.073Z</v>
      </c>
    </row>
    <row r="47">
      <c r="A47" t="str">
        <v>44</v>
      </c>
      <c r="B47" t="str">
        <v>14:52:58</v>
      </c>
      <c r="C47" t="str">
        <v>2025-10-16</v>
      </c>
      <c r="D47" t="str">
        <v>g34p_light_v2</v>
      </c>
      <c r="E47" t="str">
        <v>mrk</v>
      </c>
      <c r="F47" t="str">
        <v/>
      </c>
      <c r="G47" t="str">
        <v>88</v>
      </c>
      <c r="H47" t="str">
        <v/>
      </c>
      <c r="I47" t="str">
        <v/>
      </c>
      <c r="J47" t="str">
        <f>1/((1/L47)-(1/K47))</f>
        <v>0.062797</v>
      </c>
      <c r="K47" t="str">
        <f>BH47+(BI47*AN47)+(BJ47*AN47*POWER(V47,2))+(BK47*AN47*V47)+(BL47*POWER(AN47,2))</f>
        <v>2.921599</v>
      </c>
      <c r="L47" t="str">
        <f>((M47/1000)*(1000-((T47+S47)/2)))/(T47-S47)</f>
        <v>0.061476</v>
      </c>
      <c r="M47" t="str">
        <f>(AN47*(S47-R47))/(100*U47*(1000-S47))*1000</f>
        <v>1.487981</v>
      </c>
      <c r="N47" t="str">
        <v>1.845804</v>
      </c>
      <c r="O47" t="str">
        <v>1.808824</v>
      </c>
      <c r="P47" t="str">
        <f>0.61365*EXP((17.502*AL47)/(240.97+AL47))</f>
        <v>3.953783</v>
      </c>
      <c r="Q47" t="str">
        <f>P47-N47</f>
        <v>2.107979</v>
      </c>
      <c r="R47" t="str">
        <v>20.100168</v>
      </c>
      <c r="S47" t="str">
        <v>20.511103</v>
      </c>
      <c r="T47" t="str">
        <f>(P47/AM47)*1000</f>
        <v>43.935558</v>
      </c>
      <c r="U47" t="str">
        <f>V47*BG47</f>
        <v>0.441786</v>
      </c>
      <c r="V47" t="str">
        <v>7.500000</v>
      </c>
      <c r="W47" t="str">
        <v>PSF-00438_20251016145258_38a</v>
      </c>
      <c r="X47" t="str">
        <v>0.000000</v>
      </c>
      <c r="Y47" t="str">
        <v>0.000000</v>
      </c>
      <c r="Z47" t="str">
        <v>0.000000</v>
      </c>
      <c r="AA47" t="str">
        <v>332.440857</v>
      </c>
      <c r="AB47" t="str">
        <v>456.414337</v>
      </c>
      <c r="AC47" t="str">
        <v>0.271625</v>
      </c>
      <c r="AD47" t="str">
        <v>0.5</v>
      </c>
      <c r="AE47" t="str">
        <v>0.80</v>
      </c>
      <c r="AF47" t="str">
        <f>AC47*AD47*AE47*AQ47</f>
        <v>155.497894</v>
      </c>
      <c r="AG47" t="str">
        <v>1.000000</v>
      </c>
      <c r="AH47" t="str">
        <v>40.44</v>
      </c>
      <c r="AI47" t="str">
        <v>39.63</v>
      </c>
      <c r="AJ47" t="str">
        <v>31.21</v>
      </c>
      <c r="AK47" t="str">
        <v>28.71</v>
      </c>
      <c r="AL47" t="str">
        <f>(AK47-AJ47)*(AJ47*0+0)+AK47</f>
        <v>28.71</v>
      </c>
      <c r="AM47" t="str">
        <v>89.99</v>
      </c>
      <c r="AN47" t="str">
        <v>156.7</v>
      </c>
      <c r="AO47" t="str">
        <v>156.9</v>
      </c>
      <c r="AP47" t="str">
        <v>-0.1</v>
      </c>
      <c r="AQ47" t="str">
        <v>1431</v>
      </c>
      <c r="AR47" t="str">
        <v>3.907</v>
      </c>
      <c r="AS47" t="str">
        <v>14:47:22</v>
      </c>
      <c r="AT47" t="str">
        <v>2025-10-16</v>
      </c>
      <c r="AU47" t="str">
        <v>0.06</v>
      </c>
      <c r="AV47" t="str">
        <v>1</v>
      </c>
      <c r="AW47" t="str">
        <v>0.004</v>
      </c>
      <c r="AX47" t="str">
        <v>-0.029</v>
      </c>
      <c r="AY47" t="str">
        <v>-0.097</v>
      </c>
      <c r="AZ47" t="str">
        <v>337.399</v>
      </c>
      <c r="BA47" t="str">
        <v>162.775</v>
      </c>
      <c r="BB47" t="str">
        <v>88.258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mpf</v>
      </c>
      <c r="BP47" t="str">
        <v>7000</v>
      </c>
      <c r="BQ47" t="str">
        <v>500</v>
      </c>
      <c r="BR47" t="str">
        <v>5.000000</v>
      </c>
      <c r="BS47" t="str">
        <v>2.000000</v>
      </c>
      <c r="BT47" t="str">
        <v>300</v>
      </c>
      <c r="BU47" t="str">
        <v>300</v>
      </c>
      <c r="BV47" t="str">
        <v>300</v>
      </c>
      <c r="BW47" t="str">
        <v>437.201843</v>
      </c>
      <c r="BX47" t="str">
        <v>25</v>
      </c>
      <c r="BY47" t="str">
        <v>-15.703598</v>
      </c>
      <c r="BZ47" t="str">
        <v>428.463226</v>
      </c>
      <c r="CA47" t="str">
        <v>433.966187</v>
      </c>
      <c r="CB47" t="str">
        <v>-5.502960</v>
      </c>
      <c r="CC47" t="str">
        <v>2.452271</v>
      </c>
      <c r="CD47" t="str">
        <v>2.467340</v>
      </c>
      <c r="CE47" t="str">
        <v>1.655385</v>
      </c>
      <c r="CF47" t="str">
        <v>0.938495</v>
      </c>
      <c r="CG47" t="str">
        <v>0.213288</v>
      </c>
      <c r="CH47" t="str">
        <v>-0.029559</v>
      </c>
      <c r="CI47" t="str">
        <v>0.624693</v>
      </c>
      <c r="CJ47" t="str">
        <v>1.394748</v>
      </c>
      <c r="CK47" t="str">
        <v>332.440857</v>
      </c>
      <c r="CL47" t="str">
        <v>0.000243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PSF-00438_20251016145258_38a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2025-10-05T12:52:38.073Z</v>
      </c>
    </row>
    <row r="48">
      <c r="A48" t="str">
        <v>45</v>
      </c>
      <c r="B48" t="str">
        <v>14:56:26</v>
      </c>
      <c r="C48" t="str">
        <v>2025-10-16</v>
      </c>
      <c r="D48" t="str">
        <v>g34p_light_v2</v>
      </c>
      <c r="E48" t="str">
        <v>mrk</v>
      </c>
      <c r="F48" t="str">
        <v/>
      </c>
      <c r="G48" t="str">
        <v>71</v>
      </c>
      <c r="H48" t="str">
        <v/>
      </c>
      <c r="I48" t="str">
        <v/>
      </c>
      <c r="J48" t="str">
        <f>1/((1/L48)-(1/K48))</f>
        <v>0.041126</v>
      </c>
      <c r="K48" t="str">
        <f>BH48+(BI48*AN48)+(BJ48*AN48*POWER(V48,2))+(BK48*AN48*V48)+(BL48*POWER(AN48,2))</f>
        <v>2.921948</v>
      </c>
      <c r="L48" t="str">
        <f>((M48/1000)*(1000-((T48+S48)/2)))/(T48-S48)</f>
        <v>0.040555</v>
      </c>
      <c r="M48" t="str">
        <f>(AN48*(S48-R48))/(100*U48*(1000-S48))*1000</f>
        <v>1.416538</v>
      </c>
      <c r="N48" t="str">
        <v>1.875110</v>
      </c>
      <c r="O48" t="str">
        <v>1.839939</v>
      </c>
      <c r="P48" t="str">
        <f>0.61365*EXP((17.502*AL48)/(240.97+AL48))</f>
        <v>4.899037</v>
      </c>
      <c r="Q48" t="str">
        <f>P48-N48</f>
        <v>3.023926</v>
      </c>
      <c r="R48" t="str">
        <v>20.452572</v>
      </c>
      <c r="S48" t="str">
        <v>20.843534</v>
      </c>
      <c r="T48" t="str">
        <f>(P48/AM48)*1000</f>
        <v>54.457191</v>
      </c>
      <c r="U48" t="str">
        <f>V48*BG48</f>
        <v>0.441786</v>
      </c>
      <c r="V48" t="str">
        <v>7.500000</v>
      </c>
      <c r="W48" t="str">
        <v>PSF-00438_20251016145626_022</v>
      </c>
      <c r="X48" t="str">
        <v>0.000000</v>
      </c>
      <c r="Y48" t="str">
        <v>0.000000</v>
      </c>
      <c r="Z48" t="str">
        <v>0.000000</v>
      </c>
      <c r="AA48" t="str">
        <v>125.145790</v>
      </c>
      <c r="AB48" t="str">
        <v>171.919403</v>
      </c>
      <c r="AC48" t="str">
        <v>0.272067</v>
      </c>
      <c r="AD48" t="str">
        <v>0.5</v>
      </c>
      <c r="AE48" t="str">
        <v>0.80</v>
      </c>
      <c r="AF48" t="str">
        <f>AC48*AD48*AE48*AQ48</f>
        <v>104.887428</v>
      </c>
      <c r="AG48" t="str">
        <v>1.000000</v>
      </c>
      <c r="AH48" t="str">
        <v>40.88</v>
      </c>
      <c r="AI48" t="str">
        <v>40.11</v>
      </c>
      <c r="AJ48" t="str">
        <v>31.29</v>
      </c>
      <c r="AK48" t="str">
        <v>32.45</v>
      </c>
      <c r="AL48" t="str">
        <f>(AK48-AJ48)*(AJ48*0+0)+AK48</f>
        <v>32.45</v>
      </c>
      <c r="AM48" t="str">
        <v>89.96</v>
      </c>
      <c r="AN48" t="str">
        <v>156.7</v>
      </c>
      <c r="AO48" t="str">
        <v>157.2</v>
      </c>
      <c r="AP48" t="str">
        <v>-0.3</v>
      </c>
      <c r="AQ48" t="str">
        <v>964</v>
      </c>
      <c r="AR48" t="str">
        <v>3.902</v>
      </c>
      <c r="AS48" t="str">
        <v>14:47:22</v>
      </c>
      <c r="AT48" t="str">
        <v>2025-10-16</v>
      </c>
      <c r="AU48" t="str">
        <v>0.06</v>
      </c>
      <c r="AV48" t="str">
        <v>1</v>
      </c>
      <c r="AW48" t="str">
        <v>-0.014</v>
      </c>
      <c r="AX48" t="str">
        <v>0.001</v>
      </c>
      <c r="AY48" t="str">
        <v>0.018</v>
      </c>
      <c r="AZ48" t="str">
        <v>97.670</v>
      </c>
      <c r="BA48" t="str">
        <v>70.153</v>
      </c>
      <c r="BB48" t="str">
        <v>34.820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mpf</v>
      </c>
      <c r="BP48" t="str">
        <v>7000</v>
      </c>
      <c r="BQ48" t="str">
        <v>500</v>
      </c>
      <c r="BR48" t="str">
        <v>5.000000</v>
      </c>
      <c r="BS48" t="str">
        <v>2.000000</v>
      </c>
      <c r="BT48" t="str">
        <v>300</v>
      </c>
      <c r="BU48" t="str">
        <v>300</v>
      </c>
      <c r="BV48" t="str">
        <v>300</v>
      </c>
      <c r="BW48" t="str">
        <v>162.930969</v>
      </c>
      <c r="BX48" t="str">
        <v>25</v>
      </c>
      <c r="BY48" t="str">
        <v>-6.637030</v>
      </c>
      <c r="BZ48" t="str">
        <v>160.535568</v>
      </c>
      <c r="CA48" t="str">
        <v>162.431824</v>
      </c>
      <c r="CB48" t="str">
        <v>-1.896255</v>
      </c>
      <c r="CC48" t="str">
        <v>2.452912</v>
      </c>
      <c r="CD48" t="str">
        <v>2.467925</v>
      </c>
      <c r="CE48" t="str">
        <v>1.655751</v>
      </c>
      <c r="CF48" t="str">
        <v>0.939342</v>
      </c>
      <c r="CG48" t="str">
        <v>0.212575</v>
      </c>
      <c r="CH48" t="str">
        <v>0.014236</v>
      </c>
      <c r="CI48" t="str">
        <v>0.630111</v>
      </c>
      <c r="CJ48" t="str">
        <v>0.974306</v>
      </c>
      <c r="CK48" t="str">
        <v>125.145790</v>
      </c>
      <c r="CL48" t="str">
        <v>0.000243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PSF-00438_20251016145626_022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2025-10-05T12:52:38.073Z</v>
      </c>
    </row>
    <row r="49">
      <c r="A49" t="str">
        <v>46</v>
      </c>
      <c r="B49" t="str">
        <v>14:58:52</v>
      </c>
      <c r="C49" t="str">
        <v>2025-10-16</v>
      </c>
      <c r="D49" t="str">
        <v>g34p_light_v2</v>
      </c>
      <c r="E49" t="str">
        <v>mrk</v>
      </c>
      <c r="F49" t="str">
        <v/>
      </c>
      <c r="G49" t="str">
        <v>75</v>
      </c>
      <c r="H49" t="str">
        <v/>
      </c>
      <c r="I49" t="str">
        <v/>
      </c>
      <c r="J49" t="str">
        <f>1/((1/L49)-(1/K49))</f>
        <v>0.016588</v>
      </c>
      <c r="K49" t="str">
        <f>BH49+(BI49*AN49)+(BJ49*AN49*POWER(V49,2))+(BK49*AN49*V49)+(BL49*POWER(AN49,2))</f>
        <v>2.923900</v>
      </c>
      <c r="L49" t="str">
        <f>((M49/1000)*(1000-((T49+S49)/2)))/(T49-S49)</f>
        <v>0.016495</v>
      </c>
      <c r="M49" t="str">
        <f>(AN49*(S49-R49))/(100*U49*(1000-S49))*1000</f>
        <v>0.571254</v>
      </c>
      <c r="N49" t="str">
        <v>1.783562</v>
      </c>
      <c r="O49" t="str">
        <v>1.769382</v>
      </c>
      <c r="P49" t="str">
        <f>0.61365*EXP((17.502*AL49)/(240.97+AL49))</f>
        <v>4.785992</v>
      </c>
      <c r="Q49" t="str">
        <f>P49-N49</f>
        <v>3.002430</v>
      </c>
      <c r="R49" t="str">
        <v>19.664394</v>
      </c>
      <c r="S49" t="str">
        <v>19.821980</v>
      </c>
      <c r="T49" t="str">
        <f>(P49/AM49)*1000</f>
        <v>53.190098</v>
      </c>
      <c r="U49" t="str">
        <f>V49*BG49</f>
        <v>0.441786</v>
      </c>
      <c r="V49" t="str">
        <v>7.500000</v>
      </c>
      <c r="W49" t="str">
        <v>PSF-00438_20251016145852_a7d</v>
      </c>
      <c r="X49" t="str">
        <v>0.000000</v>
      </c>
      <c r="Y49" t="str">
        <v>0.000000</v>
      </c>
      <c r="Z49" t="str">
        <v>0.000000</v>
      </c>
      <c r="AA49" t="str">
        <v>165.648575</v>
      </c>
      <c r="AB49" t="str">
        <v>193.703415</v>
      </c>
      <c r="AC49" t="str">
        <v>0.144834</v>
      </c>
      <c r="AD49" t="str">
        <v>0.5</v>
      </c>
      <c r="AE49" t="str">
        <v>0.80</v>
      </c>
      <c r="AF49" t="str">
        <f>AC49*AD49*AE49*AQ49</f>
        <v>82.109947</v>
      </c>
      <c r="AG49" t="str">
        <v>1.000000</v>
      </c>
      <c r="AH49" t="str">
        <v>38.57</v>
      </c>
      <c r="AI49" t="str">
        <v>38.26</v>
      </c>
      <c r="AJ49" t="str">
        <v>31.44</v>
      </c>
      <c r="AK49" t="str">
        <v>32.04</v>
      </c>
      <c r="AL49" t="str">
        <f>(AK49-AJ49)*(AJ49*0+0)+AK49</f>
        <v>32.04</v>
      </c>
      <c r="AM49" t="str">
        <v>89.98</v>
      </c>
      <c r="AN49" t="str">
        <v>157.0</v>
      </c>
      <c r="AO49" t="str">
        <v>157.0</v>
      </c>
      <c r="AP49" t="str">
        <v>0.0</v>
      </c>
      <c r="AQ49" t="str">
        <v>1417</v>
      </c>
      <c r="AR49" t="str">
        <v>3.899</v>
      </c>
      <c r="AS49" t="str">
        <v>14:47:22</v>
      </c>
      <c r="AT49" t="str">
        <v>2025-10-16</v>
      </c>
      <c r="AU49" t="str">
        <v>0.06</v>
      </c>
      <c r="AV49" t="str">
        <v>1</v>
      </c>
      <c r="AW49" t="str">
        <v>0.021</v>
      </c>
      <c r="AX49" t="str">
        <v>0.011</v>
      </c>
      <c r="AY49" t="str">
        <v>-0.003</v>
      </c>
      <c r="AZ49" t="str">
        <v>14.366</v>
      </c>
      <c r="BA49" t="str">
        <v>6.312</v>
      </c>
      <c r="BB49" t="str">
        <v>3.155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mpf</v>
      </c>
      <c r="BP49" t="str">
        <v>7000</v>
      </c>
      <c r="BQ49" t="str">
        <v>500</v>
      </c>
      <c r="BR49" t="str">
        <v>5.000000</v>
      </c>
      <c r="BS49" t="str">
        <v>2.000000</v>
      </c>
      <c r="BT49" t="str">
        <v>300</v>
      </c>
      <c r="BU49" t="str">
        <v>300</v>
      </c>
      <c r="BV49" t="str">
        <v>300</v>
      </c>
      <c r="BW49" t="str">
        <v>191.018707</v>
      </c>
      <c r="BX49" t="str">
        <v>25</v>
      </c>
      <c r="BY49" t="str">
        <v>-2.300133</v>
      </c>
      <c r="BZ49" t="str">
        <v>189.731247</v>
      </c>
      <c r="CA49" t="str">
        <v>190.415390</v>
      </c>
      <c r="CB49" t="str">
        <v>-0.684143</v>
      </c>
      <c r="CC49" t="str">
        <v>2.450371</v>
      </c>
      <c r="CD49" t="str">
        <v>2.464735</v>
      </c>
      <c r="CE49" t="str">
        <v>1.657799</v>
      </c>
      <c r="CF49" t="str">
        <v>0.938707</v>
      </c>
      <c r="CG49" t="str">
        <v>0.211374</v>
      </c>
      <c r="CH49" t="str">
        <v>0.007457</v>
      </c>
      <c r="CI49" t="str">
        <v>0.634337</v>
      </c>
      <c r="CJ49" t="str">
        <v>1.382270</v>
      </c>
      <c r="CK49" t="str">
        <v>166.571259</v>
      </c>
      <c r="CL49" t="str">
        <v>0.000244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PSF-00438_20251016145852_a7d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2025-10-05T12:52:38.073Z</v>
      </c>
    </row>
    <row r="50">
      <c r="A50" t="str">
        <v>47</v>
      </c>
      <c r="B50" t="str">
        <v>15:01:46</v>
      </c>
      <c r="C50" t="str">
        <v>2025-10-16</v>
      </c>
      <c r="D50" t="str">
        <v>g34p_light_v2</v>
      </c>
      <c r="E50" t="str">
        <v>mrk</v>
      </c>
      <c r="F50" t="str">
        <v/>
      </c>
      <c r="G50" t="str">
        <v>70</v>
      </c>
      <c r="H50" t="str">
        <v/>
      </c>
      <c r="I50" t="str">
        <v/>
      </c>
      <c r="J50" t="str">
        <f>1/((1/L50)-(1/K50))</f>
        <v>0.058383</v>
      </c>
      <c r="K50" t="str">
        <f>BH50+(BI50*AN50)+(BJ50*AN50*POWER(V50,2))+(BK50*AN50*V50)+(BL50*POWER(AN50,2))</f>
        <v>2.923340</v>
      </c>
      <c r="L50" t="str">
        <f>((M50/1000)*(1000-((T50+S50)/2)))/(T50-S50)</f>
        <v>0.057240</v>
      </c>
      <c r="M50" t="str">
        <f>(AN50*(S50-R50))/(100*U50*(1000-S50))*1000</f>
        <v>2.125391</v>
      </c>
      <c r="N50" t="str">
        <v>1.901546</v>
      </c>
      <c r="O50" t="str">
        <v>1.848855</v>
      </c>
      <c r="P50" t="str">
        <f>0.61365*EXP((17.502*AL50)/(240.97+AL50))</f>
        <v>5.111364</v>
      </c>
      <c r="Q50" t="str">
        <f>P50-N50</f>
        <v>3.209818</v>
      </c>
      <c r="R50" t="str">
        <v>20.553904</v>
      </c>
      <c r="S50" t="str">
        <v>21.139683</v>
      </c>
      <c r="T50" t="str">
        <f>(P50/AM50)*1000</f>
        <v>56.823559</v>
      </c>
      <c r="U50" t="str">
        <f>V50*BG50</f>
        <v>0.441786</v>
      </c>
      <c r="V50" t="str">
        <v>7.500000</v>
      </c>
      <c r="W50" t="str">
        <v>PSF-00438_20251016150146_c85</v>
      </c>
      <c r="X50" t="str">
        <v>0.000000</v>
      </c>
      <c r="Y50" t="str">
        <v>0.000000</v>
      </c>
      <c r="Z50" t="str">
        <v>0.000000</v>
      </c>
      <c r="AA50" t="str">
        <v>133.854752</v>
      </c>
      <c r="AB50" t="str">
        <v>154.893799</v>
      </c>
      <c r="AC50" t="str">
        <v>0.135829</v>
      </c>
      <c r="AD50" t="str">
        <v>0.5</v>
      </c>
      <c r="AE50" t="str">
        <v>0.80</v>
      </c>
      <c r="AF50" t="str">
        <f>AC50*AD50*AE50*AQ50</f>
        <v>73.806068</v>
      </c>
      <c r="AG50" t="str">
        <v>1.000000</v>
      </c>
      <c r="AH50" t="str">
        <v>40.63</v>
      </c>
      <c r="AI50" t="str">
        <v>39.50</v>
      </c>
      <c r="AJ50" t="str">
        <v>31.65</v>
      </c>
      <c r="AK50" t="str">
        <v>33.21</v>
      </c>
      <c r="AL50" t="str">
        <f>(AK50-AJ50)*(AJ50*0+0)+AK50</f>
        <v>33.21</v>
      </c>
      <c r="AM50" t="str">
        <v>89.95</v>
      </c>
      <c r="AN50" t="str">
        <v>156.9</v>
      </c>
      <c r="AO50" t="str">
        <v>157.4</v>
      </c>
      <c r="AP50" t="str">
        <v>-0.3</v>
      </c>
      <c r="AQ50" t="str">
        <v>1358</v>
      </c>
      <c r="AR50" t="str">
        <v>3.895</v>
      </c>
      <c r="AS50" t="str">
        <v>14:59:05</v>
      </c>
      <c r="AT50" t="str">
        <v>2025-10-16</v>
      </c>
      <c r="AU50" t="str">
        <v>0.07</v>
      </c>
      <c r="AV50" t="str">
        <v>1</v>
      </c>
      <c r="AW50" t="str">
        <v>0.025</v>
      </c>
      <c r="AX50" t="str">
        <v>0.032</v>
      </c>
      <c r="AY50" t="str">
        <v>-0.032</v>
      </c>
      <c r="AZ50" t="str">
        <v>5.024</v>
      </c>
      <c r="BA50" t="str">
        <v>125.683</v>
      </c>
      <c r="BB50" t="str">
        <v>68.623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mpf</v>
      </c>
      <c r="BP50" t="str">
        <v>7000</v>
      </c>
      <c r="BQ50" t="str">
        <v>500</v>
      </c>
      <c r="BR50" t="str">
        <v>5.000000</v>
      </c>
      <c r="BS50" t="str">
        <v>2.000000</v>
      </c>
      <c r="BT50" t="str">
        <v>300</v>
      </c>
      <c r="BU50" t="str">
        <v>300</v>
      </c>
      <c r="BV50" t="str">
        <v>300</v>
      </c>
      <c r="BW50" t="str">
        <v>152.479645</v>
      </c>
      <c r="BX50" t="str">
        <v>25</v>
      </c>
      <c r="BY50" t="str">
        <v>-1.962950</v>
      </c>
      <c r="BZ50" t="str">
        <v>151.701447</v>
      </c>
      <c r="CA50" t="str">
        <v>152.087784</v>
      </c>
      <c r="CB50" t="str">
        <v>-0.386337</v>
      </c>
      <c r="CC50" t="str">
        <v>2.452013</v>
      </c>
      <c r="CD50" t="str">
        <v>2.467493</v>
      </c>
      <c r="CE50" t="str">
        <v>1.657211</v>
      </c>
      <c r="CF50" t="str">
        <v>0.939767</v>
      </c>
      <c r="CG50" t="str">
        <v>0.209627</v>
      </c>
      <c r="CH50" t="str">
        <v>0.019171</v>
      </c>
      <c r="CI50" t="str">
        <v>0.638056</v>
      </c>
      <c r="CJ50" t="str">
        <v>1.329310</v>
      </c>
      <c r="CK50" t="str">
        <v>133.854752</v>
      </c>
      <c r="CL50" t="str">
        <v>0.000246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PSF-00438_20251016150146_c85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2025-10-05T12:52:38.073Z</v>
      </c>
    </row>
    <row r="51">
      <c r="A51" t="str">
        <v>48</v>
      </c>
      <c r="B51" t="str">
        <v>15:04:33</v>
      </c>
      <c r="C51" t="str">
        <v>2025-10-16</v>
      </c>
      <c r="D51" t="str">
        <v>g34p_light_v2</v>
      </c>
      <c r="E51" t="str">
        <v>mrk</v>
      </c>
      <c r="F51" t="str">
        <v/>
      </c>
      <c r="G51" t="str">
        <v>86</v>
      </c>
      <c r="H51" t="str">
        <v/>
      </c>
      <c r="I51" t="str">
        <v/>
      </c>
      <c r="J51" t="str">
        <f>1/((1/L51)-(1/K51))</f>
        <v>0.048543</v>
      </c>
      <c r="K51" t="str">
        <f>BH51+(BI51*AN51)+(BJ51*AN51*POWER(V51,2))+(BK51*AN51*V51)+(BL51*POWER(AN51,2))</f>
        <v>2.922106</v>
      </c>
      <c r="L51" t="str">
        <f>((M51/1000)*(1000-((T51+S51)/2)))/(T51-S51)</f>
        <v>0.047750</v>
      </c>
      <c r="M51" t="str">
        <f>(AN51*(S51-R51))/(100*U51*(1000-S51))*1000</f>
        <v>1.741796</v>
      </c>
      <c r="N51" t="str">
        <v>1.871082</v>
      </c>
      <c r="O51" t="str">
        <v>1.827844</v>
      </c>
      <c r="P51" t="str">
        <f>0.61365*EXP((17.502*AL51)/(240.97+AL51))</f>
        <v>5.026440</v>
      </c>
      <c r="Q51" t="str">
        <f>P51-N51</f>
        <v>3.155358</v>
      </c>
      <c r="R51" t="str">
        <v>20.320717</v>
      </c>
      <c r="S51" t="str">
        <v>20.801411</v>
      </c>
      <c r="T51" t="str">
        <f>(P51/AM51)*1000</f>
        <v>55.880531</v>
      </c>
      <c r="U51" t="str">
        <f>V51*BG51</f>
        <v>0.441786</v>
      </c>
      <c r="V51" t="str">
        <v>7.500000</v>
      </c>
      <c r="W51" t="str">
        <v>PSF-00438_20251016150433_1f0</v>
      </c>
      <c r="X51" t="str">
        <v>0.000000</v>
      </c>
      <c r="Y51" t="str">
        <v>0.000000</v>
      </c>
      <c r="Z51" t="str">
        <v>0.000000</v>
      </c>
      <c r="AA51" t="str">
        <v>154.747009</v>
      </c>
      <c r="AB51" t="str">
        <v>179.327332</v>
      </c>
      <c r="AC51" t="str">
        <v>0.137070</v>
      </c>
      <c r="AD51" t="str">
        <v>0.5</v>
      </c>
      <c r="AE51" t="str">
        <v>0.80</v>
      </c>
      <c r="AF51" t="str">
        <f>AC51*AD51*AE51*AQ51</f>
        <v>74.800972</v>
      </c>
      <c r="AG51" t="str">
        <v>1.000000</v>
      </c>
      <c r="AH51" t="str">
        <v>39.32</v>
      </c>
      <c r="AI51" t="str">
        <v>38.41</v>
      </c>
      <c r="AJ51" t="str">
        <v>31.94</v>
      </c>
      <c r="AK51" t="str">
        <v>32.91</v>
      </c>
      <c r="AL51" t="str">
        <f>(AK51-AJ51)*(AJ51*0+0)+AK51</f>
        <v>32.91</v>
      </c>
      <c r="AM51" t="str">
        <v>89.95</v>
      </c>
      <c r="AN51" t="str">
        <v>156.8</v>
      </c>
      <c r="AO51" t="str">
        <v>157.3</v>
      </c>
      <c r="AP51" t="str">
        <v>-0.4</v>
      </c>
      <c r="AQ51" t="str">
        <v>1364</v>
      </c>
      <c r="AR51" t="str">
        <v>3.892</v>
      </c>
      <c r="AS51" t="str">
        <v>14:59:05</v>
      </c>
      <c r="AT51" t="str">
        <v>2025-10-16</v>
      </c>
      <c r="AU51" t="str">
        <v>0.07</v>
      </c>
      <c r="AV51" t="str">
        <v>1</v>
      </c>
      <c r="AW51" t="str">
        <v>0.003</v>
      </c>
      <c r="AX51" t="str">
        <v>0.018</v>
      </c>
      <c r="AY51" t="str">
        <v>0.015</v>
      </c>
      <c r="AZ51" t="str">
        <v>53.264</v>
      </c>
      <c r="BA51" t="str">
        <v>50.200</v>
      </c>
      <c r="BB51" t="str">
        <v>100.395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mpf</v>
      </c>
      <c r="BP51" t="str">
        <v>7000</v>
      </c>
      <c r="BQ51" t="str">
        <v>500</v>
      </c>
      <c r="BR51" t="str">
        <v>5.000000</v>
      </c>
      <c r="BS51" t="str">
        <v>2.000000</v>
      </c>
      <c r="BT51" t="str">
        <v>300</v>
      </c>
      <c r="BU51" t="str">
        <v>300</v>
      </c>
      <c r="BV51" t="str">
        <v>300</v>
      </c>
      <c r="BW51" t="str">
        <v>174.338577</v>
      </c>
      <c r="BX51" t="str">
        <v>25</v>
      </c>
      <c r="BY51" t="str">
        <v>-3.882157</v>
      </c>
      <c r="BZ51" t="str">
        <v>172.465332</v>
      </c>
      <c r="CA51" t="str">
        <v>173.777817</v>
      </c>
      <c r="CB51" t="str">
        <v>-1.312485</v>
      </c>
      <c r="CC51" t="str">
        <v>2.450473</v>
      </c>
      <c r="CD51" t="str">
        <v>2.465644</v>
      </c>
      <c r="CE51" t="str">
        <v>1.655916</v>
      </c>
      <c r="CF51" t="str">
        <v>0.939596</v>
      </c>
      <c r="CG51" t="str">
        <v>0.207223</v>
      </c>
      <c r="CH51" t="str">
        <v>0.011931</v>
      </c>
      <c r="CI51" t="str">
        <v>0.641057</v>
      </c>
      <c r="CJ51" t="str">
        <v>1.334572</v>
      </c>
      <c r="CK51" t="str">
        <v>154.747009</v>
      </c>
      <c r="CL51" t="str">
        <v>0.000248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PSF-00438_20251016150433_1f0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2025-10-05T12:52:38.073Z</v>
      </c>
    </row>
    <row r="52">
      <c r="A52" t="str">
        <v>49</v>
      </c>
      <c r="B52" t="str">
        <v>15:07:32</v>
      </c>
      <c r="C52" t="str">
        <v>2025-10-16</v>
      </c>
      <c r="D52" t="str">
        <v>g34p_light_v2</v>
      </c>
      <c r="E52" t="str">
        <v>mrk</v>
      </c>
      <c r="F52" t="str">
        <v/>
      </c>
      <c r="G52" t="str">
        <v>96</v>
      </c>
      <c r="H52" t="str">
        <v/>
      </c>
      <c r="I52" t="str">
        <v/>
      </c>
      <c r="J52" t="str">
        <f>1/((1/L52)-(1/K52))</f>
        <v>0.013883</v>
      </c>
      <c r="K52" t="str">
        <f>BH52+(BI52*AN52)+(BJ52*AN52*POWER(V52,2))+(BK52*AN52*V52)+(BL52*POWER(AN52,2))</f>
        <v>2.922338</v>
      </c>
      <c r="L52" t="str">
        <f>((M52/1000)*(1000-((T52+S52)/2)))/(T52-S52)</f>
        <v>0.013817</v>
      </c>
      <c r="M52" t="str">
        <f>(AN52*(S52-R52))/(100*U52*(1000-S52))*1000</f>
        <v>0.525059</v>
      </c>
      <c r="N52" t="str">
        <v>1.823713</v>
      </c>
      <c r="O52" t="str">
        <v>1.810674</v>
      </c>
      <c r="P52" t="str">
        <f>0.61365*EXP((17.502*AL52)/(240.97+AL52))</f>
        <v>5.110302</v>
      </c>
      <c r="Q52" t="str">
        <f>P52-N52</f>
        <v>3.286589</v>
      </c>
      <c r="R52" t="str">
        <v>20.128773</v>
      </c>
      <c r="S52" t="str">
        <v>20.273727</v>
      </c>
      <c r="T52" t="str">
        <f>(P52/AM52)*1000</f>
        <v>56.809853</v>
      </c>
      <c r="U52" t="str">
        <f>V52*BG52</f>
        <v>0.441786</v>
      </c>
      <c r="V52" t="str">
        <v>7.500000</v>
      </c>
      <c r="W52" t="str">
        <v>PSF-00438_20251016150732_1d0</v>
      </c>
      <c r="X52" t="str">
        <v>0.000000</v>
      </c>
      <c r="Y52" t="str">
        <v>0.000000</v>
      </c>
      <c r="Z52" t="str">
        <v>0.000000</v>
      </c>
      <c r="AA52" t="str">
        <v>134.504913</v>
      </c>
      <c r="AB52" t="str">
        <v>247.262833</v>
      </c>
      <c r="AC52" t="str">
        <v>0.456025</v>
      </c>
      <c r="AD52" t="str">
        <v>0.5</v>
      </c>
      <c r="AE52" t="str">
        <v>0.80</v>
      </c>
      <c r="AF52" t="str">
        <f>AC52*AD52*AE52*AQ52</f>
        <v>225.752121</v>
      </c>
      <c r="AG52" t="str">
        <v>1.000000</v>
      </c>
      <c r="AH52" t="str">
        <v>37.65</v>
      </c>
      <c r="AI52" t="str">
        <v>37.38</v>
      </c>
      <c r="AJ52" t="str">
        <v>32.25</v>
      </c>
      <c r="AK52" t="str">
        <v>33.20</v>
      </c>
      <c r="AL52" t="str">
        <f>(AK52-AJ52)*(AJ52*0+0)+AK52</f>
        <v>33.20</v>
      </c>
      <c r="AM52" t="str">
        <v>89.95</v>
      </c>
      <c r="AN52" t="str">
        <v>156.8</v>
      </c>
      <c r="AO52" t="str">
        <v>155.1</v>
      </c>
      <c r="AP52" t="str">
        <v>1.1</v>
      </c>
      <c r="AQ52" t="str">
        <v>1238</v>
      </c>
      <c r="AR52" t="str">
        <v>3.888</v>
      </c>
      <c r="AS52" t="str">
        <v>14:59:05</v>
      </c>
      <c r="AT52" t="str">
        <v>2025-10-16</v>
      </c>
      <c r="AU52" t="str">
        <v>0.07</v>
      </c>
      <c r="AV52" t="str">
        <v>1</v>
      </c>
      <c r="AW52" t="str">
        <v>-0.002</v>
      </c>
      <c r="AX52" t="str">
        <v>-0.003</v>
      </c>
      <c r="AY52" t="str">
        <v>0.035</v>
      </c>
      <c r="AZ52" t="str">
        <v>2.560</v>
      </c>
      <c r="BA52" t="str">
        <v>105.208</v>
      </c>
      <c r="BB52" t="str">
        <v>73.348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mpf</v>
      </c>
      <c r="BP52" t="str">
        <v>7000</v>
      </c>
      <c r="BQ52" t="str">
        <v>500</v>
      </c>
      <c r="BR52" t="str">
        <v>5.000000</v>
      </c>
      <c r="BS52" t="str">
        <v>2.000000</v>
      </c>
      <c r="BT52" t="str">
        <v>300</v>
      </c>
      <c r="BU52" t="str">
        <v>300</v>
      </c>
      <c r="BV52" t="str">
        <v>300</v>
      </c>
      <c r="BW52" t="str">
        <v>222.624420</v>
      </c>
      <c r="BX52" t="str">
        <v>25</v>
      </c>
      <c r="BY52" t="str">
        <v>-17.249170</v>
      </c>
      <c r="BZ52" t="str">
        <v>216.961380</v>
      </c>
      <c r="CA52" t="str">
        <v>222.605286</v>
      </c>
      <c r="CB52" t="str">
        <v>-5.643906</v>
      </c>
      <c r="CC52" t="str">
        <v>2.449009</v>
      </c>
      <c r="CD52" t="str">
        <v>2.463291</v>
      </c>
      <c r="CE52" t="str">
        <v>1.656159</v>
      </c>
      <c r="CF52" t="str">
        <v>0.933865</v>
      </c>
      <c r="CG52" t="str">
        <v>0.204684</v>
      </c>
      <c r="CH52" t="str">
        <v>0.011717</v>
      </c>
      <c r="CI52" t="str">
        <v>0.644780</v>
      </c>
      <c r="CJ52" t="str">
        <v>1.220615</v>
      </c>
      <c r="CK52" t="str">
        <v>134.504913</v>
      </c>
      <c r="CL52" t="str">
        <v>0.000247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PSF-00438_20251016150732_1d0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2025-10-05T12:52:38.073Z</v>
      </c>
    </row>
    <row r="53">
      <c r="A53" t="str">
        <v>50</v>
      </c>
      <c r="B53" t="str">
        <v>15:10:00</v>
      </c>
      <c r="C53" t="str">
        <v>2025-10-16</v>
      </c>
      <c r="D53" t="str">
        <v>g34p_light_v2</v>
      </c>
      <c r="E53" t="str">
        <v>mrk</v>
      </c>
      <c r="F53" t="str">
        <v/>
      </c>
      <c r="G53" t="str">
        <v>94</v>
      </c>
      <c r="H53" t="str">
        <v/>
      </c>
      <c r="I53" t="str">
        <v/>
      </c>
      <c r="J53" t="str">
        <f>1/((1/L53)-(1/K53))</f>
        <v>0.065718</v>
      </c>
      <c r="K53" t="str">
        <f>BH53+(BI53*AN53)+(BJ53*AN53*POWER(V53,2))+(BK53*AN53*V53)+(BL53*POWER(AN53,2))</f>
        <v>2.922865</v>
      </c>
      <c r="L53" t="str">
        <f>((M53/1000)*(1000-((T53+S53)/2)))/(T53-S53)</f>
        <v>0.064273</v>
      </c>
      <c r="M53" t="str">
        <f>(AN53*(S53-R53))/(100*U53*(1000-S53))*1000</f>
        <v>2.264624</v>
      </c>
      <c r="N53" t="str">
        <v>1.903697</v>
      </c>
      <c r="O53" t="str">
        <v>1.847525</v>
      </c>
      <c r="P53" t="str">
        <f>0.61365*EXP((17.502*AL53)/(240.97+AL53))</f>
        <v>4.952763</v>
      </c>
      <c r="Q53" t="str">
        <f>P53-N53</f>
        <v>3.049066</v>
      </c>
      <c r="R53" t="str">
        <v>20.536097</v>
      </c>
      <c r="S53" t="str">
        <v>21.160473</v>
      </c>
      <c r="T53" t="str">
        <f>(P53/AM53)*1000</f>
        <v>55.052258</v>
      </c>
      <c r="U53" t="str">
        <f>V53*BG53</f>
        <v>0.441786</v>
      </c>
      <c r="V53" t="str">
        <v>7.500000</v>
      </c>
      <c r="W53" t="str">
        <v>PSF-00438_20251016151000_2f0</v>
      </c>
      <c r="X53" t="str">
        <v>0.000000</v>
      </c>
      <c r="Y53" t="str">
        <v>0.000000</v>
      </c>
      <c r="Z53" t="str">
        <v>0.000000</v>
      </c>
      <c r="AA53" t="str">
        <v>104.810356</v>
      </c>
      <c r="AB53" t="str">
        <v>158.594971</v>
      </c>
      <c r="AC53" t="str">
        <v>0.339132</v>
      </c>
      <c r="AD53" t="str">
        <v>0.5</v>
      </c>
      <c r="AE53" t="str">
        <v>0.80</v>
      </c>
      <c r="AF53" t="str">
        <f>AC53*AD53*AE53*AQ53</f>
        <v>68.474602</v>
      </c>
      <c r="AG53" t="str">
        <v>1.000000</v>
      </c>
      <c r="AH53" t="str">
        <v>38.67</v>
      </c>
      <c r="AI53" t="str">
        <v>37.53</v>
      </c>
      <c r="AJ53" t="str">
        <v>32.54</v>
      </c>
      <c r="AK53" t="str">
        <v>32.65</v>
      </c>
      <c r="AL53" t="str">
        <f>(AK53-AJ53)*(AJ53*0+0)+AK53</f>
        <v>32.65</v>
      </c>
      <c r="AM53" t="str">
        <v>89.96</v>
      </c>
      <c r="AN53" t="str">
        <v>156.8</v>
      </c>
      <c r="AO53" t="str">
        <v>157.2</v>
      </c>
      <c r="AP53" t="str">
        <v>-0.2</v>
      </c>
      <c r="AQ53" t="str">
        <v>505</v>
      </c>
      <c r="AR53" t="str">
        <v>3.885</v>
      </c>
      <c r="AS53" t="str">
        <v>14:59:05</v>
      </c>
      <c r="AT53" t="str">
        <v>2025-10-16</v>
      </c>
      <c r="AU53" t="str">
        <v>0.07</v>
      </c>
      <c r="AV53" t="str">
        <v>1</v>
      </c>
      <c r="AW53" t="str">
        <v>0.025</v>
      </c>
      <c r="AX53" t="str">
        <v>0.014</v>
      </c>
      <c r="AY53" t="str">
        <v>0.014</v>
      </c>
      <c r="AZ53" t="str">
        <v>13.255</v>
      </c>
      <c r="BA53" t="str">
        <v>93.412</v>
      </c>
      <c r="BB53" t="str">
        <v>46.346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mpf</v>
      </c>
      <c r="BP53" t="str">
        <v>7000</v>
      </c>
      <c r="BQ53" t="str">
        <v>500</v>
      </c>
      <c r="BR53" t="str">
        <v>5.000000</v>
      </c>
      <c r="BS53" t="str">
        <v>2.000000</v>
      </c>
      <c r="BT53" t="str">
        <v>300</v>
      </c>
      <c r="BU53" t="str">
        <v>300</v>
      </c>
      <c r="BV53" t="str">
        <v>300</v>
      </c>
      <c r="BW53" t="str">
        <v>158.026459</v>
      </c>
      <c r="BX53" t="str">
        <v>25</v>
      </c>
      <c r="BY53" t="str">
        <v>-0.207777</v>
      </c>
      <c r="BZ53" t="str">
        <v>159.492737</v>
      </c>
      <c r="CA53" t="str">
        <v>158.297958</v>
      </c>
      <c r="CB53" t="str">
        <v>1.194778</v>
      </c>
      <c r="CC53" t="str">
        <v>2.449165</v>
      </c>
      <c r="CD53" t="str">
        <v>2.464641</v>
      </c>
      <c r="CE53" t="str">
        <v>1.656713</v>
      </c>
      <c r="CF53" t="str">
        <v>0.939260</v>
      </c>
      <c r="CG53" t="str">
        <v>0.202418</v>
      </c>
      <c r="CH53" t="str">
        <v>0.001423</v>
      </c>
      <c r="CI53" t="str">
        <v>0.647267</v>
      </c>
      <c r="CJ53" t="str">
        <v>0.561384</v>
      </c>
      <c r="CK53" t="str">
        <v>104.810356</v>
      </c>
      <c r="CL53" t="str">
        <v>0.000246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PSF-00438_20251016151000_2f0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2025-10-05T12:52:38.073Z</v>
      </c>
    </row>
    <row r="54">
      <c r="A54" t="str">
        <v>51</v>
      </c>
      <c r="B54" t="str">
        <v>15:13:09</v>
      </c>
      <c r="C54" t="str">
        <v>2025-10-16</v>
      </c>
      <c r="D54" t="str">
        <v>g34p_light_v2</v>
      </c>
      <c r="E54" t="str">
        <v>mrk</v>
      </c>
      <c r="F54" t="str">
        <v/>
      </c>
      <c r="G54" t="str">
        <v>90</v>
      </c>
      <c r="H54" t="str">
        <v/>
      </c>
      <c r="I54" t="str">
        <v/>
      </c>
      <c r="J54" t="str">
        <f>1/((1/L54)-(1/K54))</f>
        <v>-0.001739</v>
      </c>
      <c r="K54" t="str">
        <f>BH54+(BI54*AN54)+(BJ54*AN54*POWER(V54,2))+(BK54*AN54*V54)+(BL54*POWER(AN54,2))</f>
        <v>2.923207</v>
      </c>
      <c r="L54" t="str">
        <f>((M54/1000)*(1000-((T54+S54)/2)))/(T54-S54)</f>
        <v>-0.001740</v>
      </c>
      <c r="M54" t="str">
        <f>(AN54*(S54-R54))/(100*U54*(1000-S54))*1000</f>
        <v>-0.071581</v>
      </c>
      <c r="N54" t="str">
        <v>1.816044</v>
      </c>
      <c r="O54" t="str">
        <v>1.817821</v>
      </c>
      <c r="P54" t="str">
        <f>0.61365*EXP((17.502*AL54)/(240.97+AL54))</f>
        <v>5.368489</v>
      </c>
      <c r="Q54" t="str">
        <f>P54-N54</f>
        <v>3.552444</v>
      </c>
      <c r="R54" t="str">
        <v>20.211199</v>
      </c>
      <c r="S54" t="str">
        <v>20.191450</v>
      </c>
      <c r="T54" t="str">
        <f>(P54/AM54)*1000</f>
        <v>59.688835</v>
      </c>
      <c r="U54" t="str">
        <f>V54*BG54</f>
        <v>0.441786</v>
      </c>
      <c r="V54" t="str">
        <v>7.500000</v>
      </c>
      <c r="W54" t="str">
        <v>PSF-00438_20251016151309_26f</v>
      </c>
      <c r="X54" t="str">
        <v>0.000000</v>
      </c>
      <c r="Y54" t="str">
        <v>0.000000</v>
      </c>
      <c r="Z54" t="str">
        <v>0.000000</v>
      </c>
      <c r="AA54" t="str">
        <v>138.259644</v>
      </c>
      <c r="AB54" t="str">
        <v>178.632034</v>
      </c>
      <c r="AC54" t="str">
        <v>0.226009</v>
      </c>
      <c r="AD54" t="str">
        <v>0.5</v>
      </c>
      <c r="AE54" t="str">
        <v>0.80</v>
      </c>
      <c r="AF54" t="str">
        <f>AC54*AD54*AE54*AQ54</f>
        <v>121.357201</v>
      </c>
      <c r="AG54" t="str">
        <v>1.000000</v>
      </c>
      <c r="AH54" t="str">
        <v>36.25</v>
      </c>
      <c r="AI54" t="str">
        <v>36.29</v>
      </c>
      <c r="AJ54" t="str">
        <v>32.85</v>
      </c>
      <c r="AK54" t="str">
        <v>34.09</v>
      </c>
      <c r="AL54" t="str">
        <f>(AK54-AJ54)*(AJ54*0+0)+AK54</f>
        <v>34.09</v>
      </c>
      <c r="AM54" t="str">
        <v>89.94</v>
      </c>
      <c r="AN54" t="str">
        <v>156.9</v>
      </c>
      <c r="AO54" t="str">
        <v>-16.6</v>
      </c>
      <c r="AP54" t="str">
        <v>110.6</v>
      </c>
      <c r="AQ54" t="str">
        <v>1342</v>
      </c>
      <c r="AR54" t="str">
        <v>3.880</v>
      </c>
      <c r="AS54" t="str">
        <v>15:10:13</v>
      </c>
      <c r="AT54" t="str">
        <v>2025-10-16</v>
      </c>
      <c r="AU54" t="str">
        <v>0.04</v>
      </c>
      <c r="AV54" t="str">
        <v>1</v>
      </c>
      <c r="AW54" t="str">
        <v>0.005</v>
      </c>
      <c r="AX54" t="str">
        <v>-0.009</v>
      </c>
      <c r="AY54" t="str">
        <v>-9999.000</v>
      </c>
      <c r="AZ54" t="str">
        <v>-20.668</v>
      </c>
      <c r="BA54" t="str">
        <v>79.102</v>
      </c>
      <c r="BB54" t="str">
        <v>-9999.000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mpf</v>
      </c>
      <c r="BP54" t="str">
        <v>7000</v>
      </c>
      <c r="BQ54" t="str">
        <v>500</v>
      </c>
      <c r="BR54" t="str">
        <v>5.000000</v>
      </c>
      <c r="BS54" t="str">
        <v>2.000000</v>
      </c>
      <c r="BT54" t="str">
        <v>300</v>
      </c>
      <c r="BU54" t="str">
        <v>300</v>
      </c>
      <c r="BV54" t="str">
        <v>300</v>
      </c>
      <c r="BW54" t="str">
        <v>173.217773</v>
      </c>
      <c r="BX54" t="str">
        <v>25</v>
      </c>
      <c r="BY54" t="str">
        <v>-4.051660</v>
      </c>
      <c r="BZ54" t="str">
        <v>171.870941</v>
      </c>
      <c r="CA54" t="str">
        <v>172.840225</v>
      </c>
      <c r="CB54" t="str">
        <v>-0.969284</v>
      </c>
      <c r="CC54" t="str">
        <v>2.447414</v>
      </c>
      <c r="CD54" t="str">
        <v>2.461289</v>
      </c>
      <c r="CE54" t="str">
        <v>1.657071</v>
      </c>
      <c r="CF54" t="str">
        <v>0.571906</v>
      </c>
      <c r="CG54" t="str">
        <v>0.199983</v>
      </c>
      <c r="CH54" t="str">
        <v>0.015337</v>
      </c>
      <c r="CI54" t="str">
        <v>0.649195</v>
      </c>
      <c r="CJ54" t="str">
        <v>1.314878</v>
      </c>
      <c r="CK54" t="str">
        <v>138.259644</v>
      </c>
      <c r="CL54" t="str">
        <v>0.000248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PSF-00438_20251016151309_26f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2025-10-05T12:52:38.073Z</v>
      </c>
    </row>
    <row r="55">
      <c r="A55" t="str">
        <v>52</v>
      </c>
      <c r="B55" t="str">
        <v>15:15:35</v>
      </c>
      <c r="C55" t="str">
        <v>2025-10-16</v>
      </c>
      <c r="D55" t="str">
        <v>g34p_light_v2</v>
      </c>
      <c r="E55" t="str">
        <v>mrk</v>
      </c>
      <c r="F55" t="str">
        <v/>
      </c>
      <c r="G55" t="str">
        <v>85</v>
      </c>
      <c r="H55" t="str">
        <v/>
      </c>
      <c r="I55" t="str">
        <v/>
      </c>
      <c r="J55" t="str">
        <f>1/((1/L55)-(1/K55))</f>
        <v>0.130531</v>
      </c>
      <c r="K55" t="str">
        <f>BH55+(BI55*AN55)+(BJ55*AN55*POWER(V55,2))+(BK55*AN55*V55)+(BL55*POWER(AN55,2))</f>
        <v>2.922789</v>
      </c>
      <c r="L55" t="str">
        <f>((M55/1000)*(1000-((T55+S55)/2)))/(T55-S55)</f>
        <v>0.124951</v>
      </c>
      <c r="M55" t="str">
        <f>(AN55*(S55-R55))/(100*U55*(1000-S55))*1000</f>
        <v>3.798006</v>
      </c>
      <c r="N55" t="str">
        <v>1.910671</v>
      </c>
      <c r="O55" t="str">
        <v>1.816493</v>
      </c>
      <c r="P55" t="str">
        <f>0.61365*EXP((17.502*AL55)/(240.97+AL55))</f>
        <v>4.546373</v>
      </c>
      <c r="Q55" t="str">
        <f>P55-N55</f>
        <v>2.635703</v>
      </c>
      <c r="R55" t="str">
        <v>20.196547</v>
      </c>
      <c r="S55" t="str">
        <v>21.243662</v>
      </c>
      <c r="T55" t="str">
        <f>(P55/AM55)*1000</f>
        <v>50.548538</v>
      </c>
      <c r="U55" t="str">
        <f>V55*BG55</f>
        <v>0.441786</v>
      </c>
      <c r="V55" t="str">
        <v>7.500000</v>
      </c>
      <c r="W55" t="str">
        <v>PSF-00438_20251016151535_e78</v>
      </c>
      <c r="X55" t="str">
        <v>0.000000</v>
      </c>
      <c r="Y55" t="str">
        <v>0.000000</v>
      </c>
      <c r="Z55" t="str">
        <v>0.000000</v>
      </c>
      <c r="AA55" t="str">
        <v>267.162323</v>
      </c>
      <c r="AB55" t="str">
        <v>353.381927</v>
      </c>
      <c r="AC55" t="str">
        <v>0.243984</v>
      </c>
      <c r="AD55" t="str">
        <v>0.5</v>
      </c>
      <c r="AE55" t="str">
        <v>0.80</v>
      </c>
      <c r="AF55" t="str">
        <f>AC55*AD55*AE55*AQ55</f>
        <v>128.255402</v>
      </c>
      <c r="AG55" t="str">
        <v>1.000000</v>
      </c>
      <c r="AH55" t="str">
        <v>37.86</v>
      </c>
      <c r="AI55" t="str">
        <v>36.00</v>
      </c>
      <c r="AJ55" t="str">
        <v>32.98</v>
      </c>
      <c r="AK55" t="str">
        <v>31.14</v>
      </c>
      <c r="AL55" t="str">
        <f>(AK55-AJ55)*(AJ55*0+0)+AK55</f>
        <v>31.14</v>
      </c>
      <c r="AM55" t="str">
        <v>89.94</v>
      </c>
      <c r="AN55" t="str">
        <v>156.8</v>
      </c>
      <c r="AO55" t="str">
        <v>157.1</v>
      </c>
      <c r="AP55" t="str">
        <v>-0.2</v>
      </c>
      <c r="AQ55" t="str">
        <v>1314</v>
      </c>
      <c r="AR55" t="str">
        <v>3.864</v>
      </c>
      <c r="AS55" t="str">
        <v>15:10:13</v>
      </c>
      <c r="AT55" t="str">
        <v>2025-10-16</v>
      </c>
      <c r="AU55" t="str">
        <v>0.04</v>
      </c>
      <c r="AV55" t="str">
        <v>1</v>
      </c>
      <c r="AW55" t="str">
        <v>0.017</v>
      </c>
      <c r="AX55" t="str">
        <v>0.060</v>
      </c>
      <c r="AY55" t="str">
        <v>0.110</v>
      </c>
      <c r="AZ55" t="str">
        <v>95.532</v>
      </c>
      <c r="BA55" t="str">
        <v>-57.081</v>
      </c>
      <c r="BB55" t="str">
        <v>195.278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mpf</v>
      </c>
      <c r="BP55" t="str">
        <v>7000</v>
      </c>
      <c r="BQ55" t="str">
        <v>500</v>
      </c>
      <c r="BR55" t="str">
        <v>5.000000</v>
      </c>
      <c r="BS55" t="str">
        <v>2.000000</v>
      </c>
      <c r="BT55" t="str">
        <v>300</v>
      </c>
      <c r="BU55" t="str">
        <v>300</v>
      </c>
      <c r="BV55" t="str">
        <v>300</v>
      </c>
      <c r="BW55" t="str">
        <v>349.511139</v>
      </c>
      <c r="BX55" t="str">
        <v>25</v>
      </c>
      <c r="BY55" t="str">
        <v>-3.043757</v>
      </c>
      <c r="BZ55" t="str">
        <v>348.702911</v>
      </c>
      <c r="CA55" t="str">
        <v>349.030914</v>
      </c>
      <c r="CB55" t="str">
        <v>-0.328003</v>
      </c>
      <c r="CC55" t="str">
        <v>2.446991</v>
      </c>
      <c r="CD55" t="str">
        <v>2.463478</v>
      </c>
      <c r="CE55" t="str">
        <v>1.656632</v>
      </c>
      <c r="CF55" t="str">
        <v>0.939078</v>
      </c>
      <c r="CG55" t="str">
        <v>0.198963</v>
      </c>
      <c r="CH55" t="str">
        <v>-0.022251</v>
      </c>
      <c r="CI55" t="str">
        <v>0.651471</v>
      </c>
      <c r="CJ55" t="str">
        <v>1.289493</v>
      </c>
      <c r="CK55" t="str">
        <v>267.162323</v>
      </c>
      <c r="CL55" t="str">
        <v>0.000247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PSF-00438_20251016151535_e78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2025-10-05T12:52:38.073Z</v>
      </c>
    </row>
    <row r="56">
      <c r="A56" t="str">
        <v>53</v>
      </c>
      <c r="B56" t="str">
        <v>15:18:30</v>
      </c>
      <c r="C56" t="str">
        <v>2025-10-16</v>
      </c>
      <c r="D56" t="str">
        <v>g34p_light_v2</v>
      </c>
      <c r="E56" t="str">
        <v>mrk</v>
      </c>
      <c r="F56" t="str">
        <v/>
      </c>
      <c r="G56" t="str">
        <v>89</v>
      </c>
      <c r="H56" t="str">
        <v/>
      </c>
      <c r="I56" t="str">
        <v/>
      </c>
      <c r="J56" t="str">
        <f>1/((1/L56)-(1/K56))</f>
        <v>0.087703</v>
      </c>
      <c r="K56" t="str">
        <f>BH56+(BI56*AN56)+(BJ56*AN56*POWER(V56,2))+(BK56*AN56*V56)+(BL56*POWER(AN56,2))</f>
        <v>2.923327</v>
      </c>
      <c r="L56" t="str">
        <f>((M56/1000)*(1000-((T56+S56)/2)))/(T56-S56)</f>
        <v>0.085148</v>
      </c>
      <c r="M56" t="str">
        <f>(AN56*(S56-R56))/(100*U56*(1000-S56))*1000</f>
        <v>2.958788</v>
      </c>
      <c r="N56" t="str">
        <v>1.917962</v>
      </c>
      <c r="O56" t="str">
        <v>1.844626</v>
      </c>
      <c r="P56" t="str">
        <f>0.61365*EXP((17.502*AL56)/(240.97+AL56))</f>
        <v>4.924589</v>
      </c>
      <c r="Q56" t="str">
        <f>P56-N56</f>
        <v>3.006627</v>
      </c>
      <c r="R56" t="str">
        <v>20.508152</v>
      </c>
      <c r="S56" t="str">
        <v>21.323481</v>
      </c>
      <c r="T56" t="str">
        <f>(P56/AM56)*1000</f>
        <v>54.750504</v>
      </c>
      <c r="U56" t="str">
        <f>V56*BG56</f>
        <v>0.441786</v>
      </c>
      <c r="V56" t="str">
        <v>7.500000</v>
      </c>
      <c r="W56" t="str">
        <v>PSF-00438_20251016151830_35f</v>
      </c>
      <c r="X56" t="str">
        <v>0.000000</v>
      </c>
      <c r="Y56" t="str">
        <v>0.000000</v>
      </c>
      <c r="Z56" t="str">
        <v>0.000000</v>
      </c>
      <c r="AA56" t="str">
        <v>116.911766</v>
      </c>
      <c r="AB56" t="str">
        <v>172.123749</v>
      </c>
      <c r="AC56" t="str">
        <v>0.320769</v>
      </c>
      <c r="AD56" t="str">
        <v>0.5</v>
      </c>
      <c r="AE56" t="str">
        <v>0.80</v>
      </c>
      <c r="AF56" t="str">
        <f>AC56*AD56*AE56*AQ56</f>
        <v>56.106731</v>
      </c>
      <c r="AG56" t="str">
        <v>1.000000</v>
      </c>
      <c r="AH56" t="str">
        <v>38.05</v>
      </c>
      <c r="AI56" t="str">
        <v>36.60</v>
      </c>
      <c r="AJ56" t="str">
        <v>32.96</v>
      </c>
      <c r="AK56" t="str">
        <v>32.55</v>
      </c>
      <c r="AL56" t="str">
        <f>(AK56-AJ56)*(AJ56*0+0)+AK56</f>
        <v>32.55</v>
      </c>
      <c r="AM56" t="str">
        <v>89.95</v>
      </c>
      <c r="AN56" t="str">
        <v>156.9</v>
      </c>
      <c r="AO56" t="str">
        <v>67.2</v>
      </c>
      <c r="AP56" t="str">
        <v>57.2</v>
      </c>
      <c r="AQ56" t="str">
        <v>437</v>
      </c>
      <c r="AR56" t="str">
        <v>3.875</v>
      </c>
      <c r="AS56" t="str">
        <v>15:10:13</v>
      </c>
      <c r="AT56" t="str">
        <v>2025-10-16</v>
      </c>
      <c r="AU56" t="str">
        <v>0.04</v>
      </c>
      <c r="AV56" t="str">
        <v>1</v>
      </c>
      <c r="AW56" t="str">
        <v>0.100</v>
      </c>
      <c r="AX56" t="str">
        <v>0.042</v>
      </c>
      <c r="AY56" t="str">
        <v>0.009</v>
      </c>
      <c r="AZ56" t="str">
        <v>4.336</v>
      </c>
      <c r="BA56" t="str">
        <v>115.129</v>
      </c>
      <c r="BB56" t="str">
        <v>56.860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mpf</v>
      </c>
      <c r="BP56" t="str">
        <v>7000</v>
      </c>
      <c r="BQ56" t="str">
        <v>500</v>
      </c>
      <c r="BR56" t="str">
        <v>5.000000</v>
      </c>
      <c r="BS56" t="str">
        <v>2.000000</v>
      </c>
      <c r="BT56" t="str">
        <v>300</v>
      </c>
      <c r="BU56" t="str">
        <v>300</v>
      </c>
      <c r="BV56" t="str">
        <v>300</v>
      </c>
      <c r="BW56" t="str">
        <v>164.312836</v>
      </c>
      <c r="BX56" t="str">
        <v>25</v>
      </c>
      <c r="BY56" t="str">
        <v>-5.370317</v>
      </c>
      <c r="BZ56" t="str">
        <v>164.077515</v>
      </c>
      <c r="CA56" t="str">
        <v>164.446930</v>
      </c>
      <c r="CB56" t="str">
        <v>-0.369415</v>
      </c>
      <c r="CC56" t="str">
        <v>2.447813</v>
      </c>
      <c r="CD56" t="str">
        <v>2.463739</v>
      </c>
      <c r="CE56" t="str">
        <v>1.657197</v>
      </c>
      <c r="CF56" t="str">
        <v>0.730533</v>
      </c>
      <c r="CG56" t="str">
        <v>0.199121</v>
      </c>
      <c r="CH56" t="str">
        <v>-0.004946</v>
      </c>
      <c r="CI56" t="str">
        <v>0.652850</v>
      </c>
      <c r="CJ56" t="str">
        <v>0.500667</v>
      </c>
      <c r="CK56" t="str">
        <v>116.911766</v>
      </c>
      <c r="CL56" t="str">
        <v>0.000247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PSF-00438_20251016151830_35f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2025-10-05T12:52:38.073Z</v>
      </c>
    </row>
    <row r="57">
      <c r="A57" t="str">
        <v>54</v>
      </c>
      <c r="B57" t="str">
        <v>15:22:11</v>
      </c>
      <c r="C57" t="str">
        <v>2025-10-16</v>
      </c>
      <c r="D57" t="str">
        <v>g34p_light_v2</v>
      </c>
      <c r="E57" t="str">
        <v>mrk</v>
      </c>
      <c r="F57" t="str">
        <v/>
      </c>
      <c r="G57" t="str">
        <v>80</v>
      </c>
      <c r="H57" t="str">
        <v/>
      </c>
      <c r="I57" t="str">
        <v/>
      </c>
      <c r="J57" t="str">
        <f>1/((1/L57)-(1/K57))</f>
        <v>0.014428</v>
      </c>
      <c r="K57" t="str">
        <f>BH57+(BI57*AN57)+(BJ57*AN57*POWER(V57,2))+(BK57*AN57*V57)+(BL57*POWER(AN57,2))</f>
        <v>2.922717</v>
      </c>
      <c r="L57" t="str">
        <f>((M57/1000)*(1000-((T57+S57)/2)))/(T57-S57)</f>
        <v>0.014357</v>
      </c>
      <c r="M57" t="str">
        <f>(AN57*(S57-R57))/(100*U57*(1000-S57))*1000</f>
        <v>0.518084</v>
      </c>
      <c r="N57" t="str">
        <v>1.913727</v>
      </c>
      <c r="O57" t="str">
        <v>1.900876</v>
      </c>
      <c r="P57" t="str">
        <f>0.61365*EXP((17.502*AL57)/(240.97+AL57))</f>
        <v>5.034839</v>
      </c>
      <c r="Q57" t="str">
        <f>P57-N57</f>
        <v>3.121112</v>
      </c>
      <c r="R57" t="str">
        <v>21.129301</v>
      </c>
      <c r="S57" t="str">
        <v>21.272142</v>
      </c>
      <c r="T57" t="str">
        <f>(P57/AM57)*1000</f>
        <v>55.965042</v>
      </c>
      <c r="U57" t="str">
        <f>V57*BG57</f>
        <v>0.441786</v>
      </c>
      <c r="V57" t="str">
        <v>7.500000</v>
      </c>
      <c r="W57" t="str">
        <v>PSF-00438_20251016152211_ec1</v>
      </c>
      <c r="X57" t="str">
        <v>0.000000</v>
      </c>
      <c r="Y57" t="str">
        <v>0.000000</v>
      </c>
      <c r="Z57" t="str">
        <v>0.000000</v>
      </c>
      <c r="AA57" t="str">
        <v>254.403595</v>
      </c>
      <c r="AB57" t="str">
        <v>327.930298</v>
      </c>
      <c r="AC57" t="str">
        <v>0.224214</v>
      </c>
      <c r="AD57" t="str">
        <v>0.5</v>
      </c>
      <c r="AE57" t="str">
        <v>0.80</v>
      </c>
      <c r="AF57" t="str">
        <f>AC57*AD57*AE57*AQ57</f>
        <v>123.032761</v>
      </c>
      <c r="AG57" t="str">
        <v>1.000000</v>
      </c>
      <c r="AH57" t="str">
        <v>38.29</v>
      </c>
      <c r="AI57" t="str">
        <v>38.03</v>
      </c>
      <c r="AJ57" t="str">
        <v>32.81</v>
      </c>
      <c r="AK57" t="str">
        <v>32.94</v>
      </c>
      <c r="AL57" t="str">
        <f>(AK57-AJ57)*(AJ57*0+0)+AK57</f>
        <v>32.94</v>
      </c>
      <c r="AM57" t="str">
        <v>89.96</v>
      </c>
      <c r="AN57" t="str">
        <v>156.8</v>
      </c>
      <c r="AO57" t="str">
        <v>157.1</v>
      </c>
      <c r="AP57" t="str">
        <v>-0.2</v>
      </c>
      <c r="AQ57" t="str">
        <v>1372</v>
      </c>
      <c r="AR57" t="str">
        <v>3.871</v>
      </c>
      <c r="AS57" t="str">
        <v>15:10:13</v>
      </c>
      <c r="AT57" t="str">
        <v>2025-10-16</v>
      </c>
      <c r="AU57" t="str">
        <v>0.04</v>
      </c>
      <c r="AV57" t="str">
        <v>1</v>
      </c>
      <c r="AW57" t="str">
        <v>-0.001</v>
      </c>
      <c r="AX57" t="str">
        <v>0.000</v>
      </c>
      <c r="AY57" t="str">
        <v>-0.029</v>
      </c>
      <c r="AZ57" t="str">
        <v>4.526</v>
      </c>
      <c r="BA57" t="str">
        <v>14.559</v>
      </c>
      <c r="BB57" t="str">
        <v>149.306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mpf</v>
      </c>
      <c r="BP57" t="str">
        <v>7000</v>
      </c>
      <c r="BQ57" t="str">
        <v>500</v>
      </c>
      <c r="BR57" t="str">
        <v>5.000000</v>
      </c>
      <c r="BS57" t="str">
        <v>2.000000</v>
      </c>
      <c r="BT57" t="str">
        <v>300</v>
      </c>
      <c r="BU57" t="str">
        <v>300</v>
      </c>
      <c r="BV57" t="str">
        <v>300</v>
      </c>
      <c r="BW57" t="str">
        <v>318.618896</v>
      </c>
      <c r="BX57" t="str">
        <v>25</v>
      </c>
      <c r="BY57" t="str">
        <v>-6.984237</v>
      </c>
      <c r="BZ57" t="str">
        <v>316.497803</v>
      </c>
      <c r="CA57" t="str">
        <v>317.946381</v>
      </c>
      <c r="CB57" t="str">
        <v>-1.448578</v>
      </c>
      <c r="CC57" t="str">
        <v>2.449790</v>
      </c>
      <c r="CD57" t="str">
        <v>2.464089</v>
      </c>
      <c r="CE57" t="str">
        <v>1.656556</v>
      </c>
      <c r="CF57" t="str">
        <v>0.939018</v>
      </c>
      <c r="CG57" t="str">
        <v>0.200281</v>
      </c>
      <c r="CH57" t="str">
        <v>0.001678</v>
      </c>
      <c r="CI57" t="str">
        <v>0.656543</v>
      </c>
      <c r="CJ57" t="str">
        <v>1.341347</v>
      </c>
      <c r="CK57" t="str">
        <v>254.403595</v>
      </c>
      <c r="CL57" t="str">
        <v>0.000248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PSF-00438_20251016152211_ec1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2025-10-05T12:52:38.073Z</v>
      </c>
    </row>
    <row r="58">
      <c r="A58" t="str">
        <v>55</v>
      </c>
      <c r="B58" t="str">
        <v>15:24:51</v>
      </c>
      <c r="C58" t="str">
        <v>2025-10-16</v>
      </c>
      <c r="D58" t="str">
        <v>g34p_light_v2</v>
      </c>
      <c r="E58" t="str">
        <v>mrk</v>
      </c>
      <c r="F58" t="str">
        <v/>
      </c>
      <c r="G58" t="str">
        <v>79</v>
      </c>
      <c r="H58" t="str">
        <v/>
      </c>
      <c r="I58" t="str">
        <v/>
      </c>
      <c r="J58" t="str">
        <f>1/((1/L58)-(1/K58))</f>
        <v>0.226244</v>
      </c>
      <c r="K58" t="str">
        <f>BH58+(BI58*AN58)+(BJ58*AN58*POWER(V58,2))+(BK58*AN58*V58)+(BL58*POWER(AN58,2))</f>
        <v>2.923658</v>
      </c>
      <c r="L58" t="str">
        <f>((M58/1000)*(1000-((T58+S58)/2)))/(T58-S58)</f>
        <v>0.209994</v>
      </c>
      <c r="M58" t="str">
        <f>(AN58*(S58-R58))/(100*U58*(1000-S58))*1000</f>
        <v>6.400285</v>
      </c>
      <c r="N58" t="str">
        <v>2.055349</v>
      </c>
      <c r="O58" t="str">
        <v>1.896994</v>
      </c>
      <c r="P58" t="str">
        <f>0.61365*EXP((17.502*AL58)/(240.97+AL58))</f>
        <v>4.694056</v>
      </c>
      <c r="Q58" t="str">
        <f>P58-N58</f>
        <v>2.638706</v>
      </c>
      <c r="R58" t="str">
        <v>21.089197</v>
      </c>
      <c r="S58" t="str">
        <v>22.849657</v>
      </c>
      <c r="T58" t="str">
        <f>(P58/AM58)*1000</f>
        <v>52.184586</v>
      </c>
      <c r="U58" t="str">
        <f>V58*BG58</f>
        <v>0.441786</v>
      </c>
      <c r="V58" t="str">
        <v>7.500000</v>
      </c>
      <c r="W58" t="str">
        <v>PSF-00438_20251016152451_617</v>
      </c>
      <c r="X58" t="str">
        <v>0.000000</v>
      </c>
      <c r="Y58" t="str">
        <v>0.000000</v>
      </c>
      <c r="Z58" t="str">
        <v>0.000000</v>
      </c>
      <c r="AA58" t="str">
        <v>267.610077</v>
      </c>
      <c r="AB58" t="str">
        <v>313.828308</v>
      </c>
      <c r="AC58" t="str">
        <v>0.147272</v>
      </c>
      <c r="AD58" t="str">
        <v>0.5</v>
      </c>
      <c r="AE58" t="str">
        <v>0.80</v>
      </c>
      <c r="AF58" t="str">
        <f>AC58*AD58*AE58*AQ58</f>
        <v>83.255547</v>
      </c>
      <c r="AG58" t="str">
        <v>1.000000</v>
      </c>
      <c r="AH58" t="str">
        <v>41.51</v>
      </c>
      <c r="AI58" t="str">
        <v>38.31</v>
      </c>
      <c r="AJ58" t="str">
        <v>32.64</v>
      </c>
      <c r="AK58" t="str">
        <v>31.70</v>
      </c>
      <c r="AL58" t="str">
        <f>(AK58-AJ58)*(AJ58*0+0)+AK58</f>
        <v>31.70</v>
      </c>
      <c r="AM58" t="str">
        <v>89.95</v>
      </c>
      <c r="AN58" t="str">
        <v>156.9</v>
      </c>
      <c r="AO58" t="str">
        <v>157.2</v>
      </c>
      <c r="AP58" t="str">
        <v>-0.1</v>
      </c>
      <c r="AQ58" t="str">
        <v>1413</v>
      </c>
      <c r="AR58" t="str">
        <v>3.867</v>
      </c>
      <c r="AS58" t="str">
        <v>15:22:24</v>
      </c>
      <c r="AT58" t="str">
        <v>2025-10-16</v>
      </c>
      <c r="AU58" t="str">
        <v>0.05</v>
      </c>
      <c r="AV58" t="str">
        <v>1</v>
      </c>
      <c r="AW58" t="str">
        <v>0.001</v>
      </c>
      <c r="AX58" t="str">
        <v>0.006</v>
      </c>
      <c r="AY58" t="str">
        <v>-9999.000</v>
      </c>
      <c r="AZ58" t="str">
        <v>-9.644</v>
      </c>
      <c r="BA58" t="str">
        <v>-17.550</v>
      </c>
      <c r="BB58" t="str">
        <v>-9999.000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mpf</v>
      </c>
      <c r="BP58" t="str">
        <v>7000</v>
      </c>
      <c r="BQ58" t="str">
        <v>500</v>
      </c>
      <c r="BR58" t="str">
        <v>5.000000</v>
      </c>
      <c r="BS58" t="str">
        <v>2.000000</v>
      </c>
      <c r="BT58" t="str">
        <v>300</v>
      </c>
      <c r="BU58" t="str">
        <v>300</v>
      </c>
      <c r="BV58" t="str">
        <v>300</v>
      </c>
      <c r="BW58" t="str">
        <v>309.705750</v>
      </c>
      <c r="BX58" t="str">
        <v>25</v>
      </c>
      <c r="BY58" t="str">
        <v>-4.192000</v>
      </c>
      <c r="BZ58" t="str">
        <v>306.724182</v>
      </c>
      <c r="CA58" t="str">
        <v>307.835876</v>
      </c>
      <c r="CB58" t="str">
        <v>-1.111694</v>
      </c>
      <c r="CC58" t="str">
        <v>2.450204</v>
      </c>
      <c r="CD58" t="str">
        <v>2.468499</v>
      </c>
      <c r="CE58" t="str">
        <v>1.657545</v>
      </c>
      <c r="CF58" t="str">
        <v>0.939206</v>
      </c>
      <c r="CG58" t="str">
        <v>0.201596</v>
      </c>
      <c r="CH58" t="str">
        <v>-0.011374</v>
      </c>
      <c r="CI58" t="str">
        <v>0.659911</v>
      </c>
      <c r="CJ58" t="str">
        <v>1.378654</v>
      </c>
      <c r="CK58" t="str">
        <v>267.610077</v>
      </c>
      <c r="CL58" t="str">
        <v>0.000245</v>
      </c>
      <c r="CM58" t="str">
        <v>2.388960</v>
      </c>
      <c r="CN58" t="str">
        <v>-0.000025</v>
      </c>
      <c r="CO58" t="str">
        <v>1.000000</v>
      </c>
      <c r="CP58" t="str">
        <v>2.402765</v>
      </c>
      <c r="CQ58" t="str">
        <v>-0.000034</v>
      </c>
      <c r="CR58" t="str">
        <v>1.000000</v>
      </c>
      <c r="CS58" t="str">
        <v>0.600816</v>
      </c>
      <c r="CT58" t="str">
        <v>0.600971</v>
      </c>
      <c r="CU58" t="str">
        <v>0.107301</v>
      </c>
      <c r="CV58" t="str">
        <v>0.000000</v>
      </c>
      <c r="CW58" t="str">
        <v>PSF-00438_20251016152451_617</v>
      </c>
      <c r="CX58" t="str">
        <v>PFA-00474</v>
      </c>
      <c r="CY58" t="str">
        <v>PSA-00486</v>
      </c>
      <c r="CZ58" t="str">
        <v>PSF-00438</v>
      </c>
      <c r="DA58" t="str">
        <v>RHS-00603</v>
      </c>
      <c r="DB58" t="str">
        <v>3.0.0</v>
      </c>
      <c r="DC58" t="str">
        <v>2025-10-05T12:52:38.073Z</v>
      </c>
    </row>
    <row r="59">
      <c r="A59" t="str">
        <v>56</v>
      </c>
      <c r="B59" t="str">
        <v>15:27:38</v>
      </c>
      <c r="C59" t="str">
        <v>2025-10-16</v>
      </c>
      <c r="D59" t="str">
        <v>g34p_light_v2</v>
      </c>
      <c r="E59" t="str">
        <v>mrk</v>
      </c>
      <c r="F59" t="str">
        <v/>
      </c>
      <c r="G59" t="str">
        <v>72</v>
      </c>
      <c r="H59" t="str">
        <v/>
      </c>
      <c r="I59" t="str">
        <v/>
      </c>
      <c r="J59" t="str">
        <f>1/((1/L59)-(1/K59))</f>
        <v>0.104661</v>
      </c>
      <c r="K59" t="str">
        <f>BH59+(BI59*AN59)+(BJ59*AN59*POWER(V59,2))+(BK59*AN59*V59)+(BL59*POWER(AN59,2))</f>
        <v>2.921293</v>
      </c>
      <c r="L59" t="str">
        <f>((M59/1000)*(1000-((T59+S59)/2)))/(T59-S59)</f>
        <v>0.101041</v>
      </c>
      <c r="M59" t="str">
        <f>(AN59*(S59-R59))/(100*U59*(1000-S59))*1000</f>
        <v>3.344762</v>
      </c>
      <c r="N59" t="str">
        <v>1.917747</v>
      </c>
      <c r="O59" t="str">
        <v>1.834700</v>
      </c>
      <c r="P59" t="str">
        <f>0.61365*EXP((17.502*AL59)/(240.97+AL59))</f>
        <v>4.784646</v>
      </c>
      <c r="Q59" t="str">
        <f>P59-N59</f>
        <v>2.866899</v>
      </c>
      <c r="R59" t="str">
        <v>20.395361</v>
      </c>
      <c r="S59" t="str">
        <v>21.318541</v>
      </c>
      <c r="T59" t="str">
        <f>(P59/AM59)*1000</f>
        <v>53.188293</v>
      </c>
      <c r="U59" t="str">
        <f>V59*BG59</f>
        <v>0.441786</v>
      </c>
      <c r="V59" t="str">
        <v>7.500000</v>
      </c>
      <c r="W59" t="str">
        <v>PSF-00438_20251016152738_f91</v>
      </c>
      <c r="X59" t="str">
        <v>0.000000</v>
      </c>
      <c r="Y59" t="str">
        <v>0.000000</v>
      </c>
      <c r="Z59" t="str">
        <v>0.000000</v>
      </c>
      <c r="AA59" t="str">
        <v>128.816483</v>
      </c>
      <c r="AB59" t="str">
        <v>205.631699</v>
      </c>
      <c r="AC59" t="str">
        <v>0.373557</v>
      </c>
      <c r="AD59" t="str">
        <v>0.5</v>
      </c>
      <c r="AE59" t="str">
        <v>0.80</v>
      </c>
      <c r="AF59" t="str">
        <f>AC59*AD59*AE59*AQ59</f>
        <v>154.197205</v>
      </c>
      <c r="AG59" t="str">
        <v>1.000000</v>
      </c>
      <c r="AH59" t="str">
        <v>39.13</v>
      </c>
      <c r="AI59" t="str">
        <v>37.44</v>
      </c>
      <c r="AJ59" t="str">
        <v>32.46</v>
      </c>
      <c r="AK59" t="str">
        <v>32.04</v>
      </c>
      <c r="AL59" t="str">
        <f>(AK59-AJ59)*(AJ59*0+0)+AK59</f>
        <v>32.04</v>
      </c>
      <c r="AM59" t="str">
        <v>89.96</v>
      </c>
      <c r="AN59" t="str">
        <v>156.7</v>
      </c>
      <c r="AO59" t="str">
        <v>156.9</v>
      </c>
      <c r="AP59" t="str">
        <v>-0.2</v>
      </c>
      <c r="AQ59" t="str">
        <v>1032</v>
      </c>
      <c r="AR59" t="str">
        <v>3.833</v>
      </c>
      <c r="AS59" t="str">
        <v>15:22:24</v>
      </c>
      <c r="AT59" t="str">
        <v>2025-10-16</v>
      </c>
      <c r="AU59" t="str">
        <v>0.05</v>
      </c>
      <c r="AV59" t="str">
        <v>1</v>
      </c>
      <c r="AW59" t="str">
        <v>0.002</v>
      </c>
      <c r="AX59" t="str">
        <v>0.002</v>
      </c>
      <c r="AY59" t="str">
        <v>-9999.000</v>
      </c>
      <c r="AZ59" t="str">
        <v>-3.805</v>
      </c>
      <c r="BA59" t="str">
        <v>-7.882</v>
      </c>
      <c r="BB59" t="str">
        <v>-9999.000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mpf</v>
      </c>
      <c r="BP59" t="str">
        <v>7000</v>
      </c>
      <c r="BQ59" t="str">
        <v>500</v>
      </c>
      <c r="BR59" t="str">
        <v>5.000000</v>
      </c>
      <c r="BS59" t="str">
        <v>2.000000</v>
      </c>
      <c r="BT59" t="str">
        <v>300</v>
      </c>
      <c r="BU59" t="str">
        <v>300</v>
      </c>
      <c r="BV59" t="str">
        <v>300</v>
      </c>
      <c r="BW59" t="str">
        <v>194.960831</v>
      </c>
      <c r="BX59" t="str">
        <v>25</v>
      </c>
      <c r="BY59" t="str">
        <v>-7.381566</v>
      </c>
      <c r="BZ59" t="str">
        <v>194.807404</v>
      </c>
      <c r="CA59" t="str">
        <v>195.079819</v>
      </c>
      <c r="CB59" t="str">
        <v>-0.272415</v>
      </c>
      <c r="CC59" t="str">
        <v>2.449057</v>
      </c>
      <c r="CD59" t="str">
        <v>2.465313</v>
      </c>
      <c r="CE59" t="str">
        <v>1.655065</v>
      </c>
      <c r="CF59" t="str">
        <v>0.938602</v>
      </c>
      <c r="CG59" t="str">
        <v>0.203059</v>
      </c>
      <c r="CH59" t="str">
        <v>-0.005035</v>
      </c>
      <c r="CI59" t="str">
        <v>0.663570</v>
      </c>
      <c r="CJ59" t="str">
        <v>1.035612</v>
      </c>
      <c r="CK59" t="str">
        <v>131.438263</v>
      </c>
      <c r="CL59" t="str">
        <v>0.000246</v>
      </c>
      <c r="CM59" t="str">
        <v>2.388960</v>
      </c>
      <c r="CN59" t="str">
        <v>-0.000025</v>
      </c>
      <c r="CO59" t="str">
        <v>1.000000</v>
      </c>
      <c r="CP59" t="str">
        <v>2.402765</v>
      </c>
      <c r="CQ59" t="str">
        <v>-0.000034</v>
      </c>
      <c r="CR59" t="str">
        <v>1.000000</v>
      </c>
      <c r="CS59" t="str">
        <v>0.600816</v>
      </c>
      <c r="CT59" t="str">
        <v>0.600971</v>
      </c>
      <c r="CU59" t="str">
        <v>0.107301</v>
      </c>
      <c r="CV59" t="str">
        <v>0.000000</v>
      </c>
      <c r="CW59" t="str">
        <v>PSF-00438_20251016152738_f91</v>
      </c>
      <c r="CX59" t="str">
        <v>PFA-00474</v>
      </c>
      <c r="CY59" t="str">
        <v>PSA-00486</v>
      </c>
      <c r="CZ59" t="str">
        <v>PSF-00438</v>
      </c>
      <c r="DA59" t="str">
        <v>RHS-00603</v>
      </c>
      <c r="DB59" t="str">
        <v>3.0.0</v>
      </c>
      <c r="DC59" t="str">
        <v>2025-10-05T12:52:38.073Z</v>
      </c>
    </row>
    <row r="60">
      <c r="A60" t="str">
        <v>57</v>
      </c>
      <c r="B60" t="str">
        <v>15:30:18</v>
      </c>
      <c r="C60" t="str">
        <v>2025-10-16</v>
      </c>
      <c r="D60" t="str">
        <v>g34p_light_v2</v>
      </c>
      <c r="E60" t="str">
        <v>mrk</v>
      </c>
      <c r="F60" t="str">
        <v/>
      </c>
      <c r="G60" t="str">
        <v>73</v>
      </c>
      <c r="H60" t="str">
        <v/>
      </c>
      <c r="I60" t="str">
        <v/>
      </c>
      <c r="J60" t="str">
        <f>1/((1/L60)-(1/K60))</f>
        <v>0.024181</v>
      </c>
      <c r="K60" t="str">
        <f>BH60+(BI60*AN60)+(BJ60*AN60*POWER(V60,2))+(BK60*AN60*V60)+(BL60*POWER(AN60,2))</f>
        <v>2.923048</v>
      </c>
      <c r="L60" t="str">
        <f>((M60/1000)*(1000-((T60+S60)/2)))/(T60-S60)</f>
        <v>0.023982</v>
      </c>
      <c r="M60" t="str">
        <f>(AN60*(S60-R60))/(100*U60*(1000-S60))*1000</f>
        <v>0.903733</v>
      </c>
      <c r="N60" t="str">
        <v>1.806417</v>
      </c>
      <c r="O60" t="str">
        <v>1.783984</v>
      </c>
      <c r="P60" t="str">
        <f>0.61365*EXP((17.502*AL60)/(240.97+AL60))</f>
        <v>5.066266</v>
      </c>
      <c r="Q60" t="str">
        <f>P60-N60</f>
        <v>3.259849</v>
      </c>
      <c r="R60" t="str">
        <v>19.834721</v>
      </c>
      <c r="S60" t="str">
        <v>20.084126</v>
      </c>
      <c r="T60" t="str">
        <f>(P60/AM60)*1000</f>
        <v>56.327827</v>
      </c>
      <c r="U60" t="str">
        <f>V60*BG60</f>
        <v>0.441786</v>
      </c>
      <c r="V60" t="str">
        <v>7.500000</v>
      </c>
      <c r="W60" t="str">
        <v>PSF-00438_20251016153018_b5c</v>
      </c>
      <c r="X60" t="str">
        <v>0.000000</v>
      </c>
      <c r="Y60" t="str">
        <v>0.000000</v>
      </c>
      <c r="Z60" t="str">
        <v>0.000000</v>
      </c>
      <c r="AA60" t="str">
        <v>179.738754</v>
      </c>
      <c r="AB60" t="str">
        <v>235.162491</v>
      </c>
      <c r="AC60" t="str">
        <v>0.235683</v>
      </c>
      <c r="AD60" t="str">
        <v>0.5</v>
      </c>
      <c r="AE60" t="str">
        <v>0.80</v>
      </c>
      <c r="AF60" t="str">
        <f>AC60*AD60*AE60*AQ60</f>
        <v>115.331604</v>
      </c>
      <c r="AG60" t="str">
        <v>1.000000</v>
      </c>
      <c r="AH60" t="str">
        <v>37.04</v>
      </c>
      <c r="AI60" t="str">
        <v>36.58</v>
      </c>
      <c r="AJ60" t="str">
        <v>32.37</v>
      </c>
      <c r="AK60" t="str">
        <v>33.05</v>
      </c>
      <c r="AL60" t="str">
        <f>(AK60-AJ60)*(AJ60*0+0)+AK60</f>
        <v>33.05</v>
      </c>
      <c r="AM60" t="str">
        <v>89.94</v>
      </c>
      <c r="AN60" t="str">
        <v>156.9</v>
      </c>
      <c r="AO60" t="str">
        <v>157.0</v>
      </c>
      <c r="AP60" t="str">
        <v>-0.1</v>
      </c>
      <c r="AQ60" t="str">
        <v>1223</v>
      </c>
      <c r="AR60" t="str">
        <v>3.860</v>
      </c>
      <c r="AS60" t="str">
        <v>15:22:24</v>
      </c>
      <c r="AT60" t="str">
        <v>2025-10-16</v>
      </c>
      <c r="AU60" t="str">
        <v>0.05</v>
      </c>
      <c r="AV60" t="str">
        <v>1</v>
      </c>
      <c r="AW60" t="str">
        <v>0.001</v>
      </c>
      <c r="AX60" t="str">
        <v>-9999.000</v>
      </c>
      <c r="AY60" t="str">
        <v>-9999.000</v>
      </c>
      <c r="AZ60" t="str">
        <v>-4.936</v>
      </c>
      <c r="BA60" t="str">
        <v>-9999.000</v>
      </c>
      <c r="BB60" t="str">
        <v>-9999.000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mpf</v>
      </c>
      <c r="BP60" t="str">
        <v>7000</v>
      </c>
      <c r="BQ60" t="str">
        <v>500</v>
      </c>
      <c r="BR60" t="str">
        <v>5.000000</v>
      </c>
      <c r="BS60" t="str">
        <v>2.000000</v>
      </c>
      <c r="BT60" t="str">
        <v>300</v>
      </c>
      <c r="BU60" t="str">
        <v>300</v>
      </c>
      <c r="BV60" t="str">
        <v>300</v>
      </c>
      <c r="BW60" t="str">
        <v>221.954224</v>
      </c>
      <c r="BX60" t="str">
        <v>25</v>
      </c>
      <c r="BY60" t="str">
        <v>-10.217546</v>
      </c>
      <c r="BZ60" t="str">
        <v>217.341537</v>
      </c>
      <c r="CA60" t="str">
        <v>220.556595</v>
      </c>
      <c r="CB60" t="str">
        <v>-3.215057</v>
      </c>
      <c r="CC60" t="str">
        <v>2.447904</v>
      </c>
      <c r="CD60" t="str">
        <v>2.462461</v>
      </c>
      <c r="CE60" t="str">
        <v>1.656904</v>
      </c>
      <c r="CF60" t="str">
        <v>0.938928</v>
      </c>
      <c r="CG60" t="str">
        <v>0.203746</v>
      </c>
      <c r="CH60" t="str">
        <v>0.008392</v>
      </c>
      <c r="CI60" t="str">
        <v>0.667112</v>
      </c>
      <c r="CJ60" t="str">
        <v>1.207813</v>
      </c>
      <c r="CK60" t="str">
        <v>179.738754</v>
      </c>
      <c r="CL60" t="str">
        <v>0.000245</v>
      </c>
      <c r="CM60" t="str">
        <v>2.388960</v>
      </c>
      <c r="CN60" t="str">
        <v>-0.000025</v>
      </c>
      <c r="CO60" t="str">
        <v>1.000000</v>
      </c>
      <c r="CP60" t="str">
        <v>2.402765</v>
      </c>
      <c r="CQ60" t="str">
        <v>-0.000034</v>
      </c>
      <c r="CR60" t="str">
        <v>1.000000</v>
      </c>
      <c r="CS60" t="str">
        <v>0.600816</v>
      </c>
      <c r="CT60" t="str">
        <v>0.600971</v>
      </c>
      <c r="CU60" t="str">
        <v>0.107301</v>
      </c>
      <c r="CV60" t="str">
        <v>0.000000</v>
      </c>
      <c r="CW60" t="str">
        <v>PSF-00438_20251016153018_b5c</v>
      </c>
      <c r="CX60" t="str">
        <v>PFA-00474</v>
      </c>
      <c r="CY60" t="str">
        <v>PSA-00486</v>
      </c>
      <c r="CZ60" t="str">
        <v>PSF-00438</v>
      </c>
      <c r="DA60" t="str">
        <v>RHS-00603</v>
      </c>
      <c r="DB60" t="str">
        <v>3.0.0</v>
      </c>
      <c r="DC60" t="str">
        <v>2025-10-05T12:52:38.073Z</v>
      </c>
    </row>
    <row r="61">
      <c r="A61" t="str">
        <v>58</v>
      </c>
      <c r="B61" t="str">
        <v>15:33:43</v>
      </c>
      <c r="C61" t="str">
        <v>2025-10-16</v>
      </c>
      <c r="D61" t="str">
        <v>g34p_light_v2</v>
      </c>
      <c r="E61" t="str">
        <v>mrk</v>
      </c>
      <c r="F61" t="str">
        <v/>
      </c>
      <c r="G61" t="str">
        <v>66</v>
      </c>
      <c r="H61" t="str">
        <v/>
      </c>
      <c r="I61" t="str">
        <v/>
      </c>
      <c r="J61" t="str">
        <f>1/((1/L61)-(1/K61))</f>
        <v>0.004415</v>
      </c>
      <c r="K61" t="str">
        <f>BH61+(BI61*AN61)+(BJ61*AN61*POWER(V61,2))+(BK61*AN61*V61)+(BL61*POWER(AN61,2))</f>
        <v>2.923403</v>
      </c>
      <c r="L61" t="str">
        <f>((M61/1000)*(1000-((T61+S61)/2)))/(T61-S61)</f>
        <v>0.004409</v>
      </c>
      <c r="M61" t="str">
        <f>(AN61*(S61-R61))/(100*U61*(1000-S61))*1000</f>
        <v>0.135536</v>
      </c>
      <c r="N61" t="str">
        <v>1.795893</v>
      </c>
      <c r="O61" t="str">
        <v>1.792529</v>
      </c>
      <c r="P61" t="str">
        <f>0.61365*EXP((17.502*AL61)/(240.97+AL61))</f>
        <v>4.465053</v>
      </c>
      <c r="Q61" t="str">
        <f>P61-N61</f>
        <v>2.669160</v>
      </c>
      <c r="R61" t="str">
        <v>19.928009</v>
      </c>
      <c r="S61" t="str">
        <v>19.965406</v>
      </c>
      <c r="T61" t="str">
        <f>(P61/AM61)*1000</f>
        <v>49.639141</v>
      </c>
      <c r="U61" t="str">
        <f>V61*BG61</f>
        <v>0.441786</v>
      </c>
      <c r="V61" t="str">
        <v>7.500000</v>
      </c>
      <c r="W61" t="str">
        <v>PSF-00438_20251016153343_952</v>
      </c>
      <c r="X61" t="str">
        <v>0.000000</v>
      </c>
      <c r="Y61" t="str">
        <v>0.000000</v>
      </c>
      <c r="Z61" t="str">
        <v>0.000000</v>
      </c>
      <c r="AA61" t="str">
        <v>113.788963</v>
      </c>
      <c r="AB61" t="str">
        <v>168.470993</v>
      </c>
      <c r="AC61" t="str">
        <v>0.324578</v>
      </c>
      <c r="AD61" t="str">
        <v>0.5</v>
      </c>
      <c r="AE61" t="str">
        <v>0.80</v>
      </c>
      <c r="AF61" t="str">
        <f>AC61*AD61*AE61*AQ61</f>
        <v>166.841965</v>
      </c>
      <c r="AG61" t="str">
        <v>1.000000</v>
      </c>
      <c r="AH61" t="str">
        <v>36.94</v>
      </c>
      <c r="AI61" t="str">
        <v>36.87</v>
      </c>
      <c r="AJ61" t="str">
        <v>32.32</v>
      </c>
      <c r="AK61" t="str">
        <v>30.82</v>
      </c>
      <c r="AL61" t="str">
        <f>(AK61-AJ61)*(AJ61*0+0)+AK61</f>
        <v>30.82</v>
      </c>
      <c r="AM61" t="str">
        <v>89.95</v>
      </c>
      <c r="AN61" t="str">
        <v>156.9</v>
      </c>
      <c r="AO61" t="str">
        <v>-16.3</v>
      </c>
      <c r="AP61" t="str">
        <v>110.4</v>
      </c>
      <c r="AQ61" t="str">
        <v>1285</v>
      </c>
      <c r="AR61" t="str">
        <v>3.857</v>
      </c>
      <c r="AS61" t="str">
        <v>15:22:24</v>
      </c>
      <c r="AT61" t="str">
        <v>2025-10-16</v>
      </c>
      <c r="AU61" t="str">
        <v>0.05</v>
      </c>
      <c r="AV61" t="str">
        <v>1</v>
      </c>
      <c r="AW61" t="str">
        <v>0.008</v>
      </c>
      <c r="AX61" t="str">
        <v>-0.000</v>
      </c>
      <c r="AY61" t="str">
        <v>0.012</v>
      </c>
      <c r="AZ61" t="str">
        <v>94.176</v>
      </c>
      <c r="BA61" t="str">
        <v>46.789</v>
      </c>
      <c r="BB61" t="str">
        <v>23.039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mpf</v>
      </c>
      <c r="BP61" t="str">
        <v>7000</v>
      </c>
      <c r="BQ61" t="str">
        <v>500</v>
      </c>
      <c r="BR61" t="str">
        <v>5.000000</v>
      </c>
      <c r="BS61" t="str">
        <v>2.000000</v>
      </c>
      <c r="BT61" t="str">
        <v>300</v>
      </c>
      <c r="BU61" t="str">
        <v>300</v>
      </c>
      <c r="BV61" t="str">
        <v>300</v>
      </c>
      <c r="BW61" t="str">
        <v>159.000275</v>
      </c>
      <c r="BX61" t="str">
        <v>25</v>
      </c>
      <c r="BY61" t="str">
        <v>-7.089037</v>
      </c>
      <c r="BZ61" t="str">
        <v>156.107071</v>
      </c>
      <c r="CA61" t="str">
        <v>158.337280</v>
      </c>
      <c r="CB61" t="str">
        <v>-2.230209</v>
      </c>
      <c r="CC61" t="str">
        <v>2.448311</v>
      </c>
      <c r="CD61" t="str">
        <v>2.462334</v>
      </c>
      <c r="CE61" t="str">
        <v>1.657278</v>
      </c>
      <c r="CF61" t="str">
        <v>0.572414</v>
      </c>
      <c r="CG61" t="str">
        <v>0.204190</v>
      </c>
      <c r="CH61" t="str">
        <v>-0.017964</v>
      </c>
      <c r="CI61" t="str">
        <v>0.672079</v>
      </c>
      <c r="CJ61" t="str">
        <v>1.263307</v>
      </c>
      <c r="CK61" t="str">
        <v>113.788963</v>
      </c>
      <c r="CL61" t="str">
        <v>0.000245</v>
      </c>
      <c r="CM61" t="str">
        <v>2.388960</v>
      </c>
      <c r="CN61" t="str">
        <v>-0.000025</v>
      </c>
      <c r="CO61" t="str">
        <v>1.000000</v>
      </c>
      <c r="CP61" t="str">
        <v>2.402765</v>
      </c>
      <c r="CQ61" t="str">
        <v>-0.000034</v>
      </c>
      <c r="CR61" t="str">
        <v>1.000000</v>
      </c>
      <c r="CS61" t="str">
        <v>0.600816</v>
      </c>
      <c r="CT61" t="str">
        <v>0.600971</v>
      </c>
      <c r="CU61" t="str">
        <v>0.107301</v>
      </c>
      <c r="CV61" t="str">
        <v>0.000000</v>
      </c>
      <c r="CW61" t="str">
        <v>PSF-00438_20251016153343_952</v>
      </c>
      <c r="CX61" t="str">
        <v>PFA-00474</v>
      </c>
      <c r="CY61" t="str">
        <v>PSA-00486</v>
      </c>
      <c r="CZ61" t="str">
        <v>PSF-00438</v>
      </c>
      <c r="DA61" t="str">
        <v>RHS-00603</v>
      </c>
      <c r="DB61" t="str">
        <v>3.0.0</v>
      </c>
      <c r="DC61" t="str">
        <v>2025-10-05T12:52:38.073Z</v>
      </c>
    </row>
    <row r="62">
      <c r="A62" t="str">
        <v>59</v>
      </c>
      <c r="B62" t="str">
        <v>15:36:21</v>
      </c>
      <c r="C62" t="str">
        <v>2025-10-16</v>
      </c>
      <c r="D62" t="str">
        <v>g34p_light_v2</v>
      </c>
      <c r="E62" t="str">
        <v>mrk</v>
      </c>
      <c r="F62" t="str">
        <v/>
      </c>
      <c r="G62" t="str">
        <v>92</v>
      </c>
      <c r="H62" t="str">
        <v/>
      </c>
      <c r="I62" t="str">
        <v/>
      </c>
      <c r="J62" t="str">
        <f>1/((1/L62)-(1/K62))</f>
        <v>0.056931</v>
      </c>
      <c r="K62" t="str">
        <f>BH62+(BI62*AN62)+(BJ62*AN62*POWER(V62,2))+(BK62*AN62*V62)+(BL62*POWER(AN62,2))</f>
        <v>2.922083</v>
      </c>
      <c r="L62" t="str">
        <f>((M62/1000)*(1000-((T62+S62)/2)))/(T62-S62)</f>
        <v>0.055843</v>
      </c>
      <c r="M62" t="str">
        <f>(AN62*(S62-R62))/(100*U62*(1000-S62))*1000</f>
        <v>1.768641</v>
      </c>
      <c r="N62" t="str">
        <v>1.851774</v>
      </c>
      <c r="O62" t="str">
        <v>1.807856</v>
      </c>
      <c r="P62" t="str">
        <f>0.61365*EXP((17.502*AL62)/(240.97+AL62))</f>
        <v>4.598678</v>
      </c>
      <c r="Q62" t="str">
        <f>P62-N62</f>
        <v>2.746904</v>
      </c>
      <c r="R62" t="str">
        <v>20.097281</v>
      </c>
      <c r="S62" t="str">
        <v>20.585497</v>
      </c>
      <c r="T62" t="str">
        <f>(P62/AM62)*1000</f>
        <v>51.121841</v>
      </c>
      <c r="U62" t="str">
        <f>V62*BG62</f>
        <v>0.441786</v>
      </c>
      <c r="V62" t="str">
        <v>7.500000</v>
      </c>
      <c r="W62" t="str">
        <v>PSF-00438_20251016153621_2ca</v>
      </c>
      <c r="X62" t="str">
        <v>0.000000</v>
      </c>
      <c r="Y62" t="str">
        <v>0.000000</v>
      </c>
      <c r="Z62" t="str">
        <v>0.000000</v>
      </c>
      <c r="AA62" t="str">
        <v>126.080635</v>
      </c>
      <c r="AB62" t="str">
        <v>211.365860</v>
      </c>
      <c r="AC62" t="str">
        <v>0.403496</v>
      </c>
      <c r="AD62" t="str">
        <v>0.5</v>
      </c>
      <c r="AE62" t="str">
        <v>0.80</v>
      </c>
      <c r="AF62" t="str">
        <f>AC62*AD62*AE62*AQ62</f>
        <v>235.577560</v>
      </c>
      <c r="AG62" t="str">
        <v>1.000000</v>
      </c>
      <c r="AH62" t="str">
        <v>38.04</v>
      </c>
      <c r="AI62" t="str">
        <v>37.14</v>
      </c>
      <c r="AJ62" t="str">
        <v>32.34</v>
      </c>
      <c r="AK62" t="str">
        <v>31.34</v>
      </c>
      <c r="AL62" t="str">
        <f>(AK62-AJ62)*(AJ62*0+0)+AK62</f>
        <v>31.34</v>
      </c>
      <c r="AM62" t="str">
        <v>89.96</v>
      </c>
      <c r="AN62" t="str">
        <v>156.7</v>
      </c>
      <c r="AO62" t="str">
        <v>46.0</v>
      </c>
      <c r="AP62" t="str">
        <v>70.7</v>
      </c>
      <c r="AQ62" t="str">
        <v>1460</v>
      </c>
      <c r="AR62" t="str">
        <v>3.853</v>
      </c>
      <c r="AS62" t="str">
        <v>15:33:56</v>
      </c>
      <c r="AT62" t="str">
        <v>2025-10-16</v>
      </c>
      <c r="AU62" t="str">
        <v>0.03</v>
      </c>
      <c r="AV62" t="str">
        <v>1</v>
      </c>
      <c r="AW62" t="str">
        <v>-0.009</v>
      </c>
      <c r="AX62" t="str">
        <v>0.016</v>
      </c>
      <c r="AY62" t="str">
        <v>0.057</v>
      </c>
      <c r="AZ62" t="str">
        <v>130.401</v>
      </c>
      <c r="BA62" t="str">
        <v>58.057</v>
      </c>
      <c r="BB62" t="str">
        <v>14.253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mpf</v>
      </c>
      <c r="BP62" t="str">
        <v>7000</v>
      </c>
      <c r="BQ62" t="str">
        <v>500</v>
      </c>
      <c r="BR62" t="str">
        <v>5.000000</v>
      </c>
      <c r="BS62" t="str">
        <v>2.000000</v>
      </c>
      <c r="BT62" t="str">
        <v>300</v>
      </c>
      <c r="BU62" t="str">
        <v>300</v>
      </c>
      <c r="BV62" t="str">
        <v>300</v>
      </c>
      <c r="BW62" t="str">
        <v>206.848389</v>
      </c>
      <c r="BX62" t="str">
        <v>25</v>
      </c>
      <c r="BY62" t="str">
        <v>-2.994546</v>
      </c>
      <c r="BZ62" t="str">
        <v>207.875488</v>
      </c>
      <c r="CA62" t="str">
        <v>207.085175</v>
      </c>
      <c r="CB62" t="str">
        <v>0.790314</v>
      </c>
      <c r="CC62" t="str">
        <v>2.448665</v>
      </c>
      <c r="CD62" t="str">
        <v>2.463864</v>
      </c>
      <c r="CE62" t="str">
        <v>1.655892</v>
      </c>
      <c r="CF62" t="str">
        <v>0.687437</v>
      </c>
      <c r="CG62" t="str">
        <v>0.203989</v>
      </c>
      <c r="CH62" t="str">
        <v>-0.012058</v>
      </c>
      <c r="CI62" t="str">
        <v>0.674498</v>
      </c>
      <c r="CJ62" t="str">
        <v>1.420314</v>
      </c>
      <c r="CK62" t="str">
        <v>126.080635</v>
      </c>
      <c r="CL62" t="str">
        <v>0.000244</v>
      </c>
      <c r="CM62" t="str">
        <v>2.388960</v>
      </c>
      <c r="CN62" t="str">
        <v>-0.000025</v>
      </c>
      <c r="CO62" t="str">
        <v>1.000000</v>
      </c>
      <c r="CP62" t="str">
        <v>2.402765</v>
      </c>
      <c r="CQ62" t="str">
        <v>-0.000034</v>
      </c>
      <c r="CR62" t="str">
        <v>1.000000</v>
      </c>
      <c r="CS62" t="str">
        <v>0.600816</v>
      </c>
      <c r="CT62" t="str">
        <v>0.600971</v>
      </c>
      <c r="CU62" t="str">
        <v>0.107301</v>
      </c>
      <c r="CV62" t="str">
        <v>0.000000</v>
      </c>
      <c r="CW62" t="str">
        <v>PSF-00438_20251016153621_2ca</v>
      </c>
      <c r="CX62" t="str">
        <v>PFA-00474</v>
      </c>
      <c r="CY62" t="str">
        <v>PSA-00486</v>
      </c>
      <c r="CZ62" t="str">
        <v>PSF-00438</v>
      </c>
      <c r="DA62" t="str">
        <v>RHS-00603</v>
      </c>
      <c r="DB62" t="str">
        <v>3.0.0</v>
      </c>
      <c r="DC62" t="str">
        <v>2025-10-05T12:52:38.073Z</v>
      </c>
    </row>
  </sheetData>
  <ignoredErrors>
    <ignoredError numberStoredAsText="1" sqref="A1:D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