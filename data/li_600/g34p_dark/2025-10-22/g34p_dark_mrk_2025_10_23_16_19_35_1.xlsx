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d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7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07:40:38</v>
      </c>
      <c r="C4" t="str">
        <v>2025-10-22</v>
      </c>
      <c r="D4" t="str">
        <v>g34p_dark</v>
      </c>
      <c r="E4" t="str">
        <v>mrk</v>
      </c>
      <c r="F4" t="str">
        <v/>
      </c>
      <c r="G4" t="str">
        <v>147</v>
      </c>
      <c r="H4" t="str">
        <v>47599</v>
      </c>
      <c r="I4" t="str">
        <v/>
      </c>
      <c r="J4" t="str">
        <f>1/((1/L4)-(1/K4))</f>
        <v>0.185984</v>
      </c>
      <c r="K4" t="str">
        <f>BH4+(BI4*AN4)+(BJ4*AN4*POWER(V4,2))+(BK4*AN4*V4)+(BL4*POWER(AN4,2))</f>
        <v>2.920058</v>
      </c>
      <c r="L4" t="str">
        <f>((M4/1000)*(1000-((T4+S4)/2)))/(T4-S4)</f>
        <v>0.174848</v>
      </c>
      <c r="M4" t="str">
        <f>(AN4*(S4-R4))/(100*U4*(1000-S4))*1000</f>
        <v>2.279594</v>
      </c>
      <c r="N4" t="str">
        <v>1.287244</v>
      </c>
      <c r="O4" t="str">
        <v>1.229510</v>
      </c>
      <c r="P4" t="str">
        <f>0.61365*EXP((17.502*AL4)/(240.97+AL4))</f>
        <v>2.449346</v>
      </c>
      <c r="Q4" t="str">
        <f>P4-N4</f>
        <v>1.162102</v>
      </c>
      <c r="R4" t="str">
        <v>13.510655</v>
      </c>
      <c r="S4" t="str">
        <v>14.145072</v>
      </c>
      <c r="T4" t="str">
        <f>(P4/AM4)*1000</f>
        <v>26.915007</v>
      </c>
      <c r="U4" t="str">
        <f>V4*BG4</f>
        <v>0.441786</v>
      </c>
      <c r="V4" t="str">
        <v>7.500000</v>
      </c>
      <c r="W4" t="str">
        <v>PSF-00438_20251022074038_0b9</v>
      </c>
      <c r="X4" t="str">
        <v>84.359047</v>
      </c>
      <c r="Y4" t="str">
        <v>353.641754</v>
      </c>
      <c r="Z4" t="str">
        <v>0.761456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0.028536</v>
      </c>
      <c r="AG4" t="str">
        <v>1.000000</v>
      </c>
      <c r="AH4" t="str">
        <v>56.92</v>
      </c>
      <c r="AI4" t="str">
        <v>54.37</v>
      </c>
      <c r="AJ4" t="str">
        <v>19.40</v>
      </c>
      <c r="AK4" t="str">
        <v>20.69</v>
      </c>
      <c r="AL4" t="str">
        <f>(AK4-AJ4)*(AJ4*0+0)+AK4</f>
        <v>20.69</v>
      </c>
      <c r="AM4" t="str">
        <v>91.00</v>
      </c>
      <c r="AN4" t="str">
        <v>156.5</v>
      </c>
      <c r="AO4" t="str">
        <v>158.8</v>
      </c>
      <c r="AP4" t="str">
        <v>-1.5</v>
      </c>
      <c r="AQ4" t="str">
        <v>0</v>
      </c>
      <c r="AR4" t="str">
        <v>4.119</v>
      </c>
      <c r="AS4" t="str">
        <v>07:40:03</v>
      </c>
      <c r="AT4" t="str">
        <v>2025-10-22</v>
      </c>
      <c r="AU4" t="str">
        <v>-0.19</v>
      </c>
      <c r="AV4" t="str">
        <v>1</v>
      </c>
      <c r="AW4" t="str">
        <v>-1.167</v>
      </c>
      <c r="AX4" t="str">
        <v>-0.531</v>
      </c>
      <c r="AY4" t="str">
        <v>-2.284</v>
      </c>
      <c r="AZ4" t="str">
        <v>-4.690</v>
      </c>
      <c r="BA4" t="str">
        <v>77.270</v>
      </c>
      <c r="BB4" t="str">
        <v>37.940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6000</v>
      </c>
      <c r="BQ4" t="str">
        <v>5</v>
      </c>
      <c r="BR4" t="str">
        <v>5.000000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2.474680</v>
      </c>
      <c r="CD4" t="str">
        <v>2.492618</v>
      </c>
      <c r="CE4" t="str">
        <v>1.653775</v>
      </c>
      <c r="CF4" t="str">
        <v>0.943343</v>
      </c>
      <c r="CG4" t="str">
        <v>0.341259</v>
      </c>
      <c r="CH4" t="str">
        <v>0.014922</v>
      </c>
      <c r="CI4" t="str">
        <v>0.049546</v>
      </c>
      <c r="CJ4" t="str">
        <v>0.107385</v>
      </c>
      <c r="CK4" t="str">
        <v>84.359047</v>
      </c>
      <c r="CL4" t="str">
        <v>0.000235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PSF-00438_20251022074038_0b9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2025-10-05T12:52:23.367Z</v>
      </c>
    </row>
    <row r="5">
      <c r="A5" t="str">
        <v>2</v>
      </c>
      <c r="B5" t="str">
        <v>07:41:48</v>
      </c>
      <c r="C5" t="str">
        <v>2025-10-22</v>
      </c>
      <c r="D5" t="str">
        <v>g34p_dark</v>
      </c>
      <c r="E5" t="str">
        <v>mrk</v>
      </c>
      <c r="F5" t="str">
        <v/>
      </c>
      <c r="G5" t="str">
        <v>154</v>
      </c>
      <c r="H5" t="str">
        <v>41706</v>
      </c>
      <c r="I5" t="str">
        <v/>
      </c>
      <c r="J5" t="str">
        <f>1/((1/L5)-(1/K5))</f>
        <v>1.832378</v>
      </c>
      <c r="K5" t="str">
        <f>BH5+(BI5*AN5)+(BJ5*AN5*POWER(V5,2))+(BK5*AN5*V5)+(BL5*POWER(AN5,2))</f>
        <v>2.921616</v>
      </c>
      <c r="L5" t="str">
        <f>((M5/1000)*(1000-((T5+S5)/2)))/(T5-S5)</f>
        <v>1.126107</v>
      </c>
      <c r="M5" t="str">
        <f>(AN5*(S5-R5))/(100*U5*(1000-S5))*1000</f>
        <v>11.593243</v>
      </c>
      <c r="N5" t="str">
        <v>1.618038</v>
      </c>
      <c r="O5" t="str">
        <v>1.325867</v>
      </c>
      <c r="P5" t="str">
        <f>0.61365*EXP((17.502*AL5)/(240.97+AL5))</f>
        <v>2.533542</v>
      </c>
      <c r="Q5" t="str">
        <f>P5-N5</f>
        <v>0.915503</v>
      </c>
      <c r="R5" t="str">
        <v>14.569485</v>
      </c>
      <c r="S5" t="str">
        <v>17.780054</v>
      </c>
      <c r="T5" t="str">
        <f>(P5/AM5)*1000</f>
        <v>27.840200</v>
      </c>
      <c r="U5" t="str">
        <f>V5*BG5</f>
        <v>0.441786</v>
      </c>
      <c r="V5" t="str">
        <v>7.500000</v>
      </c>
      <c r="W5" t="str">
        <v>PSF-00438_20251022074148_84b</v>
      </c>
      <c r="X5" t="str">
        <v>78.312279</v>
      </c>
      <c r="Y5" t="str">
        <v>302.056061</v>
      </c>
      <c r="Z5" t="str">
        <v>0.740736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0.032825</v>
      </c>
      <c r="AG5" t="str">
        <v>1.000000</v>
      </c>
      <c r="AH5" t="str">
        <v>70.97</v>
      </c>
      <c r="AI5" t="str">
        <v>58.15</v>
      </c>
      <c r="AJ5" t="str">
        <v>19.54</v>
      </c>
      <c r="AK5" t="str">
        <v>21.24</v>
      </c>
      <c r="AL5" t="str">
        <f>(AK5-AJ5)*(AJ5*0+0)+AK5</f>
        <v>21.24</v>
      </c>
      <c r="AM5" t="str">
        <v>91.00</v>
      </c>
      <c r="AN5" t="str">
        <v>156.7</v>
      </c>
      <c r="AO5" t="str">
        <v>-15.1</v>
      </c>
      <c r="AP5" t="str">
        <v>109.6</v>
      </c>
      <c r="AQ5" t="str">
        <v>0</v>
      </c>
      <c r="AR5" t="str">
        <v>4.115</v>
      </c>
      <c r="AS5" t="str">
        <v>07:40:03</v>
      </c>
      <c r="AT5" t="str">
        <v>2025-10-22</v>
      </c>
      <c r="AU5" t="str">
        <v>-0.19</v>
      </c>
      <c r="AV5" t="str">
        <v>1</v>
      </c>
      <c r="AW5" t="str">
        <v>0.114</v>
      </c>
      <c r="AX5" t="str">
        <v>-0.330</v>
      </c>
      <c r="AY5" t="str">
        <v>-0.754</v>
      </c>
      <c r="AZ5" t="str">
        <v>61.281</v>
      </c>
      <c r="BA5" t="str">
        <v>30.894</v>
      </c>
      <c r="BB5" t="str">
        <v>14.987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6000</v>
      </c>
      <c r="BQ5" t="str">
        <v>5</v>
      </c>
      <c r="BR5" t="str">
        <v>5.000000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2.479622</v>
      </c>
      <c r="CD5" t="str">
        <v>2.510893</v>
      </c>
      <c r="CE5" t="str">
        <v>1.655402</v>
      </c>
      <c r="CF5" t="str">
        <v>0.574484</v>
      </c>
      <c r="CG5" t="str">
        <v>0.339473</v>
      </c>
      <c r="CH5" t="str">
        <v>0.019557</v>
      </c>
      <c r="CI5" t="str">
        <v>0.060642</v>
      </c>
      <c r="CJ5" t="str">
        <v>0.107401</v>
      </c>
      <c r="CK5" t="str">
        <v>78.312279</v>
      </c>
      <c r="CL5" t="str">
        <v>0.000237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PSF-00438_20251022074148_84b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2025-10-05T12:52:23.367Z</v>
      </c>
    </row>
    <row r="6">
      <c r="A6" t="str">
        <v>3</v>
      </c>
      <c r="B6" t="str">
        <v>07:42:52</v>
      </c>
      <c r="C6" t="str">
        <v>2025-10-22</v>
      </c>
      <c r="D6" t="str">
        <v>g34p_dark</v>
      </c>
      <c r="E6" t="str">
        <v>mrk</v>
      </c>
      <c r="F6" t="str">
        <v/>
      </c>
      <c r="G6" t="str">
        <v>144</v>
      </c>
      <c r="H6" t="str">
        <v>60147</v>
      </c>
      <c r="I6" t="str">
        <v/>
      </c>
      <c r="J6" t="str">
        <f>1/((1/L6)-(1/K6))</f>
        <v>0.141643</v>
      </c>
      <c r="K6" t="str">
        <f>BH6+(BI6*AN6)+(BJ6*AN6*POWER(V6,2))+(BK6*AN6*V6)+(BL6*POWER(AN6,2))</f>
        <v>2.920978</v>
      </c>
      <c r="L6" t="str">
        <f>((M6/1000)*(1000-((T6+S6)/2)))/(T6-S6)</f>
        <v>0.135092</v>
      </c>
      <c r="M6" t="str">
        <f>(AN6*(S6-R6))/(100*U6*(1000-S6))*1000</f>
        <v>2.020391</v>
      </c>
      <c r="N6" t="str">
        <v>1.415870</v>
      </c>
      <c r="O6" t="str">
        <v>1.364809</v>
      </c>
      <c r="P6" t="str">
        <f>0.61365*EXP((17.502*AL6)/(240.97+AL6))</f>
        <v>2.745828</v>
      </c>
      <c r="Q6" t="str">
        <f>P6-N6</f>
        <v>1.329957</v>
      </c>
      <c r="R6" t="str">
        <v>14.996626</v>
      </c>
      <c r="S6" t="str">
        <v>15.557691</v>
      </c>
      <c r="T6" t="str">
        <f>(P6/AM6)*1000</f>
        <v>30.171362</v>
      </c>
      <c r="U6" t="str">
        <f>V6*BG6</f>
        <v>0.441786</v>
      </c>
      <c r="V6" t="str">
        <v>7.500000</v>
      </c>
      <c r="W6" t="str">
        <v>PSF-00438_20251022074252_63e</v>
      </c>
      <c r="X6" t="str">
        <v>119.838951</v>
      </c>
      <c r="Y6" t="str">
        <v>560.787292</v>
      </c>
      <c r="Z6" t="str">
        <v>0.786302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0.042972</v>
      </c>
      <c r="AG6" t="str">
        <v>1.000000</v>
      </c>
      <c r="AH6" t="str">
        <v>61.51</v>
      </c>
      <c r="AI6" t="str">
        <v>59.29</v>
      </c>
      <c r="AJ6" t="str">
        <v>19.69</v>
      </c>
      <c r="AK6" t="str">
        <v>22.56</v>
      </c>
      <c r="AL6" t="str">
        <f>(AK6-AJ6)*(AJ6*0+0)+AK6</f>
        <v>22.56</v>
      </c>
      <c r="AM6" t="str">
        <v>91.01</v>
      </c>
      <c r="AN6" t="str">
        <v>156.6</v>
      </c>
      <c r="AO6" t="str">
        <v>158.8</v>
      </c>
      <c r="AP6" t="str">
        <v>-1.4</v>
      </c>
      <c r="AQ6" t="str">
        <v>0</v>
      </c>
      <c r="AR6" t="str">
        <v>4.112</v>
      </c>
      <c r="AS6" t="str">
        <v>07:40:03</v>
      </c>
      <c r="AT6" t="str">
        <v>2025-10-22</v>
      </c>
      <c r="AU6" t="str">
        <v>-0.19</v>
      </c>
      <c r="AV6" t="str">
        <v>1</v>
      </c>
      <c r="AW6" t="str">
        <v>-0.305</v>
      </c>
      <c r="AX6" t="str">
        <v>-2.189</v>
      </c>
      <c r="AY6" t="str">
        <v>-0.688</v>
      </c>
      <c r="AZ6" t="str">
        <v>102.384</v>
      </c>
      <c r="BA6" t="str">
        <v>50.762</v>
      </c>
      <c r="BB6" t="str">
        <v>24.987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6000</v>
      </c>
      <c r="BQ6" t="str">
        <v>5</v>
      </c>
      <c r="BR6" t="str">
        <v>5.000000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2.481063</v>
      </c>
      <c r="CD6" t="str">
        <v>2.498575</v>
      </c>
      <c r="CE6" t="str">
        <v>1.654736</v>
      </c>
      <c r="CF6" t="str">
        <v>0.943415</v>
      </c>
      <c r="CG6" t="str">
        <v>0.337363</v>
      </c>
      <c r="CH6" t="str">
        <v>0.032562</v>
      </c>
      <c r="CI6" t="str">
        <v>0.070192</v>
      </c>
      <c r="CJ6" t="str">
        <v>0.107424</v>
      </c>
      <c r="CK6" t="str">
        <v>119.838951</v>
      </c>
      <c r="CL6" t="str">
        <v>0.000236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PSF-00438_20251022074252_63e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2025-10-05T12:52:23.367Z</v>
      </c>
    </row>
    <row r="7">
      <c r="A7" t="str">
        <v>4</v>
      </c>
      <c r="B7" t="str">
        <v>07:43:26</v>
      </c>
      <c r="C7" t="str">
        <v>2025-10-22</v>
      </c>
      <c r="D7" t="str">
        <v>g34p_dark</v>
      </c>
      <c r="E7" t="str">
        <v>mrk</v>
      </c>
      <c r="F7" t="str">
        <v/>
      </c>
      <c r="G7" t="str">
        <v>55</v>
      </c>
      <c r="H7" t="str">
        <v>29560</v>
      </c>
      <c r="I7" t="str">
        <v/>
      </c>
      <c r="J7" t="str">
        <f>1/((1/L7)-(1/K7))</f>
        <v>0.055765</v>
      </c>
      <c r="K7" t="str">
        <f>BH7+(BI7*AN7)+(BJ7*AN7*POWER(V7,2))+(BK7*AN7*V7)+(BL7*POWER(AN7,2))</f>
        <v>2.921042</v>
      </c>
      <c r="L7" t="str">
        <f>((M7/1000)*(1000-((T7+S7)/2)))/(T7-S7)</f>
        <v>0.054720</v>
      </c>
      <c r="M7" t="str">
        <f>(AN7*(S7-R7))/(100*U7*(1000-S7))*1000</f>
        <v>0.570667</v>
      </c>
      <c r="N7" t="str">
        <v>1.405455</v>
      </c>
      <c r="O7" t="str">
        <v>1.391033</v>
      </c>
      <c r="P7" t="str">
        <f>0.61365*EXP((17.502*AL7)/(240.97+AL7))</f>
        <v>2.334987</v>
      </c>
      <c r="Q7" t="str">
        <f>P7-N7</f>
        <v>0.929532</v>
      </c>
      <c r="R7" t="str">
        <v>15.285868</v>
      </c>
      <c r="S7" t="str">
        <v>15.444352</v>
      </c>
      <c r="T7" t="str">
        <f>(P7/AM7)*1000</f>
        <v>25.658844</v>
      </c>
      <c r="U7" t="str">
        <f>V7*BG7</f>
        <v>0.441786</v>
      </c>
      <c r="V7" t="str">
        <v>7.500000</v>
      </c>
      <c r="W7" t="str">
        <v>PSF-00438_20251022074326_6c6</v>
      </c>
      <c r="X7" t="str">
        <v>114.667297</v>
      </c>
      <c r="Y7" t="str">
        <v>608.080383</v>
      </c>
      <c r="Z7" t="str">
        <v>0.811427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0.013635</v>
      </c>
      <c r="AG7" t="str">
        <v>1.000000</v>
      </c>
      <c r="AH7" t="str">
        <v>60.69</v>
      </c>
      <c r="AI7" t="str">
        <v>60.07</v>
      </c>
      <c r="AJ7" t="str">
        <v>19.79</v>
      </c>
      <c r="AK7" t="str">
        <v>19.92</v>
      </c>
      <c r="AL7" t="str">
        <f>(AK7-AJ7)*(AJ7*0+0)+AK7</f>
        <v>19.92</v>
      </c>
      <c r="AM7" t="str">
        <v>91.00</v>
      </c>
      <c r="AN7" t="str">
        <v>156.6</v>
      </c>
      <c r="AO7" t="str">
        <v>158.3</v>
      </c>
      <c r="AP7" t="str">
        <v>-1.1</v>
      </c>
      <c r="AQ7" t="str">
        <v>0</v>
      </c>
      <c r="AR7" t="str">
        <v>4.111</v>
      </c>
      <c r="AS7" t="str">
        <v>07:40:03</v>
      </c>
      <c r="AT7" t="str">
        <v>2025-10-22</v>
      </c>
      <c r="AU7" t="str">
        <v>-0.19</v>
      </c>
      <c r="AV7" t="str">
        <v>1</v>
      </c>
      <c r="AW7" t="str">
        <v>-0.026</v>
      </c>
      <c r="AX7" t="str">
        <v>-0.202</v>
      </c>
      <c r="AY7" t="str">
        <v>-9999.000</v>
      </c>
      <c r="AZ7" t="str">
        <v>0.011</v>
      </c>
      <c r="BA7" t="str">
        <v>1.471</v>
      </c>
      <c r="BB7" t="str">
        <v>-9999.000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6000</v>
      </c>
      <c r="BQ7" t="str">
        <v>5</v>
      </c>
      <c r="BR7" t="str">
        <v>5.000000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2.482059</v>
      </c>
      <c r="CD7" t="str">
        <v>2.497486</v>
      </c>
      <c r="CE7" t="str">
        <v>1.654803</v>
      </c>
      <c r="CF7" t="str">
        <v>0.942161</v>
      </c>
      <c r="CG7" t="str">
        <v>0.336073</v>
      </c>
      <c r="CH7" t="str">
        <v>0.002263</v>
      </c>
      <c r="CI7" t="str">
        <v>0.075183</v>
      </c>
      <c r="CJ7" t="str">
        <v>0.107339</v>
      </c>
      <c r="CK7" t="str">
        <v>114.667297</v>
      </c>
      <c r="CL7" t="str">
        <v>0.000235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PSF-00438_20251022074326_6c6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2025-10-05T12:52:23.367Z</v>
      </c>
    </row>
  </sheetData>
  <ignoredErrors>
    <ignoredError numberStoredAsText="1" sqref="A1:D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g34p_dark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