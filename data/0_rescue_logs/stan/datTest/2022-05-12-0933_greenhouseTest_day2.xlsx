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<sst xmlns="http://schemas.openxmlformats.org/spreadsheetml/2006/main" count="8141" uniqueCount="902">
  <si>
    <t>File opened</t>
  </si>
  <si>
    <t>2022-05-12 09:33:40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</si>
  <si>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</si>
  <si>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</si>
  <si>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</si>
  <si>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</si>
  <si>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</si>
  <si>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</si>
  <si>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</si>
  <si>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</si>
  <si>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</si>
  <si>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</si>
  <si>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</si>
  <si>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</si>
  <si>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</si>
  <si>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Wed May 11 11:06</t>
  </si>
  <si>
    <t>H2O rangematch</t>
  </si>
  <si>
    <t>Wed May 11 11:01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</si>
  <si>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</si>
  <si>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</si>
  <si>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</si>
  <si>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</si>
  <si>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</si>
  <si>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</si>
  <si>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</si>
  <si>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</si>
  <si>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</si>
  <si>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09:33:40</t>
  </si>
  <si>
    <t>Stability Definition:	ΔCO2 (Meas2): Per=20	ΔH2O (Meas2): Slp&lt;0.5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</si>
  <si>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</si>
  <si>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</si>
  <si>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</si>
  <si>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</si>
  <si>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</si>
  <si>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</si>
  <si>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</si>
  <si>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</si>
  <si>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</si>
  <si>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</si>
  <si>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</si>
  <si>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</si>
  <si>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</si>
  <si>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</si>
  <si>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</si>
  <si>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</si>
  <si>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</si>
  <si>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</si>
  <si>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</si>
  <si>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</si>
  <si>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</si>
  <si>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</si>
  <si>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</si>
  <si>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</si>
  <si>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</si>
  <si>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</si>
  <si>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</si>
  <si>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</si>
  <si>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</si>
  <si>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</si>
  <si>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</si>
  <si>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</si>
  <si>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</si>
  <si>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</si>
  <si>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</si>
  <si>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</si>
  <si>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</si>
  <si>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</si>
  <si>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</si>
  <si>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</si>
  <si>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</si>
  <si>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</si>
  <si>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</si>
  <si>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</si>
  <si>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</si>
  <si>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</si>
  <si>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</si>
  <si>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</si>
  <si>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</si>
  <si>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</si>
  <si>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</si>
  <si>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1.9473 74.8834 375.141 621.937 866.369 1070.81 1250.19 1418.02</t>
  </si>
  <si>
    <t>Fs_true</t>
  </si>
  <si>
    <t>0.251653 101.169 402.518 604.486 801.24 1002.77 1201.36 1402.25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</si>
  <si>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</si>
  <si>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</si>
  <si>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</si>
  <si>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</si>
  <si>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</si>
  <si>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</si>
  <si>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</si>
  <si>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</si>
  <si>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</si>
  <si>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</si>
  <si>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</si>
  <si>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</si>
  <si>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</si>
  <si>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</si>
  <si>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</si>
  <si>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</si>
  <si>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</si>
  <si>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</si>
  <si>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</si>
  <si>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</si>
  <si>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</si>
  <si>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</si>
  <si>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</si>
  <si>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</si>
  <si>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</si>
  <si>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</si>
  <si>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</si>
  <si>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</si>
  <si>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</si>
  <si>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</si>
  <si>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</si>
  <si>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</si>
  <si>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</si>
  <si>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</si>
  <si>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</si>
  <si>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</si>
  <si>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</si>
  <si>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</si>
  <si>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</si>
  <si>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</si>
  <si>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</si>
  <si>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</si>
  <si>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</si>
  <si>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</si>
  <si>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</si>
  <si>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</si>
  <si>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</si>
  <si>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</si>
  <si>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</si>
  <si>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</si>
  <si>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</si>
  <si>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</si>
  <si>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</si>
  <si>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</si>
  <si>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</si>
  <si>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</si>
  <si>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</si>
  <si>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</si>
  <si>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</si>
  <si>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</si>
  <si>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</si>
  <si>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</si>
  <si>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</si>
  <si>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</si>
  <si>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</si>
  <si>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</si>
  <si>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</si>
  <si>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</si>
  <si>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</si>
  <si>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</si>
  <si>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</si>
  <si>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</si>
  <si>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</si>
  <si>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</si>
  <si>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</si>
  <si>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</si>
  <si>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</si>
  <si>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</si>
  <si>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</si>
  <si>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</si>
  <si>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</si>
  <si>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</si>
  <si>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</si>
  <si>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</si>
  <si>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</si>
  <si>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</si>
  <si>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</si>
  <si>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</si>
  <si>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</si>
  <si>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</si>
  <si>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</si>
  <si>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</si>
  <si>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</si>
  <si>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</si>
  <si>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</si>
  <si>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</si>
  <si>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</si>
  <si>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</si>
  <si>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</si>
  <si>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</si>
  <si>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</si>
  <si>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</si>
  <si>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</si>
  <si>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</si>
  <si>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</si>
  <si>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</si>
  <si>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</si>
  <si>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</si>
  <si>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</si>
  <si>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</si>
  <si>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</si>
  <si>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</si>
  <si>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</si>
  <si>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</si>
  <si>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</si>
  <si>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</si>
  <si>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</si>
  <si>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</si>
  <si>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</si>
  <si>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</si>
  <si>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</si>
  <si>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</si>
  <si>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</si>
  <si>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</si>
  <si>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</si>
  <si>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</si>
  <si>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</si>
  <si>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</si>
  <si>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</si>
  <si>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</si>
  <si>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</si>
  <si>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</si>
  <si>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</si>
  <si>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</si>
  <si>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</si>
  <si>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</si>
  <si>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</si>
  <si>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</si>
  <si>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</si>
  <si>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</si>
  <si>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</si>
  <si>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</si>
  <si>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</si>
  <si>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</si>
  <si>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</si>
  <si>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</si>
  <si>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</si>
  <si>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</si>
  <si>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</si>
  <si>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</si>
  <si>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</si>
  <si>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</si>
  <si>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</si>
  <si>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</si>
  <si>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</si>
  <si>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</si>
  <si>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</si>
  <si>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</si>
  <si>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</si>
  <si>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</si>
  <si>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</si>
  <si>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</si>
  <si>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</si>
  <si>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</si>
  <si>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</si>
  <si>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</si>
  <si>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</si>
  <si>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</si>
  <si>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</si>
  <si>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</si>
  <si>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</si>
  <si>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</si>
  <si>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</si>
  <si>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</si>
  <si>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</si>
  <si>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</si>
  <si>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</si>
  <si>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</si>
  <si>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</si>
  <si>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</si>
  <si>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</si>
  <si>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</si>
  <si>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</si>
  <si>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</si>
  <si>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</si>
  <si>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</si>
  <si>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</si>
  <si>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</si>
  <si>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</si>
  <si>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</si>
  <si>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</si>
  <si>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</si>
  <si>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</si>
  <si>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</si>
  <si>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</si>
  <si>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</si>
  <si>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</si>
  <si>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</si>
  <si>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</si>
  <si>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</si>
  <si>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</si>
  <si>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</si>
  <si>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</si>
  <si>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</si>
  <si>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</si>
  <si>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</si>
  <si>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</si>
  <si>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</si>
  <si>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</si>
  <si>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</si>
  <si>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</si>
  <si>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</si>
  <si>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</si>
  <si>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</si>
  <si>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</si>
  <si>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</si>
  <si>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</si>
  <si>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</si>
  <si>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</si>
  <si>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</si>
  <si>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</si>
  <si>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</si>
  <si>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</si>
  <si>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</si>
  <si>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</si>
  <si>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</si>
  <si>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</si>
  <si>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</si>
  <si>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</si>
  <si>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</si>
  <si>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</si>
  <si>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</si>
  <si>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</si>
  <si>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</si>
  <si>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</si>
  <si>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</si>
  <si>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</si>
  <si>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</si>
  <si>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</si>
  <si>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</si>
  <si>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</si>
  <si>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</si>
  <si>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</si>
  <si>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</si>
  <si>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</si>
  <si>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</si>
  <si>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</si>
  <si>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</si>
  <si>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</si>
  <si>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</si>
  <si>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</si>
  <si>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</si>
  <si>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</si>
  <si>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</si>
  <si>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</si>
  <si>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</si>
  <si>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</si>
  <si>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</si>
  <si>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</si>
  <si>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</si>
  <si>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</si>
  <si>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</si>
  <si>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</si>
  <si>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</si>
  <si>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</si>
  <si>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</si>
  <si>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</si>
  <si>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</si>
  <si>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</si>
  <si>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</si>
  <si>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</si>
  <si>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</si>
  <si>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</si>
  <si>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</si>
  <si>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</si>
  <si>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</si>
  <si>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</si>
  <si>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</si>
  <si>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</si>
  <si>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</si>
  <si>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</si>
  <si>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</si>
  <si>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</si>
  <si>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</si>
  <si>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</si>
  <si>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</si>
  <si>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</si>
  <si>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</si>
  <si>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</si>
  <si>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</si>
  <si>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</si>
  <si>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</si>
  <si>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</si>
  <si>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</si>
  <si>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</si>
  <si>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</si>
  <si>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</si>
  <si>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</si>
  <si>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</si>
  <si>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</si>
  <si>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</si>
  <si>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</si>
  <si>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</si>
  <si>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</si>
  <si>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</si>
  <si>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</si>
  <si>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</si>
  <si>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</si>
  <si>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</si>
  <si>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</si>
  <si>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</si>
  <si>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</si>
  <si>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</si>
  <si>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</si>
  <si>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</si>
  <si>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</si>
  <si>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</si>
  <si>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</si>
  <si>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</si>
  <si>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</si>
  <si>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</si>
  <si>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</si>
  <si>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</si>
  <si>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</si>
  <si>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</si>
  <si>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</si>
  <si>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</si>
  <si>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</si>
  <si>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20220512 10:08:13</t>
  </si>
  <si>
    <t>10:08:13</t>
  </si>
  <si>
    <t>soy4_steady</t>
  </si>
  <si>
    <t>stan</t>
  </si>
  <si>
    <t>RECT-1216-20220504-15_55_11</t>
  </si>
  <si>
    <t>MPF-1372-20220512-10_07_53</t>
  </si>
  <si>
    <t>-</t>
  </si>
  <si>
    <t>0: Broadleaf</t>
  </si>
  <si>
    <t>10:08:54</t>
  </si>
  <si>
    <t>1/1</t>
  </si>
  <si>
    <t>00000000</t>
  </si>
  <si>
    <t>iiiiiiii</t>
  </si>
  <si>
    <t>off</t>
  </si>
  <si>
    <t>20220512 10:09:57</t>
  </si>
  <si>
    <t>10:09:57</t>
  </si>
  <si>
    <t>MPF-1373-20220512-10_09_36</t>
  </si>
  <si>
    <t>10:10:37</t>
  </si>
  <si>
    <t>20220512 10:12:08</t>
  </si>
  <si>
    <t>10:12:08</t>
  </si>
  <si>
    <t>MPF-1374-20220512-10_11_48</t>
  </si>
  <si>
    <t>10:12:49</t>
  </si>
  <si>
    <t>0/1</t>
  </si>
  <si>
    <t>20220512 10:14:15</t>
  </si>
  <si>
    <t>10:14:15</t>
  </si>
  <si>
    <t>MPF-1375-20220512-10_13_54</t>
  </si>
  <si>
    <t>10:14:55</t>
  </si>
  <si>
    <t>20220512 10:15:57</t>
  </si>
  <si>
    <t>10:15:57</t>
  </si>
  <si>
    <t>MPF-1376-20220512-10_15_36</t>
  </si>
  <si>
    <t>10:16:31</t>
  </si>
  <si>
    <t>20220512 10:18:02</t>
  </si>
  <si>
    <t>10:18:02</t>
  </si>
  <si>
    <t>MPF-1377-20220512-10_17_41</t>
  </si>
  <si>
    <t>10:18:42</t>
  </si>
  <si>
    <t>20220512 10:20:13</t>
  </si>
  <si>
    <t>10:20:13</t>
  </si>
  <si>
    <t>MPF-1378-20220512-10_19_53</t>
  </si>
  <si>
    <t>10:20:48</t>
  </si>
  <si>
    <t>20220512 10:22:19</t>
  </si>
  <si>
    <t>10:22:19</t>
  </si>
  <si>
    <t>MPF-1379-20220512-10_21_59</t>
  </si>
  <si>
    <t>10:22:46</t>
  </si>
  <si>
    <t>20220512 10:24:17</t>
  </si>
  <si>
    <t>10:24:17</t>
  </si>
  <si>
    <t>MPF-1380-20220512-10_23_57</t>
  </si>
  <si>
    <t>10:24:50</t>
  </si>
  <si>
    <t>20220512 10:26:20</t>
  </si>
  <si>
    <t>10:26:20</t>
  </si>
  <si>
    <t>MPF-1381-20220512-10_26_00</t>
  </si>
  <si>
    <t>10:27:01</t>
  </si>
  <si>
    <t>20220512 10:28:15</t>
  </si>
  <si>
    <t>10:28:15</t>
  </si>
  <si>
    <t>MPF-1382-20220512-10_27_55</t>
  </si>
  <si>
    <t>10:28:43</t>
  </si>
  <si>
    <t>20220512 10:29:50</t>
  </si>
  <si>
    <t>10:29:50</t>
  </si>
  <si>
    <t>MPF-1383-20220512-10_29_30</t>
  </si>
  <si>
    <t>10:30:22</t>
  </si>
  <si>
    <t>20220512 10:40:49</t>
  </si>
  <si>
    <t>10:40:49</t>
  </si>
  <si>
    <t>soy5_steady</t>
  </si>
  <si>
    <t>MPF-1384-20220512-10_40_28</t>
  </si>
  <si>
    <t>10:41:29</t>
  </si>
  <si>
    <t>20220512 10:43:00</t>
  </si>
  <si>
    <t>10:43:00</t>
  </si>
  <si>
    <t>MPF-1385-20220512-10_42_40</t>
  </si>
  <si>
    <t>10:43:30</t>
  </si>
  <si>
    <t>20220512 10:44:31</t>
  </si>
  <si>
    <t>10:44:31</t>
  </si>
  <si>
    <t>10:45:02</t>
  </si>
  <si>
    <t>20220512 10:46:03</t>
  </si>
  <si>
    <t>10:46:03</t>
  </si>
  <si>
    <t>MPF-1386-20220512-10_45_43</t>
  </si>
  <si>
    <t>10:46:38</t>
  </si>
  <si>
    <t>20220512 10:47:55</t>
  </si>
  <si>
    <t>10:47:55</t>
  </si>
  <si>
    <t>MPF-1387-20220512-10_47_35</t>
  </si>
  <si>
    <t>10:48:36</t>
  </si>
  <si>
    <t>20220512 10:50:07</t>
  </si>
  <si>
    <t>10:50:07</t>
  </si>
  <si>
    <t>MPF-1388-20220512-10_49_46</t>
  </si>
  <si>
    <t>10:50:45</t>
  </si>
  <si>
    <t>20220512 10:51:46</t>
  </si>
  <si>
    <t>10:51:46</t>
  </si>
  <si>
    <t>MPF-1389-20220512-10_51_26</t>
  </si>
  <si>
    <t>10:52:23</t>
  </si>
  <si>
    <t>20220512 10:53:37</t>
  </si>
  <si>
    <t>10:53:37</t>
  </si>
  <si>
    <t>MPF-1390-20220512-10_53_17</t>
  </si>
  <si>
    <t>10:54:16</t>
  </si>
  <si>
    <t>20220512 10:55:47</t>
  </si>
  <si>
    <t>10:55:47</t>
  </si>
  <si>
    <t>MPF-1391-20220512-10_55_26</t>
  </si>
  <si>
    <t>10:56:19</t>
  </si>
  <si>
    <t>20220512 10:57:50</t>
  </si>
  <si>
    <t>10:57:50</t>
  </si>
  <si>
    <t>MPF-1392-20220512-10_57_29</t>
  </si>
  <si>
    <t>10:58:22</t>
  </si>
  <si>
    <t>20220512 10:59:25</t>
  </si>
  <si>
    <t>10:59:25</t>
  </si>
  <si>
    <t>MPF-1393-20220512-10_59_05</t>
  </si>
  <si>
    <t>10:59:48</t>
  </si>
  <si>
    <t>20220512 11:00:49</t>
  </si>
  <si>
    <t>11:00:49</t>
  </si>
  <si>
    <t>11:01:29</t>
  </si>
  <si>
    <t>20220512 11:06:15</t>
  </si>
  <si>
    <t>11:06:15</t>
  </si>
  <si>
    <t>soy4_datSplit</t>
  </si>
  <si>
    <t>20220512 11:06:20</t>
  </si>
  <si>
    <t>11:06:20</t>
  </si>
  <si>
    <t>20220512 11:06:25</t>
  </si>
  <si>
    <t>11:06:25</t>
  </si>
  <si>
    <t>20220512 11:06:30</t>
  </si>
  <si>
    <t>11:06:30</t>
  </si>
  <si>
    <t>20220512 11:06:35</t>
  </si>
  <si>
    <t>11:06:35</t>
  </si>
  <si>
    <t>20220512 11:06:40</t>
  </si>
  <si>
    <t>11:06:40</t>
  </si>
  <si>
    <t>20220512 11:06:45</t>
  </si>
  <si>
    <t>11:06:45</t>
  </si>
  <si>
    <t>20220512 11:06:50</t>
  </si>
  <si>
    <t>11:06:50</t>
  </si>
  <si>
    <t>20220512 11:06:55</t>
  </si>
  <si>
    <t>11:06:55</t>
  </si>
  <si>
    <t>20220512 11:07:00</t>
  </si>
  <si>
    <t>11:07:00</t>
  </si>
  <si>
    <t>20220512 11:07:05</t>
  </si>
  <si>
    <t>11:07:05</t>
  </si>
  <si>
    <t>20220512 11:07:10</t>
  </si>
  <si>
    <t>11:07:10</t>
  </si>
  <si>
    <t>20220512 11:07:15</t>
  </si>
  <si>
    <t>11:07:15</t>
  </si>
  <si>
    <t>20220512 11:07:20</t>
  </si>
  <si>
    <t>11:07:20</t>
  </si>
  <si>
    <t>20220512 11:07:25</t>
  </si>
  <si>
    <t>11:07:25</t>
  </si>
  <si>
    <t>20220512 11:07:30</t>
  </si>
  <si>
    <t>11:07:30</t>
  </si>
  <si>
    <t>20220512 11:07:35</t>
  </si>
  <si>
    <t>11:07:35</t>
  </si>
  <si>
    <t>20220512 11:07:40</t>
  </si>
  <si>
    <t>11:07:40</t>
  </si>
  <si>
    <t>20220512 11:07:45</t>
  </si>
  <si>
    <t>11:07:45</t>
  </si>
  <si>
    <t>20220512 11:07:50</t>
  </si>
  <si>
    <t>11:07:50</t>
  </si>
  <si>
    <t>20220512 11:07:55</t>
  </si>
  <si>
    <t>11:07:55</t>
  </si>
  <si>
    <t>20220512 11:08:00</t>
  </si>
  <si>
    <t>11:08:00</t>
  </si>
  <si>
    <t>20220512 11:08:05</t>
  </si>
  <si>
    <t>11:08:05</t>
  </si>
  <si>
    <t>20220512 11:08:10</t>
  </si>
  <si>
    <t>11:08:10</t>
  </si>
  <si>
    <t>20220512 11:08:47</t>
  </si>
  <si>
    <t>11:08:47</t>
  </si>
  <si>
    <t>20220512 11:08:52</t>
  </si>
  <si>
    <t>11:08:52</t>
  </si>
  <si>
    <t>20220512 11:08:57</t>
  </si>
  <si>
    <t>11:08:57</t>
  </si>
  <si>
    <t>20220512 11:09:02</t>
  </si>
  <si>
    <t>11:09:02</t>
  </si>
  <si>
    <t>20220512 11:09:07</t>
  </si>
  <si>
    <t>11:09:07</t>
  </si>
  <si>
    <t>20220512 11:09:12</t>
  </si>
  <si>
    <t>11:09:12</t>
  </si>
  <si>
    <t>20220512 11:09:17</t>
  </si>
  <si>
    <t>11:09:17</t>
  </si>
  <si>
    <t>20220512 11:09:22</t>
  </si>
  <si>
    <t>11:09:22</t>
  </si>
  <si>
    <t>20220512 11:09:27</t>
  </si>
  <si>
    <t>11:09:27</t>
  </si>
  <si>
    <t>20220512 11:09:32</t>
  </si>
  <si>
    <t>11:09:32</t>
  </si>
  <si>
    <t>20220512 11:09:37</t>
  </si>
  <si>
    <t>11:09:37</t>
  </si>
  <si>
    <t>20220512 11:09:42</t>
  </si>
  <si>
    <t>11:09:42</t>
  </si>
  <si>
    <t>20220512 11:09:47</t>
  </si>
  <si>
    <t>11:09:47</t>
  </si>
  <si>
    <t>20220512 11:09:52</t>
  </si>
  <si>
    <t>11:09:52</t>
  </si>
  <si>
    <t>20220512 11:09:57</t>
  </si>
  <si>
    <t>11:09:57</t>
  </si>
  <si>
    <t>20220512 11:10:02</t>
  </si>
  <si>
    <t>11:10:02</t>
  </si>
  <si>
    <t>20220512 11:10:07</t>
  </si>
  <si>
    <t>11:10:07</t>
  </si>
  <si>
    <t>20220512 11:10:12</t>
  </si>
  <si>
    <t>11:10:12</t>
  </si>
  <si>
    <t>20220512 11:10:17</t>
  </si>
  <si>
    <t>11:10:17</t>
  </si>
  <si>
    <t>20220512 11:10:21</t>
  </si>
  <si>
    <t>11:10:21</t>
  </si>
  <si>
    <t>20220512 11:10:26</t>
  </si>
  <si>
    <t>11:10:26</t>
  </si>
  <si>
    <t>20220512 11:10:31</t>
  </si>
  <si>
    <t>11:10:31</t>
  </si>
  <si>
    <t>20220512 11:10:36</t>
  </si>
  <si>
    <t>11:10:36</t>
  </si>
  <si>
    <t>20220512 11:10:41</t>
  </si>
  <si>
    <t>11:10:41</t>
  </si>
  <si>
    <t>20220512 11:10:46</t>
  </si>
  <si>
    <t>11:10:46</t>
  </si>
  <si>
    <t>20220512 11:10:51</t>
  </si>
  <si>
    <t>11:10:51</t>
  </si>
  <si>
    <t>20220512 11:10:56</t>
  </si>
  <si>
    <t>11:10:56</t>
  </si>
  <si>
    <t>20220512 11:11:01</t>
  </si>
  <si>
    <t>11:11:01</t>
  </si>
  <si>
    <t>20220512 11:11:06</t>
  </si>
  <si>
    <t>11:11:06</t>
  </si>
  <si>
    <t>20220512 11:11:11</t>
  </si>
  <si>
    <t>11:11:11</t>
  </si>
  <si>
    <t>20220512 11:11:16</t>
  </si>
  <si>
    <t>11:11:16</t>
  </si>
  <si>
    <t>20220512 11:11:21</t>
  </si>
  <si>
    <t>11:11:21</t>
  </si>
  <si>
    <t>20220512 11:11:26</t>
  </si>
  <si>
    <t>11:11:26</t>
  </si>
  <si>
    <t>20220512 11:11:31</t>
  </si>
  <si>
    <t>11:11:31</t>
  </si>
  <si>
    <t>20220512 11:11:36</t>
  </si>
  <si>
    <t>11:11:36</t>
  </si>
  <si>
    <t>20220512 11:11:41</t>
  </si>
  <si>
    <t>11:11:41</t>
  </si>
  <si>
    <t>20220512 11:11:46</t>
  </si>
  <si>
    <t>11:11:46</t>
  </si>
  <si>
    <t>20220512 11:11:51</t>
  </si>
  <si>
    <t>11:11:51</t>
  </si>
  <si>
    <t>20220512 11:11:56</t>
  </si>
  <si>
    <t>11:11:56</t>
  </si>
  <si>
    <t>20220512 11:12:01</t>
  </si>
  <si>
    <t>11:12:01</t>
  </si>
  <si>
    <t>20220512 11:12:06</t>
  </si>
  <si>
    <t>11:12:06</t>
  </si>
  <si>
    <t>20220512 11:12:11</t>
  </si>
  <si>
    <t>11:12:11</t>
  </si>
  <si>
    <t>20220512 11:12:16</t>
  </si>
  <si>
    <t>11:12:16</t>
  </si>
  <si>
    <t>20220512 11:12:21</t>
  </si>
  <si>
    <t>11:12:21</t>
  </si>
  <si>
    <t>20220512 11:12:26</t>
  </si>
  <si>
    <t>11:12:26</t>
  </si>
  <si>
    <t>20220512 11:12:31</t>
  </si>
  <si>
    <t>11:12:31</t>
  </si>
  <si>
    <t>20220512 11:12:36</t>
  </si>
  <si>
    <t>11:12:36</t>
  </si>
  <si>
    <t>20220512 11:12:41</t>
  </si>
  <si>
    <t>11:12:41</t>
  </si>
  <si>
    <t>20220512 11:12:46</t>
  </si>
  <si>
    <t>11:12:46</t>
  </si>
  <si>
    <t>20220512 11:12:51</t>
  </si>
  <si>
    <t>11:12:51</t>
  </si>
  <si>
    <t>20220512 11:12:56</t>
  </si>
  <si>
    <t>11:12:56</t>
  </si>
  <si>
    <t>20220512 11:13:01</t>
  </si>
  <si>
    <t>11:13:01</t>
  </si>
  <si>
    <t>20220512 11:13:06</t>
  </si>
  <si>
    <t>11:13:06</t>
  </si>
  <si>
    <t>20220512 11:13:11</t>
  </si>
  <si>
    <t>11:13:11</t>
  </si>
  <si>
    <t>20220512 11:13:16</t>
  </si>
  <si>
    <t>11:13:16</t>
  </si>
  <si>
    <t>20220512 11:13:21</t>
  </si>
  <si>
    <t>11:13:21</t>
  </si>
  <si>
    <t>20220512 11:13:26</t>
  </si>
  <si>
    <t>11:13:26</t>
  </si>
  <si>
    <t>20220512 11:13:31</t>
  </si>
  <si>
    <t>11:13:31</t>
  </si>
  <si>
    <t>20220512 11:13:36</t>
  </si>
  <si>
    <t>11:13:36</t>
  </si>
  <si>
    <t>20220512 11:13:41</t>
  </si>
  <si>
    <t>11:13:41</t>
  </si>
  <si>
    <t>20220512 11:13:46</t>
  </si>
  <si>
    <t>11:13:46</t>
  </si>
  <si>
    <t>20220512 11:13:51</t>
  </si>
  <si>
    <t>11:13:51</t>
  </si>
  <si>
    <t>20220512 11:13:56</t>
  </si>
  <si>
    <t>11:13:56</t>
  </si>
  <si>
    <t>20220512 11:14:01</t>
  </si>
  <si>
    <t>11:14:01</t>
  </si>
  <si>
    <t>20220512 11:14:06</t>
  </si>
  <si>
    <t>11:14:06</t>
  </si>
  <si>
    <t>20220512 11:14:11</t>
  </si>
  <si>
    <t>11:14:11</t>
  </si>
  <si>
    <t>20220512 11:14:16</t>
  </si>
  <si>
    <t>11:14:16</t>
  </si>
  <si>
    <t>20220512 11:14:21</t>
  </si>
  <si>
    <t>11:14:21</t>
  </si>
  <si>
    <t>20220512 11:14:26</t>
  </si>
  <si>
    <t>11:14:26</t>
  </si>
  <si>
    <t>20220512 11:14:31</t>
  </si>
  <si>
    <t>11:14:31</t>
  </si>
  <si>
    <t>20220512 11:14:36</t>
  </si>
  <si>
    <t>11:14:36</t>
  </si>
  <si>
    <t>20220512 11:14:41</t>
  </si>
  <si>
    <t>11:14:41</t>
  </si>
  <si>
    <t>20220512 11:19:02</t>
  </si>
  <si>
    <t>11:19:02</t>
  </si>
  <si>
    <t>soy5_datSplit</t>
  </si>
  <si>
    <t>20220512 11:19:07</t>
  </si>
  <si>
    <t>11:19:07</t>
  </si>
  <si>
    <t>20220512 11:19:12</t>
  </si>
  <si>
    <t>11:19:12</t>
  </si>
  <si>
    <t>20220512 11:19:17</t>
  </si>
  <si>
    <t>11:19:17</t>
  </si>
  <si>
    <t>20220512 11:19:22</t>
  </si>
  <si>
    <t>11:19:22</t>
  </si>
  <si>
    <t>20220512 11:19:27</t>
  </si>
  <si>
    <t>11:19:27</t>
  </si>
  <si>
    <t>20220512 11:19:32</t>
  </si>
  <si>
    <t>11:19:32</t>
  </si>
  <si>
    <t>20220512 11:19:37</t>
  </si>
  <si>
    <t>11:19:37</t>
  </si>
  <si>
    <t>20220512 11:19:42</t>
  </si>
  <si>
    <t>11:19:42</t>
  </si>
  <si>
    <t>20220512 11:19:47</t>
  </si>
  <si>
    <t>11:19:47</t>
  </si>
  <si>
    <t>20220512 11:19:52</t>
  </si>
  <si>
    <t>11:19:52</t>
  </si>
  <si>
    <t>20220512 11:19:57</t>
  </si>
  <si>
    <t>11:19:57</t>
  </si>
  <si>
    <t>20220512 11:20:02</t>
  </si>
  <si>
    <t>11:20:02</t>
  </si>
  <si>
    <t>20220512 11:20:07</t>
  </si>
  <si>
    <t>11:20:07</t>
  </si>
  <si>
    <t>20220512 11:20:12</t>
  </si>
  <si>
    <t>11:20:12</t>
  </si>
  <si>
    <t>20220512 11:20:17</t>
  </si>
  <si>
    <t>11:20:17</t>
  </si>
  <si>
    <t>20220512 11:20:22</t>
  </si>
  <si>
    <t>11:20:22</t>
  </si>
  <si>
    <t>20220512 11:20:27</t>
  </si>
  <si>
    <t>11:20:27</t>
  </si>
  <si>
    <t>20220512 11:20:32</t>
  </si>
  <si>
    <t>11:20:32</t>
  </si>
  <si>
    <t>20220512 11:20:37</t>
  </si>
  <si>
    <t>11:20:37</t>
  </si>
  <si>
    <t>20220512 11:20:42</t>
  </si>
  <si>
    <t>11:20:42</t>
  </si>
  <si>
    <t>20220512 11:20:47</t>
  </si>
  <si>
    <t>11:20:47</t>
  </si>
  <si>
    <t>20220512 11:20:52</t>
  </si>
  <si>
    <t>11:20:52</t>
  </si>
  <si>
    <t>20220512 11:20:57</t>
  </si>
  <si>
    <t>11:20:57</t>
  </si>
  <si>
    <t>20220512 11:21:34</t>
  </si>
  <si>
    <t>11:21:34</t>
  </si>
  <si>
    <t>20220512 11:21:39</t>
  </si>
  <si>
    <t>11:21:39</t>
  </si>
  <si>
    <t>20220512 11:21:44</t>
  </si>
  <si>
    <t>11:21:44</t>
  </si>
  <si>
    <t>20220512 11:21:49</t>
  </si>
  <si>
    <t>11:21:49</t>
  </si>
  <si>
    <t>20220512 11:21:54</t>
  </si>
  <si>
    <t>11:21:54</t>
  </si>
  <si>
    <t>20220512 11:21:59</t>
  </si>
  <si>
    <t>11:21:59</t>
  </si>
  <si>
    <t>20220512 11:22:04</t>
  </si>
  <si>
    <t>11:22:04</t>
  </si>
  <si>
    <t>20220512 11:22:09</t>
  </si>
  <si>
    <t>11:22:09</t>
  </si>
  <si>
    <t>20220512 11:22:14</t>
  </si>
  <si>
    <t>11:22:14</t>
  </si>
  <si>
    <t>20220512 11:22:19</t>
  </si>
  <si>
    <t>11:22:19</t>
  </si>
  <si>
    <t>20220512 11:22:24</t>
  </si>
  <si>
    <t>11:22:24</t>
  </si>
  <si>
    <t>20220512 11:22:29</t>
  </si>
  <si>
    <t>11:22:29</t>
  </si>
  <si>
    <t>20220512 11:22:34</t>
  </si>
  <si>
    <t>11:22:34</t>
  </si>
  <si>
    <t>20220512 11:22:39</t>
  </si>
  <si>
    <t>11:22:39</t>
  </si>
  <si>
    <t>20220512 11:22:44</t>
  </si>
  <si>
    <t>11:22:44</t>
  </si>
  <si>
    <t>20220512 11:22:49</t>
  </si>
  <si>
    <t>11:22:49</t>
  </si>
  <si>
    <t>20220512 11:22:54</t>
  </si>
  <si>
    <t>11:22:54</t>
  </si>
  <si>
    <t>20220512 11:22:59</t>
  </si>
  <si>
    <t>11:22:59</t>
  </si>
  <si>
    <t>20220512 11:23:04</t>
  </si>
  <si>
    <t>11:23:04</t>
  </si>
  <si>
    <t>20220512 11:23:09</t>
  </si>
  <si>
    <t>11:23:09</t>
  </si>
  <si>
    <t>20220512 11:23:14</t>
  </si>
  <si>
    <t>11:23:14</t>
  </si>
  <si>
    <t>20220512 11:23:19</t>
  </si>
  <si>
    <t>11:23:19</t>
  </si>
  <si>
    <t>20220512 11:23:24</t>
  </si>
  <si>
    <t>11:23:24</t>
  </si>
  <si>
    <t>20220512 11:23:29</t>
  </si>
  <si>
    <t>11:23:29</t>
  </si>
  <si>
    <t>20220512 11:23:34</t>
  </si>
  <si>
    <t>11:23:34</t>
  </si>
  <si>
    <t>20220512 11:23:39</t>
  </si>
  <si>
    <t>11:23:39</t>
  </si>
  <si>
    <t>20220512 11:23:44</t>
  </si>
  <si>
    <t>11:23:44</t>
  </si>
  <si>
    <t>20220512 11:23:49</t>
  </si>
  <si>
    <t>11:23:49</t>
  </si>
  <si>
    <t>20220512 11:23:54</t>
  </si>
  <si>
    <t>11:23:54</t>
  </si>
  <si>
    <t>20220512 11:23:59</t>
  </si>
  <si>
    <t>11:23:59</t>
  </si>
  <si>
    <t>20220512 11:24:04</t>
  </si>
  <si>
    <t>11:24:04</t>
  </si>
  <si>
    <t>20220512 11:24:09</t>
  </si>
  <si>
    <t>11:24:09</t>
  </si>
  <si>
    <t>20220512 11:24:14</t>
  </si>
  <si>
    <t>11:24:14</t>
  </si>
  <si>
    <t>20220512 11:24:19</t>
  </si>
  <si>
    <t>11:24:19</t>
  </si>
  <si>
    <t>20220512 11:24:24</t>
  </si>
  <si>
    <t>11:24:24</t>
  </si>
  <si>
    <t>20220512 11:24:29</t>
  </si>
  <si>
    <t>11:24:29</t>
  </si>
  <si>
    <t>20220512 11:24:34</t>
  </si>
  <si>
    <t>11:24:34</t>
  </si>
  <si>
    <t>20220512 11:24:38</t>
  </si>
  <si>
    <t>11:24:38</t>
  </si>
  <si>
    <t>20220512 11:24:44</t>
  </si>
  <si>
    <t>11:24:44</t>
  </si>
  <si>
    <t>20220512 11:24:48</t>
  </si>
  <si>
    <t>11:24:48</t>
  </si>
  <si>
    <t>20220512 11:24:54</t>
  </si>
  <si>
    <t>11:24:54</t>
  </si>
  <si>
    <t>20220512 11:24:58</t>
  </si>
  <si>
    <t>11:24:58</t>
  </si>
  <si>
    <t>20220512 11:25:04</t>
  </si>
  <si>
    <t>11:25:04</t>
  </si>
  <si>
    <t>20220512 11:25:08</t>
  </si>
  <si>
    <t>11:25:08</t>
  </si>
  <si>
    <t>20220512 11:25:14</t>
  </si>
  <si>
    <t>11:25:14</t>
  </si>
  <si>
    <t>20220512 11:25:18</t>
  </si>
  <si>
    <t>11:25:18</t>
  </si>
  <si>
    <t>20220512 11:25:24</t>
  </si>
  <si>
    <t>11:25:24</t>
  </si>
  <si>
    <t>20220512 11:25:28</t>
  </si>
  <si>
    <t>11:25:28</t>
  </si>
  <si>
    <t>20220512 11:25:34</t>
  </si>
  <si>
    <t>11:25:34</t>
  </si>
  <si>
    <t>20220512 11:25:38</t>
  </si>
  <si>
    <t>11:25:38</t>
  </si>
  <si>
    <t>20220512 11:25:44</t>
  </si>
  <si>
    <t>11:25:44</t>
  </si>
  <si>
    <t>20220512 11:25:49</t>
  </si>
  <si>
    <t>11:25:49</t>
  </si>
  <si>
    <t>20220512 11:25:54</t>
  </si>
  <si>
    <t>11:25:54</t>
  </si>
  <si>
    <t>20220512 11:25:59</t>
  </si>
  <si>
    <t>11:25:59</t>
  </si>
  <si>
    <t>20220512 11:26:04</t>
  </si>
  <si>
    <t>11:26:04</t>
  </si>
  <si>
    <t>20220512 11:26:09</t>
  </si>
  <si>
    <t>11:26:09</t>
  </si>
  <si>
    <t>20220512 11:26:14</t>
  </si>
  <si>
    <t>11:26:14</t>
  </si>
  <si>
    <t>20220512 11:26:19</t>
  </si>
  <si>
    <t>11:26:19</t>
  </si>
  <si>
    <t>20220512 11:26:23</t>
  </si>
  <si>
    <t>11:26:23</t>
  </si>
  <si>
    <t>20220512 11:26:29</t>
  </si>
  <si>
    <t>11:26:29</t>
  </si>
  <si>
    <t>20220512 11:26:34</t>
  </si>
  <si>
    <t>11:26:34</t>
  </si>
  <si>
    <t>20220512 11:26:38</t>
  </si>
  <si>
    <t>11:26:38</t>
  </si>
  <si>
    <t>20220512 11:26:43</t>
  </si>
  <si>
    <t>11:26:43</t>
  </si>
  <si>
    <t>20220512 11:26:48</t>
  </si>
  <si>
    <t>11:26:48</t>
  </si>
  <si>
    <t>20220512 11:26:53</t>
  </si>
  <si>
    <t>11:26:53</t>
  </si>
  <si>
    <t>20220512 11:26:58</t>
  </si>
  <si>
    <t>11:26:58</t>
  </si>
  <si>
    <t>20220512 11:27:03</t>
  </si>
  <si>
    <t>11:27:03</t>
  </si>
  <si>
    <t>20220512 11:27:08</t>
  </si>
  <si>
    <t>11:27:08</t>
  </si>
  <si>
    <t>20220512 11:27:13</t>
  </si>
  <si>
    <t>11:27:13</t>
  </si>
  <si>
    <t>20220512 11:27:18</t>
  </si>
  <si>
    <t>11:27:18</t>
  </si>
  <si>
    <t>20220512 11:27:23</t>
  </si>
  <si>
    <t>11:27:23</t>
  </si>
  <si>
    <t>20220512 11:27:28</t>
  </si>
  <si>
    <t>11:27:28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</si>
</sst>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232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1652368093.6</v>
      </c>
      <c r="C17">
        <v>0</v>
      </c>
      <c r="D17" t="s">
        <v>411</v>
      </c>
      <c r="E17" t="s">
        <v>412</v>
      </c>
      <c r="F17">
        <v>5</v>
      </c>
      <c r="G17" t="s">
        <v>413</v>
      </c>
      <c r="H17" t="s">
        <v>414</v>
      </c>
      <c r="I17">
        <v>1652368085.849999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422.0106270076403</v>
      </c>
      <c r="AK17">
        <v>379.5279636363634</v>
      </c>
      <c r="AL17">
        <v>-0.003800758279331783</v>
      </c>
      <c r="AM17">
        <v>65.9350692875169</v>
      </c>
      <c r="AN17">
        <f>(AP17 - AO17 + DI17*1E3/(8.314*(DK17+273.15)) * AR17/DH17 * AQ17) * DH17/(100*CV17) * 1000/(1000 - AP17)</f>
        <v>0</v>
      </c>
      <c r="AO17">
        <v>4.741720313914397</v>
      </c>
      <c r="AP17">
        <v>27.59947582417584</v>
      </c>
      <c r="AQ17">
        <v>-0.008973414812725572</v>
      </c>
      <c r="AR17">
        <v>81.56231062401122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>
        <v>10510</v>
      </c>
      <c r="AZ17">
        <v>590.42</v>
      </c>
      <c r="BA17">
        <v>2650.6</v>
      </c>
      <c r="BB17">
        <f>1-AZ17/BA17</f>
        <v>0</v>
      </c>
      <c r="BC17">
        <v>-1.816883183993991</v>
      </c>
      <c r="BD17" t="s">
        <v>416</v>
      </c>
      <c r="BE17">
        <v>10397</v>
      </c>
      <c r="BF17">
        <v>1545.4236</v>
      </c>
      <c r="BG17">
        <v>2246.88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1372</v>
      </c>
      <c r="CA17">
        <v>300</v>
      </c>
      <c r="CB17">
        <v>300</v>
      </c>
      <c r="CC17">
        <v>300</v>
      </c>
      <c r="CD17">
        <v>10397</v>
      </c>
      <c r="CE17">
        <v>2124.15</v>
      </c>
      <c r="CF17">
        <v>-0.00732021</v>
      </c>
      <c r="CG17">
        <v>-3.72</v>
      </c>
      <c r="CH17" t="s">
        <v>417</v>
      </c>
      <c r="CI17" t="s">
        <v>417</v>
      </c>
      <c r="CJ17" t="s">
        <v>417</v>
      </c>
      <c r="CK17" t="s">
        <v>417</v>
      </c>
      <c r="CL17" t="s">
        <v>417</v>
      </c>
      <c r="CM17" t="s">
        <v>417</v>
      </c>
      <c r="CN17" t="s">
        <v>417</v>
      </c>
      <c r="CO17" t="s">
        <v>417</v>
      </c>
      <c r="CP17" t="s">
        <v>417</v>
      </c>
      <c r="CQ17" t="s">
        <v>417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418</v>
      </c>
      <c r="CY17">
        <v>2</v>
      </c>
      <c r="CZ17" t="b">
        <v>1</v>
      </c>
      <c r="DA17">
        <v>1652368085.849999</v>
      </c>
      <c r="DB17">
        <v>369.5852333333335</v>
      </c>
      <c r="DC17">
        <v>419.9520000000001</v>
      </c>
      <c r="DD17">
        <v>27.41252333333333</v>
      </c>
      <c r="DE17">
        <v>4.742493</v>
      </c>
      <c r="DF17">
        <v>371.0252333333335</v>
      </c>
      <c r="DG17">
        <v>27.57252333333333</v>
      </c>
      <c r="DH17">
        <v>400.0789666666666</v>
      </c>
      <c r="DI17">
        <v>90.41924333333334</v>
      </c>
      <c r="DJ17">
        <v>0.10000513</v>
      </c>
      <c r="DK17">
        <v>32.86903333333333</v>
      </c>
      <c r="DL17">
        <v>30.19807666666667</v>
      </c>
      <c r="DM17">
        <v>999.9000000000002</v>
      </c>
      <c r="DN17">
        <v>0</v>
      </c>
      <c r="DO17">
        <v>0</v>
      </c>
      <c r="DP17">
        <v>10003.81733333333</v>
      </c>
      <c r="DQ17">
        <v>0</v>
      </c>
      <c r="DR17">
        <v>429.3227999999999</v>
      </c>
      <c r="DS17">
        <v>-50.90041333333333</v>
      </c>
      <c r="DT17">
        <v>379.5424</v>
      </c>
      <c r="DU17">
        <v>421.9533000000001</v>
      </c>
      <c r="DV17">
        <v>22.89808666666667</v>
      </c>
      <c r="DW17">
        <v>419.9520000000001</v>
      </c>
      <c r="DX17">
        <v>4.742493</v>
      </c>
      <c r="DY17">
        <v>2.499241</v>
      </c>
      <c r="DZ17">
        <v>0.4288125333333334</v>
      </c>
      <c r="EA17">
        <v>21.02155</v>
      </c>
      <c r="EB17">
        <v>-4.835545333333333</v>
      </c>
      <c r="EC17">
        <v>1500.019</v>
      </c>
      <c r="ED17">
        <v>0.9729970000000001</v>
      </c>
      <c r="EE17">
        <v>0.0270032</v>
      </c>
      <c r="EF17">
        <v>0</v>
      </c>
      <c r="EG17">
        <v>1545.613</v>
      </c>
      <c r="EH17">
        <v>5.000969999999999</v>
      </c>
      <c r="EI17">
        <v>23828.8</v>
      </c>
      <c r="EJ17">
        <v>12491.73666666667</v>
      </c>
      <c r="EK17">
        <v>39.72479999999999</v>
      </c>
      <c r="EL17">
        <v>41.1208</v>
      </c>
      <c r="EM17">
        <v>39.93286666666665</v>
      </c>
      <c r="EN17">
        <v>40.9496</v>
      </c>
      <c r="EO17">
        <v>41.00413333333333</v>
      </c>
      <c r="EP17">
        <v>1454.648666666667</v>
      </c>
      <c r="EQ17">
        <v>40.37033333333331</v>
      </c>
      <c r="ER17">
        <v>0</v>
      </c>
      <c r="ES17">
        <v>1652368096.1</v>
      </c>
      <c r="ET17">
        <v>0</v>
      </c>
      <c r="EU17">
        <v>1545.4236</v>
      </c>
      <c r="EV17">
        <v>-37.60615390155674</v>
      </c>
      <c r="EW17">
        <v>-326.1230773172301</v>
      </c>
      <c r="EX17">
        <v>23827.188</v>
      </c>
      <c r="EY17">
        <v>15</v>
      </c>
      <c r="EZ17">
        <v>1652368134.1</v>
      </c>
      <c r="FA17" t="s">
        <v>419</v>
      </c>
      <c r="FB17">
        <v>1652368124.1</v>
      </c>
      <c r="FC17">
        <v>1652368134.1</v>
      </c>
      <c r="FD17">
        <v>1</v>
      </c>
      <c r="FE17">
        <v>0.651</v>
      </c>
      <c r="FF17">
        <v>-0.011</v>
      </c>
      <c r="FG17">
        <v>-1.44</v>
      </c>
      <c r="FH17">
        <v>-0.16</v>
      </c>
      <c r="FI17">
        <v>420</v>
      </c>
      <c r="FJ17">
        <v>5</v>
      </c>
      <c r="FK17">
        <v>0.04</v>
      </c>
      <c r="FL17">
        <v>0.01</v>
      </c>
      <c r="FM17">
        <v>-50.90224390243903</v>
      </c>
      <c r="FN17">
        <v>-0.124062020905838</v>
      </c>
      <c r="FO17">
        <v>0.04045813885246276</v>
      </c>
      <c r="FP17">
        <v>-1</v>
      </c>
      <c r="FQ17">
        <v>22.90551463414634</v>
      </c>
      <c r="FR17">
        <v>-0.1685665505226851</v>
      </c>
      <c r="FS17">
        <v>0.01957937641917427</v>
      </c>
      <c r="FT17">
        <v>1</v>
      </c>
      <c r="FU17">
        <v>0</v>
      </c>
      <c r="FV17">
        <v>0</v>
      </c>
      <c r="FW17">
        <v>0</v>
      </c>
      <c r="FX17">
        <v>-1</v>
      </c>
      <c r="FY17">
        <v>1</v>
      </c>
      <c r="FZ17">
        <v>1</v>
      </c>
      <c r="GA17" t="s">
        <v>420</v>
      </c>
      <c r="GB17">
        <v>2.69592</v>
      </c>
      <c r="GC17">
        <v>2.70514</v>
      </c>
      <c r="GD17">
        <v>0.08497739999999999</v>
      </c>
      <c r="GE17">
        <v>0.0924336</v>
      </c>
      <c r="GF17">
        <v>0.116867</v>
      </c>
      <c r="GG17">
        <v>0.0306232</v>
      </c>
      <c r="GH17">
        <v>28780.8</v>
      </c>
      <c r="GI17">
        <v>28690.8</v>
      </c>
      <c r="GJ17">
        <v>29258.1</v>
      </c>
      <c r="GK17">
        <v>29252.8</v>
      </c>
      <c r="GL17">
        <v>34205.1</v>
      </c>
      <c r="GM17">
        <v>37741.9</v>
      </c>
      <c r="GN17">
        <v>41179.8</v>
      </c>
      <c r="GO17">
        <v>41724.4</v>
      </c>
      <c r="GP17">
        <v>1.74345</v>
      </c>
      <c r="GQ17">
        <v>2.0326</v>
      </c>
      <c r="GR17">
        <v>0.00498444</v>
      </c>
      <c r="GS17">
        <v>0</v>
      </c>
      <c r="GT17">
        <v>30.1052</v>
      </c>
      <c r="GU17">
        <v>999.9</v>
      </c>
      <c r="GV17">
        <v>52.6</v>
      </c>
      <c r="GW17">
        <v>30.1</v>
      </c>
      <c r="GX17">
        <v>24.9287</v>
      </c>
      <c r="GY17">
        <v>63.4883</v>
      </c>
      <c r="GZ17">
        <v>29.9079</v>
      </c>
      <c r="HA17">
        <v>1</v>
      </c>
      <c r="HB17">
        <v>0.240577</v>
      </c>
      <c r="HC17">
        <v>0.564099</v>
      </c>
      <c r="HD17">
        <v>20.3802</v>
      </c>
      <c r="HE17">
        <v>5.22583</v>
      </c>
      <c r="HF17">
        <v>12.0099</v>
      </c>
      <c r="HG17">
        <v>4.99075</v>
      </c>
      <c r="HH17">
        <v>3.2897</v>
      </c>
      <c r="HI17">
        <v>2638.3</v>
      </c>
      <c r="HJ17">
        <v>9999</v>
      </c>
      <c r="HK17">
        <v>9999</v>
      </c>
      <c r="HL17">
        <v>48.9</v>
      </c>
      <c r="HM17">
        <v>1.86713</v>
      </c>
      <c r="HN17">
        <v>1.86615</v>
      </c>
      <c r="HO17">
        <v>1.86569</v>
      </c>
      <c r="HP17">
        <v>1.86556</v>
      </c>
      <c r="HQ17">
        <v>1.86737</v>
      </c>
      <c r="HR17">
        <v>1.86996</v>
      </c>
      <c r="HS17">
        <v>1.86859</v>
      </c>
      <c r="HT17">
        <v>1.86996</v>
      </c>
      <c r="HU17">
        <v>0</v>
      </c>
      <c r="HV17">
        <v>0</v>
      </c>
      <c r="HW17">
        <v>0</v>
      </c>
      <c r="HX17">
        <v>0</v>
      </c>
      <c r="HY17" t="s">
        <v>421</v>
      </c>
      <c r="HZ17" t="s">
        <v>422</v>
      </c>
      <c r="IA17" t="s">
        <v>423</v>
      </c>
      <c r="IB17" t="s">
        <v>423</v>
      </c>
      <c r="IC17" t="s">
        <v>423</v>
      </c>
      <c r="ID17" t="s">
        <v>423</v>
      </c>
      <c r="IE17">
        <v>0</v>
      </c>
      <c r="IF17">
        <v>100</v>
      </c>
      <c r="IG17">
        <v>100</v>
      </c>
      <c r="IH17">
        <v>-1.44</v>
      </c>
      <c r="II17">
        <v>-0.16</v>
      </c>
      <c r="IJ17">
        <v>-1.134656009237925</v>
      </c>
      <c r="IK17">
        <v>-0.002185601614162945</v>
      </c>
      <c r="IL17">
        <v>-2.252308143750626E-07</v>
      </c>
      <c r="IM17">
        <v>5.915558436307541E-11</v>
      </c>
      <c r="IN17">
        <v>-0.1318924493295922</v>
      </c>
      <c r="IO17">
        <v>-0.007570214193104963</v>
      </c>
      <c r="IP17">
        <v>0.0009214429922928372</v>
      </c>
      <c r="IQ17">
        <v>-1.392260276065805E-05</v>
      </c>
      <c r="IR17">
        <v>17</v>
      </c>
      <c r="IS17">
        <v>2272</v>
      </c>
      <c r="IT17">
        <v>1</v>
      </c>
      <c r="IU17">
        <v>31</v>
      </c>
      <c r="IV17">
        <v>1193.9</v>
      </c>
      <c r="IW17">
        <v>1193.9</v>
      </c>
      <c r="IX17">
        <v>1.02905</v>
      </c>
      <c r="IY17">
        <v>2.19849</v>
      </c>
      <c r="IZ17">
        <v>1.39648</v>
      </c>
      <c r="JA17">
        <v>2.35718</v>
      </c>
      <c r="JB17">
        <v>1.49536</v>
      </c>
      <c r="JC17">
        <v>2.36938</v>
      </c>
      <c r="JD17">
        <v>34.9904</v>
      </c>
      <c r="JE17">
        <v>15.9445</v>
      </c>
      <c r="JF17">
        <v>18</v>
      </c>
      <c r="JG17">
        <v>397.606</v>
      </c>
      <c r="JH17">
        <v>567.028</v>
      </c>
      <c r="JI17">
        <v>32.2261</v>
      </c>
      <c r="JJ17">
        <v>30.559</v>
      </c>
      <c r="JK17">
        <v>30.0013</v>
      </c>
      <c r="JL17">
        <v>30.4614</v>
      </c>
      <c r="JM17">
        <v>30.3669</v>
      </c>
      <c r="JN17">
        <v>20.6045</v>
      </c>
      <c r="JO17">
        <v>68.3698</v>
      </c>
      <c r="JP17">
        <v>0</v>
      </c>
      <c r="JQ17">
        <v>32.1934</v>
      </c>
      <c r="JR17">
        <v>420</v>
      </c>
      <c r="JS17">
        <v>4.88833</v>
      </c>
      <c r="JT17">
        <v>100.007</v>
      </c>
      <c r="JU17">
        <v>100.17</v>
      </c>
    </row>
    <row r="18" spans="1:281">
      <c r="A18">
        <v>2</v>
      </c>
      <c r="B18">
        <v>1652368197.1</v>
      </c>
      <c r="C18">
        <v>103.5</v>
      </c>
      <c r="D18" t="s">
        <v>424</v>
      </c>
      <c r="E18" t="s">
        <v>425</v>
      </c>
      <c r="F18">
        <v>5</v>
      </c>
      <c r="G18" t="s">
        <v>413</v>
      </c>
      <c r="H18" t="s">
        <v>414</v>
      </c>
      <c r="I18">
        <v>1652368189.099999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321.6924938123934</v>
      </c>
      <c r="AK18">
        <v>289.5345999999999</v>
      </c>
      <c r="AL18">
        <v>-0.003921042263128544</v>
      </c>
      <c r="AM18">
        <v>66.02152168322024</v>
      </c>
      <c r="AN18">
        <f>(AP18 - AO18 + DI18*1E3/(8.314*(DK18+273.15)) * AR18/DH18 * AQ18) * DH18/(100*CV18) * 1000/(1000 - AP18)</f>
        <v>0</v>
      </c>
      <c r="AO18">
        <v>5.451286949295764</v>
      </c>
      <c r="AP18">
        <v>27.06180000000002</v>
      </c>
      <c r="AQ18">
        <v>-0.00699974453123662</v>
      </c>
      <c r="AR18">
        <v>80.4203724319414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415</v>
      </c>
      <c r="AY18">
        <v>10510</v>
      </c>
      <c r="AZ18">
        <v>590.42</v>
      </c>
      <c r="BA18">
        <v>2650.6</v>
      </c>
      <c r="BB18">
        <f>1-AZ18/BA18</f>
        <v>0</v>
      </c>
      <c r="BC18">
        <v>-1.816883183993991</v>
      </c>
      <c r="BD18" t="s">
        <v>426</v>
      </c>
      <c r="BE18">
        <v>10391.4</v>
      </c>
      <c r="BF18">
        <v>1389.5424</v>
      </c>
      <c r="BG18">
        <v>1976.75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1373</v>
      </c>
      <c r="CA18">
        <v>300</v>
      </c>
      <c r="CB18">
        <v>300</v>
      </c>
      <c r="CC18">
        <v>300</v>
      </c>
      <c r="CD18">
        <v>10391.4</v>
      </c>
      <c r="CE18">
        <v>1876.71</v>
      </c>
      <c r="CF18">
        <v>-0.0073159</v>
      </c>
      <c r="CG18">
        <v>-0.55</v>
      </c>
      <c r="CH18" t="s">
        <v>417</v>
      </c>
      <c r="CI18" t="s">
        <v>417</v>
      </c>
      <c r="CJ18" t="s">
        <v>417</v>
      </c>
      <c r="CK18" t="s">
        <v>417</v>
      </c>
      <c r="CL18" t="s">
        <v>417</v>
      </c>
      <c r="CM18" t="s">
        <v>417</v>
      </c>
      <c r="CN18" t="s">
        <v>417</v>
      </c>
      <c r="CO18" t="s">
        <v>417</v>
      </c>
      <c r="CP18" t="s">
        <v>417</v>
      </c>
      <c r="CQ18" t="s">
        <v>417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418</v>
      </c>
      <c r="CY18">
        <v>2</v>
      </c>
      <c r="CZ18" t="b">
        <v>1</v>
      </c>
      <c r="DA18">
        <v>1652368189.099999</v>
      </c>
      <c r="DB18">
        <v>281.7265161290322</v>
      </c>
      <c r="DC18">
        <v>319.9942580645161</v>
      </c>
      <c r="DD18">
        <v>26.92234838709678</v>
      </c>
      <c r="DE18">
        <v>5.469188387096775</v>
      </c>
      <c r="DF18">
        <v>282.9055161290322</v>
      </c>
      <c r="DG18">
        <v>27.08034838709678</v>
      </c>
      <c r="DH18">
        <v>400.0902903225807</v>
      </c>
      <c r="DI18">
        <v>90.41427096774194</v>
      </c>
      <c r="DJ18">
        <v>0.100050335483871</v>
      </c>
      <c r="DK18">
        <v>32.37416129032258</v>
      </c>
      <c r="DL18">
        <v>29.98539032258065</v>
      </c>
      <c r="DM18">
        <v>999.9000000000003</v>
      </c>
      <c r="DN18">
        <v>0</v>
      </c>
      <c r="DO18">
        <v>0</v>
      </c>
      <c r="DP18">
        <v>9997.497741935485</v>
      </c>
      <c r="DQ18">
        <v>0</v>
      </c>
      <c r="DR18">
        <v>317.3595483870968</v>
      </c>
      <c r="DS18">
        <v>-38.20750967741935</v>
      </c>
      <c r="DT18">
        <v>289.6452258064516</v>
      </c>
      <c r="DU18">
        <v>321.754</v>
      </c>
      <c r="DV18">
        <v>21.66206774193549</v>
      </c>
      <c r="DW18">
        <v>319.9942580645161</v>
      </c>
      <c r="DX18">
        <v>5.469188387096775</v>
      </c>
      <c r="DY18">
        <v>2.453052903225806</v>
      </c>
      <c r="DZ18">
        <v>0.4944927096774195</v>
      </c>
      <c r="EA18">
        <v>20.7182935483871</v>
      </c>
      <c r="EB18">
        <v>-2.936312258064516</v>
      </c>
      <c r="EC18">
        <v>1499.980322580645</v>
      </c>
      <c r="ED18">
        <v>0.9730055806451613</v>
      </c>
      <c r="EE18">
        <v>0.02699416774193548</v>
      </c>
      <c r="EF18">
        <v>0</v>
      </c>
      <c r="EG18">
        <v>1390.274838709677</v>
      </c>
      <c r="EH18">
        <v>5.000969999999999</v>
      </c>
      <c r="EI18">
        <v>21396.65483870968</v>
      </c>
      <c r="EJ18">
        <v>12491.45483870968</v>
      </c>
      <c r="EK18">
        <v>40.12093548387097</v>
      </c>
      <c r="EL18">
        <v>41.54599999999998</v>
      </c>
      <c r="EM18">
        <v>40.3140322580645</v>
      </c>
      <c r="EN18">
        <v>41.34654838709677</v>
      </c>
      <c r="EO18">
        <v>41.35874193548388</v>
      </c>
      <c r="EP18">
        <v>1454.626774193549</v>
      </c>
      <c r="EQ18">
        <v>40.35354838709678</v>
      </c>
      <c r="ER18">
        <v>0</v>
      </c>
      <c r="ES18">
        <v>102.6999998092651</v>
      </c>
      <c r="ET18">
        <v>0</v>
      </c>
      <c r="EU18">
        <v>1389.5424</v>
      </c>
      <c r="EV18">
        <v>-64.63307701194321</v>
      </c>
      <c r="EW18">
        <v>-725.4615395877752</v>
      </c>
      <c r="EX18">
        <v>21387.78</v>
      </c>
      <c r="EY18">
        <v>15</v>
      </c>
      <c r="EZ18">
        <v>1652368237.6</v>
      </c>
      <c r="FA18" t="s">
        <v>427</v>
      </c>
      <c r="FB18">
        <v>1652368214.1</v>
      </c>
      <c r="FC18">
        <v>1652368237.6</v>
      </c>
      <c r="FD18">
        <v>2</v>
      </c>
      <c r="FE18">
        <v>0.028</v>
      </c>
      <c r="FF18">
        <v>0.001</v>
      </c>
      <c r="FG18">
        <v>-1.179</v>
      </c>
      <c r="FH18">
        <v>-0.158</v>
      </c>
      <c r="FI18">
        <v>320</v>
      </c>
      <c r="FJ18">
        <v>5</v>
      </c>
      <c r="FK18">
        <v>0.03</v>
      </c>
      <c r="FL18">
        <v>0.01</v>
      </c>
      <c r="FM18">
        <v>-38.0913875</v>
      </c>
      <c r="FN18">
        <v>-1.815310694183842</v>
      </c>
      <c r="FO18">
        <v>0.2193033130022206</v>
      </c>
      <c r="FP18">
        <v>-1</v>
      </c>
      <c r="FQ18">
        <v>21.6856975</v>
      </c>
      <c r="FR18">
        <v>-0.4593151969981473</v>
      </c>
      <c r="FS18">
        <v>0.04544296693383923</v>
      </c>
      <c r="FT18">
        <v>1</v>
      </c>
      <c r="FU18">
        <v>0</v>
      </c>
      <c r="FV18">
        <v>0</v>
      </c>
      <c r="FW18">
        <v>0</v>
      </c>
      <c r="FX18">
        <v>-1</v>
      </c>
      <c r="FY18">
        <v>1</v>
      </c>
      <c r="FZ18">
        <v>1</v>
      </c>
      <c r="GA18" t="s">
        <v>420</v>
      </c>
      <c r="GB18">
        <v>2.69571</v>
      </c>
      <c r="GC18">
        <v>2.70519</v>
      </c>
      <c r="GD18">
        <v>0.06818970000000001</v>
      </c>
      <c r="GE18">
        <v>0.0746576</v>
      </c>
      <c r="GF18">
        <v>0.115279</v>
      </c>
      <c r="GG18">
        <v>0.0342921</v>
      </c>
      <c r="GH18">
        <v>29298.2</v>
      </c>
      <c r="GI18">
        <v>29240.4</v>
      </c>
      <c r="GJ18">
        <v>29248.7</v>
      </c>
      <c r="GK18">
        <v>29241.1</v>
      </c>
      <c r="GL18">
        <v>34256.4</v>
      </c>
      <c r="GM18">
        <v>37583.9</v>
      </c>
      <c r="GN18">
        <v>41166.2</v>
      </c>
      <c r="GO18">
        <v>41708.1</v>
      </c>
      <c r="GP18">
        <v>1.74115</v>
      </c>
      <c r="GQ18">
        <v>2.0286</v>
      </c>
      <c r="GR18">
        <v>-0.0193715</v>
      </c>
      <c r="GS18">
        <v>0</v>
      </c>
      <c r="GT18">
        <v>30.3324</v>
      </c>
      <c r="GU18">
        <v>999.9</v>
      </c>
      <c r="GV18">
        <v>51.6</v>
      </c>
      <c r="GW18">
        <v>30.3</v>
      </c>
      <c r="GX18">
        <v>24.7376</v>
      </c>
      <c r="GY18">
        <v>63.5883</v>
      </c>
      <c r="GZ18">
        <v>29.5272</v>
      </c>
      <c r="HA18">
        <v>1</v>
      </c>
      <c r="HB18">
        <v>0.258615</v>
      </c>
      <c r="HC18">
        <v>-0.198595</v>
      </c>
      <c r="HD18">
        <v>20.3811</v>
      </c>
      <c r="HE18">
        <v>5.22388</v>
      </c>
      <c r="HF18">
        <v>12.0099</v>
      </c>
      <c r="HG18">
        <v>4.99075</v>
      </c>
      <c r="HH18">
        <v>3.2894</v>
      </c>
      <c r="HI18">
        <v>2640.3</v>
      </c>
      <c r="HJ18">
        <v>9999</v>
      </c>
      <c r="HK18">
        <v>9999</v>
      </c>
      <c r="HL18">
        <v>48.9</v>
      </c>
      <c r="HM18">
        <v>1.86712</v>
      </c>
      <c r="HN18">
        <v>1.86615</v>
      </c>
      <c r="HO18">
        <v>1.86569</v>
      </c>
      <c r="HP18">
        <v>1.86555</v>
      </c>
      <c r="HQ18">
        <v>1.86737</v>
      </c>
      <c r="HR18">
        <v>1.86996</v>
      </c>
      <c r="HS18">
        <v>1.86859</v>
      </c>
      <c r="HT18">
        <v>1.86996</v>
      </c>
      <c r="HU18">
        <v>0</v>
      </c>
      <c r="HV18">
        <v>0</v>
      </c>
      <c r="HW18">
        <v>0</v>
      </c>
      <c r="HX18">
        <v>0</v>
      </c>
      <c r="HY18" t="s">
        <v>421</v>
      </c>
      <c r="HZ18" t="s">
        <v>422</v>
      </c>
      <c r="IA18" t="s">
        <v>423</v>
      </c>
      <c r="IB18" t="s">
        <v>423</v>
      </c>
      <c r="IC18" t="s">
        <v>423</v>
      </c>
      <c r="ID18" t="s">
        <v>423</v>
      </c>
      <c r="IE18">
        <v>0</v>
      </c>
      <c r="IF18">
        <v>100</v>
      </c>
      <c r="IG18">
        <v>100</v>
      </c>
      <c r="IH18">
        <v>-1.179</v>
      </c>
      <c r="II18">
        <v>-0.158</v>
      </c>
      <c r="IJ18">
        <v>-0.4838236752633753</v>
      </c>
      <c r="IK18">
        <v>-0.002185601614162945</v>
      </c>
      <c r="IL18">
        <v>-2.252308143750626E-07</v>
      </c>
      <c r="IM18">
        <v>5.915558436307541E-11</v>
      </c>
      <c r="IN18">
        <v>-0.1433252794254382</v>
      </c>
      <c r="IO18">
        <v>-0.007570214193104963</v>
      </c>
      <c r="IP18">
        <v>0.0009214429922928372</v>
      </c>
      <c r="IQ18">
        <v>-1.392260276065805E-05</v>
      </c>
      <c r="IR18">
        <v>17</v>
      </c>
      <c r="IS18">
        <v>2272</v>
      </c>
      <c r="IT18">
        <v>1</v>
      </c>
      <c r="IU18">
        <v>31</v>
      </c>
      <c r="IV18">
        <v>1.2</v>
      </c>
      <c r="IW18">
        <v>1.1</v>
      </c>
      <c r="IX18">
        <v>0.83374</v>
      </c>
      <c r="IY18">
        <v>2.2168</v>
      </c>
      <c r="IZ18">
        <v>1.39648</v>
      </c>
      <c r="JA18">
        <v>2.3584</v>
      </c>
      <c r="JB18">
        <v>1.49536</v>
      </c>
      <c r="JC18">
        <v>2.3291</v>
      </c>
      <c r="JD18">
        <v>35.1286</v>
      </c>
      <c r="JE18">
        <v>15.9358</v>
      </c>
      <c r="JF18">
        <v>18</v>
      </c>
      <c r="JG18">
        <v>397.344</v>
      </c>
      <c r="JH18">
        <v>565.422</v>
      </c>
      <c r="JI18">
        <v>31.21</v>
      </c>
      <c r="JJ18">
        <v>30.771</v>
      </c>
      <c r="JK18">
        <v>30</v>
      </c>
      <c r="JL18">
        <v>30.6236</v>
      </c>
      <c r="JM18">
        <v>30.5155</v>
      </c>
      <c r="JN18">
        <v>16.7009</v>
      </c>
      <c r="JO18">
        <v>66.396</v>
      </c>
      <c r="JP18">
        <v>0</v>
      </c>
      <c r="JQ18">
        <v>31.1353</v>
      </c>
      <c r="JR18">
        <v>320</v>
      </c>
      <c r="JS18">
        <v>5.41454</v>
      </c>
      <c r="JT18">
        <v>99.9743</v>
      </c>
      <c r="JU18">
        <v>100.13</v>
      </c>
    </row>
    <row r="19" spans="1:281">
      <c r="A19">
        <v>3</v>
      </c>
      <c r="B19">
        <v>1652368328.6</v>
      </c>
      <c r="C19">
        <v>235</v>
      </c>
      <c r="D19" t="s">
        <v>428</v>
      </c>
      <c r="E19" t="s">
        <v>429</v>
      </c>
      <c r="F19">
        <v>5</v>
      </c>
      <c r="G19" t="s">
        <v>413</v>
      </c>
      <c r="H19" t="s">
        <v>414</v>
      </c>
      <c r="I19">
        <v>1652368320.599999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221.3910557574339</v>
      </c>
      <c r="AK19">
        <v>200.9416303030303</v>
      </c>
      <c r="AL19">
        <v>1.602536520133558E-05</v>
      </c>
      <c r="AM19">
        <v>65.97232341578032</v>
      </c>
      <c r="AN19">
        <f>(AP19 - AO19 + DI19*1E3/(8.314*(DK19+273.15)) * AR19/DH19 * AQ19) * DH19/(100*CV19) * 1000/(1000 - AP19)</f>
        <v>0</v>
      </c>
      <c r="AO19">
        <v>6.29552693575964</v>
      </c>
      <c r="AP19">
        <v>26.32005104895105</v>
      </c>
      <c r="AQ19">
        <v>-0.005813073399742096</v>
      </c>
      <c r="AR19">
        <v>80.90490872860421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415</v>
      </c>
      <c r="AY19">
        <v>10510</v>
      </c>
      <c r="AZ19">
        <v>590.42</v>
      </c>
      <c r="BA19">
        <v>2650.6</v>
      </c>
      <c r="BB19">
        <f>1-AZ19/BA19</f>
        <v>0</v>
      </c>
      <c r="BC19">
        <v>-1.816883183993991</v>
      </c>
      <c r="BD19" t="s">
        <v>430</v>
      </c>
      <c r="BE19">
        <v>10384.1</v>
      </c>
      <c r="BF19">
        <v>1117.5748</v>
      </c>
      <c r="BG19">
        <v>1523.54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1374</v>
      </c>
      <c r="CA19">
        <v>300</v>
      </c>
      <c r="CB19">
        <v>300</v>
      </c>
      <c r="CC19">
        <v>300</v>
      </c>
      <c r="CD19">
        <v>10384.1</v>
      </c>
      <c r="CE19">
        <v>1457.76</v>
      </c>
      <c r="CF19">
        <v>-0.0073102</v>
      </c>
      <c r="CG19">
        <v>1.75</v>
      </c>
      <c r="CH19" t="s">
        <v>417</v>
      </c>
      <c r="CI19" t="s">
        <v>417</v>
      </c>
      <c r="CJ19" t="s">
        <v>417</v>
      </c>
      <c r="CK19" t="s">
        <v>417</v>
      </c>
      <c r="CL19" t="s">
        <v>417</v>
      </c>
      <c r="CM19" t="s">
        <v>417</v>
      </c>
      <c r="CN19" t="s">
        <v>417</v>
      </c>
      <c r="CO19" t="s">
        <v>417</v>
      </c>
      <c r="CP19" t="s">
        <v>417</v>
      </c>
      <c r="CQ19" t="s">
        <v>417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418</v>
      </c>
      <c r="CY19">
        <v>2</v>
      </c>
      <c r="CZ19" t="b">
        <v>1</v>
      </c>
      <c r="DA19">
        <v>1652368320.599999</v>
      </c>
      <c r="DB19">
        <v>195.6230967741936</v>
      </c>
      <c r="DC19">
        <v>219.9867096774194</v>
      </c>
      <c r="DD19">
        <v>26.17293548387096</v>
      </c>
      <c r="DE19">
        <v>6.29804741935484</v>
      </c>
      <c r="DF19">
        <v>196.5150967741936</v>
      </c>
      <c r="DG19">
        <v>26.33093548387096</v>
      </c>
      <c r="DH19">
        <v>400.1039354838709</v>
      </c>
      <c r="DI19">
        <v>90.40485483870968</v>
      </c>
      <c r="DJ19">
        <v>0.1000370451612903</v>
      </c>
      <c r="DK19">
        <v>32.02003548387096</v>
      </c>
      <c r="DL19">
        <v>29.99724516129032</v>
      </c>
      <c r="DM19">
        <v>999.9000000000003</v>
      </c>
      <c r="DN19">
        <v>0</v>
      </c>
      <c r="DO19">
        <v>0</v>
      </c>
      <c r="DP19">
        <v>9996.650967741934</v>
      </c>
      <c r="DQ19">
        <v>0</v>
      </c>
      <c r="DR19">
        <v>724.4467741935484</v>
      </c>
      <c r="DS19">
        <v>-24.36531290322581</v>
      </c>
      <c r="DT19">
        <v>200.9206129032258</v>
      </c>
      <c r="DU19">
        <v>221.381</v>
      </c>
      <c r="DV19">
        <v>20.07582258064516</v>
      </c>
      <c r="DW19">
        <v>219.9867096774194</v>
      </c>
      <c r="DX19">
        <v>6.29804741935484</v>
      </c>
      <c r="DY19">
        <v>2.384327419354839</v>
      </c>
      <c r="DZ19">
        <v>0.5693741612903227</v>
      </c>
      <c r="EA19">
        <v>20.2577</v>
      </c>
      <c r="EB19">
        <v>-1.026683903225807</v>
      </c>
      <c r="EC19">
        <v>1499.984516129032</v>
      </c>
      <c r="ED19">
        <v>0.9730025483870968</v>
      </c>
      <c r="EE19">
        <v>0.02699743870967741</v>
      </c>
      <c r="EF19">
        <v>0</v>
      </c>
      <c r="EG19">
        <v>1118.954516129032</v>
      </c>
      <c r="EH19">
        <v>5.000969999999999</v>
      </c>
      <c r="EI19">
        <v>17656.25483870968</v>
      </c>
      <c r="EJ19">
        <v>12491.4870967742</v>
      </c>
      <c r="EK19">
        <v>40.61077419354839</v>
      </c>
      <c r="EL19">
        <v>42.16499999999998</v>
      </c>
      <c r="EM19">
        <v>40.83232258064516</v>
      </c>
      <c r="EN19">
        <v>41.90699999999998</v>
      </c>
      <c r="EO19">
        <v>41.76199999999998</v>
      </c>
      <c r="EP19">
        <v>1454.624193548387</v>
      </c>
      <c r="EQ19">
        <v>40.36032258064515</v>
      </c>
      <c r="ER19">
        <v>0</v>
      </c>
      <c r="ES19">
        <v>131.2000000476837</v>
      </c>
      <c r="ET19">
        <v>0</v>
      </c>
      <c r="EU19">
        <v>1117.5748</v>
      </c>
      <c r="EV19">
        <v>-76.40307681052617</v>
      </c>
      <c r="EW19">
        <v>-1191.2384596733</v>
      </c>
      <c r="EX19">
        <v>17635.028</v>
      </c>
      <c r="EY19">
        <v>15</v>
      </c>
      <c r="EZ19">
        <v>1652368369.1</v>
      </c>
      <c r="FA19" t="s">
        <v>431</v>
      </c>
      <c r="FB19">
        <v>1652368349.6</v>
      </c>
      <c r="FC19">
        <v>1652368369.1</v>
      </c>
      <c r="FD19">
        <v>3</v>
      </c>
      <c r="FE19">
        <v>0.057</v>
      </c>
      <c r="FF19">
        <v>-0.002</v>
      </c>
      <c r="FG19">
        <v>-0.892</v>
      </c>
      <c r="FH19">
        <v>-0.158</v>
      </c>
      <c r="FI19">
        <v>220</v>
      </c>
      <c r="FJ19">
        <v>6</v>
      </c>
      <c r="FK19">
        <v>0.04</v>
      </c>
      <c r="FL19">
        <v>0.01</v>
      </c>
      <c r="FM19">
        <v>-24.3864675</v>
      </c>
      <c r="FN19">
        <v>0.4323478424015434</v>
      </c>
      <c r="FO19">
        <v>0.05620749677534127</v>
      </c>
      <c r="FP19">
        <v>-1</v>
      </c>
      <c r="FQ19">
        <v>20.0984</v>
      </c>
      <c r="FR19">
        <v>-0.5984285178236644</v>
      </c>
      <c r="FS19">
        <v>0.05792623757849281</v>
      </c>
      <c r="FT19">
        <v>0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1</v>
      </c>
      <c r="GA19" t="s">
        <v>432</v>
      </c>
      <c r="GB19">
        <v>2.69523</v>
      </c>
      <c r="GC19">
        <v>2.70512</v>
      </c>
      <c r="GD19">
        <v>0.0496959</v>
      </c>
      <c r="GE19">
        <v>0.0543669</v>
      </c>
      <c r="GF19">
        <v>0.113032</v>
      </c>
      <c r="GG19">
        <v>0.0387867</v>
      </c>
      <c r="GH19">
        <v>29859.3</v>
      </c>
      <c r="GI19">
        <v>29860.9</v>
      </c>
      <c r="GJ19">
        <v>29230.8</v>
      </c>
      <c r="GK19">
        <v>29222.3</v>
      </c>
      <c r="GL19">
        <v>34323.9</v>
      </c>
      <c r="GM19">
        <v>37383.9</v>
      </c>
      <c r="GN19">
        <v>41141</v>
      </c>
      <c r="GO19">
        <v>41681.2</v>
      </c>
      <c r="GP19">
        <v>1.73727</v>
      </c>
      <c r="GQ19">
        <v>2.02273</v>
      </c>
      <c r="GR19">
        <v>-0.0261478</v>
      </c>
      <c r="GS19">
        <v>0</v>
      </c>
      <c r="GT19">
        <v>30.442</v>
      </c>
      <c r="GU19">
        <v>999.9</v>
      </c>
      <c r="GV19">
        <v>51</v>
      </c>
      <c r="GW19">
        <v>30.5</v>
      </c>
      <c r="GX19">
        <v>24.7345</v>
      </c>
      <c r="GY19">
        <v>63.6884</v>
      </c>
      <c r="GZ19">
        <v>29.0785</v>
      </c>
      <c r="HA19">
        <v>1</v>
      </c>
      <c r="HB19">
        <v>0.289106</v>
      </c>
      <c r="HC19">
        <v>-0.140114</v>
      </c>
      <c r="HD19">
        <v>20.3809</v>
      </c>
      <c r="HE19">
        <v>5.22298</v>
      </c>
      <c r="HF19">
        <v>12.0099</v>
      </c>
      <c r="HG19">
        <v>4.98965</v>
      </c>
      <c r="HH19">
        <v>3.2895</v>
      </c>
      <c r="HI19">
        <v>2642.9</v>
      </c>
      <c r="HJ19">
        <v>9999</v>
      </c>
      <c r="HK19">
        <v>9999</v>
      </c>
      <c r="HL19">
        <v>48.9</v>
      </c>
      <c r="HM19">
        <v>1.86718</v>
      </c>
      <c r="HN19">
        <v>1.86615</v>
      </c>
      <c r="HO19">
        <v>1.86569</v>
      </c>
      <c r="HP19">
        <v>1.86556</v>
      </c>
      <c r="HQ19">
        <v>1.86738</v>
      </c>
      <c r="HR19">
        <v>1.86996</v>
      </c>
      <c r="HS19">
        <v>1.86859</v>
      </c>
      <c r="HT19">
        <v>1.86996</v>
      </c>
      <c r="HU19">
        <v>0</v>
      </c>
      <c r="HV19">
        <v>0</v>
      </c>
      <c r="HW19">
        <v>0</v>
      </c>
      <c r="HX19">
        <v>0</v>
      </c>
      <c r="HY19" t="s">
        <v>421</v>
      </c>
      <c r="HZ19" t="s">
        <v>422</v>
      </c>
      <c r="IA19" t="s">
        <v>423</v>
      </c>
      <c r="IB19" t="s">
        <v>423</v>
      </c>
      <c r="IC19" t="s">
        <v>423</v>
      </c>
      <c r="ID19" t="s">
        <v>423</v>
      </c>
      <c r="IE19">
        <v>0</v>
      </c>
      <c r="IF19">
        <v>100</v>
      </c>
      <c r="IG19">
        <v>100</v>
      </c>
      <c r="IH19">
        <v>-0.892</v>
      </c>
      <c r="II19">
        <v>-0.158</v>
      </c>
      <c r="IJ19">
        <v>-0.4559777603752233</v>
      </c>
      <c r="IK19">
        <v>-0.002185601614162945</v>
      </c>
      <c r="IL19">
        <v>-2.252308143750626E-07</v>
      </c>
      <c r="IM19">
        <v>5.915558436307541E-11</v>
      </c>
      <c r="IN19">
        <v>-0.1424103837844712</v>
      </c>
      <c r="IO19">
        <v>-0.007570214193104963</v>
      </c>
      <c r="IP19">
        <v>0.0009214429922928372</v>
      </c>
      <c r="IQ19">
        <v>-1.392260276065805E-05</v>
      </c>
      <c r="IR19">
        <v>17</v>
      </c>
      <c r="IS19">
        <v>2272</v>
      </c>
      <c r="IT19">
        <v>1</v>
      </c>
      <c r="IU19">
        <v>31</v>
      </c>
      <c r="IV19">
        <v>1.9</v>
      </c>
      <c r="IW19">
        <v>1.5</v>
      </c>
      <c r="IX19">
        <v>0.6286620000000001</v>
      </c>
      <c r="IY19">
        <v>2.229</v>
      </c>
      <c r="IZ19">
        <v>1.39648</v>
      </c>
      <c r="JA19">
        <v>2.35718</v>
      </c>
      <c r="JB19">
        <v>1.49536</v>
      </c>
      <c r="JC19">
        <v>2.25342</v>
      </c>
      <c r="JD19">
        <v>35.3133</v>
      </c>
      <c r="JE19">
        <v>15.9182</v>
      </c>
      <c r="JF19">
        <v>18</v>
      </c>
      <c r="JG19">
        <v>397.021</v>
      </c>
      <c r="JH19">
        <v>563.683</v>
      </c>
      <c r="JI19">
        <v>30.6152</v>
      </c>
      <c r="JJ19">
        <v>31.1202</v>
      </c>
      <c r="JK19">
        <v>30.0006</v>
      </c>
      <c r="JL19">
        <v>30.9183</v>
      </c>
      <c r="JM19">
        <v>30.8002</v>
      </c>
      <c r="JN19">
        <v>12.5747</v>
      </c>
      <c r="JO19">
        <v>63.0846</v>
      </c>
      <c r="JP19">
        <v>0</v>
      </c>
      <c r="JQ19">
        <v>30.5503</v>
      </c>
      <c r="JR19">
        <v>220</v>
      </c>
      <c r="JS19">
        <v>6.41798</v>
      </c>
      <c r="JT19">
        <v>99.9132</v>
      </c>
      <c r="JU19">
        <v>100.066</v>
      </c>
    </row>
    <row r="20" spans="1:281">
      <c r="A20">
        <v>4</v>
      </c>
      <c r="B20">
        <v>1652368455.1</v>
      </c>
      <c r="C20">
        <v>361.5</v>
      </c>
      <c r="D20" t="s">
        <v>433</v>
      </c>
      <c r="E20" t="s">
        <v>434</v>
      </c>
      <c r="F20">
        <v>5</v>
      </c>
      <c r="G20" t="s">
        <v>413</v>
      </c>
      <c r="H20" t="s">
        <v>414</v>
      </c>
      <c r="I20">
        <v>1652368447.099999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120.970055147694</v>
      </c>
      <c r="AK20">
        <v>113.4536363636362</v>
      </c>
      <c r="AL20">
        <v>0.0005066982870687949</v>
      </c>
      <c r="AM20">
        <v>65.97645279185586</v>
      </c>
      <c r="AN20">
        <f>(AP20 - AO20 + DI20*1E3/(8.314*(DK20+273.15)) * AR20/DH20 * AQ20) * DH20/(100*CV20) * 1000/(1000 - AP20)</f>
        <v>0</v>
      </c>
      <c r="AO20">
        <v>7.756531622603694</v>
      </c>
      <c r="AP20">
        <v>25.84977622377624</v>
      </c>
      <c r="AQ20">
        <v>-0.01115742895868411</v>
      </c>
      <c r="AR20">
        <v>80.85475166080883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415</v>
      </c>
      <c r="AY20">
        <v>10510</v>
      </c>
      <c r="AZ20">
        <v>590.42</v>
      </c>
      <c r="BA20">
        <v>2650.6</v>
      </c>
      <c r="BB20">
        <f>1-AZ20/BA20</f>
        <v>0</v>
      </c>
      <c r="BC20">
        <v>-1.816883183993991</v>
      </c>
      <c r="BD20" t="s">
        <v>435</v>
      </c>
      <c r="BE20">
        <v>10380</v>
      </c>
      <c r="BF20">
        <v>935.2662800000002</v>
      </c>
      <c r="BG20">
        <v>1196.5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1375</v>
      </c>
      <c r="CA20">
        <v>300</v>
      </c>
      <c r="CB20">
        <v>300</v>
      </c>
      <c r="CC20">
        <v>300</v>
      </c>
      <c r="CD20">
        <v>10380</v>
      </c>
      <c r="CE20">
        <v>1158.12</v>
      </c>
      <c r="CF20">
        <v>-0.00730676</v>
      </c>
      <c r="CG20">
        <v>3.39</v>
      </c>
      <c r="CH20" t="s">
        <v>417</v>
      </c>
      <c r="CI20" t="s">
        <v>417</v>
      </c>
      <c r="CJ20" t="s">
        <v>417</v>
      </c>
      <c r="CK20" t="s">
        <v>417</v>
      </c>
      <c r="CL20" t="s">
        <v>417</v>
      </c>
      <c r="CM20" t="s">
        <v>417</v>
      </c>
      <c r="CN20" t="s">
        <v>417</v>
      </c>
      <c r="CO20" t="s">
        <v>417</v>
      </c>
      <c r="CP20" t="s">
        <v>417</v>
      </c>
      <c r="CQ20" t="s">
        <v>417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418</v>
      </c>
      <c r="CY20">
        <v>2</v>
      </c>
      <c r="CZ20" t="b">
        <v>1</v>
      </c>
      <c r="DA20">
        <v>1652368447.099999</v>
      </c>
      <c r="DB20">
        <v>110.404935483871</v>
      </c>
      <c r="DC20">
        <v>119.9885806451613</v>
      </c>
      <c r="DD20">
        <v>25.7136</v>
      </c>
      <c r="DE20">
        <v>7.755812903225807</v>
      </c>
      <c r="DF20">
        <v>111.134935483871</v>
      </c>
      <c r="DG20">
        <v>25.8666</v>
      </c>
      <c r="DH20">
        <v>400.0968709677419</v>
      </c>
      <c r="DI20">
        <v>90.38226129032259</v>
      </c>
      <c r="DJ20">
        <v>0.1000269838709677</v>
      </c>
      <c r="DK20">
        <v>31.75710967741936</v>
      </c>
      <c r="DL20">
        <v>29.91664516129032</v>
      </c>
      <c r="DM20">
        <v>999.9000000000003</v>
      </c>
      <c r="DN20">
        <v>0</v>
      </c>
      <c r="DO20">
        <v>0</v>
      </c>
      <c r="DP20">
        <v>10002.24</v>
      </c>
      <c r="DQ20">
        <v>0</v>
      </c>
      <c r="DR20">
        <v>684.1785161290322</v>
      </c>
      <c r="DS20">
        <v>-9.49867129032258</v>
      </c>
      <c r="DT20">
        <v>113.4279677419355</v>
      </c>
      <c r="DU20">
        <v>120.9264838709677</v>
      </c>
      <c r="DV20">
        <v>18.14594838709677</v>
      </c>
      <c r="DW20">
        <v>119.9885806451613</v>
      </c>
      <c r="DX20">
        <v>7.755812903225807</v>
      </c>
      <c r="DY20">
        <v>2.34106</v>
      </c>
      <c r="DZ20">
        <v>0.700987806451613</v>
      </c>
      <c r="EA20">
        <v>19.96173225806452</v>
      </c>
      <c r="EB20">
        <v>1.846103870967742</v>
      </c>
      <c r="EC20">
        <v>1500.035806451614</v>
      </c>
      <c r="ED20">
        <v>0.9729945161290321</v>
      </c>
      <c r="EE20">
        <v>0.02700537741935483</v>
      </c>
      <c r="EF20">
        <v>0</v>
      </c>
      <c r="EG20">
        <v>936.0055806451614</v>
      </c>
      <c r="EH20">
        <v>5.000969999999999</v>
      </c>
      <c r="EI20">
        <v>14934.07741935484</v>
      </c>
      <c r="EJ20">
        <v>12491.87741935484</v>
      </c>
      <c r="EK20">
        <v>40.875</v>
      </c>
      <c r="EL20">
        <v>42.49593548387096</v>
      </c>
      <c r="EM20">
        <v>41.06606451612901</v>
      </c>
      <c r="EN20">
        <v>42.31606451612901</v>
      </c>
      <c r="EO20">
        <v>42.02400000000001</v>
      </c>
      <c r="EP20">
        <v>1454.66064516129</v>
      </c>
      <c r="EQ20">
        <v>40.37516129032259</v>
      </c>
      <c r="ER20">
        <v>0</v>
      </c>
      <c r="ES20">
        <v>126.2000000476837</v>
      </c>
      <c r="ET20">
        <v>0</v>
      </c>
      <c r="EU20">
        <v>935.2662800000002</v>
      </c>
      <c r="EV20">
        <v>-46.00899992052248</v>
      </c>
      <c r="EW20">
        <v>-869.3461526554947</v>
      </c>
      <c r="EX20">
        <v>14920.256</v>
      </c>
      <c r="EY20">
        <v>15</v>
      </c>
      <c r="EZ20">
        <v>1652368495.6</v>
      </c>
      <c r="FA20" t="s">
        <v>436</v>
      </c>
      <c r="FB20">
        <v>1652368481.1</v>
      </c>
      <c r="FC20">
        <v>1652368495.6</v>
      </c>
      <c r="FD20">
        <v>4</v>
      </c>
      <c r="FE20">
        <v>-0.064</v>
      </c>
      <c r="FF20">
        <v>0</v>
      </c>
      <c r="FG20">
        <v>-0.73</v>
      </c>
      <c r="FH20">
        <v>-0.153</v>
      </c>
      <c r="FI20">
        <v>120</v>
      </c>
      <c r="FJ20">
        <v>8</v>
      </c>
      <c r="FK20">
        <v>0.12</v>
      </c>
      <c r="FL20">
        <v>0.01</v>
      </c>
      <c r="FM20">
        <v>-9.50717525</v>
      </c>
      <c r="FN20">
        <v>0.03700356472796888</v>
      </c>
      <c r="FO20">
        <v>0.02869494824768812</v>
      </c>
      <c r="FP20">
        <v>-1</v>
      </c>
      <c r="FQ20">
        <v>18.1678425</v>
      </c>
      <c r="FR20">
        <v>-0.4624063789869114</v>
      </c>
      <c r="FS20">
        <v>0.04529724543225598</v>
      </c>
      <c r="FT20">
        <v>1</v>
      </c>
      <c r="FU20">
        <v>0</v>
      </c>
      <c r="FV20">
        <v>0</v>
      </c>
      <c r="FW20">
        <v>0</v>
      </c>
      <c r="FX20">
        <v>-1</v>
      </c>
      <c r="FY20">
        <v>1</v>
      </c>
      <c r="FZ20">
        <v>1</v>
      </c>
      <c r="GA20" t="s">
        <v>420</v>
      </c>
      <c r="GB20">
        <v>2.69479</v>
      </c>
      <c r="GC20">
        <v>2.70525</v>
      </c>
      <c r="GD20">
        <v>0.029139</v>
      </c>
      <c r="GE20">
        <v>0.0310708</v>
      </c>
      <c r="GF20">
        <v>0.111535</v>
      </c>
      <c r="GG20">
        <v>0.0454459</v>
      </c>
      <c r="GH20">
        <v>30491</v>
      </c>
      <c r="GI20">
        <v>30580.9</v>
      </c>
      <c r="GJ20">
        <v>29219.1</v>
      </c>
      <c r="GK20">
        <v>29208.7</v>
      </c>
      <c r="GL20">
        <v>34369.1</v>
      </c>
      <c r="GM20">
        <v>37105.9</v>
      </c>
      <c r="GN20">
        <v>41124.6</v>
      </c>
      <c r="GO20">
        <v>41661</v>
      </c>
      <c r="GP20">
        <v>1.73323</v>
      </c>
      <c r="GQ20">
        <v>2.01918</v>
      </c>
      <c r="GR20">
        <v>-0.0136569</v>
      </c>
      <c r="GS20">
        <v>0</v>
      </c>
      <c r="GT20">
        <v>30.1266</v>
      </c>
      <c r="GU20">
        <v>999.9</v>
      </c>
      <c r="GV20">
        <v>50.5</v>
      </c>
      <c r="GW20">
        <v>30.7</v>
      </c>
      <c r="GX20">
        <v>24.7801</v>
      </c>
      <c r="GY20">
        <v>63.4984</v>
      </c>
      <c r="GZ20">
        <v>29.5032</v>
      </c>
      <c r="HA20">
        <v>1</v>
      </c>
      <c r="HB20">
        <v>0.311667</v>
      </c>
      <c r="HC20">
        <v>0.0263344</v>
      </c>
      <c r="HD20">
        <v>20.3813</v>
      </c>
      <c r="HE20">
        <v>5.22298</v>
      </c>
      <c r="HF20">
        <v>12.0099</v>
      </c>
      <c r="HG20">
        <v>4.9901</v>
      </c>
      <c r="HH20">
        <v>3.28965</v>
      </c>
      <c r="HI20">
        <v>2645.3</v>
      </c>
      <c r="HJ20">
        <v>9999</v>
      </c>
      <c r="HK20">
        <v>9999</v>
      </c>
      <c r="HL20">
        <v>49</v>
      </c>
      <c r="HM20">
        <v>1.86722</v>
      </c>
      <c r="HN20">
        <v>1.86615</v>
      </c>
      <c r="HO20">
        <v>1.8657</v>
      </c>
      <c r="HP20">
        <v>1.86566</v>
      </c>
      <c r="HQ20">
        <v>1.86739</v>
      </c>
      <c r="HR20">
        <v>1.86996</v>
      </c>
      <c r="HS20">
        <v>1.86859</v>
      </c>
      <c r="HT20">
        <v>1.86996</v>
      </c>
      <c r="HU20">
        <v>0</v>
      </c>
      <c r="HV20">
        <v>0</v>
      </c>
      <c r="HW20">
        <v>0</v>
      </c>
      <c r="HX20">
        <v>0</v>
      </c>
      <c r="HY20" t="s">
        <v>421</v>
      </c>
      <c r="HZ20" t="s">
        <v>422</v>
      </c>
      <c r="IA20" t="s">
        <v>423</v>
      </c>
      <c r="IB20" t="s">
        <v>423</v>
      </c>
      <c r="IC20" t="s">
        <v>423</v>
      </c>
      <c r="ID20" t="s">
        <v>423</v>
      </c>
      <c r="IE20">
        <v>0</v>
      </c>
      <c r="IF20">
        <v>100</v>
      </c>
      <c r="IG20">
        <v>100</v>
      </c>
      <c r="IH20">
        <v>-0.73</v>
      </c>
      <c r="II20">
        <v>-0.153</v>
      </c>
      <c r="IJ20">
        <v>-0.3994091894437459</v>
      </c>
      <c r="IK20">
        <v>-0.002185601614162945</v>
      </c>
      <c r="IL20">
        <v>-2.252308143750626E-07</v>
      </c>
      <c r="IM20">
        <v>5.915558436307541E-11</v>
      </c>
      <c r="IN20">
        <v>-0.1445904840661923</v>
      </c>
      <c r="IO20">
        <v>-0.007570214193104963</v>
      </c>
      <c r="IP20">
        <v>0.0009214429922928372</v>
      </c>
      <c r="IQ20">
        <v>-1.392260276065805E-05</v>
      </c>
      <c r="IR20">
        <v>17</v>
      </c>
      <c r="IS20">
        <v>2272</v>
      </c>
      <c r="IT20">
        <v>1</v>
      </c>
      <c r="IU20">
        <v>31</v>
      </c>
      <c r="IV20">
        <v>1.8</v>
      </c>
      <c r="IW20">
        <v>1.4</v>
      </c>
      <c r="IX20">
        <v>0.413818</v>
      </c>
      <c r="IY20">
        <v>2.25952</v>
      </c>
      <c r="IZ20">
        <v>1.39648</v>
      </c>
      <c r="JA20">
        <v>2.35718</v>
      </c>
      <c r="JB20">
        <v>1.49536</v>
      </c>
      <c r="JC20">
        <v>2.35352</v>
      </c>
      <c r="JD20">
        <v>35.4986</v>
      </c>
      <c r="JE20">
        <v>15.9182</v>
      </c>
      <c r="JF20">
        <v>18</v>
      </c>
      <c r="JG20">
        <v>396.457</v>
      </c>
      <c r="JH20">
        <v>563.345</v>
      </c>
      <c r="JI20">
        <v>30.4894</v>
      </c>
      <c r="JJ20">
        <v>31.4074</v>
      </c>
      <c r="JK20">
        <v>30</v>
      </c>
      <c r="JL20">
        <v>31.1908</v>
      </c>
      <c r="JM20">
        <v>31.049</v>
      </c>
      <c r="JN20">
        <v>8.26267</v>
      </c>
      <c r="JO20">
        <v>58.3498</v>
      </c>
      <c r="JP20">
        <v>0</v>
      </c>
      <c r="JQ20">
        <v>30.5599</v>
      </c>
      <c r="JR20">
        <v>120</v>
      </c>
      <c r="JS20">
        <v>7.95153</v>
      </c>
      <c r="JT20">
        <v>99.8732</v>
      </c>
      <c r="JU20">
        <v>100.018</v>
      </c>
    </row>
    <row r="21" spans="1:281">
      <c r="A21">
        <v>5</v>
      </c>
      <c r="B21">
        <v>1652368557</v>
      </c>
      <c r="C21">
        <v>463.4000000953674</v>
      </c>
      <c r="D21" t="s">
        <v>437</v>
      </c>
      <c r="E21" t="s">
        <v>438</v>
      </c>
      <c r="F21">
        <v>5</v>
      </c>
      <c r="G21" t="s">
        <v>413</v>
      </c>
      <c r="H21" t="s">
        <v>414</v>
      </c>
      <c r="I21">
        <v>1652368549.25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50.44582982680748</v>
      </c>
      <c r="AK21">
        <v>51.93731030303029</v>
      </c>
      <c r="AL21">
        <v>0.0008313911206093552</v>
      </c>
      <c r="AM21">
        <v>65.97504897675117</v>
      </c>
      <c r="AN21">
        <f>(AP21 - AO21 + DI21*1E3/(8.314*(DK21+273.15)) * AR21/DH21 * AQ21) * DH21/(100*CV21) * 1000/(1000 - AP21)</f>
        <v>0</v>
      </c>
      <c r="AO21">
        <v>8.977191578057386</v>
      </c>
      <c r="AP21">
        <v>25.78471678321679</v>
      </c>
      <c r="AQ21">
        <v>-0.0001000313279731092</v>
      </c>
      <c r="AR21">
        <v>80.8715297122275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415</v>
      </c>
      <c r="AY21">
        <v>10510</v>
      </c>
      <c r="AZ21">
        <v>590.42</v>
      </c>
      <c r="BA21">
        <v>2650.6</v>
      </c>
      <c r="BB21">
        <f>1-AZ21/BA21</f>
        <v>0</v>
      </c>
      <c r="BC21">
        <v>-1.816883183993991</v>
      </c>
      <c r="BD21" t="s">
        <v>439</v>
      </c>
      <c r="BE21">
        <v>10379.9</v>
      </c>
      <c r="BF21">
        <v>884.78752</v>
      </c>
      <c r="BG21">
        <v>1080.72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1376</v>
      </c>
      <c r="CA21">
        <v>300</v>
      </c>
      <c r="CB21">
        <v>300</v>
      </c>
      <c r="CC21">
        <v>300</v>
      </c>
      <c r="CD21">
        <v>10379.9</v>
      </c>
      <c r="CE21">
        <v>1054.48</v>
      </c>
      <c r="CF21">
        <v>-0.00730654</v>
      </c>
      <c r="CG21">
        <v>3.65</v>
      </c>
      <c r="CH21" t="s">
        <v>417</v>
      </c>
      <c r="CI21" t="s">
        <v>417</v>
      </c>
      <c r="CJ21" t="s">
        <v>417</v>
      </c>
      <c r="CK21" t="s">
        <v>417</v>
      </c>
      <c r="CL21" t="s">
        <v>417</v>
      </c>
      <c r="CM21" t="s">
        <v>417</v>
      </c>
      <c r="CN21" t="s">
        <v>417</v>
      </c>
      <c r="CO21" t="s">
        <v>417</v>
      </c>
      <c r="CP21" t="s">
        <v>417</v>
      </c>
      <c r="CQ21" t="s">
        <v>417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418</v>
      </c>
      <c r="CY21">
        <v>2</v>
      </c>
      <c r="CZ21" t="b">
        <v>1</v>
      </c>
      <c r="DA21">
        <v>1652368549.25</v>
      </c>
      <c r="DB21">
        <v>50.53531999999999</v>
      </c>
      <c r="DC21">
        <v>49.98168666666667</v>
      </c>
      <c r="DD21">
        <v>25.61526333333333</v>
      </c>
      <c r="DE21">
        <v>8.968368333333332</v>
      </c>
      <c r="DF21">
        <v>51.21331999999999</v>
      </c>
      <c r="DG21">
        <v>25.76126333333333</v>
      </c>
      <c r="DH21">
        <v>400.0792</v>
      </c>
      <c r="DI21">
        <v>90.38230333333334</v>
      </c>
      <c r="DJ21">
        <v>0.09998957666666668</v>
      </c>
      <c r="DK21">
        <v>31.74628333333333</v>
      </c>
      <c r="DL21">
        <v>29.94224</v>
      </c>
      <c r="DM21">
        <v>999.9000000000002</v>
      </c>
      <c r="DN21">
        <v>0</v>
      </c>
      <c r="DO21">
        <v>0</v>
      </c>
      <c r="DP21">
        <v>10001.289</v>
      </c>
      <c r="DQ21">
        <v>0</v>
      </c>
      <c r="DR21">
        <v>761.7626333333333</v>
      </c>
      <c r="DS21">
        <v>0.6556601</v>
      </c>
      <c r="DT21">
        <v>51.97815</v>
      </c>
      <c r="DU21">
        <v>50.43400666666667</v>
      </c>
      <c r="DV21">
        <v>16.82713</v>
      </c>
      <c r="DW21">
        <v>49.98168666666667</v>
      </c>
      <c r="DX21">
        <v>8.968368333333332</v>
      </c>
      <c r="DY21">
        <v>2.331457333333334</v>
      </c>
      <c r="DZ21">
        <v>0.8105817333333333</v>
      </c>
      <c r="EA21">
        <v>19.89540333333333</v>
      </c>
      <c r="EB21">
        <v>3.893888333333334</v>
      </c>
      <c r="EC21">
        <v>1500.000333333333</v>
      </c>
      <c r="ED21">
        <v>0.9729918666666663</v>
      </c>
      <c r="EE21">
        <v>0.02700785333333332</v>
      </c>
      <c r="EF21">
        <v>0</v>
      </c>
      <c r="EG21">
        <v>884.8824333333333</v>
      </c>
      <c r="EH21">
        <v>5.000969999999999</v>
      </c>
      <c r="EI21">
        <v>14259.01333333333</v>
      </c>
      <c r="EJ21">
        <v>12491.57</v>
      </c>
      <c r="EK21">
        <v>40.71219999999998</v>
      </c>
      <c r="EL21">
        <v>42.23739999999999</v>
      </c>
      <c r="EM21">
        <v>40.93699999999998</v>
      </c>
      <c r="EN21">
        <v>42.14153333333334</v>
      </c>
      <c r="EO21">
        <v>41.88739999999999</v>
      </c>
      <c r="EP21">
        <v>1454.624333333334</v>
      </c>
      <c r="EQ21">
        <v>40.37600000000002</v>
      </c>
      <c r="ER21">
        <v>0</v>
      </c>
      <c r="ES21">
        <v>101.4000000953674</v>
      </c>
      <c r="ET21">
        <v>0</v>
      </c>
      <c r="EU21">
        <v>884.78752</v>
      </c>
      <c r="EV21">
        <v>-17.28138460957026</v>
      </c>
      <c r="EW21">
        <v>-565.3923076085505</v>
      </c>
      <c r="EX21">
        <v>14255.216</v>
      </c>
      <c r="EY21">
        <v>15</v>
      </c>
      <c r="EZ21">
        <v>1652368591</v>
      </c>
      <c r="FA21" t="s">
        <v>440</v>
      </c>
      <c r="FB21">
        <v>1652368586</v>
      </c>
      <c r="FC21">
        <v>1652368591</v>
      </c>
      <c r="FD21">
        <v>5</v>
      </c>
      <c r="FE21">
        <v>-0.103</v>
      </c>
      <c r="FF21">
        <v>0</v>
      </c>
      <c r="FG21">
        <v>-0.678</v>
      </c>
      <c r="FH21">
        <v>-0.146</v>
      </c>
      <c r="FI21">
        <v>50</v>
      </c>
      <c r="FJ21">
        <v>9</v>
      </c>
      <c r="FK21">
        <v>0.45</v>
      </c>
      <c r="FL21">
        <v>0.01</v>
      </c>
      <c r="FM21">
        <v>0.7462056097560976</v>
      </c>
      <c r="FN21">
        <v>-1.486443316949654</v>
      </c>
      <c r="FO21">
        <v>0.1599790066791353</v>
      </c>
      <c r="FP21">
        <v>-1</v>
      </c>
      <c r="FQ21">
        <v>16.84795365853658</v>
      </c>
      <c r="FR21">
        <v>-0.406441469355532</v>
      </c>
      <c r="FS21">
        <v>0.04137162983141687</v>
      </c>
      <c r="FT21">
        <v>1</v>
      </c>
      <c r="FU21">
        <v>0</v>
      </c>
      <c r="FV21">
        <v>0</v>
      </c>
      <c r="FW21">
        <v>0</v>
      </c>
      <c r="FX21">
        <v>-1</v>
      </c>
      <c r="FY21">
        <v>1</v>
      </c>
      <c r="FZ21">
        <v>1</v>
      </c>
      <c r="GA21" t="s">
        <v>420</v>
      </c>
      <c r="GB21">
        <v>2.69494</v>
      </c>
      <c r="GC21">
        <v>2.705</v>
      </c>
      <c r="GD21">
        <v>0.0135658</v>
      </c>
      <c r="GE21">
        <v>0.0131344</v>
      </c>
      <c r="GF21">
        <v>0.111351</v>
      </c>
      <c r="GG21">
        <v>0.0512317</v>
      </c>
      <c r="GH21">
        <v>30986</v>
      </c>
      <c r="GI21">
        <v>31153.8</v>
      </c>
      <c r="GJ21">
        <v>29224.5</v>
      </c>
      <c r="GK21">
        <v>29215</v>
      </c>
      <c r="GL21">
        <v>34382.6</v>
      </c>
      <c r="GM21">
        <v>36889.1</v>
      </c>
      <c r="GN21">
        <v>41132.6</v>
      </c>
      <c r="GO21">
        <v>41670.8</v>
      </c>
      <c r="GP21">
        <v>1.73245</v>
      </c>
      <c r="GQ21">
        <v>2.02148</v>
      </c>
      <c r="GR21">
        <v>0.0179783</v>
      </c>
      <c r="GS21">
        <v>0</v>
      </c>
      <c r="GT21">
        <v>29.6519</v>
      </c>
      <c r="GU21">
        <v>999.9</v>
      </c>
      <c r="GV21">
        <v>50</v>
      </c>
      <c r="GW21">
        <v>30.8</v>
      </c>
      <c r="GX21">
        <v>24.6753</v>
      </c>
      <c r="GY21">
        <v>63.4984</v>
      </c>
      <c r="GZ21">
        <v>28.9543</v>
      </c>
      <c r="HA21">
        <v>1</v>
      </c>
      <c r="HB21">
        <v>0.303864</v>
      </c>
      <c r="HC21">
        <v>-0.695569</v>
      </c>
      <c r="HD21">
        <v>20.3799</v>
      </c>
      <c r="HE21">
        <v>5.22373</v>
      </c>
      <c r="HF21">
        <v>12.0099</v>
      </c>
      <c r="HG21">
        <v>4.99035</v>
      </c>
      <c r="HH21">
        <v>3.2897</v>
      </c>
      <c r="HI21">
        <v>2647</v>
      </c>
      <c r="HJ21">
        <v>9999</v>
      </c>
      <c r="HK21">
        <v>9999</v>
      </c>
      <c r="HL21">
        <v>49</v>
      </c>
      <c r="HM21">
        <v>1.86719</v>
      </c>
      <c r="HN21">
        <v>1.86615</v>
      </c>
      <c r="HO21">
        <v>1.86571</v>
      </c>
      <c r="HP21">
        <v>1.8656</v>
      </c>
      <c r="HQ21">
        <v>1.86738</v>
      </c>
      <c r="HR21">
        <v>1.86996</v>
      </c>
      <c r="HS21">
        <v>1.86859</v>
      </c>
      <c r="HT21">
        <v>1.86996</v>
      </c>
      <c r="HU21">
        <v>0</v>
      </c>
      <c r="HV21">
        <v>0</v>
      </c>
      <c r="HW21">
        <v>0</v>
      </c>
      <c r="HX21">
        <v>0</v>
      </c>
      <c r="HY21" t="s">
        <v>421</v>
      </c>
      <c r="HZ21" t="s">
        <v>422</v>
      </c>
      <c r="IA21" t="s">
        <v>423</v>
      </c>
      <c r="IB21" t="s">
        <v>423</v>
      </c>
      <c r="IC21" t="s">
        <v>423</v>
      </c>
      <c r="ID21" t="s">
        <v>423</v>
      </c>
      <c r="IE21">
        <v>0</v>
      </c>
      <c r="IF21">
        <v>100</v>
      </c>
      <c r="IG21">
        <v>100</v>
      </c>
      <c r="IH21">
        <v>-0.678</v>
      </c>
      <c r="II21">
        <v>-0.146</v>
      </c>
      <c r="IJ21">
        <v>-0.4634507358332463</v>
      </c>
      <c r="IK21">
        <v>-0.002185601614162945</v>
      </c>
      <c r="IL21">
        <v>-2.252308143750626E-07</v>
      </c>
      <c r="IM21">
        <v>5.915558436307541E-11</v>
      </c>
      <c r="IN21">
        <v>-0.1442277970226823</v>
      </c>
      <c r="IO21">
        <v>-0.007570214193104963</v>
      </c>
      <c r="IP21">
        <v>0.0009214429922928372</v>
      </c>
      <c r="IQ21">
        <v>-1.392260276065805E-05</v>
      </c>
      <c r="IR21">
        <v>17</v>
      </c>
      <c r="IS21">
        <v>2272</v>
      </c>
      <c r="IT21">
        <v>1</v>
      </c>
      <c r="IU21">
        <v>31</v>
      </c>
      <c r="IV21">
        <v>1.3</v>
      </c>
      <c r="IW21">
        <v>1</v>
      </c>
      <c r="IX21">
        <v>0.262451</v>
      </c>
      <c r="IY21">
        <v>2.30103</v>
      </c>
      <c r="IZ21">
        <v>1.39648</v>
      </c>
      <c r="JA21">
        <v>2.35718</v>
      </c>
      <c r="JB21">
        <v>1.49536</v>
      </c>
      <c r="JC21">
        <v>2.26562</v>
      </c>
      <c r="JD21">
        <v>35.5451</v>
      </c>
      <c r="JE21">
        <v>15.9007</v>
      </c>
      <c r="JF21">
        <v>18</v>
      </c>
      <c r="JG21">
        <v>396.087</v>
      </c>
      <c r="JH21">
        <v>565.114</v>
      </c>
      <c r="JI21">
        <v>31.5185</v>
      </c>
      <c r="JJ21">
        <v>31.3622</v>
      </c>
      <c r="JK21">
        <v>29.9995</v>
      </c>
      <c r="JL21">
        <v>31.1995</v>
      </c>
      <c r="JM21">
        <v>31.0527</v>
      </c>
      <c r="JN21">
        <v>5.25242</v>
      </c>
      <c r="JO21">
        <v>54.7244</v>
      </c>
      <c r="JP21">
        <v>0</v>
      </c>
      <c r="JQ21">
        <v>31.5535</v>
      </c>
      <c r="JR21">
        <v>50</v>
      </c>
      <c r="JS21">
        <v>9.12457</v>
      </c>
      <c r="JT21">
        <v>99.89230000000001</v>
      </c>
      <c r="JU21">
        <v>100.041</v>
      </c>
    </row>
    <row r="22" spans="1:281">
      <c r="A22">
        <v>6</v>
      </c>
      <c r="B22">
        <v>1652368682</v>
      </c>
      <c r="C22">
        <v>588.4000000953674</v>
      </c>
      <c r="D22" t="s">
        <v>441</v>
      </c>
      <c r="E22" t="s">
        <v>442</v>
      </c>
      <c r="F22">
        <v>5</v>
      </c>
      <c r="G22" t="s">
        <v>413</v>
      </c>
      <c r="H22" t="s">
        <v>414</v>
      </c>
      <c r="I22">
        <v>1652368674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424.4503914245601</v>
      </c>
      <c r="AK22">
        <v>386.499818181818</v>
      </c>
      <c r="AL22">
        <v>0.04449460187240107</v>
      </c>
      <c r="AM22">
        <v>65.97026814599171</v>
      </c>
      <c r="AN22">
        <f>(AP22 - AO22 + DI22*1E3/(8.314*(DK22+273.15)) * AR22/DH22 * AQ22) * DH22/(100*CV22) * 1000/(1000 - AP22)</f>
        <v>0</v>
      </c>
      <c r="AO22">
        <v>10.52894951229338</v>
      </c>
      <c r="AP22">
        <v>25.75677622377622</v>
      </c>
      <c r="AQ22">
        <v>-0.005567141183837506</v>
      </c>
      <c r="AR22">
        <v>80.93072501759374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415</v>
      </c>
      <c r="AY22">
        <v>10510</v>
      </c>
      <c r="AZ22">
        <v>590.42</v>
      </c>
      <c r="BA22">
        <v>2650.6</v>
      </c>
      <c r="BB22">
        <f>1-AZ22/BA22</f>
        <v>0</v>
      </c>
      <c r="BC22">
        <v>-1.816883183993991</v>
      </c>
      <c r="BD22" t="s">
        <v>443</v>
      </c>
      <c r="BE22">
        <v>10383</v>
      </c>
      <c r="BF22">
        <v>975.454</v>
      </c>
      <c r="BG22">
        <v>1387.68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1377</v>
      </c>
      <c r="CA22">
        <v>300</v>
      </c>
      <c r="CB22">
        <v>300</v>
      </c>
      <c r="CC22">
        <v>300</v>
      </c>
      <c r="CD22">
        <v>10383</v>
      </c>
      <c r="CE22">
        <v>1316.85</v>
      </c>
      <c r="CF22">
        <v>-0.0073093</v>
      </c>
      <c r="CG22">
        <v>3.33</v>
      </c>
      <c r="CH22" t="s">
        <v>417</v>
      </c>
      <c r="CI22" t="s">
        <v>417</v>
      </c>
      <c r="CJ22" t="s">
        <v>417</v>
      </c>
      <c r="CK22" t="s">
        <v>417</v>
      </c>
      <c r="CL22" t="s">
        <v>417</v>
      </c>
      <c r="CM22" t="s">
        <v>417</v>
      </c>
      <c r="CN22" t="s">
        <v>417</v>
      </c>
      <c r="CO22" t="s">
        <v>417</v>
      </c>
      <c r="CP22" t="s">
        <v>417</v>
      </c>
      <c r="CQ22" t="s">
        <v>417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418</v>
      </c>
      <c r="CY22">
        <v>2</v>
      </c>
      <c r="CZ22" t="b">
        <v>1</v>
      </c>
      <c r="DA22">
        <v>1652368674</v>
      </c>
      <c r="DB22">
        <v>376.2327741935484</v>
      </c>
      <c r="DC22">
        <v>419.9867741935484</v>
      </c>
      <c r="DD22">
        <v>25.63967096774193</v>
      </c>
      <c r="DE22">
        <v>10.47493225806452</v>
      </c>
      <c r="DF22">
        <v>377.6607741935484</v>
      </c>
      <c r="DG22">
        <v>25.76567096774193</v>
      </c>
      <c r="DH22">
        <v>400.0763548387097</v>
      </c>
      <c r="DI22">
        <v>90.38746451612904</v>
      </c>
      <c r="DJ22">
        <v>0.1000325161290323</v>
      </c>
      <c r="DK22">
        <v>31.8325870967742</v>
      </c>
      <c r="DL22">
        <v>30.05123225806451</v>
      </c>
      <c r="DM22">
        <v>999.9000000000003</v>
      </c>
      <c r="DN22">
        <v>0</v>
      </c>
      <c r="DO22">
        <v>0</v>
      </c>
      <c r="DP22">
        <v>9998.602903225807</v>
      </c>
      <c r="DQ22">
        <v>0</v>
      </c>
      <c r="DR22">
        <v>527.4257741935484</v>
      </c>
      <c r="DS22">
        <v>-43.74650967741935</v>
      </c>
      <c r="DT22">
        <v>386.2043870967743</v>
      </c>
      <c r="DU22">
        <v>424.4327419354838</v>
      </c>
      <c r="DV22">
        <v>15.32510967741935</v>
      </c>
      <c r="DW22">
        <v>419.9867741935484</v>
      </c>
      <c r="DX22">
        <v>10.47493225806452</v>
      </c>
      <c r="DY22">
        <v>2.331999677419355</v>
      </c>
      <c r="DZ22">
        <v>0.9468022580645161</v>
      </c>
      <c r="EA22">
        <v>19.89914838709678</v>
      </c>
      <c r="EB22">
        <v>6.122115161290322</v>
      </c>
      <c r="EC22">
        <v>1499.993225806452</v>
      </c>
      <c r="ED22">
        <v>0.9730049677419356</v>
      </c>
      <c r="EE22">
        <v>0.02699485483870967</v>
      </c>
      <c r="EF22">
        <v>0</v>
      </c>
      <c r="EG22">
        <v>975.4595483870969</v>
      </c>
      <c r="EH22">
        <v>5.000969999999999</v>
      </c>
      <c r="EI22">
        <v>15512.69032258065</v>
      </c>
      <c r="EJ22">
        <v>12491.55161290323</v>
      </c>
      <c r="EK22">
        <v>40.49187096774192</v>
      </c>
      <c r="EL22">
        <v>41.90499999999999</v>
      </c>
      <c r="EM22">
        <v>40.6890322580645</v>
      </c>
      <c r="EN22">
        <v>41.83435483870966</v>
      </c>
      <c r="EO22">
        <v>41.68299999999999</v>
      </c>
      <c r="EP22">
        <v>1454.632580645161</v>
      </c>
      <c r="EQ22">
        <v>40.35999999999998</v>
      </c>
      <c r="ER22">
        <v>0</v>
      </c>
      <c r="ES22">
        <v>124.6000001430511</v>
      </c>
      <c r="ET22">
        <v>0</v>
      </c>
      <c r="EU22">
        <v>975.454</v>
      </c>
      <c r="EV22">
        <v>-5.257299142738555</v>
      </c>
      <c r="EW22">
        <v>-69.83931673801852</v>
      </c>
      <c r="EX22">
        <v>15512.73846153846</v>
      </c>
      <c r="EY22">
        <v>15</v>
      </c>
      <c r="EZ22">
        <v>1652368722.5</v>
      </c>
      <c r="FA22" t="s">
        <v>444</v>
      </c>
      <c r="FB22">
        <v>1652368710.5</v>
      </c>
      <c r="FC22">
        <v>1652368722.5</v>
      </c>
      <c r="FD22">
        <v>6</v>
      </c>
      <c r="FE22">
        <v>0.095</v>
      </c>
      <c r="FF22">
        <v>0.01</v>
      </c>
      <c r="FG22">
        <v>-1.428</v>
      </c>
      <c r="FH22">
        <v>-0.126</v>
      </c>
      <c r="FI22">
        <v>420</v>
      </c>
      <c r="FJ22">
        <v>11</v>
      </c>
      <c r="FK22">
        <v>0.06</v>
      </c>
      <c r="FL22">
        <v>0.01</v>
      </c>
      <c r="FM22">
        <v>-43.87484500000001</v>
      </c>
      <c r="FN22">
        <v>2.269686303940067</v>
      </c>
      <c r="FO22">
        <v>0.2240414057155508</v>
      </c>
      <c r="FP22">
        <v>-1</v>
      </c>
      <c r="FQ22">
        <v>15.3970625</v>
      </c>
      <c r="FR22">
        <v>-1.30806866791746</v>
      </c>
      <c r="FS22">
        <v>0.1262667032267414</v>
      </c>
      <c r="FT22">
        <v>0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1</v>
      </c>
      <c r="GA22" t="s">
        <v>432</v>
      </c>
      <c r="GB22">
        <v>2.69519</v>
      </c>
      <c r="GC22">
        <v>2.70505</v>
      </c>
      <c r="GD22">
        <v>0.086045</v>
      </c>
      <c r="GE22">
        <v>0.09234059999999999</v>
      </c>
      <c r="GF22">
        <v>0.111314</v>
      </c>
      <c r="GG22">
        <v>0.0578472</v>
      </c>
      <c r="GH22">
        <v>28724.7</v>
      </c>
      <c r="GI22">
        <v>28666.7</v>
      </c>
      <c r="GJ22">
        <v>29238.7</v>
      </c>
      <c r="GK22">
        <v>29227.6</v>
      </c>
      <c r="GL22">
        <v>34401.1</v>
      </c>
      <c r="GM22">
        <v>36650.6</v>
      </c>
      <c r="GN22">
        <v>41152.4</v>
      </c>
      <c r="GO22">
        <v>41690.6</v>
      </c>
      <c r="GP22">
        <v>1.73315</v>
      </c>
      <c r="GQ22">
        <v>2.02793</v>
      </c>
      <c r="GR22">
        <v>0.0451505</v>
      </c>
      <c r="GS22">
        <v>0</v>
      </c>
      <c r="GT22">
        <v>29.3328</v>
      </c>
      <c r="GU22">
        <v>999.9</v>
      </c>
      <c r="GV22">
        <v>49.1</v>
      </c>
      <c r="GW22">
        <v>31</v>
      </c>
      <c r="GX22">
        <v>24.5085</v>
      </c>
      <c r="GY22">
        <v>63.6884</v>
      </c>
      <c r="GZ22">
        <v>28.8141</v>
      </c>
      <c r="HA22">
        <v>1</v>
      </c>
      <c r="HB22">
        <v>0.281644</v>
      </c>
      <c r="HC22">
        <v>-0.228897</v>
      </c>
      <c r="HD22">
        <v>20.382</v>
      </c>
      <c r="HE22">
        <v>5.22418</v>
      </c>
      <c r="HF22">
        <v>12.0099</v>
      </c>
      <c r="HG22">
        <v>4.99085</v>
      </c>
      <c r="HH22">
        <v>3.28973</v>
      </c>
      <c r="HI22">
        <v>2649.5</v>
      </c>
      <c r="HJ22">
        <v>9999</v>
      </c>
      <c r="HK22">
        <v>9999</v>
      </c>
      <c r="HL22">
        <v>49</v>
      </c>
      <c r="HM22">
        <v>1.86721</v>
      </c>
      <c r="HN22">
        <v>1.86615</v>
      </c>
      <c r="HO22">
        <v>1.8657</v>
      </c>
      <c r="HP22">
        <v>1.86563</v>
      </c>
      <c r="HQ22">
        <v>1.86739</v>
      </c>
      <c r="HR22">
        <v>1.86996</v>
      </c>
      <c r="HS22">
        <v>1.86859</v>
      </c>
      <c r="HT22">
        <v>1.86996</v>
      </c>
      <c r="HU22">
        <v>0</v>
      </c>
      <c r="HV22">
        <v>0</v>
      </c>
      <c r="HW22">
        <v>0</v>
      </c>
      <c r="HX22">
        <v>0</v>
      </c>
      <c r="HY22" t="s">
        <v>421</v>
      </c>
      <c r="HZ22" t="s">
        <v>422</v>
      </c>
      <c r="IA22" t="s">
        <v>423</v>
      </c>
      <c r="IB22" t="s">
        <v>423</v>
      </c>
      <c r="IC22" t="s">
        <v>423</v>
      </c>
      <c r="ID22" t="s">
        <v>423</v>
      </c>
      <c r="IE22">
        <v>0</v>
      </c>
      <c r="IF22">
        <v>100</v>
      </c>
      <c r="IG22">
        <v>100</v>
      </c>
      <c r="IH22">
        <v>-1.428</v>
      </c>
      <c r="II22">
        <v>-0.126</v>
      </c>
      <c r="IJ22">
        <v>-0.5662221302798114</v>
      </c>
      <c r="IK22">
        <v>-0.002185601614162945</v>
      </c>
      <c r="IL22">
        <v>-2.252308143750626E-07</v>
      </c>
      <c r="IM22">
        <v>5.915558436307541E-11</v>
      </c>
      <c r="IN22">
        <v>-0.1441556968127384</v>
      </c>
      <c r="IO22">
        <v>-0.007570214193104963</v>
      </c>
      <c r="IP22">
        <v>0.0009214429922928372</v>
      </c>
      <c r="IQ22">
        <v>-1.392260276065805E-05</v>
      </c>
      <c r="IR22">
        <v>17</v>
      </c>
      <c r="IS22">
        <v>2272</v>
      </c>
      <c r="IT22">
        <v>1</v>
      </c>
      <c r="IU22">
        <v>31</v>
      </c>
      <c r="IV22">
        <v>1.6</v>
      </c>
      <c r="IW22">
        <v>1.5</v>
      </c>
      <c r="IX22">
        <v>1.03882</v>
      </c>
      <c r="IY22">
        <v>2.23511</v>
      </c>
      <c r="IZ22">
        <v>1.39648</v>
      </c>
      <c r="JA22">
        <v>2.35718</v>
      </c>
      <c r="JB22">
        <v>1.49536</v>
      </c>
      <c r="JC22">
        <v>2.28027</v>
      </c>
      <c r="JD22">
        <v>35.5218</v>
      </c>
      <c r="JE22">
        <v>15.892</v>
      </c>
      <c r="JF22">
        <v>18</v>
      </c>
      <c r="JG22">
        <v>395.551</v>
      </c>
      <c r="JH22">
        <v>568.793</v>
      </c>
      <c r="JI22">
        <v>31.3032</v>
      </c>
      <c r="JJ22">
        <v>31.1265</v>
      </c>
      <c r="JK22">
        <v>29.9993</v>
      </c>
      <c r="JL22">
        <v>31.0465</v>
      </c>
      <c r="JM22">
        <v>30.925</v>
      </c>
      <c r="JN22">
        <v>20.7967</v>
      </c>
      <c r="JO22">
        <v>49.24</v>
      </c>
      <c r="JP22">
        <v>0</v>
      </c>
      <c r="JQ22">
        <v>31.2485</v>
      </c>
      <c r="JR22">
        <v>420</v>
      </c>
      <c r="JS22">
        <v>10.7805</v>
      </c>
      <c r="JT22">
        <v>99.9405</v>
      </c>
      <c r="JU22">
        <v>100.086</v>
      </c>
    </row>
    <row r="23" spans="1:281">
      <c r="A23">
        <v>7</v>
      </c>
      <c r="B23">
        <v>1652368813.5</v>
      </c>
      <c r="C23">
        <v>719.9000000953674</v>
      </c>
      <c r="D23" t="s">
        <v>445</v>
      </c>
      <c r="E23" t="s">
        <v>446</v>
      </c>
      <c r="F23">
        <v>5</v>
      </c>
      <c r="G23" t="s">
        <v>413</v>
      </c>
      <c r="H23" t="s">
        <v>414</v>
      </c>
      <c r="I23">
        <v>1652368805.5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426.0276701296952</v>
      </c>
      <c r="AK23">
        <v>391.6961878787877</v>
      </c>
      <c r="AL23">
        <v>0.05503056386260124</v>
      </c>
      <c r="AM23">
        <v>65.96472140584518</v>
      </c>
      <c r="AN23">
        <f>(AP23 - AO23 + DI23*1E3/(8.314*(DK23+273.15)) * AR23/DH23 * AQ23) * DH23/(100*CV23) * 1000/(1000 - AP23)</f>
        <v>0</v>
      </c>
      <c r="AO23">
        <v>14.22784405217533</v>
      </c>
      <c r="AP23">
        <v>24.81694685314685</v>
      </c>
      <c r="AQ23">
        <v>-0.005847733318734425</v>
      </c>
      <c r="AR23">
        <v>81.00367931598706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415</v>
      </c>
      <c r="AY23">
        <v>10510</v>
      </c>
      <c r="AZ23">
        <v>590.42</v>
      </c>
      <c r="BA23">
        <v>2650.6</v>
      </c>
      <c r="BB23">
        <f>1-AZ23/BA23</f>
        <v>0</v>
      </c>
      <c r="BC23">
        <v>-1.816883183993991</v>
      </c>
      <c r="BD23" t="s">
        <v>447</v>
      </c>
      <c r="BE23">
        <v>10384</v>
      </c>
      <c r="BF23">
        <v>975.7583199999999</v>
      </c>
      <c r="BG23">
        <v>1407.66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1378</v>
      </c>
      <c r="CA23">
        <v>300</v>
      </c>
      <c r="CB23">
        <v>300</v>
      </c>
      <c r="CC23">
        <v>300</v>
      </c>
      <c r="CD23">
        <v>10384</v>
      </c>
      <c r="CE23">
        <v>1328.95</v>
      </c>
      <c r="CF23">
        <v>-0.00731029</v>
      </c>
      <c r="CG23">
        <v>0.93</v>
      </c>
      <c r="CH23" t="s">
        <v>417</v>
      </c>
      <c r="CI23" t="s">
        <v>417</v>
      </c>
      <c r="CJ23" t="s">
        <v>417</v>
      </c>
      <c r="CK23" t="s">
        <v>417</v>
      </c>
      <c r="CL23" t="s">
        <v>417</v>
      </c>
      <c r="CM23" t="s">
        <v>417</v>
      </c>
      <c r="CN23" t="s">
        <v>417</v>
      </c>
      <c r="CO23" t="s">
        <v>417</v>
      </c>
      <c r="CP23" t="s">
        <v>417</v>
      </c>
      <c r="CQ23" t="s">
        <v>417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418</v>
      </c>
      <c r="CY23">
        <v>2</v>
      </c>
      <c r="CZ23" t="b">
        <v>1</v>
      </c>
      <c r="DA23">
        <v>1652368805.5</v>
      </c>
      <c r="DB23">
        <v>381.4936129032258</v>
      </c>
      <c r="DC23">
        <v>419.9467096774193</v>
      </c>
      <c r="DD23">
        <v>24.73363548387097</v>
      </c>
      <c r="DE23">
        <v>14.12542903225807</v>
      </c>
      <c r="DF23">
        <v>382.9306129032258</v>
      </c>
      <c r="DG23">
        <v>24.81763548387097</v>
      </c>
      <c r="DH23">
        <v>400.0612580645161</v>
      </c>
      <c r="DI23">
        <v>90.40030967741937</v>
      </c>
      <c r="DJ23">
        <v>0.09997425806451614</v>
      </c>
      <c r="DK23">
        <v>31.25872580645161</v>
      </c>
      <c r="DL23">
        <v>30.01557096774194</v>
      </c>
      <c r="DM23">
        <v>999.9000000000003</v>
      </c>
      <c r="DN23">
        <v>0</v>
      </c>
      <c r="DO23">
        <v>0</v>
      </c>
      <c r="DP23">
        <v>9995.74</v>
      </c>
      <c r="DQ23">
        <v>0</v>
      </c>
      <c r="DR23">
        <v>363.7773870967742</v>
      </c>
      <c r="DS23">
        <v>-38.35421290322579</v>
      </c>
      <c r="DT23">
        <v>391.3166774193548</v>
      </c>
      <c r="DU23">
        <v>425.9636129032259</v>
      </c>
      <c r="DV23">
        <v>10.7245</v>
      </c>
      <c r="DW23">
        <v>419.9467096774193</v>
      </c>
      <c r="DX23">
        <v>14.12542903225807</v>
      </c>
      <c r="DY23">
        <v>2.246440322580645</v>
      </c>
      <c r="DZ23">
        <v>1.276942903225807</v>
      </c>
      <c r="EA23">
        <v>19.29739032258064</v>
      </c>
      <c r="EB23">
        <v>10.52946129032258</v>
      </c>
      <c r="EC23">
        <v>1499.996129032258</v>
      </c>
      <c r="ED23">
        <v>0.9730027096774194</v>
      </c>
      <c r="EE23">
        <v>0.02699726774193547</v>
      </c>
      <c r="EF23">
        <v>0</v>
      </c>
      <c r="EG23">
        <v>975.7722258064516</v>
      </c>
      <c r="EH23">
        <v>5.000969999999999</v>
      </c>
      <c r="EI23">
        <v>15454.06129032258</v>
      </c>
      <c r="EJ23">
        <v>12491.57741935484</v>
      </c>
      <c r="EK23">
        <v>40.21545161290321</v>
      </c>
      <c r="EL23">
        <v>41.55799999999999</v>
      </c>
      <c r="EM23">
        <v>40.419</v>
      </c>
      <c r="EN23">
        <v>41.4776451612903</v>
      </c>
      <c r="EO23">
        <v>41.387</v>
      </c>
      <c r="EP23">
        <v>1454.635806451613</v>
      </c>
      <c r="EQ23">
        <v>40.36032258064514</v>
      </c>
      <c r="ER23">
        <v>0</v>
      </c>
      <c r="ES23">
        <v>130.7999999523163</v>
      </c>
      <c r="ET23">
        <v>0</v>
      </c>
      <c r="EU23">
        <v>975.7583199999999</v>
      </c>
      <c r="EV23">
        <v>-2.832999995703765</v>
      </c>
      <c r="EW23">
        <v>26.36153848462983</v>
      </c>
      <c r="EX23">
        <v>15453.4</v>
      </c>
      <c r="EY23">
        <v>15</v>
      </c>
      <c r="EZ23">
        <v>1652368848.5</v>
      </c>
      <c r="FA23" t="s">
        <v>448</v>
      </c>
      <c r="FB23">
        <v>1652368841</v>
      </c>
      <c r="FC23">
        <v>1652368848.5</v>
      </c>
      <c r="FD23">
        <v>7</v>
      </c>
      <c r="FE23">
        <v>-0.008999999999999999</v>
      </c>
      <c r="FF23">
        <v>0.008999999999999999</v>
      </c>
      <c r="FG23">
        <v>-1.437</v>
      </c>
      <c r="FH23">
        <v>-0.08400000000000001</v>
      </c>
      <c r="FI23">
        <v>420</v>
      </c>
      <c r="FJ23">
        <v>14</v>
      </c>
      <c r="FK23">
        <v>0.06</v>
      </c>
      <c r="FL23">
        <v>0.01</v>
      </c>
      <c r="FM23">
        <v>-38.47340243902439</v>
      </c>
      <c r="FN23">
        <v>2.736921951219433</v>
      </c>
      <c r="FO23">
        <v>0.2728852760712647</v>
      </c>
      <c r="FP23">
        <v>-1</v>
      </c>
      <c r="FQ23">
        <v>10.81548292682927</v>
      </c>
      <c r="FR23">
        <v>-2.227007665505215</v>
      </c>
      <c r="FS23">
        <v>0.2198837796149937</v>
      </c>
      <c r="FT23">
        <v>0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1</v>
      </c>
      <c r="GA23" t="s">
        <v>432</v>
      </c>
      <c r="GB23">
        <v>2.69588</v>
      </c>
      <c r="GC23">
        <v>2.70509</v>
      </c>
      <c r="GD23">
        <v>0.0870572</v>
      </c>
      <c r="GE23">
        <v>0.09241969999999999</v>
      </c>
      <c r="GF23">
        <v>0.108537</v>
      </c>
      <c r="GG23">
        <v>0.0725112</v>
      </c>
      <c r="GH23">
        <v>28709.6</v>
      </c>
      <c r="GI23">
        <v>28678</v>
      </c>
      <c r="GJ23">
        <v>29254</v>
      </c>
      <c r="GK23">
        <v>29240.5</v>
      </c>
      <c r="GL23">
        <v>34527.8</v>
      </c>
      <c r="GM23">
        <v>36094.8</v>
      </c>
      <c r="GN23">
        <v>41175.1</v>
      </c>
      <c r="GO23">
        <v>41709.8</v>
      </c>
      <c r="GP23">
        <v>1.732</v>
      </c>
      <c r="GQ23">
        <v>2.0363</v>
      </c>
      <c r="GR23">
        <v>0.060413</v>
      </c>
      <c r="GS23">
        <v>0</v>
      </c>
      <c r="GT23">
        <v>29.0142</v>
      </c>
      <c r="GU23">
        <v>999.9</v>
      </c>
      <c r="GV23">
        <v>48.4</v>
      </c>
      <c r="GW23">
        <v>31.1</v>
      </c>
      <c r="GX23">
        <v>24.2902</v>
      </c>
      <c r="GY23">
        <v>63.7584</v>
      </c>
      <c r="GZ23">
        <v>28.6779</v>
      </c>
      <c r="HA23">
        <v>1</v>
      </c>
      <c r="HB23">
        <v>0.258178</v>
      </c>
      <c r="HC23">
        <v>0.9684700000000001</v>
      </c>
      <c r="HD23">
        <v>20.3791</v>
      </c>
      <c r="HE23">
        <v>5.22208</v>
      </c>
      <c r="HF23">
        <v>12.0099</v>
      </c>
      <c r="HG23">
        <v>4.99015</v>
      </c>
      <c r="HH23">
        <v>3.28938</v>
      </c>
      <c r="HI23">
        <v>2652.1</v>
      </c>
      <c r="HJ23">
        <v>9999</v>
      </c>
      <c r="HK23">
        <v>9999</v>
      </c>
      <c r="HL23">
        <v>49.1</v>
      </c>
      <c r="HM23">
        <v>1.86722</v>
      </c>
      <c r="HN23">
        <v>1.86615</v>
      </c>
      <c r="HO23">
        <v>1.86569</v>
      </c>
      <c r="HP23">
        <v>1.86564</v>
      </c>
      <c r="HQ23">
        <v>1.86739</v>
      </c>
      <c r="HR23">
        <v>1.86996</v>
      </c>
      <c r="HS23">
        <v>1.86859</v>
      </c>
      <c r="HT23">
        <v>1.86996</v>
      </c>
      <c r="HU23">
        <v>0</v>
      </c>
      <c r="HV23">
        <v>0</v>
      </c>
      <c r="HW23">
        <v>0</v>
      </c>
      <c r="HX23">
        <v>0</v>
      </c>
      <c r="HY23" t="s">
        <v>421</v>
      </c>
      <c r="HZ23" t="s">
        <v>422</v>
      </c>
      <c r="IA23" t="s">
        <v>423</v>
      </c>
      <c r="IB23" t="s">
        <v>423</v>
      </c>
      <c r="IC23" t="s">
        <v>423</v>
      </c>
      <c r="ID23" t="s">
        <v>423</v>
      </c>
      <c r="IE23">
        <v>0</v>
      </c>
      <c r="IF23">
        <v>100</v>
      </c>
      <c r="IG23">
        <v>100</v>
      </c>
      <c r="IH23">
        <v>-1.437</v>
      </c>
      <c r="II23">
        <v>-0.08400000000000001</v>
      </c>
      <c r="IJ23">
        <v>-0.471477137040045</v>
      </c>
      <c r="IK23">
        <v>-0.002185601614162945</v>
      </c>
      <c r="IL23">
        <v>-2.252308143750626E-07</v>
      </c>
      <c r="IM23">
        <v>5.915558436307541E-11</v>
      </c>
      <c r="IN23">
        <v>-0.1345472361826348</v>
      </c>
      <c r="IO23">
        <v>-0.007570214193104963</v>
      </c>
      <c r="IP23">
        <v>0.0009214429922928372</v>
      </c>
      <c r="IQ23">
        <v>-1.392260276065805E-05</v>
      </c>
      <c r="IR23">
        <v>17</v>
      </c>
      <c r="IS23">
        <v>2272</v>
      </c>
      <c r="IT23">
        <v>1</v>
      </c>
      <c r="IU23">
        <v>31</v>
      </c>
      <c r="IV23">
        <v>1.7</v>
      </c>
      <c r="IW23">
        <v>1.5</v>
      </c>
      <c r="IX23">
        <v>1.04126</v>
      </c>
      <c r="IY23">
        <v>2.23877</v>
      </c>
      <c r="IZ23">
        <v>1.39648</v>
      </c>
      <c r="JA23">
        <v>2.35596</v>
      </c>
      <c r="JB23">
        <v>1.49536</v>
      </c>
      <c r="JC23">
        <v>2.28638</v>
      </c>
      <c r="JD23">
        <v>35.4754</v>
      </c>
      <c r="JE23">
        <v>15.8832</v>
      </c>
      <c r="JF23">
        <v>18</v>
      </c>
      <c r="JG23">
        <v>393.559</v>
      </c>
      <c r="JH23">
        <v>573.182</v>
      </c>
      <c r="JI23">
        <v>28.8391</v>
      </c>
      <c r="JJ23">
        <v>30.853</v>
      </c>
      <c r="JK23">
        <v>29.999</v>
      </c>
      <c r="JL23">
        <v>30.8188</v>
      </c>
      <c r="JM23">
        <v>30.7171</v>
      </c>
      <c r="JN23">
        <v>20.861</v>
      </c>
      <c r="JO23">
        <v>37.8625</v>
      </c>
      <c r="JP23">
        <v>0</v>
      </c>
      <c r="JQ23">
        <v>28.8523</v>
      </c>
      <c r="JR23">
        <v>420</v>
      </c>
      <c r="JS23">
        <v>14.4537</v>
      </c>
      <c r="JT23">
        <v>99.9945</v>
      </c>
      <c r="JU23">
        <v>100.132</v>
      </c>
    </row>
    <row r="24" spans="1:281">
      <c r="A24">
        <v>8</v>
      </c>
      <c r="B24">
        <v>1652368939.5</v>
      </c>
      <c r="C24">
        <v>845.9000000953674</v>
      </c>
      <c r="D24" t="s">
        <v>449</v>
      </c>
      <c r="E24" t="s">
        <v>450</v>
      </c>
      <c r="F24">
        <v>5</v>
      </c>
      <c r="G24" t="s">
        <v>413</v>
      </c>
      <c r="H24" t="s">
        <v>414</v>
      </c>
      <c r="I24">
        <v>1652368931.5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630.1544388894315</v>
      </c>
      <c r="AK24">
        <v>586.0794242424241</v>
      </c>
      <c r="AL24">
        <v>0.04292735949726316</v>
      </c>
      <c r="AM24">
        <v>65.9568030673872</v>
      </c>
      <c r="AN24">
        <f>(AP24 - AO24 + DI24*1E3/(8.314*(DK24+273.15)) * AR24/DH24 * AQ24) * DH24/(100*CV24) * 1000/(1000 - AP24)</f>
        <v>0</v>
      </c>
      <c r="AO24">
        <v>16.2303130370369</v>
      </c>
      <c r="AP24">
        <v>24.38888461538463</v>
      </c>
      <c r="AQ24">
        <v>6.384162431993685E-06</v>
      </c>
      <c r="AR24">
        <v>81.11737228442914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415</v>
      </c>
      <c r="AY24">
        <v>10510</v>
      </c>
      <c r="AZ24">
        <v>590.42</v>
      </c>
      <c r="BA24">
        <v>2650.6</v>
      </c>
      <c r="BB24">
        <f>1-AZ24/BA24</f>
        <v>0</v>
      </c>
      <c r="BC24">
        <v>-1.816883183993991</v>
      </c>
      <c r="BD24" t="s">
        <v>451</v>
      </c>
      <c r="BE24">
        <v>10386.7</v>
      </c>
      <c r="BF24">
        <v>1047.578076923077</v>
      </c>
      <c r="BG24">
        <v>1553.14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1379</v>
      </c>
      <c r="CA24">
        <v>300</v>
      </c>
      <c r="CB24">
        <v>300</v>
      </c>
      <c r="CC24">
        <v>300</v>
      </c>
      <c r="CD24">
        <v>10386.7</v>
      </c>
      <c r="CE24">
        <v>1463.68</v>
      </c>
      <c r="CF24">
        <v>-0.00731248</v>
      </c>
      <c r="CG24">
        <v>1.88</v>
      </c>
      <c r="CH24" t="s">
        <v>417</v>
      </c>
      <c r="CI24" t="s">
        <v>417</v>
      </c>
      <c r="CJ24" t="s">
        <v>417</v>
      </c>
      <c r="CK24" t="s">
        <v>417</v>
      </c>
      <c r="CL24" t="s">
        <v>417</v>
      </c>
      <c r="CM24" t="s">
        <v>417</v>
      </c>
      <c r="CN24" t="s">
        <v>417</v>
      </c>
      <c r="CO24" t="s">
        <v>417</v>
      </c>
      <c r="CP24" t="s">
        <v>417</v>
      </c>
      <c r="CQ24" t="s">
        <v>417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418</v>
      </c>
      <c r="CY24">
        <v>2</v>
      </c>
      <c r="CZ24" t="b">
        <v>1</v>
      </c>
      <c r="DA24">
        <v>1652368931.5</v>
      </c>
      <c r="DB24">
        <v>571.5355161290323</v>
      </c>
      <c r="DC24">
        <v>619.9181290322581</v>
      </c>
      <c r="DD24">
        <v>24.29343225806452</v>
      </c>
      <c r="DE24">
        <v>16.18073225806451</v>
      </c>
      <c r="DF24">
        <v>573.2535161290323</v>
      </c>
      <c r="DG24">
        <v>24.35943225806452</v>
      </c>
      <c r="DH24">
        <v>400.0677741935484</v>
      </c>
      <c r="DI24">
        <v>90.3999193548387</v>
      </c>
      <c r="DJ24">
        <v>0.09998605483870968</v>
      </c>
      <c r="DK24">
        <v>30.85541612903226</v>
      </c>
      <c r="DL24">
        <v>29.95282580645161</v>
      </c>
      <c r="DM24">
        <v>999.9000000000003</v>
      </c>
      <c r="DN24">
        <v>0</v>
      </c>
      <c r="DO24">
        <v>0</v>
      </c>
      <c r="DP24">
        <v>9998.666774193547</v>
      </c>
      <c r="DQ24">
        <v>0</v>
      </c>
      <c r="DR24">
        <v>519.0205161290322</v>
      </c>
      <c r="DS24">
        <v>-48.46051612903225</v>
      </c>
      <c r="DT24">
        <v>585.7469032258066</v>
      </c>
      <c r="DU24">
        <v>630.113806451613</v>
      </c>
      <c r="DV24">
        <v>8.214364838709677</v>
      </c>
      <c r="DW24">
        <v>619.9181290322581</v>
      </c>
      <c r="DX24">
        <v>16.18073225806451</v>
      </c>
      <c r="DY24">
        <v>2.205315161290323</v>
      </c>
      <c r="DZ24">
        <v>1.462737096774194</v>
      </c>
      <c r="EA24">
        <v>19.00098064516129</v>
      </c>
      <c r="EB24">
        <v>12.58395483870968</v>
      </c>
      <c r="EC24">
        <v>1499.967419354838</v>
      </c>
      <c r="ED24">
        <v>0.9729962903225806</v>
      </c>
      <c r="EE24">
        <v>0.0270035935483871</v>
      </c>
      <c r="EF24">
        <v>0</v>
      </c>
      <c r="EG24">
        <v>1047.831290322581</v>
      </c>
      <c r="EH24">
        <v>5.000969999999999</v>
      </c>
      <c r="EI24">
        <v>16539.23548387097</v>
      </c>
      <c r="EJ24">
        <v>12491.30322580646</v>
      </c>
      <c r="EK24">
        <v>39.93699999999998</v>
      </c>
      <c r="EL24">
        <v>41.27999999999999</v>
      </c>
      <c r="EM24">
        <v>40.143</v>
      </c>
      <c r="EN24">
        <v>41.17499999999998</v>
      </c>
      <c r="EO24">
        <v>41.08435483870966</v>
      </c>
      <c r="EP24">
        <v>1454.596774193549</v>
      </c>
      <c r="EQ24">
        <v>40.3706451612903</v>
      </c>
      <c r="ER24">
        <v>0</v>
      </c>
      <c r="ES24">
        <v>125.7999999523163</v>
      </c>
      <c r="ET24">
        <v>0</v>
      </c>
      <c r="EU24">
        <v>1047.578076923077</v>
      </c>
      <c r="EV24">
        <v>-19.54495727590427</v>
      </c>
      <c r="EW24">
        <v>-182.2598291629529</v>
      </c>
      <c r="EX24">
        <v>16536.91153846154</v>
      </c>
      <c r="EY24">
        <v>15</v>
      </c>
      <c r="EZ24">
        <v>1652368966.5</v>
      </c>
      <c r="FA24" t="s">
        <v>452</v>
      </c>
      <c r="FB24">
        <v>1652368966.5</v>
      </c>
      <c r="FC24">
        <v>1652368965.5</v>
      </c>
      <c r="FD24">
        <v>8</v>
      </c>
      <c r="FE24">
        <v>0.194</v>
      </c>
      <c r="FF24">
        <v>-0.003</v>
      </c>
      <c r="FG24">
        <v>-1.718</v>
      </c>
      <c r="FH24">
        <v>-0.066</v>
      </c>
      <c r="FI24">
        <v>620</v>
      </c>
      <c r="FJ24">
        <v>16</v>
      </c>
      <c r="FK24">
        <v>0.04</v>
      </c>
      <c r="FL24">
        <v>0.01</v>
      </c>
      <c r="FM24">
        <v>-48.59463414634146</v>
      </c>
      <c r="FN24">
        <v>3.144018815331034</v>
      </c>
      <c r="FO24">
        <v>0.313325203621208</v>
      </c>
      <c r="FP24">
        <v>-1</v>
      </c>
      <c r="FQ24">
        <v>8.261512682926829</v>
      </c>
      <c r="FR24">
        <v>-1.139605087107992</v>
      </c>
      <c r="FS24">
        <v>0.1126137765913556</v>
      </c>
      <c r="FT24">
        <v>0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1</v>
      </c>
      <c r="GA24" t="s">
        <v>432</v>
      </c>
      <c r="GB24">
        <v>2.69613</v>
      </c>
      <c r="GC24">
        <v>2.70536</v>
      </c>
      <c r="GD24">
        <v>0.11754</v>
      </c>
      <c r="GE24">
        <v>0.122864</v>
      </c>
      <c r="GF24">
        <v>0.107278</v>
      </c>
      <c r="GG24">
        <v>0.0795633</v>
      </c>
      <c r="GH24">
        <v>27762.3</v>
      </c>
      <c r="GI24">
        <v>27726.6</v>
      </c>
      <c r="GJ24">
        <v>29265</v>
      </c>
      <c r="GK24">
        <v>29251.2</v>
      </c>
      <c r="GL24">
        <v>34589</v>
      </c>
      <c r="GM24">
        <v>35833.6</v>
      </c>
      <c r="GN24">
        <v>41189.6</v>
      </c>
      <c r="GO24">
        <v>41726.3</v>
      </c>
      <c r="GP24">
        <v>1.73253</v>
      </c>
      <c r="GQ24">
        <v>2.04312</v>
      </c>
      <c r="GR24">
        <v>0.0804551</v>
      </c>
      <c r="GS24">
        <v>0</v>
      </c>
      <c r="GT24">
        <v>28.6537</v>
      </c>
      <c r="GU24">
        <v>999.9</v>
      </c>
      <c r="GV24">
        <v>48</v>
      </c>
      <c r="GW24">
        <v>31.2</v>
      </c>
      <c r="GX24">
        <v>24.229</v>
      </c>
      <c r="GY24">
        <v>63.6084</v>
      </c>
      <c r="GZ24">
        <v>28.8582</v>
      </c>
      <c r="HA24">
        <v>1</v>
      </c>
      <c r="HB24">
        <v>0.235856</v>
      </c>
      <c r="HC24">
        <v>-0.134346</v>
      </c>
      <c r="HD24">
        <v>20.3831</v>
      </c>
      <c r="HE24">
        <v>5.22343</v>
      </c>
      <c r="HF24">
        <v>12.0099</v>
      </c>
      <c r="HG24">
        <v>4.9898</v>
      </c>
      <c r="HH24">
        <v>3.28973</v>
      </c>
      <c r="HI24">
        <v>2654.6</v>
      </c>
      <c r="HJ24">
        <v>9999</v>
      </c>
      <c r="HK24">
        <v>9999</v>
      </c>
      <c r="HL24">
        <v>49.1</v>
      </c>
      <c r="HM24">
        <v>1.86721</v>
      </c>
      <c r="HN24">
        <v>1.86615</v>
      </c>
      <c r="HO24">
        <v>1.86569</v>
      </c>
      <c r="HP24">
        <v>1.86565</v>
      </c>
      <c r="HQ24">
        <v>1.86737</v>
      </c>
      <c r="HR24">
        <v>1.86996</v>
      </c>
      <c r="HS24">
        <v>1.86859</v>
      </c>
      <c r="HT24">
        <v>1.86996</v>
      </c>
      <c r="HU24">
        <v>0</v>
      </c>
      <c r="HV24">
        <v>0</v>
      </c>
      <c r="HW24">
        <v>0</v>
      </c>
      <c r="HX24">
        <v>0</v>
      </c>
      <c r="HY24" t="s">
        <v>421</v>
      </c>
      <c r="HZ24" t="s">
        <v>422</v>
      </c>
      <c r="IA24" t="s">
        <v>423</v>
      </c>
      <c r="IB24" t="s">
        <v>423</v>
      </c>
      <c r="IC24" t="s">
        <v>423</v>
      </c>
      <c r="ID24" t="s">
        <v>423</v>
      </c>
      <c r="IE24">
        <v>0</v>
      </c>
      <c r="IF24">
        <v>100</v>
      </c>
      <c r="IG24">
        <v>100</v>
      </c>
      <c r="IH24">
        <v>-1.718</v>
      </c>
      <c r="II24">
        <v>-0.066</v>
      </c>
      <c r="IJ24">
        <v>-0.4801134141941905</v>
      </c>
      <c r="IK24">
        <v>-0.002185601614162945</v>
      </c>
      <c r="IL24">
        <v>-2.252308143750626E-07</v>
      </c>
      <c r="IM24">
        <v>5.915558436307541E-11</v>
      </c>
      <c r="IN24">
        <v>-0.1254487252522132</v>
      </c>
      <c r="IO24">
        <v>-0.007570214193104963</v>
      </c>
      <c r="IP24">
        <v>0.0009214429922928372</v>
      </c>
      <c r="IQ24">
        <v>-1.392260276065805E-05</v>
      </c>
      <c r="IR24">
        <v>17</v>
      </c>
      <c r="IS24">
        <v>2272</v>
      </c>
      <c r="IT24">
        <v>1</v>
      </c>
      <c r="IU24">
        <v>31</v>
      </c>
      <c r="IV24">
        <v>1.6</v>
      </c>
      <c r="IW24">
        <v>1.5</v>
      </c>
      <c r="IX24">
        <v>1.41968</v>
      </c>
      <c r="IY24">
        <v>2.22778</v>
      </c>
      <c r="IZ24">
        <v>1.39648</v>
      </c>
      <c r="JA24">
        <v>2.35596</v>
      </c>
      <c r="JB24">
        <v>1.49536</v>
      </c>
      <c r="JC24">
        <v>2.27051</v>
      </c>
      <c r="JD24">
        <v>35.4523</v>
      </c>
      <c r="JE24">
        <v>15.8657</v>
      </c>
      <c r="JF24">
        <v>18</v>
      </c>
      <c r="JG24">
        <v>392.446</v>
      </c>
      <c r="JH24">
        <v>576.2380000000001</v>
      </c>
      <c r="JI24">
        <v>29.774</v>
      </c>
      <c r="JJ24">
        <v>30.6004</v>
      </c>
      <c r="JK24">
        <v>29.9994</v>
      </c>
      <c r="JL24">
        <v>30.5862</v>
      </c>
      <c r="JM24">
        <v>30.4933</v>
      </c>
      <c r="JN24">
        <v>28.4159</v>
      </c>
      <c r="JO24">
        <v>31.4468</v>
      </c>
      <c r="JP24">
        <v>0</v>
      </c>
      <c r="JQ24">
        <v>29.782</v>
      </c>
      <c r="JR24">
        <v>620</v>
      </c>
      <c r="JS24">
        <v>16.4801</v>
      </c>
      <c r="JT24">
        <v>100.031</v>
      </c>
      <c r="JU24">
        <v>100.17</v>
      </c>
    </row>
    <row r="25" spans="1:281">
      <c r="A25">
        <v>9</v>
      </c>
      <c r="B25">
        <v>1652369057.5</v>
      </c>
      <c r="C25">
        <v>963.9000000953674</v>
      </c>
      <c r="D25" t="s">
        <v>453</v>
      </c>
      <c r="E25" t="s">
        <v>454</v>
      </c>
      <c r="F25">
        <v>5</v>
      </c>
      <c r="G25" t="s">
        <v>413</v>
      </c>
      <c r="H25" t="s">
        <v>414</v>
      </c>
      <c r="I25">
        <v>1652369049.5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835.130488759616</v>
      </c>
      <c r="AK25">
        <v>786.0720787878782</v>
      </c>
      <c r="AL25">
        <v>0.06549289704686971</v>
      </c>
      <c r="AM25">
        <v>66.03152295405857</v>
      </c>
      <c r="AN25">
        <f>(AP25 - AO25 + DI25*1E3/(8.314*(DK25+273.15)) * AR25/DH25 * AQ25) * DH25/(100*CV25) * 1000/(1000 - AP25)</f>
        <v>0</v>
      </c>
      <c r="AO25">
        <v>18.13536523062675</v>
      </c>
      <c r="AP25">
        <v>24.39588601398603</v>
      </c>
      <c r="AQ25">
        <v>-4.822123912792588E-05</v>
      </c>
      <c r="AR25">
        <v>80.3440441274514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415</v>
      </c>
      <c r="AY25">
        <v>10510</v>
      </c>
      <c r="AZ25">
        <v>590.42</v>
      </c>
      <c r="BA25">
        <v>2650.6</v>
      </c>
      <c r="BB25">
        <f>1-AZ25/BA25</f>
        <v>0</v>
      </c>
      <c r="BC25">
        <v>-1.816883183993991</v>
      </c>
      <c r="BD25" t="s">
        <v>455</v>
      </c>
      <c r="BE25">
        <v>10388.7</v>
      </c>
      <c r="BF25">
        <v>1063.261923076923</v>
      </c>
      <c r="BG25">
        <v>1591.98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1380</v>
      </c>
      <c r="CA25">
        <v>300</v>
      </c>
      <c r="CB25">
        <v>300</v>
      </c>
      <c r="CC25">
        <v>300</v>
      </c>
      <c r="CD25">
        <v>10388.7</v>
      </c>
      <c r="CE25">
        <v>1501.57</v>
      </c>
      <c r="CF25">
        <v>-0.00731397</v>
      </c>
      <c r="CG25">
        <v>2.65</v>
      </c>
      <c r="CH25" t="s">
        <v>417</v>
      </c>
      <c r="CI25" t="s">
        <v>417</v>
      </c>
      <c r="CJ25" t="s">
        <v>417</v>
      </c>
      <c r="CK25" t="s">
        <v>417</v>
      </c>
      <c r="CL25" t="s">
        <v>417</v>
      </c>
      <c r="CM25" t="s">
        <v>417</v>
      </c>
      <c r="CN25" t="s">
        <v>417</v>
      </c>
      <c r="CO25" t="s">
        <v>417</v>
      </c>
      <c r="CP25" t="s">
        <v>417</v>
      </c>
      <c r="CQ25" t="s">
        <v>417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418</v>
      </c>
      <c r="CY25">
        <v>2</v>
      </c>
      <c r="CZ25" t="b">
        <v>1</v>
      </c>
      <c r="DA25">
        <v>1652369049.5</v>
      </c>
      <c r="DB25">
        <v>766.5984838709678</v>
      </c>
      <c r="DC25">
        <v>819.9735806451612</v>
      </c>
      <c r="DD25">
        <v>24.32690322580645</v>
      </c>
      <c r="DE25">
        <v>18.09339032258064</v>
      </c>
      <c r="DF25">
        <v>768.4284838709679</v>
      </c>
      <c r="DG25">
        <v>24.36490322580645</v>
      </c>
      <c r="DH25">
        <v>400.0736129032258</v>
      </c>
      <c r="DI25">
        <v>90.40728387096775</v>
      </c>
      <c r="DJ25">
        <v>0.09998620645161291</v>
      </c>
      <c r="DK25">
        <v>30.80260645161291</v>
      </c>
      <c r="DL25">
        <v>30.03518064516129</v>
      </c>
      <c r="DM25">
        <v>999.9000000000003</v>
      </c>
      <c r="DN25">
        <v>0</v>
      </c>
      <c r="DO25">
        <v>0</v>
      </c>
      <c r="DP25">
        <v>10007.33806451613</v>
      </c>
      <c r="DQ25">
        <v>0</v>
      </c>
      <c r="DR25">
        <v>689.301935483871</v>
      </c>
      <c r="DS25">
        <v>-53.61677419354837</v>
      </c>
      <c r="DT25">
        <v>785.5214838709679</v>
      </c>
      <c r="DU25">
        <v>835.0832258064515</v>
      </c>
      <c r="DV25">
        <v>6.30384387096774</v>
      </c>
      <c r="DW25">
        <v>819.9735806451612</v>
      </c>
      <c r="DX25">
        <v>18.09339032258064</v>
      </c>
      <c r="DY25">
        <v>2.205688064516129</v>
      </c>
      <c r="DZ25">
        <v>1.635775806451613</v>
      </c>
      <c r="EA25">
        <v>19.00369032258065</v>
      </c>
      <c r="EB25">
        <v>14.29992903225807</v>
      </c>
      <c r="EC25">
        <v>1500.011612903226</v>
      </c>
      <c r="ED25">
        <v>0.9729917096774193</v>
      </c>
      <c r="EE25">
        <v>0.0270078935483871</v>
      </c>
      <c r="EF25">
        <v>0</v>
      </c>
      <c r="EG25">
        <v>1063.403870967742</v>
      </c>
      <c r="EH25">
        <v>5.000969999999999</v>
      </c>
      <c r="EI25">
        <v>16869.05161290323</v>
      </c>
      <c r="EJ25">
        <v>12491.65806451613</v>
      </c>
      <c r="EK25">
        <v>39.663</v>
      </c>
      <c r="EL25">
        <v>41.002</v>
      </c>
      <c r="EM25">
        <v>39.875</v>
      </c>
      <c r="EN25">
        <v>40.875</v>
      </c>
      <c r="EO25">
        <v>40.81199999999998</v>
      </c>
      <c r="EP25">
        <v>1454.63064516129</v>
      </c>
      <c r="EQ25">
        <v>40.38000000000002</v>
      </c>
      <c r="ER25">
        <v>0</v>
      </c>
      <c r="ES25">
        <v>117.2000000476837</v>
      </c>
      <c r="ET25">
        <v>0</v>
      </c>
      <c r="EU25">
        <v>1063.261923076923</v>
      </c>
      <c r="EV25">
        <v>-31.94837603351614</v>
      </c>
      <c r="EW25">
        <v>-358.735042366221</v>
      </c>
      <c r="EX25">
        <v>16867.54615384615</v>
      </c>
      <c r="EY25">
        <v>15</v>
      </c>
      <c r="EZ25">
        <v>1652369090.5</v>
      </c>
      <c r="FA25" t="s">
        <v>456</v>
      </c>
      <c r="FB25">
        <v>1652369086.5</v>
      </c>
      <c r="FC25">
        <v>1652369090.5</v>
      </c>
      <c r="FD25">
        <v>9</v>
      </c>
      <c r="FE25">
        <v>0.372</v>
      </c>
      <c r="FF25">
        <v>0.006</v>
      </c>
      <c r="FG25">
        <v>-1.83</v>
      </c>
      <c r="FH25">
        <v>-0.038</v>
      </c>
      <c r="FI25">
        <v>820</v>
      </c>
      <c r="FJ25">
        <v>18</v>
      </c>
      <c r="FK25">
        <v>0.02</v>
      </c>
      <c r="FL25">
        <v>0.01</v>
      </c>
      <c r="FM25">
        <v>-53.75761219512195</v>
      </c>
      <c r="FN25">
        <v>3.79301602787431</v>
      </c>
      <c r="FO25">
        <v>0.378511545202097</v>
      </c>
      <c r="FP25">
        <v>-1</v>
      </c>
      <c r="FQ25">
        <v>6.347332439024391</v>
      </c>
      <c r="FR25">
        <v>-0.9289068292682903</v>
      </c>
      <c r="FS25">
        <v>0.09339199764069427</v>
      </c>
      <c r="FT25">
        <v>0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1</v>
      </c>
      <c r="GA25" t="s">
        <v>432</v>
      </c>
      <c r="GB25">
        <v>2.69613</v>
      </c>
      <c r="GC25">
        <v>2.70516</v>
      </c>
      <c r="GD25">
        <v>0.144021</v>
      </c>
      <c r="GE25">
        <v>0.148807</v>
      </c>
      <c r="GF25">
        <v>0.107364</v>
      </c>
      <c r="GG25">
        <v>0.08601019999999999</v>
      </c>
      <c r="GH25">
        <v>26938.8</v>
      </c>
      <c r="GI25">
        <v>26913.8</v>
      </c>
      <c r="GJ25">
        <v>29274.6</v>
      </c>
      <c r="GK25">
        <v>29258.8</v>
      </c>
      <c r="GL25">
        <v>34597.2</v>
      </c>
      <c r="GM25">
        <v>35590.6</v>
      </c>
      <c r="GN25">
        <v>41203.6</v>
      </c>
      <c r="GO25">
        <v>41737.3</v>
      </c>
      <c r="GP25">
        <v>1.7331</v>
      </c>
      <c r="GQ25">
        <v>2.04897</v>
      </c>
      <c r="GR25">
        <v>0.09726360000000001</v>
      </c>
      <c r="GS25">
        <v>0</v>
      </c>
      <c r="GT25">
        <v>28.4635</v>
      </c>
      <c r="GU25">
        <v>999.9</v>
      </c>
      <c r="GV25">
        <v>47.5</v>
      </c>
      <c r="GW25">
        <v>31.3</v>
      </c>
      <c r="GX25">
        <v>24.1125</v>
      </c>
      <c r="GY25">
        <v>63.2984</v>
      </c>
      <c r="GZ25">
        <v>28.774</v>
      </c>
      <c r="HA25">
        <v>1</v>
      </c>
      <c r="HB25">
        <v>0.218229</v>
      </c>
      <c r="HC25">
        <v>0.147135</v>
      </c>
      <c r="HD25">
        <v>20.3829</v>
      </c>
      <c r="HE25">
        <v>5.22478</v>
      </c>
      <c r="HF25">
        <v>12.0099</v>
      </c>
      <c r="HG25">
        <v>4.9912</v>
      </c>
      <c r="HH25">
        <v>3.28975</v>
      </c>
      <c r="HI25">
        <v>2656.8</v>
      </c>
      <c r="HJ25">
        <v>9999</v>
      </c>
      <c r="HK25">
        <v>9999</v>
      </c>
      <c r="HL25">
        <v>49.1</v>
      </c>
      <c r="HM25">
        <v>1.86713</v>
      </c>
      <c r="HN25">
        <v>1.86615</v>
      </c>
      <c r="HO25">
        <v>1.86569</v>
      </c>
      <c r="HP25">
        <v>1.86563</v>
      </c>
      <c r="HQ25">
        <v>1.86737</v>
      </c>
      <c r="HR25">
        <v>1.86996</v>
      </c>
      <c r="HS25">
        <v>1.86859</v>
      </c>
      <c r="HT25">
        <v>1.86996</v>
      </c>
      <c r="HU25">
        <v>0</v>
      </c>
      <c r="HV25">
        <v>0</v>
      </c>
      <c r="HW25">
        <v>0</v>
      </c>
      <c r="HX25">
        <v>0</v>
      </c>
      <c r="HY25" t="s">
        <v>421</v>
      </c>
      <c r="HZ25" t="s">
        <v>422</v>
      </c>
      <c r="IA25" t="s">
        <v>423</v>
      </c>
      <c r="IB25" t="s">
        <v>423</v>
      </c>
      <c r="IC25" t="s">
        <v>423</v>
      </c>
      <c r="ID25" t="s">
        <v>423</v>
      </c>
      <c r="IE25">
        <v>0</v>
      </c>
      <c r="IF25">
        <v>100</v>
      </c>
      <c r="IG25">
        <v>100</v>
      </c>
      <c r="IH25">
        <v>-1.83</v>
      </c>
      <c r="II25">
        <v>-0.038</v>
      </c>
      <c r="IJ25">
        <v>-0.2859850429163371</v>
      </c>
      <c r="IK25">
        <v>-0.002185601614162945</v>
      </c>
      <c r="IL25">
        <v>-2.252308143750626E-07</v>
      </c>
      <c r="IM25">
        <v>5.915558436307541E-11</v>
      </c>
      <c r="IN25">
        <v>-0.1288414687636461</v>
      </c>
      <c r="IO25">
        <v>-0.007570214193104963</v>
      </c>
      <c r="IP25">
        <v>0.0009214429922928372</v>
      </c>
      <c r="IQ25">
        <v>-1.392260276065805E-05</v>
      </c>
      <c r="IR25">
        <v>17</v>
      </c>
      <c r="IS25">
        <v>2272</v>
      </c>
      <c r="IT25">
        <v>1</v>
      </c>
      <c r="IU25">
        <v>31</v>
      </c>
      <c r="IV25">
        <v>1.5</v>
      </c>
      <c r="IW25">
        <v>1.5</v>
      </c>
      <c r="IX25">
        <v>1.77734</v>
      </c>
      <c r="IY25">
        <v>2.21313</v>
      </c>
      <c r="IZ25">
        <v>1.39648</v>
      </c>
      <c r="JA25">
        <v>2.35596</v>
      </c>
      <c r="JB25">
        <v>1.49536</v>
      </c>
      <c r="JC25">
        <v>2.35474</v>
      </c>
      <c r="JD25">
        <v>35.4059</v>
      </c>
      <c r="JE25">
        <v>15.8657</v>
      </c>
      <c r="JF25">
        <v>18</v>
      </c>
      <c r="JG25">
        <v>391.482</v>
      </c>
      <c r="JH25">
        <v>578.752</v>
      </c>
      <c r="JI25">
        <v>29.6663</v>
      </c>
      <c r="JJ25">
        <v>30.3677</v>
      </c>
      <c r="JK25">
        <v>29.9997</v>
      </c>
      <c r="JL25">
        <v>30.3743</v>
      </c>
      <c r="JM25">
        <v>30.2909</v>
      </c>
      <c r="JN25">
        <v>35.565</v>
      </c>
      <c r="JO25">
        <v>25.1661</v>
      </c>
      <c r="JP25">
        <v>0</v>
      </c>
      <c r="JQ25">
        <v>29.6553</v>
      </c>
      <c r="JR25">
        <v>820</v>
      </c>
      <c r="JS25">
        <v>18.3595</v>
      </c>
      <c r="JT25">
        <v>100.064</v>
      </c>
      <c r="JU25">
        <v>100.196</v>
      </c>
    </row>
    <row r="26" spans="1:281">
      <c r="A26">
        <v>10</v>
      </c>
      <c r="B26">
        <v>1652369180.5</v>
      </c>
      <c r="C26">
        <v>1086.900000095367</v>
      </c>
      <c r="D26" t="s">
        <v>457</v>
      </c>
      <c r="E26" t="s">
        <v>458</v>
      </c>
      <c r="F26">
        <v>5</v>
      </c>
      <c r="G26" t="s">
        <v>413</v>
      </c>
      <c r="H26" t="s">
        <v>414</v>
      </c>
      <c r="I26">
        <v>1652369172.5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1040.445150624812</v>
      </c>
      <c r="AK26">
        <v>990.2360727272729</v>
      </c>
      <c r="AL26">
        <v>0.06840837976374378</v>
      </c>
      <c r="AM26">
        <v>65.94831906261184</v>
      </c>
      <c r="AN26">
        <f>(AP26 - AO26 + DI26*1E3/(8.314*(DK26+273.15)) * AR26/DH26 * AQ26) * DH26/(100*CV26) * 1000/(1000 - AP26)</f>
        <v>0</v>
      </c>
      <c r="AO26">
        <v>19.6730791993342</v>
      </c>
      <c r="AP26">
        <v>24.19057692307695</v>
      </c>
      <c r="AQ26">
        <v>-0.0002976446612773605</v>
      </c>
      <c r="AR26">
        <v>81.25467834993158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415</v>
      </c>
      <c r="AY26">
        <v>10510</v>
      </c>
      <c r="AZ26">
        <v>590.42</v>
      </c>
      <c r="BA26">
        <v>2650.6</v>
      </c>
      <c r="BB26">
        <f>1-AZ26/BA26</f>
        <v>0</v>
      </c>
      <c r="BC26">
        <v>-1.816883183993991</v>
      </c>
      <c r="BD26" t="s">
        <v>459</v>
      </c>
      <c r="BE26">
        <v>10390.3</v>
      </c>
      <c r="BF26">
        <v>1065.9448</v>
      </c>
      <c r="BG26">
        <v>1611.38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1381</v>
      </c>
      <c r="CA26">
        <v>300</v>
      </c>
      <c r="CB26">
        <v>300</v>
      </c>
      <c r="CC26">
        <v>300</v>
      </c>
      <c r="CD26">
        <v>10390.3</v>
      </c>
      <c r="CE26">
        <v>1517.93</v>
      </c>
      <c r="CF26">
        <v>-0.00731537</v>
      </c>
      <c r="CG26">
        <v>2.86</v>
      </c>
      <c r="CH26" t="s">
        <v>417</v>
      </c>
      <c r="CI26" t="s">
        <v>417</v>
      </c>
      <c r="CJ26" t="s">
        <v>417</v>
      </c>
      <c r="CK26" t="s">
        <v>417</v>
      </c>
      <c r="CL26" t="s">
        <v>417</v>
      </c>
      <c r="CM26" t="s">
        <v>417</v>
      </c>
      <c r="CN26" t="s">
        <v>417</v>
      </c>
      <c r="CO26" t="s">
        <v>417</v>
      </c>
      <c r="CP26" t="s">
        <v>417</v>
      </c>
      <c r="CQ26" t="s">
        <v>417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418</v>
      </c>
      <c r="CY26">
        <v>2</v>
      </c>
      <c r="CZ26" t="b">
        <v>1</v>
      </c>
      <c r="DA26">
        <v>1652369172.5</v>
      </c>
      <c r="DB26">
        <v>965.5073870967741</v>
      </c>
      <c r="DC26">
        <v>1019.962580645161</v>
      </c>
      <c r="DD26">
        <v>24.14405161290323</v>
      </c>
      <c r="DE26">
        <v>19.6603129032258</v>
      </c>
      <c r="DF26">
        <v>967.9473870967742</v>
      </c>
      <c r="DG26">
        <v>24.16705161290323</v>
      </c>
      <c r="DH26">
        <v>400.0624838709678</v>
      </c>
      <c r="DI26">
        <v>90.40463548387096</v>
      </c>
      <c r="DJ26">
        <v>0.09998168387096776</v>
      </c>
      <c r="DK26">
        <v>30.58013870967741</v>
      </c>
      <c r="DL26">
        <v>30.00275483870967</v>
      </c>
      <c r="DM26">
        <v>999.9000000000003</v>
      </c>
      <c r="DN26">
        <v>0</v>
      </c>
      <c r="DO26">
        <v>0</v>
      </c>
      <c r="DP26">
        <v>10004.90193548387</v>
      </c>
      <c r="DQ26">
        <v>0</v>
      </c>
      <c r="DR26">
        <v>779.0783870967742</v>
      </c>
      <c r="DS26">
        <v>-54.20248387096773</v>
      </c>
      <c r="DT26">
        <v>989.7138064516129</v>
      </c>
      <c r="DU26">
        <v>1040.417741935484</v>
      </c>
      <c r="DV26">
        <v>4.542214516129032</v>
      </c>
      <c r="DW26">
        <v>1019.962580645161</v>
      </c>
      <c r="DX26">
        <v>19.6603129032258</v>
      </c>
      <c r="DY26">
        <v>2.18802</v>
      </c>
      <c r="DZ26">
        <v>1.777382903225807</v>
      </c>
      <c r="EA26">
        <v>18.87486774193549</v>
      </c>
      <c r="EB26">
        <v>15.58927419354839</v>
      </c>
      <c r="EC26">
        <v>1500.012580645162</v>
      </c>
      <c r="ED26">
        <v>0.972995322580645</v>
      </c>
      <c r="EE26">
        <v>0.0270045129032258</v>
      </c>
      <c r="EF26">
        <v>0</v>
      </c>
      <c r="EG26">
        <v>1066.348064516129</v>
      </c>
      <c r="EH26">
        <v>5.000969999999999</v>
      </c>
      <c r="EI26">
        <v>16964.54516129032</v>
      </c>
      <c r="EJ26">
        <v>12491.67741935484</v>
      </c>
      <c r="EK26">
        <v>39.43699999999998</v>
      </c>
      <c r="EL26">
        <v>40.78999999999999</v>
      </c>
      <c r="EM26">
        <v>39.64100000000001</v>
      </c>
      <c r="EN26">
        <v>40.637</v>
      </c>
      <c r="EO26">
        <v>40.59045161290321</v>
      </c>
      <c r="EP26">
        <v>1454.641935483871</v>
      </c>
      <c r="EQ26">
        <v>40.37064516129033</v>
      </c>
      <c r="ER26">
        <v>0</v>
      </c>
      <c r="ES26">
        <v>122.6000001430511</v>
      </c>
      <c r="ET26">
        <v>0</v>
      </c>
      <c r="EU26">
        <v>1065.9448</v>
      </c>
      <c r="EV26">
        <v>-24.53769227211831</v>
      </c>
      <c r="EW26">
        <v>-417.4615378444808</v>
      </c>
      <c r="EX26">
        <v>16957.268</v>
      </c>
      <c r="EY26">
        <v>15</v>
      </c>
      <c r="EZ26">
        <v>1652369221</v>
      </c>
      <c r="FA26" t="s">
        <v>460</v>
      </c>
      <c r="FB26">
        <v>1652369221</v>
      </c>
      <c r="FC26">
        <v>1652369210.5</v>
      </c>
      <c r="FD26">
        <v>10</v>
      </c>
      <c r="FE26">
        <v>-0.119</v>
      </c>
      <c r="FF26">
        <v>-0.002</v>
      </c>
      <c r="FG26">
        <v>-2.44</v>
      </c>
      <c r="FH26">
        <v>-0.023</v>
      </c>
      <c r="FI26">
        <v>1020</v>
      </c>
      <c r="FJ26">
        <v>20</v>
      </c>
      <c r="FK26">
        <v>0.08</v>
      </c>
      <c r="FL26">
        <v>0.02</v>
      </c>
      <c r="FM26">
        <v>-54.414755</v>
      </c>
      <c r="FN26">
        <v>4.496985365853615</v>
      </c>
      <c r="FO26">
        <v>0.4363155245633597</v>
      </c>
      <c r="FP26">
        <v>-1</v>
      </c>
      <c r="FQ26">
        <v>4.5696955</v>
      </c>
      <c r="FR26">
        <v>-0.4611341088180253</v>
      </c>
      <c r="FS26">
        <v>0.04966627225542499</v>
      </c>
      <c r="FT26">
        <v>1</v>
      </c>
      <c r="FU26">
        <v>0</v>
      </c>
      <c r="FV26">
        <v>0</v>
      </c>
      <c r="FW26">
        <v>0</v>
      </c>
      <c r="FX26">
        <v>-1</v>
      </c>
      <c r="FY26">
        <v>1</v>
      </c>
      <c r="FZ26">
        <v>1</v>
      </c>
      <c r="GA26" t="s">
        <v>420</v>
      </c>
      <c r="GB26">
        <v>2.69636</v>
      </c>
      <c r="GC26">
        <v>2.705</v>
      </c>
      <c r="GD26">
        <v>0.167741</v>
      </c>
      <c r="GE26">
        <v>0.171736</v>
      </c>
      <c r="GF26">
        <v>0.106759</v>
      </c>
      <c r="GG26">
        <v>0.0909577</v>
      </c>
      <c r="GH26">
        <v>26197.9</v>
      </c>
      <c r="GI26">
        <v>26193.4</v>
      </c>
      <c r="GJ26">
        <v>29280.5</v>
      </c>
      <c r="GK26">
        <v>29263.9</v>
      </c>
      <c r="GL26">
        <v>34627.5</v>
      </c>
      <c r="GM26">
        <v>35403.6</v>
      </c>
      <c r="GN26">
        <v>41211.6</v>
      </c>
      <c r="GO26">
        <v>41745.4</v>
      </c>
      <c r="GP26">
        <v>1.73335</v>
      </c>
      <c r="GQ26">
        <v>2.05415</v>
      </c>
      <c r="GR26">
        <v>0.104323</v>
      </c>
      <c r="GS26">
        <v>0</v>
      </c>
      <c r="GT26">
        <v>28.3294</v>
      </c>
      <c r="GU26">
        <v>999.9</v>
      </c>
      <c r="GV26">
        <v>47.1</v>
      </c>
      <c r="GW26">
        <v>31.4</v>
      </c>
      <c r="GX26">
        <v>24.0463</v>
      </c>
      <c r="GY26">
        <v>63.5985</v>
      </c>
      <c r="GZ26">
        <v>29.0745</v>
      </c>
      <c r="HA26">
        <v>1</v>
      </c>
      <c r="HB26">
        <v>0.205046</v>
      </c>
      <c r="HC26">
        <v>0.0180937</v>
      </c>
      <c r="HD26">
        <v>20.3832</v>
      </c>
      <c r="HE26">
        <v>5.22328</v>
      </c>
      <c r="HF26">
        <v>12.0099</v>
      </c>
      <c r="HG26">
        <v>4.98935</v>
      </c>
      <c r="HH26">
        <v>3.28978</v>
      </c>
      <c r="HI26">
        <v>2659.3</v>
      </c>
      <c r="HJ26">
        <v>9999</v>
      </c>
      <c r="HK26">
        <v>9999</v>
      </c>
      <c r="HL26">
        <v>49.2</v>
      </c>
      <c r="HM26">
        <v>1.86717</v>
      </c>
      <c r="HN26">
        <v>1.86615</v>
      </c>
      <c r="HO26">
        <v>1.8657</v>
      </c>
      <c r="HP26">
        <v>1.86562</v>
      </c>
      <c r="HQ26">
        <v>1.86737</v>
      </c>
      <c r="HR26">
        <v>1.86996</v>
      </c>
      <c r="HS26">
        <v>1.86859</v>
      </c>
      <c r="HT26">
        <v>1.86996</v>
      </c>
      <c r="HU26">
        <v>0</v>
      </c>
      <c r="HV26">
        <v>0</v>
      </c>
      <c r="HW26">
        <v>0</v>
      </c>
      <c r="HX26">
        <v>0</v>
      </c>
      <c r="HY26" t="s">
        <v>421</v>
      </c>
      <c r="HZ26" t="s">
        <v>422</v>
      </c>
      <c r="IA26" t="s">
        <v>423</v>
      </c>
      <c r="IB26" t="s">
        <v>423</v>
      </c>
      <c r="IC26" t="s">
        <v>423</v>
      </c>
      <c r="ID26" t="s">
        <v>423</v>
      </c>
      <c r="IE26">
        <v>0</v>
      </c>
      <c r="IF26">
        <v>100</v>
      </c>
      <c r="IG26">
        <v>100</v>
      </c>
      <c r="IH26">
        <v>-2.44</v>
      </c>
      <c r="II26">
        <v>-0.023</v>
      </c>
      <c r="IJ26">
        <v>0.08569787331832335</v>
      </c>
      <c r="IK26">
        <v>-0.002185601614162945</v>
      </c>
      <c r="IL26">
        <v>-2.252308143750626E-07</v>
      </c>
      <c r="IM26">
        <v>5.915558436307541E-11</v>
      </c>
      <c r="IN26">
        <v>-0.1232296374105785</v>
      </c>
      <c r="IO26">
        <v>-0.007570214193104963</v>
      </c>
      <c r="IP26">
        <v>0.0009214429922928372</v>
      </c>
      <c r="IQ26">
        <v>-1.392260276065805E-05</v>
      </c>
      <c r="IR26">
        <v>17</v>
      </c>
      <c r="IS26">
        <v>2272</v>
      </c>
      <c r="IT26">
        <v>1</v>
      </c>
      <c r="IU26">
        <v>31</v>
      </c>
      <c r="IV26">
        <v>1.6</v>
      </c>
      <c r="IW26">
        <v>1.5</v>
      </c>
      <c r="IX26">
        <v>2.11792</v>
      </c>
      <c r="IY26">
        <v>2.21436</v>
      </c>
      <c r="IZ26">
        <v>1.39648</v>
      </c>
      <c r="JA26">
        <v>2.35596</v>
      </c>
      <c r="JB26">
        <v>1.49536</v>
      </c>
      <c r="JC26">
        <v>2.31445</v>
      </c>
      <c r="JD26">
        <v>35.3596</v>
      </c>
      <c r="JE26">
        <v>15.8482</v>
      </c>
      <c r="JF26">
        <v>18</v>
      </c>
      <c r="JG26">
        <v>390.557</v>
      </c>
      <c r="JH26">
        <v>581.039</v>
      </c>
      <c r="JI26">
        <v>29.3185</v>
      </c>
      <c r="JJ26">
        <v>30.1933</v>
      </c>
      <c r="JK26">
        <v>29.9995</v>
      </c>
      <c r="JL26">
        <v>30.1981</v>
      </c>
      <c r="JM26">
        <v>30.1187</v>
      </c>
      <c r="JN26">
        <v>42.4078</v>
      </c>
      <c r="JO26">
        <v>19.4602</v>
      </c>
      <c r="JP26">
        <v>0</v>
      </c>
      <c r="JQ26">
        <v>29.2901</v>
      </c>
      <c r="JR26">
        <v>1020</v>
      </c>
      <c r="JS26">
        <v>19.6895</v>
      </c>
      <c r="JT26">
        <v>100.084</v>
      </c>
      <c r="JU26">
        <v>100.215</v>
      </c>
    </row>
    <row r="27" spans="1:281">
      <c r="A27">
        <v>11</v>
      </c>
      <c r="B27">
        <v>1652369295.5</v>
      </c>
      <c r="C27">
        <v>1201.900000095367</v>
      </c>
      <c r="D27" t="s">
        <v>461</v>
      </c>
      <c r="E27" t="s">
        <v>462</v>
      </c>
      <c r="F27">
        <v>5</v>
      </c>
      <c r="G27" t="s">
        <v>413</v>
      </c>
      <c r="H27" t="s">
        <v>414</v>
      </c>
      <c r="I27">
        <v>1652369287.75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1245.466566021964</v>
      </c>
      <c r="AK27">
        <v>1193.478424242425</v>
      </c>
      <c r="AL27">
        <v>0.06514708738614332</v>
      </c>
      <c r="AM27">
        <v>65.94069936253867</v>
      </c>
      <c r="AN27">
        <f>(AP27 - AO27 + DI27*1E3/(8.314*(DK27+273.15)) * AR27/DH27 * AQ27) * DH27/(100*CV27) * 1000/(1000 - AP27)</f>
        <v>0</v>
      </c>
      <c r="AO27">
        <v>20.49094892701319</v>
      </c>
      <c r="AP27">
        <v>24.01026923076924</v>
      </c>
      <c r="AQ27">
        <v>0.0003050859518249391</v>
      </c>
      <c r="AR27">
        <v>81.29343699522833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415</v>
      </c>
      <c r="AY27">
        <v>10510</v>
      </c>
      <c r="AZ27">
        <v>590.42</v>
      </c>
      <c r="BA27">
        <v>2650.6</v>
      </c>
      <c r="BB27">
        <f>1-AZ27/BA27</f>
        <v>0</v>
      </c>
      <c r="BC27">
        <v>-1.816883183993991</v>
      </c>
      <c r="BD27" t="s">
        <v>463</v>
      </c>
      <c r="BE27">
        <v>10391.8</v>
      </c>
      <c r="BF27">
        <v>1082.790769230769</v>
      </c>
      <c r="BG27">
        <v>1652.54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1382</v>
      </c>
      <c r="CA27">
        <v>300</v>
      </c>
      <c r="CB27">
        <v>300</v>
      </c>
      <c r="CC27">
        <v>300</v>
      </c>
      <c r="CD27">
        <v>10391.8</v>
      </c>
      <c r="CE27">
        <v>1553.03</v>
      </c>
      <c r="CF27">
        <v>-0.00731653</v>
      </c>
      <c r="CG27">
        <v>3.39</v>
      </c>
      <c r="CH27" t="s">
        <v>417</v>
      </c>
      <c r="CI27" t="s">
        <v>417</v>
      </c>
      <c r="CJ27" t="s">
        <v>417</v>
      </c>
      <c r="CK27" t="s">
        <v>417</v>
      </c>
      <c r="CL27" t="s">
        <v>417</v>
      </c>
      <c r="CM27" t="s">
        <v>417</v>
      </c>
      <c r="CN27" t="s">
        <v>417</v>
      </c>
      <c r="CO27" t="s">
        <v>417</v>
      </c>
      <c r="CP27" t="s">
        <v>417</v>
      </c>
      <c r="CQ27" t="s">
        <v>417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418</v>
      </c>
      <c r="CY27">
        <v>2</v>
      </c>
      <c r="CZ27" t="b">
        <v>1</v>
      </c>
      <c r="DA27">
        <v>1652369287.75</v>
      </c>
      <c r="DB27">
        <v>1164.544666666667</v>
      </c>
      <c r="DC27">
        <v>1219.965333333334</v>
      </c>
      <c r="DD27">
        <v>23.96023</v>
      </c>
      <c r="DE27">
        <v>20.47465</v>
      </c>
      <c r="DF27">
        <v>1167.097666666667</v>
      </c>
      <c r="DG27">
        <v>23.97123</v>
      </c>
      <c r="DH27">
        <v>400.0769</v>
      </c>
      <c r="DI27">
        <v>90.40840666666668</v>
      </c>
      <c r="DJ27">
        <v>0.09998243</v>
      </c>
      <c r="DK27">
        <v>30.42907</v>
      </c>
      <c r="DL27">
        <v>29.97250333333333</v>
      </c>
      <c r="DM27">
        <v>999.9000000000002</v>
      </c>
      <c r="DN27">
        <v>0</v>
      </c>
      <c r="DO27">
        <v>0</v>
      </c>
      <c r="DP27">
        <v>10007.91533333333</v>
      </c>
      <c r="DQ27">
        <v>0</v>
      </c>
      <c r="DR27">
        <v>429.5418333333334</v>
      </c>
      <c r="DS27">
        <v>-55.66279</v>
      </c>
      <c r="DT27">
        <v>1192.934</v>
      </c>
      <c r="DU27">
        <v>1245.465333333333</v>
      </c>
      <c r="DV27">
        <v>3.527806666666666</v>
      </c>
      <c r="DW27">
        <v>1219.965333333334</v>
      </c>
      <c r="DX27">
        <v>20.47465</v>
      </c>
      <c r="DY27">
        <v>2.170024</v>
      </c>
      <c r="DZ27">
        <v>1.851080666666667</v>
      </c>
      <c r="EA27">
        <v>18.74272</v>
      </c>
      <c r="EB27">
        <v>16.22493</v>
      </c>
      <c r="EC27">
        <v>1499.997666666667</v>
      </c>
      <c r="ED27">
        <v>0.9730053333333331</v>
      </c>
      <c r="EE27">
        <v>0.02699452666666667</v>
      </c>
      <c r="EF27">
        <v>0</v>
      </c>
      <c r="EG27">
        <v>1082.905666666667</v>
      </c>
      <c r="EH27">
        <v>5.000969999999999</v>
      </c>
      <c r="EI27">
        <v>17202.36333333333</v>
      </c>
      <c r="EJ27">
        <v>12491.60333333333</v>
      </c>
      <c r="EK27">
        <v>39.26653333333334</v>
      </c>
      <c r="EL27">
        <v>40.625</v>
      </c>
      <c r="EM27">
        <v>39.5</v>
      </c>
      <c r="EN27">
        <v>40.5</v>
      </c>
      <c r="EO27">
        <v>40.42666666666666</v>
      </c>
      <c r="EP27">
        <v>1454.637666666667</v>
      </c>
      <c r="EQ27">
        <v>40.35999999999999</v>
      </c>
      <c r="ER27">
        <v>0</v>
      </c>
      <c r="ES27">
        <v>114.6000001430511</v>
      </c>
      <c r="ET27">
        <v>0</v>
      </c>
      <c r="EU27">
        <v>1082.790769230769</v>
      </c>
      <c r="EV27">
        <v>-21.13162394255763</v>
      </c>
      <c r="EW27">
        <v>-212.75555555539</v>
      </c>
      <c r="EX27">
        <v>17200.98846153846</v>
      </c>
      <c r="EY27">
        <v>15</v>
      </c>
      <c r="EZ27">
        <v>1652369323</v>
      </c>
      <c r="FA27" t="s">
        <v>464</v>
      </c>
      <c r="FB27">
        <v>1652369320.5</v>
      </c>
      <c r="FC27">
        <v>1652369323</v>
      </c>
      <c r="FD27">
        <v>11</v>
      </c>
      <c r="FE27">
        <v>0.38</v>
      </c>
      <c r="FF27">
        <v>0</v>
      </c>
      <c r="FG27">
        <v>-2.553</v>
      </c>
      <c r="FH27">
        <v>-0.011</v>
      </c>
      <c r="FI27">
        <v>1220</v>
      </c>
      <c r="FJ27">
        <v>21</v>
      </c>
      <c r="FK27">
        <v>0.04</v>
      </c>
      <c r="FL27">
        <v>0.04</v>
      </c>
      <c r="FM27">
        <v>-55.92095500000001</v>
      </c>
      <c r="FN27">
        <v>5.200205628517907</v>
      </c>
      <c r="FO27">
        <v>0.5064803727440976</v>
      </c>
      <c r="FP27">
        <v>-1</v>
      </c>
      <c r="FQ27">
        <v>3.552453</v>
      </c>
      <c r="FR27">
        <v>-0.4079230018761666</v>
      </c>
      <c r="FS27">
        <v>0.04425649416752306</v>
      </c>
      <c r="FT27">
        <v>1</v>
      </c>
      <c r="FU27">
        <v>0</v>
      </c>
      <c r="FV27">
        <v>0</v>
      </c>
      <c r="FW27">
        <v>0</v>
      </c>
      <c r="FX27">
        <v>-1</v>
      </c>
      <c r="FY27">
        <v>1</v>
      </c>
      <c r="FZ27">
        <v>1</v>
      </c>
      <c r="GA27" t="s">
        <v>420</v>
      </c>
      <c r="GB27">
        <v>2.69652</v>
      </c>
      <c r="GC27">
        <v>2.70516</v>
      </c>
      <c r="GD27">
        <v>0.189073</v>
      </c>
      <c r="GE27">
        <v>0.192481</v>
      </c>
      <c r="GF27">
        <v>0.106251</v>
      </c>
      <c r="GG27">
        <v>0.0937185</v>
      </c>
      <c r="GH27">
        <v>25527.5</v>
      </c>
      <c r="GI27">
        <v>25538.1</v>
      </c>
      <c r="GJ27">
        <v>29281.9</v>
      </c>
      <c r="GK27">
        <v>29265.2</v>
      </c>
      <c r="GL27">
        <v>34649.9</v>
      </c>
      <c r="GM27">
        <v>35297.5</v>
      </c>
      <c r="GN27">
        <v>41214.4</v>
      </c>
      <c r="GO27">
        <v>41748</v>
      </c>
      <c r="GP27">
        <v>1.73347</v>
      </c>
      <c r="GQ27">
        <v>2.05697</v>
      </c>
      <c r="GR27">
        <v>0.110157</v>
      </c>
      <c r="GS27">
        <v>0</v>
      </c>
      <c r="GT27">
        <v>28.1733</v>
      </c>
      <c r="GU27">
        <v>999.9</v>
      </c>
      <c r="GV27">
        <v>46.8</v>
      </c>
      <c r="GW27">
        <v>31.5</v>
      </c>
      <c r="GX27">
        <v>24.0273</v>
      </c>
      <c r="GY27">
        <v>63.6185</v>
      </c>
      <c r="GZ27">
        <v>28.9463</v>
      </c>
      <c r="HA27">
        <v>1</v>
      </c>
      <c r="HB27">
        <v>0.198783</v>
      </c>
      <c r="HC27">
        <v>0.00982571</v>
      </c>
      <c r="HD27">
        <v>20.3838</v>
      </c>
      <c r="HE27">
        <v>5.22388</v>
      </c>
      <c r="HF27">
        <v>12.0099</v>
      </c>
      <c r="HG27">
        <v>4.9912</v>
      </c>
      <c r="HH27">
        <v>3.28985</v>
      </c>
      <c r="HI27">
        <v>2661.5</v>
      </c>
      <c r="HJ27">
        <v>9999</v>
      </c>
      <c r="HK27">
        <v>9999</v>
      </c>
      <c r="HL27">
        <v>49.2</v>
      </c>
      <c r="HM27">
        <v>1.86715</v>
      </c>
      <c r="HN27">
        <v>1.86614</v>
      </c>
      <c r="HO27">
        <v>1.86569</v>
      </c>
      <c r="HP27">
        <v>1.86556</v>
      </c>
      <c r="HQ27">
        <v>1.86737</v>
      </c>
      <c r="HR27">
        <v>1.86996</v>
      </c>
      <c r="HS27">
        <v>1.86859</v>
      </c>
      <c r="HT27">
        <v>1.86996</v>
      </c>
      <c r="HU27">
        <v>0</v>
      </c>
      <c r="HV27">
        <v>0</v>
      </c>
      <c r="HW27">
        <v>0</v>
      </c>
      <c r="HX27">
        <v>0</v>
      </c>
      <c r="HY27" t="s">
        <v>421</v>
      </c>
      <c r="HZ27" t="s">
        <v>422</v>
      </c>
      <c r="IA27" t="s">
        <v>423</v>
      </c>
      <c r="IB27" t="s">
        <v>423</v>
      </c>
      <c r="IC27" t="s">
        <v>423</v>
      </c>
      <c r="ID27" t="s">
        <v>423</v>
      </c>
      <c r="IE27">
        <v>0</v>
      </c>
      <c r="IF27">
        <v>100</v>
      </c>
      <c r="IG27">
        <v>100</v>
      </c>
      <c r="IH27">
        <v>-2.553</v>
      </c>
      <c r="II27">
        <v>-0.011</v>
      </c>
      <c r="IJ27">
        <v>-0.03312418031733233</v>
      </c>
      <c r="IK27">
        <v>-0.002185601614162945</v>
      </c>
      <c r="IL27">
        <v>-2.252308143750626E-07</v>
      </c>
      <c r="IM27">
        <v>5.915558436307541E-11</v>
      </c>
      <c r="IN27">
        <v>-0.125003428341745</v>
      </c>
      <c r="IO27">
        <v>-0.007570214193104963</v>
      </c>
      <c r="IP27">
        <v>0.0009214429922928372</v>
      </c>
      <c r="IQ27">
        <v>-1.392260276065805E-05</v>
      </c>
      <c r="IR27">
        <v>17</v>
      </c>
      <c r="IS27">
        <v>2272</v>
      </c>
      <c r="IT27">
        <v>1</v>
      </c>
      <c r="IU27">
        <v>31</v>
      </c>
      <c r="IV27">
        <v>1.2</v>
      </c>
      <c r="IW27">
        <v>1.4</v>
      </c>
      <c r="IX27">
        <v>2.44751</v>
      </c>
      <c r="IY27">
        <v>2.20459</v>
      </c>
      <c r="IZ27">
        <v>1.39648</v>
      </c>
      <c r="JA27">
        <v>2.35352</v>
      </c>
      <c r="JB27">
        <v>1.49536</v>
      </c>
      <c r="JC27">
        <v>2.36328</v>
      </c>
      <c r="JD27">
        <v>35.3133</v>
      </c>
      <c r="JE27">
        <v>15.8394</v>
      </c>
      <c r="JF27">
        <v>18</v>
      </c>
      <c r="JG27">
        <v>389.964</v>
      </c>
      <c r="JH27">
        <v>582.133</v>
      </c>
      <c r="JI27">
        <v>29.1496</v>
      </c>
      <c r="JJ27">
        <v>30.0962</v>
      </c>
      <c r="JK27">
        <v>29.9999</v>
      </c>
      <c r="JL27">
        <v>30.0884</v>
      </c>
      <c r="JM27">
        <v>30.0092</v>
      </c>
      <c r="JN27">
        <v>48.9767</v>
      </c>
      <c r="JO27">
        <v>15.5874</v>
      </c>
      <c r="JP27">
        <v>1.22214</v>
      </c>
      <c r="JQ27">
        <v>29.1638</v>
      </c>
      <c r="JR27">
        <v>1220</v>
      </c>
      <c r="JS27">
        <v>20.6234</v>
      </c>
      <c r="JT27">
        <v>100.09</v>
      </c>
      <c r="JU27">
        <v>100.22</v>
      </c>
    </row>
    <row r="28" spans="1:281">
      <c r="A28">
        <v>12</v>
      </c>
      <c r="B28">
        <v>1652369390.5</v>
      </c>
      <c r="C28">
        <v>1296.900000095367</v>
      </c>
      <c r="D28" t="s">
        <v>465</v>
      </c>
      <c r="E28" t="s">
        <v>466</v>
      </c>
      <c r="F28">
        <v>5</v>
      </c>
      <c r="G28" t="s">
        <v>413</v>
      </c>
      <c r="H28" t="s">
        <v>414</v>
      </c>
      <c r="I28">
        <v>1652369382.75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1654.812101754093</v>
      </c>
      <c r="AK28">
        <v>1597.999333333333</v>
      </c>
      <c r="AL28">
        <v>0.1588576015491827</v>
      </c>
      <c r="AM28">
        <v>65.93798541499274</v>
      </c>
      <c r="AN28">
        <f>(AP28 - AO28 + DI28*1E3/(8.314*(DK28+273.15)) * AR28/DH28 * AQ28) * DH28/(100*CV28) * 1000/(1000 - AP28)</f>
        <v>0</v>
      </c>
      <c r="AO28">
        <v>21.04927127612757</v>
      </c>
      <c r="AP28">
        <v>23.9224055944056</v>
      </c>
      <c r="AQ28">
        <v>0.0001755611608575508</v>
      </c>
      <c r="AR28">
        <v>81.36866682052624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415</v>
      </c>
      <c r="AY28">
        <v>10510</v>
      </c>
      <c r="AZ28">
        <v>590.42</v>
      </c>
      <c r="BA28">
        <v>2650.6</v>
      </c>
      <c r="BB28">
        <f>1-AZ28/BA28</f>
        <v>0</v>
      </c>
      <c r="BC28">
        <v>-1.816883183993991</v>
      </c>
      <c r="BD28" t="s">
        <v>467</v>
      </c>
      <c r="BE28">
        <v>10392.4</v>
      </c>
      <c r="BF28">
        <v>1091.2572</v>
      </c>
      <c r="BG28">
        <v>1666.04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1383</v>
      </c>
      <c r="CA28">
        <v>300</v>
      </c>
      <c r="CB28">
        <v>300</v>
      </c>
      <c r="CC28">
        <v>300</v>
      </c>
      <c r="CD28">
        <v>10392.4</v>
      </c>
      <c r="CE28">
        <v>1565.27</v>
      </c>
      <c r="CF28">
        <v>-0.00731699</v>
      </c>
      <c r="CG28">
        <v>2.99</v>
      </c>
      <c r="CH28" t="s">
        <v>417</v>
      </c>
      <c r="CI28" t="s">
        <v>417</v>
      </c>
      <c r="CJ28" t="s">
        <v>417</v>
      </c>
      <c r="CK28" t="s">
        <v>417</v>
      </c>
      <c r="CL28" t="s">
        <v>417</v>
      </c>
      <c r="CM28" t="s">
        <v>417</v>
      </c>
      <c r="CN28" t="s">
        <v>417</v>
      </c>
      <c r="CO28" t="s">
        <v>417</v>
      </c>
      <c r="CP28" t="s">
        <v>417</v>
      </c>
      <c r="CQ28" t="s">
        <v>417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418</v>
      </c>
      <c r="CY28">
        <v>2</v>
      </c>
      <c r="CZ28" t="b">
        <v>1</v>
      </c>
      <c r="DA28">
        <v>1652369382.75</v>
      </c>
      <c r="DB28">
        <v>1558.962</v>
      </c>
      <c r="DC28">
        <v>1620.012</v>
      </c>
      <c r="DD28">
        <v>23.88250333333334</v>
      </c>
      <c r="DE28">
        <v>21.02621333333333</v>
      </c>
      <c r="DF28">
        <v>1562.072</v>
      </c>
      <c r="DG28">
        <v>23.88450333333334</v>
      </c>
      <c r="DH28">
        <v>400.0644</v>
      </c>
      <c r="DI28">
        <v>90.40270666666669</v>
      </c>
      <c r="DJ28">
        <v>0.09999497333333335</v>
      </c>
      <c r="DK28">
        <v>30.4102</v>
      </c>
      <c r="DL28">
        <v>30.03371333333333</v>
      </c>
      <c r="DM28">
        <v>999.9000000000002</v>
      </c>
      <c r="DN28">
        <v>0</v>
      </c>
      <c r="DO28">
        <v>0</v>
      </c>
      <c r="DP28">
        <v>10001.586</v>
      </c>
      <c r="DQ28">
        <v>0</v>
      </c>
      <c r="DR28">
        <v>346.8009666666667</v>
      </c>
      <c r="DS28">
        <v>-61.33019666666667</v>
      </c>
      <c r="DT28">
        <v>1596.870666666666</v>
      </c>
      <c r="DU28">
        <v>1654.807</v>
      </c>
      <c r="DV28">
        <v>2.888892666666667</v>
      </c>
      <c r="DW28">
        <v>1620.012</v>
      </c>
      <c r="DX28">
        <v>21.02621333333333</v>
      </c>
      <c r="DY28">
        <v>2.161990666666667</v>
      </c>
      <c r="DZ28">
        <v>1.900827333333333</v>
      </c>
      <c r="EA28">
        <v>18.6834</v>
      </c>
      <c r="EB28">
        <v>16.64154333333333</v>
      </c>
      <c r="EC28">
        <v>1499.981666666667</v>
      </c>
      <c r="ED28">
        <v>0.9730044999999997</v>
      </c>
      <c r="EE28">
        <v>0.02699541</v>
      </c>
      <c r="EF28">
        <v>0</v>
      </c>
      <c r="EG28">
        <v>1092.055666666667</v>
      </c>
      <c r="EH28">
        <v>5.000969999999999</v>
      </c>
      <c r="EI28">
        <v>17229.70666666667</v>
      </c>
      <c r="EJ28">
        <v>12491.47</v>
      </c>
      <c r="EK28">
        <v>39.18079999999999</v>
      </c>
      <c r="EL28">
        <v>40.43699999999998</v>
      </c>
      <c r="EM28">
        <v>39.375</v>
      </c>
      <c r="EN28">
        <v>40.35189999999999</v>
      </c>
      <c r="EO28">
        <v>40.30579999999998</v>
      </c>
      <c r="EP28">
        <v>1454.621666666667</v>
      </c>
      <c r="EQ28">
        <v>40.35999999999999</v>
      </c>
      <c r="ER28">
        <v>0</v>
      </c>
      <c r="ES28">
        <v>94.79999995231628</v>
      </c>
      <c r="ET28">
        <v>0</v>
      </c>
      <c r="EU28">
        <v>1091.2572</v>
      </c>
      <c r="EV28">
        <v>-59.7530770299781</v>
      </c>
      <c r="EW28">
        <v>-871.9461551995133</v>
      </c>
      <c r="EX28">
        <v>17217.78</v>
      </c>
      <c r="EY28">
        <v>15</v>
      </c>
      <c r="EZ28">
        <v>1652369422.5</v>
      </c>
      <c r="FA28" t="s">
        <v>468</v>
      </c>
      <c r="FB28">
        <v>1652369422.5</v>
      </c>
      <c r="FC28">
        <v>1652369418.5</v>
      </c>
      <c r="FD28">
        <v>12</v>
      </c>
      <c r="FE28">
        <v>0.431</v>
      </c>
      <c r="FF28">
        <v>0.002</v>
      </c>
      <c r="FG28">
        <v>-3.11</v>
      </c>
      <c r="FH28">
        <v>-0.002</v>
      </c>
      <c r="FI28">
        <v>1620</v>
      </c>
      <c r="FJ28">
        <v>21</v>
      </c>
      <c r="FK28">
        <v>0.04</v>
      </c>
      <c r="FL28">
        <v>0.02</v>
      </c>
      <c r="FM28">
        <v>-61.9889275</v>
      </c>
      <c r="FN28">
        <v>12.50079287054424</v>
      </c>
      <c r="FO28">
        <v>1.222423799667591</v>
      </c>
      <c r="FP28">
        <v>-1</v>
      </c>
      <c r="FQ28">
        <v>2.912711</v>
      </c>
      <c r="FR28">
        <v>-0.4707030393996289</v>
      </c>
      <c r="FS28">
        <v>0.04704518943526532</v>
      </c>
      <c r="FT28">
        <v>1</v>
      </c>
      <c r="FU28">
        <v>0</v>
      </c>
      <c r="FV28">
        <v>0</v>
      </c>
      <c r="FW28">
        <v>0</v>
      </c>
      <c r="FX28">
        <v>-1</v>
      </c>
      <c r="FY28">
        <v>1</v>
      </c>
      <c r="FZ28">
        <v>1</v>
      </c>
      <c r="GA28" t="s">
        <v>420</v>
      </c>
      <c r="GB28">
        <v>2.6967</v>
      </c>
      <c r="GC28">
        <v>2.7052</v>
      </c>
      <c r="GD28">
        <v>0.226293</v>
      </c>
      <c r="GE28">
        <v>0.229045</v>
      </c>
      <c r="GF28">
        <v>0.105988</v>
      </c>
      <c r="GG28">
        <v>0.09552289999999999</v>
      </c>
      <c r="GH28">
        <v>24355.5</v>
      </c>
      <c r="GI28">
        <v>24381.5</v>
      </c>
      <c r="GJ28">
        <v>29283</v>
      </c>
      <c r="GK28">
        <v>29266.6</v>
      </c>
      <c r="GL28">
        <v>34661.8</v>
      </c>
      <c r="GM28">
        <v>35228.7</v>
      </c>
      <c r="GN28">
        <v>41215.8</v>
      </c>
      <c r="GO28">
        <v>41749.9</v>
      </c>
      <c r="GP28">
        <v>1.73377</v>
      </c>
      <c r="GQ28">
        <v>2.05883</v>
      </c>
      <c r="GR28">
        <v>0.119869</v>
      </c>
      <c r="GS28">
        <v>0</v>
      </c>
      <c r="GT28">
        <v>28.0964</v>
      </c>
      <c r="GU28">
        <v>999.9</v>
      </c>
      <c r="GV28">
        <v>46.9</v>
      </c>
      <c r="GW28">
        <v>31.5</v>
      </c>
      <c r="GX28">
        <v>24.0786</v>
      </c>
      <c r="GY28">
        <v>63.4485</v>
      </c>
      <c r="GZ28">
        <v>29.2468</v>
      </c>
      <c r="HA28">
        <v>1</v>
      </c>
      <c r="HB28">
        <v>0.195485</v>
      </c>
      <c r="HC28">
        <v>0.18043</v>
      </c>
      <c r="HD28">
        <v>20.3836</v>
      </c>
      <c r="HE28">
        <v>5.22448</v>
      </c>
      <c r="HF28">
        <v>12.0099</v>
      </c>
      <c r="HG28">
        <v>4.99135</v>
      </c>
      <c r="HH28">
        <v>3.28998</v>
      </c>
      <c r="HI28">
        <v>2663.3</v>
      </c>
      <c r="HJ28">
        <v>9999</v>
      </c>
      <c r="HK28">
        <v>9999</v>
      </c>
      <c r="HL28">
        <v>49.2</v>
      </c>
      <c r="HM28">
        <v>1.86721</v>
      </c>
      <c r="HN28">
        <v>1.86615</v>
      </c>
      <c r="HO28">
        <v>1.8657</v>
      </c>
      <c r="HP28">
        <v>1.86557</v>
      </c>
      <c r="HQ28">
        <v>1.86738</v>
      </c>
      <c r="HR28">
        <v>1.86996</v>
      </c>
      <c r="HS28">
        <v>1.86859</v>
      </c>
      <c r="HT28">
        <v>1.86996</v>
      </c>
      <c r="HU28">
        <v>0</v>
      </c>
      <c r="HV28">
        <v>0</v>
      </c>
      <c r="HW28">
        <v>0</v>
      </c>
      <c r="HX28">
        <v>0</v>
      </c>
      <c r="HY28" t="s">
        <v>421</v>
      </c>
      <c r="HZ28" t="s">
        <v>422</v>
      </c>
      <c r="IA28" t="s">
        <v>423</v>
      </c>
      <c r="IB28" t="s">
        <v>423</v>
      </c>
      <c r="IC28" t="s">
        <v>423</v>
      </c>
      <c r="ID28" t="s">
        <v>423</v>
      </c>
      <c r="IE28">
        <v>0</v>
      </c>
      <c r="IF28">
        <v>100</v>
      </c>
      <c r="IG28">
        <v>100</v>
      </c>
      <c r="IH28">
        <v>-3.11</v>
      </c>
      <c r="II28">
        <v>-0.002</v>
      </c>
      <c r="IJ28">
        <v>0.3469312822379644</v>
      </c>
      <c r="IK28">
        <v>-0.002185601614162945</v>
      </c>
      <c r="IL28">
        <v>-2.252308143750626E-07</v>
      </c>
      <c r="IM28">
        <v>5.915558436307541E-11</v>
      </c>
      <c r="IN28">
        <v>-0.1245413709895622</v>
      </c>
      <c r="IO28">
        <v>-0.007570214193104963</v>
      </c>
      <c r="IP28">
        <v>0.0009214429922928372</v>
      </c>
      <c r="IQ28">
        <v>-1.392260276065805E-05</v>
      </c>
      <c r="IR28">
        <v>17</v>
      </c>
      <c r="IS28">
        <v>2272</v>
      </c>
      <c r="IT28">
        <v>1</v>
      </c>
      <c r="IU28">
        <v>31</v>
      </c>
      <c r="IV28">
        <v>1.2</v>
      </c>
      <c r="IW28">
        <v>1.1</v>
      </c>
      <c r="IX28">
        <v>3.06763</v>
      </c>
      <c r="IY28">
        <v>2.18628</v>
      </c>
      <c r="IZ28">
        <v>1.39648</v>
      </c>
      <c r="JA28">
        <v>2.35229</v>
      </c>
      <c r="JB28">
        <v>1.49536</v>
      </c>
      <c r="JC28">
        <v>2.35596</v>
      </c>
      <c r="JD28">
        <v>35.3133</v>
      </c>
      <c r="JE28">
        <v>15.8307</v>
      </c>
      <c r="JF28">
        <v>18</v>
      </c>
      <c r="JG28">
        <v>389.709</v>
      </c>
      <c r="JH28">
        <v>582.86</v>
      </c>
      <c r="JI28">
        <v>29.1545</v>
      </c>
      <c r="JJ28">
        <v>30.0293</v>
      </c>
      <c r="JK28">
        <v>29.9999</v>
      </c>
      <c r="JL28">
        <v>30.0193</v>
      </c>
      <c r="JM28">
        <v>29.9387</v>
      </c>
      <c r="JN28">
        <v>61.3807</v>
      </c>
      <c r="JO28">
        <v>14.062</v>
      </c>
      <c r="JP28">
        <v>4.14755</v>
      </c>
      <c r="JQ28">
        <v>29.1193</v>
      </c>
      <c r="JR28">
        <v>1620</v>
      </c>
      <c r="JS28">
        <v>21.1752</v>
      </c>
      <c r="JT28">
        <v>100.093</v>
      </c>
      <c r="JU28">
        <v>100.225</v>
      </c>
    </row>
    <row r="29" spans="1:281">
      <c r="A29">
        <v>13</v>
      </c>
      <c r="B29">
        <v>1652370049</v>
      </c>
      <c r="C29">
        <v>1955.400000095367</v>
      </c>
      <c r="D29" t="s">
        <v>469</v>
      </c>
      <c r="E29" t="s">
        <v>470</v>
      </c>
      <c r="F29">
        <v>5</v>
      </c>
      <c r="G29" t="s">
        <v>471</v>
      </c>
      <c r="H29" t="s">
        <v>414</v>
      </c>
      <c r="I29">
        <v>1652370041.25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425.1865719871596</v>
      </c>
      <c r="AK29">
        <v>398.6377999999999</v>
      </c>
      <c r="AL29">
        <v>0.01185829809627174</v>
      </c>
      <c r="AM29">
        <v>65.94658656932425</v>
      </c>
      <c r="AN29">
        <f>(AP29 - AO29 + DI29*1E3/(8.314*(DK29+273.15)) * AR29/DH29 * AQ29) * DH29/(100*CV29) * 1000/(1000 - AP29)</f>
        <v>0</v>
      </c>
      <c r="AO29">
        <v>12.56477609631331</v>
      </c>
      <c r="AP29">
        <v>24.96407622377623</v>
      </c>
      <c r="AQ29">
        <v>-0.002027276102310301</v>
      </c>
      <c r="AR29">
        <v>81.32760971527009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415</v>
      </c>
      <c r="AY29">
        <v>10510</v>
      </c>
      <c r="AZ29">
        <v>590.42</v>
      </c>
      <c r="BA29">
        <v>2650.6</v>
      </c>
      <c r="BB29">
        <f>1-AZ29/BA29</f>
        <v>0</v>
      </c>
      <c r="BC29">
        <v>-1.816883183993991</v>
      </c>
      <c r="BD29" t="s">
        <v>472</v>
      </c>
      <c r="BE29">
        <v>10385</v>
      </c>
      <c r="BF29">
        <v>2003.12</v>
      </c>
      <c r="BG29">
        <v>2539.17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1384</v>
      </c>
      <c r="CA29">
        <v>300</v>
      </c>
      <c r="CB29">
        <v>300</v>
      </c>
      <c r="CC29">
        <v>300</v>
      </c>
      <c r="CD29">
        <v>10385</v>
      </c>
      <c r="CE29">
        <v>2436.99</v>
      </c>
      <c r="CF29">
        <v>-0.00731156</v>
      </c>
      <c r="CG29">
        <v>-9.630000000000001</v>
      </c>
      <c r="CH29" t="s">
        <v>417</v>
      </c>
      <c r="CI29" t="s">
        <v>417</v>
      </c>
      <c r="CJ29" t="s">
        <v>417</v>
      </c>
      <c r="CK29" t="s">
        <v>417</v>
      </c>
      <c r="CL29" t="s">
        <v>417</v>
      </c>
      <c r="CM29" t="s">
        <v>417</v>
      </c>
      <c r="CN29" t="s">
        <v>417</v>
      </c>
      <c r="CO29" t="s">
        <v>417</v>
      </c>
      <c r="CP29" t="s">
        <v>417</v>
      </c>
      <c r="CQ29" t="s">
        <v>417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418</v>
      </c>
      <c r="CY29">
        <v>2</v>
      </c>
      <c r="CZ29" t="b">
        <v>1</v>
      </c>
      <c r="DA29">
        <v>1652370041.25</v>
      </c>
      <c r="DB29">
        <v>387.3217666666667</v>
      </c>
      <c r="DC29">
        <v>419.9413</v>
      </c>
      <c r="DD29">
        <v>24.85027333333333</v>
      </c>
      <c r="DE29">
        <v>12.46718666666667</v>
      </c>
      <c r="DF29">
        <v>388.6297666666667</v>
      </c>
      <c r="DG29">
        <v>24.94727333333334</v>
      </c>
      <c r="DH29">
        <v>400.0717666666667</v>
      </c>
      <c r="DI29">
        <v>90.41859666666666</v>
      </c>
      <c r="DJ29">
        <v>0.09995625999999999</v>
      </c>
      <c r="DK29">
        <v>31.30325666666667</v>
      </c>
      <c r="DL29">
        <v>30.04531666666667</v>
      </c>
      <c r="DM29">
        <v>999.9000000000002</v>
      </c>
      <c r="DN29">
        <v>0</v>
      </c>
      <c r="DO29">
        <v>0</v>
      </c>
      <c r="DP29">
        <v>10006.76933333333</v>
      </c>
      <c r="DQ29">
        <v>0</v>
      </c>
      <c r="DR29">
        <v>358.0757333333333</v>
      </c>
      <c r="DS29">
        <v>-31.41319333333334</v>
      </c>
      <c r="DT29">
        <v>398.4878</v>
      </c>
      <c r="DU29">
        <v>425.243</v>
      </c>
      <c r="DV29">
        <v>12.52615</v>
      </c>
      <c r="DW29">
        <v>419.9413</v>
      </c>
      <c r="DX29">
        <v>12.46718666666667</v>
      </c>
      <c r="DY29">
        <v>2.259861333333334</v>
      </c>
      <c r="DZ29">
        <v>1.127264666666667</v>
      </c>
      <c r="EA29">
        <v>19.39310333333333</v>
      </c>
      <c r="EB29">
        <v>8.673585000000001</v>
      </c>
      <c r="EC29">
        <v>1500.000333333334</v>
      </c>
      <c r="ED29">
        <v>0.9730029999999998</v>
      </c>
      <c r="EE29">
        <v>0.02699695999999999</v>
      </c>
      <c r="EF29">
        <v>0</v>
      </c>
      <c r="EG29">
        <v>2003.227333333333</v>
      </c>
      <c r="EH29">
        <v>5.000969999999999</v>
      </c>
      <c r="EI29">
        <v>30585.21333333333</v>
      </c>
      <c r="EJ29">
        <v>12491.61333333333</v>
      </c>
      <c r="EK29">
        <v>39.26653333333334</v>
      </c>
      <c r="EL29">
        <v>40.625</v>
      </c>
      <c r="EM29">
        <v>39.44539999999999</v>
      </c>
      <c r="EN29">
        <v>40.4958</v>
      </c>
      <c r="EO29">
        <v>40.5</v>
      </c>
      <c r="EP29">
        <v>1454.639666666667</v>
      </c>
      <c r="EQ29">
        <v>40.36066666666665</v>
      </c>
      <c r="ER29">
        <v>0</v>
      </c>
      <c r="ES29">
        <v>657.7999999523163</v>
      </c>
      <c r="ET29">
        <v>0</v>
      </c>
      <c r="EU29">
        <v>2003.12</v>
      </c>
      <c r="EV29">
        <v>-20.91384620884813</v>
      </c>
      <c r="EW29">
        <v>-376.4230775394608</v>
      </c>
      <c r="EX29">
        <v>30583.048</v>
      </c>
      <c r="EY29">
        <v>15</v>
      </c>
      <c r="EZ29">
        <v>1652370089.5</v>
      </c>
      <c r="FA29" t="s">
        <v>473</v>
      </c>
      <c r="FB29">
        <v>1652370080</v>
      </c>
      <c r="FC29">
        <v>1652370089.5</v>
      </c>
      <c r="FD29">
        <v>13</v>
      </c>
      <c r="FE29">
        <v>-1.13</v>
      </c>
      <c r="FF29">
        <v>0.001</v>
      </c>
      <c r="FG29">
        <v>-1.308</v>
      </c>
      <c r="FH29">
        <v>-0.097</v>
      </c>
      <c r="FI29">
        <v>420</v>
      </c>
      <c r="FJ29">
        <v>13</v>
      </c>
      <c r="FK29">
        <v>0.09</v>
      </c>
      <c r="FL29">
        <v>0.01</v>
      </c>
      <c r="FM29">
        <v>-31.46505</v>
      </c>
      <c r="FN29">
        <v>1.340246904315248</v>
      </c>
      <c r="FO29">
        <v>0.1512216766869091</v>
      </c>
      <c r="FP29">
        <v>-1</v>
      </c>
      <c r="FQ29">
        <v>12.6057825</v>
      </c>
      <c r="FR29">
        <v>-1.877755722326494</v>
      </c>
      <c r="FS29">
        <v>0.1811003877515176</v>
      </c>
      <c r="FT29">
        <v>0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1</v>
      </c>
      <c r="GA29" t="s">
        <v>432</v>
      </c>
      <c r="GB29">
        <v>2.69605</v>
      </c>
      <c r="GC29">
        <v>2.70498</v>
      </c>
      <c r="GD29">
        <v>0.08818239999999999</v>
      </c>
      <c r="GE29">
        <v>0.09257990000000001</v>
      </c>
      <c r="GF29">
        <v>0.109122</v>
      </c>
      <c r="GG29">
        <v>0.06599960000000001</v>
      </c>
      <c r="GH29">
        <v>28691.6</v>
      </c>
      <c r="GI29">
        <v>28682.4</v>
      </c>
      <c r="GJ29">
        <v>29268.4</v>
      </c>
      <c r="GK29">
        <v>29247.8</v>
      </c>
      <c r="GL29">
        <v>34519.5</v>
      </c>
      <c r="GM29">
        <v>36364.4</v>
      </c>
      <c r="GN29">
        <v>41194.4</v>
      </c>
      <c r="GO29">
        <v>41726.1</v>
      </c>
      <c r="GP29">
        <v>1.7321</v>
      </c>
      <c r="GQ29">
        <v>2.03735</v>
      </c>
      <c r="GR29">
        <v>0.0534579</v>
      </c>
      <c r="GS29">
        <v>0</v>
      </c>
      <c r="GT29">
        <v>29.1592</v>
      </c>
      <c r="GU29">
        <v>999.9</v>
      </c>
      <c r="GV29">
        <v>45.7</v>
      </c>
      <c r="GW29">
        <v>31.9</v>
      </c>
      <c r="GX29">
        <v>23.9976</v>
      </c>
      <c r="GY29">
        <v>63.4286</v>
      </c>
      <c r="GZ29">
        <v>29.6875</v>
      </c>
      <c r="HA29">
        <v>1</v>
      </c>
      <c r="HB29">
        <v>0.218829</v>
      </c>
      <c r="HC29">
        <v>0.6082</v>
      </c>
      <c r="HD29">
        <v>20.3812</v>
      </c>
      <c r="HE29">
        <v>5.22133</v>
      </c>
      <c r="HF29">
        <v>12.0099</v>
      </c>
      <c r="HG29">
        <v>4.9901</v>
      </c>
      <c r="HH29">
        <v>3.28923</v>
      </c>
      <c r="HI29">
        <v>2677</v>
      </c>
      <c r="HJ29">
        <v>9999</v>
      </c>
      <c r="HK29">
        <v>9999</v>
      </c>
      <c r="HL29">
        <v>49.4</v>
      </c>
      <c r="HM29">
        <v>1.86718</v>
      </c>
      <c r="HN29">
        <v>1.86615</v>
      </c>
      <c r="HO29">
        <v>1.8657</v>
      </c>
      <c r="HP29">
        <v>1.86567</v>
      </c>
      <c r="HQ29">
        <v>1.86737</v>
      </c>
      <c r="HR29">
        <v>1.86996</v>
      </c>
      <c r="HS29">
        <v>1.86859</v>
      </c>
      <c r="HT29">
        <v>1.86996</v>
      </c>
      <c r="HU29">
        <v>0</v>
      </c>
      <c r="HV29">
        <v>0</v>
      </c>
      <c r="HW29">
        <v>0</v>
      </c>
      <c r="HX29">
        <v>0</v>
      </c>
      <c r="HY29" t="s">
        <v>421</v>
      </c>
      <c r="HZ29" t="s">
        <v>422</v>
      </c>
      <c r="IA29" t="s">
        <v>423</v>
      </c>
      <c r="IB29" t="s">
        <v>423</v>
      </c>
      <c r="IC29" t="s">
        <v>423</v>
      </c>
      <c r="ID29" t="s">
        <v>423</v>
      </c>
      <c r="IE29">
        <v>0</v>
      </c>
      <c r="IF29">
        <v>100</v>
      </c>
      <c r="IG29">
        <v>100</v>
      </c>
      <c r="IH29">
        <v>-1.308</v>
      </c>
      <c r="II29">
        <v>-0.097</v>
      </c>
      <c r="IJ29">
        <v>0.7783570200340224</v>
      </c>
      <c r="IK29">
        <v>-0.002185601614162945</v>
      </c>
      <c r="IL29">
        <v>-2.252308143750626E-07</v>
      </c>
      <c r="IM29">
        <v>5.915558436307541E-11</v>
      </c>
      <c r="IN29">
        <v>-0.1224030440082405</v>
      </c>
      <c r="IO29">
        <v>-0.007570214193104963</v>
      </c>
      <c r="IP29">
        <v>0.0009214429922928372</v>
      </c>
      <c r="IQ29">
        <v>-1.392260276065805E-05</v>
      </c>
      <c r="IR29">
        <v>17</v>
      </c>
      <c r="IS29">
        <v>2272</v>
      </c>
      <c r="IT29">
        <v>1</v>
      </c>
      <c r="IU29">
        <v>31</v>
      </c>
      <c r="IV29">
        <v>10.4</v>
      </c>
      <c r="IW29">
        <v>10.5</v>
      </c>
      <c r="IX29">
        <v>1.04248</v>
      </c>
      <c r="IY29">
        <v>2.22046</v>
      </c>
      <c r="IZ29">
        <v>1.39648</v>
      </c>
      <c r="JA29">
        <v>2.35107</v>
      </c>
      <c r="JB29">
        <v>1.49536</v>
      </c>
      <c r="JC29">
        <v>2.26196</v>
      </c>
      <c r="JD29">
        <v>35.5683</v>
      </c>
      <c r="JE29">
        <v>15.6906</v>
      </c>
      <c r="JF29">
        <v>18</v>
      </c>
      <c r="JG29">
        <v>389.685</v>
      </c>
      <c r="JH29">
        <v>567.597</v>
      </c>
      <c r="JI29">
        <v>29.5853</v>
      </c>
      <c r="JJ29">
        <v>30.2933</v>
      </c>
      <c r="JK29">
        <v>30</v>
      </c>
      <c r="JL29">
        <v>30.1644</v>
      </c>
      <c r="JM29">
        <v>30.0516</v>
      </c>
      <c r="JN29">
        <v>20.8855</v>
      </c>
      <c r="JO29">
        <v>43.8287</v>
      </c>
      <c r="JP29">
        <v>0</v>
      </c>
      <c r="JQ29">
        <v>29.5614</v>
      </c>
      <c r="JR29">
        <v>420</v>
      </c>
      <c r="JS29">
        <v>12.7364</v>
      </c>
      <c r="JT29">
        <v>100.042</v>
      </c>
      <c r="JU29">
        <v>100.165</v>
      </c>
    </row>
    <row r="30" spans="1:281">
      <c r="A30">
        <v>14</v>
      </c>
      <c r="B30">
        <v>1652370180.5</v>
      </c>
      <c r="C30">
        <v>2086.900000095367</v>
      </c>
      <c r="D30" t="s">
        <v>474</v>
      </c>
      <c r="E30" t="s">
        <v>475</v>
      </c>
      <c r="F30">
        <v>5</v>
      </c>
      <c r="G30" t="s">
        <v>471</v>
      </c>
      <c r="H30" t="s">
        <v>414</v>
      </c>
      <c r="I30">
        <v>1652370172.5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324.9878610420702</v>
      </c>
      <c r="AK30">
        <v>304.931896969697</v>
      </c>
      <c r="AL30">
        <v>0.005625513223960577</v>
      </c>
      <c r="AM30">
        <v>65.96733016530584</v>
      </c>
      <c r="AN30">
        <f>(AP30 - AO30 + DI30*1E3/(8.314*(DK30+273.15)) * AR30/DH30 * AQ30) * DH30/(100*CV30) * 1000/(1000 - AP30)</f>
        <v>0</v>
      </c>
      <c r="AO30">
        <v>15.53988793341362</v>
      </c>
      <c r="AP30">
        <v>24.44629090909093</v>
      </c>
      <c r="AQ30">
        <v>-0.005187788844670284</v>
      </c>
      <c r="AR30">
        <v>80.96852744256772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415</v>
      </c>
      <c r="AY30">
        <v>10510</v>
      </c>
      <c r="AZ30">
        <v>590.42</v>
      </c>
      <c r="BA30">
        <v>2650.6</v>
      </c>
      <c r="BB30">
        <f>1-AZ30/BA30</f>
        <v>0</v>
      </c>
      <c r="BC30">
        <v>-1.816883183993991</v>
      </c>
      <c r="BD30" t="s">
        <v>476</v>
      </c>
      <c r="BE30">
        <v>10383.6</v>
      </c>
      <c r="BF30">
        <v>1977.7156</v>
      </c>
      <c r="BG30">
        <v>2500.34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1385</v>
      </c>
      <c r="CA30">
        <v>300</v>
      </c>
      <c r="CB30">
        <v>300</v>
      </c>
      <c r="CC30">
        <v>300</v>
      </c>
      <c r="CD30">
        <v>10383.6</v>
      </c>
      <c r="CE30">
        <v>2401.27</v>
      </c>
      <c r="CF30">
        <v>-0.00731045</v>
      </c>
      <c r="CG30">
        <v>-7.77</v>
      </c>
      <c r="CH30" t="s">
        <v>417</v>
      </c>
      <c r="CI30" t="s">
        <v>417</v>
      </c>
      <c r="CJ30" t="s">
        <v>417</v>
      </c>
      <c r="CK30" t="s">
        <v>417</v>
      </c>
      <c r="CL30" t="s">
        <v>417</v>
      </c>
      <c r="CM30" t="s">
        <v>417</v>
      </c>
      <c r="CN30" t="s">
        <v>417</v>
      </c>
      <c r="CO30" t="s">
        <v>417</v>
      </c>
      <c r="CP30" t="s">
        <v>417</v>
      </c>
      <c r="CQ30" t="s">
        <v>417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418</v>
      </c>
      <c r="CY30">
        <v>2</v>
      </c>
      <c r="CZ30" t="b">
        <v>1</v>
      </c>
      <c r="DA30">
        <v>1652370172.5</v>
      </c>
      <c r="DB30">
        <v>297.3696129032259</v>
      </c>
      <c r="DC30">
        <v>319.9647741935484</v>
      </c>
      <c r="DD30">
        <v>24.35680967741936</v>
      </c>
      <c r="DE30">
        <v>15.5013064516129</v>
      </c>
      <c r="DF30">
        <v>298.3946129032258</v>
      </c>
      <c r="DG30">
        <v>24.42080967741936</v>
      </c>
      <c r="DH30">
        <v>400.0930645161291</v>
      </c>
      <c r="DI30">
        <v>90.40622580645162</v>
      </c>
      <c r="DJ30">
        <v>0.09999659999999999</v>
      </c>
      <c r="DK30">
        <v>30.88912258064516</v>
      </c>
      <c r="DL30">
        <v>30.00395483870967</v>
      </c>
      <c r="DM30">
        <v>999.9000000000003</v>
      </c>
      <c r="DN30">
        <v>0</v>
      </c>
      <c r="DO30">
        <v>0</v>
      </c>
      <c r="DP30">
        <v>10003.00903225806</v>
      </c>
      <c r="DQ30">
        <v>0</v>
      </c>
      <c r="DR30">
        <v>409.0726774193548</v>
      </c>
      <c r="DS30">
        <v>-22.59248709677419</v>
      </c>
      <c r="DT30">
        <v>304.8287741935485</v>
      </c>
      <c r="DU30">
        <v>325.0028064516129</v>
      </c>
      <c r="DV30">
        <v>8.960115161290323</v>
      </c>
      <c r="DW30">
        <v>319.9647741935484</v>
      </c>
      <c r="DX30">
        <v>15.5013064516129</v>
      </c>
      <c r="DY30">
        <v>2.211464838709677</v>
      </c>
      <c r="DZ30">
        <v>1.401414193548387</v>
      </c>
      <c r="EA30">
        <v>19.0456</v>
      </c>
      <c r="EB30">
        <v>11.93282580645161</v>
      </c>
      <c r="EC30">
        <v>1500.008064516129</v>
      </c>
      <c r="ED30">
        <v>0.9730060967741937</v>
      </c>
      <c r="EE30">
        <v>0.02699363548387097</v>
      </c>
      <c r="EF30">
        <v>0</v>
      </c>
      <c r="EG30">
        <v>1977.665483870968</v>
      </c>
      <c r="EH30">
        <v>5.000969999999999</v>
      </c>
      <c r="EI30">
        <v>30348.37419354838</v>
      </c>
      <c r="EJ30">
        <v>12491.6870967742</v>
      </c>
      <c r="EK30">
        <v>39.31199999999998</v>
      </c>
      <c r="EL30">
        <v>40.67699999999999</v>
      </c>
      <c r="EM30">
        <v>39.504</v>
      </c>
      <c r="EN30">
        <v>40.5</v>
      </c>
      <c r="EO30">
        <v>40.5</v>
      </c>
      <c r="EP30">
        <v>1454.648064516129</v>
      </c>
      <c r="EQ30">
        <v>40.35451612903224</v>
      </c>
      <c r="ER30">
        <v>0</v>
      </c>
      <c r="ES30">
        <v>131.2000000476837</v>
      </c>
      <c r="ET30">
        <v>0</v>
      </c>
      <c r="EU30">
        <v>1977.7156</v>
      </c>
      <c r="EV30">
        <v>1.700769231310604</v>
      </c>
      <c r="EW30">
        <v>-237.2923074721257</v>
      </c>
      <c r="EX30">
        <v>30345.188</v>
      </c>
      <c r="EY30">
        <v>15</v>
      </c>
      <c r="EZ30">
        <v>1652370210</v>
      </c>
      <c r="FA30" t="s">
        <v>477</v>
      </c>
      <c r="FB30">
        <v>1652370207.5</v>
      </c>
      <c r="FC30">
        <v>1652370210</v>
      </c>
      <c r="FD30">
        <v>14</v>
      </c>
      <c r="FE30">
        <v>0.049</v>
      </c>
      <c r="FF30">
        <v>0.002</v>
      </c>
      <c r="FG30">
        <v>-1.025</v>
      </c>
      <c r="FH30">
        <v>-0.064</v>
      </c>
      <c r="FI30">
        <v>320</v>
      </c>
      <c r="FJ30">
        <v>16</v>
      </c>
      <c r="FK30">
        <v>0.1</v>
      </c>
      <c r="FL30">
        <v>0.01</v>
      </c>
      <c r="FM30">
        <v>-22.64579756097561</v>
      </c>
      <c r="FN30">
        <v>0.9707519163763083</v>
      </c>
      <c r="FO30">
        <v>0.09867359220647245</v>
      </c>
      <c r="FP30">
        <v>-1</v>
      </c>
      <c r="FQ30">
        <v>9.002483902439025</v>
      </c>
      <c r="FR30">
        <v>-0.7731418118466912</v>
      </c>
      <c r="FS30">
        <v>0.08031657933750842</v>
      </c>
      <c r="FT30">
        <v>0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1</v>
      </c>
      <c r="GA30" t="s">
        <v>432</v>
      </c>
      <c r="GB30">
        <v>2.6962</v>
      </c>
      <c r="GC30">
        <v>2.70524</v>
      </c>
      <c r="GD30">
        <v>0.0713746</v>
      </c>
      <c r="GE30">
        <v>0.0747964</v>
      </c>
      <c r="GF30">
        <v>0.107551</v>
      </c>
      <c r="GG30">
        <v>0.07721649999999999</v>
      </c>
      <c r="GH30">
        <v>29223.7</v>
      </c>
      <c r="GI30">
        <v>29245.6</v>
      </c>
      <c r="GJ30">
        <v>29271.4</v>
      </c>
      <c r="GK30">
        <v>29248.6</v>
      </c>
      <c r="GL30">
        <v>34584.4</v>
      </c>
      <c r="GM30">
        <v>35926.1</v>
      </c>
      <c r="GN30">
        <v>41198.8</v>
      </c>
      <c r="GO30">
        <v>41727.6</v>
      </c>
      <c r="GP30">
        <v>1.7295</v>
      </c>
      <c r="GQ30">
        <v>2.0409</v>
      </c>
      <c r="GR30">
        <v>0.0661612</v>
      </c>
      <c r="GS30">
        <v>0</v>
      </c>
      <c r="GT30">
        <v>28.9145</v>
      </c>
      <c r="GU30">
        <v>999.9</v>
      </c>
      <c r="GV30">
        <v>45.6</v>
      </c>
      <c r="GW30">
        <v>32</v>
      </c>
      <c r="GX30">
        <v>24.0816</v>
      </c>
      <c r="GY30">
        <v>63.4686</v>
      </c>
      <c r="GZ30">
        <v>28.9503</v>
      </c>
      <c r="HA30">
        <v>1</v>
      </c>
      <c r="HB30">
        <v>0.218313</v>
      </c>
      <c r="HC30">
        <v>0.465621</v>
      </c>
      <c r="HD30">
        <v>20.3818</v>
      </c>
      <c r="HE30">
        <v>5.22328</v>
      </c>
      <c r="HF30">
        <v>12.0099</v>
      </c>
      <c r="HG30">
        <v>4.9897</v>
      </c>
      <c r="HH30">
        <v>3.28988</v>
      </c>
      <c r="HI30">
        <v>2679.6</v>
      </c>
      <c r="HJ30">
        <v>9999</v>
      </c>
      <c r="HK30">
        <v>9999</v>
      </c>
      <c r="HL30">
        <v>49.4</v>
      </c>
      <c r="HM30">
        <v>1.86721</v>
      </c>
      <c r="HN30">
        <v>1.86615</v>
      </c>
      <c r="HO30">
        <v>1.86569</v>
      </c>
      <c r="HP30">
        <v>1.86565</v>
      </c>
      <c r="HQ30">
        <v>1.86738</v>
      </c>
      <c r="HR30">
        <v>1.86996</v>
      </c>
      <c r="HS30">
        <v>1.86859</v>
      </c>
      <c r="HT30">
        <v>1.86996</v>
      </c>
      <c r="HU30">
        <v>0</v>
      </c>
      <c r="HV30">
        <v>0</v>
      </c>
      <c r="HW30">
        <v>0</v>
      </c>
      <c r="HX30">
        <v>0</v>
      </c>
      <c r="HY30" t="s">
        <v>421</v>
      </c>
      <c r="HZ30" t="s">
        <v>422</v>
      </c>
      <c r="IA30" t="s">
        <v>423</v>
      </c>
      <c r="IB30" t="s">
        <v>423</v>
      </c>
      <c r="IC30" t="s">
        <v>423</v>
      </c>
      <c r="ID30" t="s">
        <v>423</v>
      </c>
      <c r="IE30">
        <v>0</v>
      </c>
      <c r="IF30">
        <v>100</v>
      </c>
      <c r="IG30">
        <v>100</v>
      </c>
      <c r="IH30">
        <v>-1.025</v>
      </c>
      <c r="II30">
        <v>-0.064</v>
      </c>
      <c r="IJ30">
        <v>-0.3517091620357398</v>
      </c>
      <c r="IK30">
        <v>-0.002185601614162945</v>
      </c>
      <c r="IL30">
        <v>-2.252308143750626E-07</v>
      </c>
      <c r="IM30">
        <v>5.915558436307541E-11</v>
      </c>
      <c r="IN30">
        <v>-0.1212860551998726</v>
      </c>
      <c r="IO30">
        <v>-0.007570214193104963</v>
      </c>
      <c r="IP30">
        <v>0.0009214429922928372</v>
      </c>
      <c r="IQ30">
        <v>-1.392260276065805E-05</v>
      </c>
      <c r="IR30">
        <v>17</v>
      </c>
      <c r="IS30">
        <v>2272</v>
      </c>
      <c r="IT30">
        <v>1</v>
      </c>
      <c r="IU30">
        <v>31</v>
      </c>
      <c r="IV30">
        <v>1.7</v>
      </c>
      <c r="IW30">
        <v>1.5</v>
      </c>
      <c r="IX30">
        <v>0.844727</v>
      </c>
      <c r="IY30">
        <v>2.21802</v>
      </c>
      <c r="IZ30">
        <v>1.39648</v>
      </c>
      <c r="JA30">
        <v>2.34985</v>
      </c>
      <c r="JB30">
        <v>1.49536</v>
      </c>
      <c r="JC30">
        <v>2.35596</v>
      </c>
      <c r="JD30">
        <v>35.6148</v>
      </c>
      <c r="JE30">
        <v>15.6818</v>
      </c>
      <c r="JF30">
        <v>18</v>
      </c>
      <c r="JG30">
        <v>388.451</v>
      </c>
      <c r="JH30">
        <v>570.581</v>
      </c>
      <c r="JI30">
        <v>28.9291</v>
      </c>
      <c r="JJ30">
        <v>30.2962</v>
      </c>
      <c r="JK30">
        <v>29.9999</v>
      </c>
      <c r="JL30">
        <v>30.1904</v>
      </c>
      <c r="JM30">
        <v>30.083</v>
      </c>
      <c r="JN30">
        <v>16.9297</v>
      </c>
      <c r="JO30">
        <v>34.1396</v>
      </c>
      <c r="JP30">
        <v>0</v>
      </c>
      <c r="JQ30">
        <v>29.2072</v>
      </c>
      <c r="JR30">
        <v>320</v>
      </c>
      <c r="JS30">
        <v>15.7935</v>
      </c>
      <c r="JT30">
        <v>100.053</v>
      </c>
      <c r="JU30">
        <v>100.168</v>
      </c>
    </row>
    <row r="31" spans="1:281">
      <c r="A31">
        <v>15</v>
      </c>
      <c r="B31">
        <v>1652370271</v>
      </c>
      <c r="C31">
        <v>2177.400000095367</v>
      </c>
      <c r="D31" t="s">
        <v>478</v>
      </c>
      <c r="E31" t="s">
        <v>479</v>
      </c>
      <c r="F31">
        <v>5</v>
      </c>
      <c r="G31" t="s">
        <v>471</v>
      </c>
      <c r="H31" t="s">
        <v>414</v>
      </c>
      <c r="I31">
        <v>1652370263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223.5936055442</v>
      </c>
      <c r="AK31">
        <v>211.0319272727272</v>
      </c>
      <c r="AL31">
        <v>-0.02449465045689951</v>
      </c>
      <c r="AM31">
        <v>65.96505682606075</v>
      </c>
      <c r="AN31">
        <f>(AP31 - AO31 + DI31*1E3/(8.314*(DK31+273.15)) * AR31/DH31 * AQ31) * DH31/(100*CV31) * 1000/(1000 - AP31)</f>
        <v>0</v>
      </c>
      <c r="AO31">
        <v>16.28527117583143</v>
      </c>
      <c r="AP31">
        <v>24.57074825174827</v>
      </c>
      <c r="AQ31">
        <v>0.00159706665443362</v>
      </c>
      <c r="AR31">
        <v>80.99880937704853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417</v>
      </c>
      <c r="AY31" t="s">
        <v>417</v>
      </c>
      <c r="AZ31">
        <v>0</v>
      </c>
      <c r="BA31">
        <v>0</v>
      </c>
      <c r="BB31">
        <f>1-AZ31/BA31</f>
        <v>0</v>
      </c>
      <c r="BC31">
        <v>0</v>
      </c>
      <c r="BD31" t="s">
        <v>417</v>
      </c>
      <c r="BE31" t="s">
        <v>417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1385</v>
      </c>
      <c r="CA31">
        <v>300</v>
      </c>
      <c r="CB31">
        <v>300</v>
      </c>
      <c r="CC31">
        <v>300</v>
      </c>
      <c r="CD31">
        <v>10383.6</v>
      </c>
      <c r="CE31">
        <v>2401.27</v>
      </c>
      <c r="CF31">
        <v>-0.00731045</v>
      </c>
      <c r="CG31">
        <v>-7.77</v>
      </c>
      <c r="CH31" t="s">
        <v>417</v>
      </c>
      <c r="CI31" t="s">
        <v>417</v>
      </c>
      <c r="CJ31" t="s">
        <v>417</v>
      </c>
      <c r="CK31" t="s">
        <v>417</v>
      </c>
      <c r="CL31" t="s">
        <v>417</v>
      </c>
      <c r="CM31" t="s">
        <v>417</v>
      </c>
      <c r="CN31" t="s">
        <v>417</v>
      </c>
      <c r="CO31" t="s">
        <v>417</v>
      </c>
      <c r="CP31" t="s">
        <v>417</v>
      </c>
      <c r="CQ31" t="s">
        <v>417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418</v>
      </c>
      <c r="CY31">
        <v>2</v>
      </c>
      <c r="CZ31" t="b">
        <v>1</v>
      </c>
      <c r="DA31">
        <v>1652370263</v>
      </c>
      <c r="DB31">
        <v>205.9624516129032</v>
      </c>
      <c r="DC31">
        <v>219.9808387096774</v>
      </c>
      <c r="DD31">
        <v>24.44928709677419</v>
      </c>
      <c r="DE31">
        <v>16.25805161290322</v>
      </c>
      <c r="DF31">
        <v>206.8664516129032</v>
      </c>
      <c r="DG31">
        <v>24.50628709677419</v>
      </c>
      <c r="DH31">
        <v>400.0634838709678</v>
      </c>
      <c r="DI31">
        <v>90.40648709677417</v>
      </c>
      <c r="DJ31">
        <v>0.1000108</v>
      </c>
      <c r="DK31">
        <v>30.75744193548387</v>
      </c>
      <c r="DL31">
        <v>29.92393870967742</v>
      </c>
      <c r="DM31">
        <v>999.9000000000003</v>
      </c>
      <c r="DN31">
        <v>0</v>
      </c>
      <c r="DO31">
        <v>0</v>
      </c>
      <c r="DP31">
        <v>9991.533225806452</v>
      </c>
      <c r="DQ31">
        <v>0</v>
      </c>
      <c r="DR31">
        <v>405.4763870967742</v>
      </c>
      <c r="DS31">
        <v>-13.87824516129032</v>
      </c>
      <c r="DT31">
        <v>211.2897741935484</v>
      </c>
      <c r="DU31">
        <v>223.6164193548387</v>
      </c>
      <c r="DV31">
        <v>8.291686451612902</v>
      </c>
      <c r="DW31">
        <v>219.9808387096774</v>
      </c>
      <c r="DX31">
        <v>16.25805161290322</v>
      </c>
      <c r="DY31">
        <v>2.219455806451613</v>
      </c>
      <c r="DZ31">
        <v>1.469833225806451</v>
      </c>
      <c r="EA31">
        <v>19.10343870967742</v>
      </c>
      <c r="EB31">
        <v>12.65789677419355</v>
      </c>
      <c r="EC31">
        <v>1499.986451612903</v>
      </c>
      <c r="ED31">
        <v>0.9730077096774195</v>
      </c>
      <c r="EE31">
        <v>0.0269918935483871</v>
      </c>
      <c r="EF31">
        <v>0</v>
      </c>
      <c r="EG31">
        <v>1957.624838709677</v>
      </c>
      <c r="EH31">
        <v>5.000969999999999</v>
      </c>
      <c r="EI31">
        <v>30015.14193548388</v>
      </c>
      <c r="EJ31">
        <v>12491.51612903226</v>
      </c>
      <c r="EK31">
        <v>39.379</v>
      </c>
      <c r="EL31">
        <v>40.69106451612902</v>
      </c>
      <c r="EM31">
        <v>39.56199999999998</v>
      </c>
      <c r="EN31">
        <v>40.56199999999998</v>
      </c>
      <c r="EO31">
        <v>40.54599999999999</v>
      </c>
      <c r="EP31">
        <v>1454.635806451613</v>
      </c>
      <c r="EQ31">
        <v>40.35032258064515</v>
      </c>
      <c r="ER31">
        <v>0</v>
      </c>
      <c r="ES31">
        <v>90</v>
      </c>
      <c r="ET31">
        <v>0</v>
      </c>
      <c r="EU31">
        <v>1957.84576923077</v>
      </c>
      <c r="EV31">
        <v>23.34598291071093</v>
      </c>
      <c r="EW31">
        <v>174.1196581605225</v>
      </c>
      <c r="EX31">
        <v>30016.09999999999</v>
      </c>
      <c r="EY31">
        <v>15</v>
      </c>
      <c r="EZ31">
        <v>1652370302.6</v>
      </c>
      <c r="FA31" t="s">
        <v>480</v>
      </c>
      <c r="FB31">
        <v>1652370291</v>
      </c>
      <c r="FC31">
        <v>1652370302.6</v>
      </c>
      <c r="FD31">
        <v>15</v>
      </c>
      <c r="FE31">
        <v>-0.108</v>
      </c>
      <c r="FF31">
        <v>0</v>
      </c>
      <c r="FG31">
        <v>-0.904</v>
      </c>
      <c r="FH31">
        <v>-0.057</v>
      </c>
      <c r="FI31">
        <v>220</v>
      </c>
      <c r="FJ31">
        <v>16</v>
      </c>
      <c r="FK31">
        <v>0.11</v>
      </c>
      <c r="FL31">
        <v>0.01</v>
      </c>
      <c r="FM31">
        <v>-13.68667</v>
      </c>
      <c r="FN31">
        <v>-4.039990243902398</v>
      </c>
      <c r="FO31">
        <v>0.4202227023852946</v>
      </c>
      <c r="FP31">
        <v>-1</v>
      </c>
      <c r="FQ31">
        <v>8.304271750000002</v>
      </c>
      <c r="FR31">
        <v>-0.2698213508442953</v>
      </c>
      <c r="FS31">
        <v>0.02727373497410099</v>
      </c>
      <c r="FT31">
        <v>1</v>
      </c>
      <c r="FU31">
        <v>0</v>
      </c>
      <c r="FV31">
        <v>0</v>
      </c>
      <c r="FW31">
        <v>0</v>
      </c>
      <c r="FX31">
        <v>-1</v>
      </c>
      <c r="FY31">
        <v>1</v>
      </c>
      <c r="FZ31">
        <v>1</v>
      </c>
      <c r="GA31" t="s">
        <v>420</v>
      </c>
      <c r="GB31">
        <v>2.69627</v>
      </c>
      <c r="GC31">
        <v>2.70511</v>
      </c>
      <c r="GD31">
        <v>0.0520695</v>
      </c>
      <c r="GE31">
        <v>0.0544988</v>
      </c>
      <c r="GF31">
        <v>0.107919</v>
      </c>
      <c r="GG31">
        <v>0.079522</v>
      </c>
      <c r="GH31">
        <v>29831.2</v>
      </c>
      <c r="GI31">
        <v>29887.8</v>
      </c>
      <c r="GJ31">
        <v>29271.3</v>
      </c>
      <c r="GK31">
        <v>29249.2</v>
      </c>
      <c r="GL31">
        <v>34569.3</v>
      </c>
      <c r="GM31">
        <v>35836.1</v>
      </c>
      <c r="GN31">
        <v>41198.5</v>
      </c>
      <c r="GO31">
        <v>41728.5</v>
      </c>
      <c r="GP31">
        <v>1.72925</v>
      </c>
      <c r="GQ31">
        <v>2.041</v>
      </c>
      <c r="GR31">
        <v>0.0636838</v>
      </c>
      <c r="GS31">
        <v>0</v>
      </c>
      <c r="GT31">
        <v>28.8604</v>
      </c>
      <c r="GU31">
        <v>999.9</v>
      </c>
      <c r="GV31">
        <v>45.4</v>
      </c>
      <c r="GW31">
        <v>32.1</v>
      </c>
      <c r="GX31">
        <v>24.1155</v>
      </c>
      <c r="GY31">
        <v>63.4587</v>
      </c>
      <c r="GZ31">
        <v>29.4671</v>
      </c>
      <c r="HA31">
        <v>1</v>
      </c>
      <c r="HB31">
        <v>0.217134</v>
      </c>
      <c r="HC31">
        <v>-0.11</v>
      </c>
      <c r="HD31">
        <v>20.3831</v>
      </c>
      <c r="HE31">
        <v>5.22613</v>
      </c>
      <c r="HF31">
        <v>12.0099</v>
      </c>
      <c r="HG31">
        <v>4.99095</v>
      </c>
      <c r="HH31">
        <v>3.28985</v>
      </c>
      <c r="HI31">
        <v>2681.4</v>
      </c>
      <c r="HJ31">
        <v>9999</v>
      </c>
      <c r="HK31">
        <v>9999</v>
      </c>
      <c r="HL31">
        <v>49.5</v>
      </c>
      <c r="HM31">
        <v>1.86721</v>
      </c>
      <c r="HN31">
        <v>1.86615</v>
      </c>
      <c r="HO31">
        <v>1.8657</v>
      </c>
      <c r="HP31">
        <v>1.86567</v>
      </c>
      <c r="HQ31">
        <v>1.86738</v>
      </c>
      <c r="HR31">
        <v>1.86997</v>
      </c>
      <c r="HS31">
        <v>1.86859</v>
      </c>
      <c r="HT31">
        <v>1.86996</v>
      </c>
      <c r="HU31">
        <v>0</v>
      </c>
      <c r="HV31">
        <v>0</v>
      </c>
      <c r="HW31">
        <v>0</v>
      </c>
      <c r="HX31">
        <v>0</v>
      </c>
      <c r="HY31" t="s">
        <v>421</v>
      </c>
      <c r="HZ31" t="s">
        <v>422</v>
      </c>
      <c r="IA31" t="s">
        <v>423</v>
      </c>
      <c r="IB31" t="s">
        <v>423</v>
      </c>
      <c r="IC31" t="s">
        <v>423</v>
      </c>
      <c r="ID31" t="s">
        <v>423</v>
      </c>
      <c r="IE31">
        <v>0</v>
      </c>
      <c r="IF31">
        <v>100</v>
      </c>
      <c r="IG31">
        <v>100</v>
      </c>
      <c r="IH31">
        <v>-0.904</v>
      </c>
      <c r="II31">
        <v>-0.057</v>
      </c>
      <c r="IJ31">
        <v>-0.3026014398447179</v>
      </c>
      <c r="IK31">
        <v>-0.002185601614162945</v>
      </c>
      <c r="IL31">
        <v>-2.252308143750626E-07</v>
      </c>
      <c r="IM31">
        <v>5.915558436307541E-11</v>
      </c>
      <c r="IN31">
        <v>-0.1194950291388477</v>
      </c>
      <c r="IO31">
        <v>-0.007570214193104963</v>
      </c>
      <c r="IP31">
        <v>0.0009214429922928372</v>
      </c>
      <c r="IQ31">
        <v>-1.392260276065805E-05</v>
      </c>
      <c r="IR31">
        <v>17</v>
      </c>
      <c r="IS31">
        <v>2272</v>
      </c>
      <c r="IT31">
        <v>1</v>
      </c>
      <c r="IU31">
        <v>31</v>
      </c>
      <c r="IV31">
        <v>1.1</v>
      </c>
      <c r="IW31">
        <v>1</v>
      </c>
      <c r="IX31">
        <v>0.6359860000000001</v>
      </c>
      <c r="IY31">
        <v>2.23511</v>
      </c>
      <c r="IZ31">
        <v>1.39648</v>
      </c>
      <c r="JA31">
        <v>2.34985</v>
      </c>
      <c r="JB31">
        <v>1.49536</v>
      </c>
      <c r="JC31">
        <v>2.34375</v>
      </c>
      <c r="JD31">
        <v>35.638</v>
      </c>
      <c r="JE31">
        <v>15.6643</v>
      </c>
      <c r="JF31">
        <v>18</v>
      </c>
      <c r="JG31">
        <v>388.382</v>
      </c>
      <c r="JH31">
        <v>570.776</v>
      </c>
      <c r="JI31">
        <v>29.4509</v>
      </c>
      <c r="JJ31">
        <v>30.2962</v>
      </c>
      <c r="JK31">
        <v>30</v>
      </c>
      <c r="JL31">
        <v>30.2011</v>
      </c>
      <c r="JM31">
        <v>30.0953</v>
      </c>
      <c r="JN31">
        <v>12.7295</v>
      </c>
      <c r="JO31">
        <v>32.1706</v>
      </c>
      <c r="JP31">
        <v>0</v>
      </c>
      <c r="JQ31">
        <v>29.4755</v>
      </c>
      <c r="JR31">
        <v>220</v>
      </c>
      <c r="JS31">
        <v>16.3586</v>
      </c>
      <c r="JT31">
        <v>100.052</v>
      </c>
      <c r="JU31">
        <v>100.17</v>
      </c>
    </row>
    <row r="32" spans="1:281">
      <c r="A32">
        <v>16</v>
      </c>
      <c r="B32">
        <v>1652370363.6</v>
      </c>
      <c r="C32">
        <v>2270</v>
      </c>
      <c r="D32" t="s">
        <v>481</v>
      </c>
      <c r="E32" t="s">
        <v>482</v>
      </c>
      <c r="F32">
        <v>5</v>
      </c>
      <c r="G32" t="s">
        <v>471</v>
      </c>
      <c r="H32" t="s">
        <v>414</v>
      </c>
      <c r="I32">
        <v>1652370355.599999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121.9737213444323</v>
      </c>
      <c r="AK32">
        <v>117.0315515151515</v>
      </c>
      <c r="AL32">
        <v>-0.02477911230581362</v>
      </c>
      <c r="AM32">
        <v>65.96410162555614</v>
      </c>
      <c r="AN32">
        <f>(AP32 - AO32 + DI32*1E3/(8.314*(DK32+273.15)) * AR32/DH32 * AQ32) * DH32/(100*CV32) * 1000/(1000 - AP32)</f>
        <v>0</v>
      </c>
      <c r="AO32">
        <v>16.2477275205711</v>
      </c>
      <c r="AP32">
        <v>24.86976433566434</v>
      </c>
      <c r="AQ32">
        <v>0.005292751865326632</v>
      </c>
      <c r="AR32">
        <v>81.01191571086626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415</v>
      </c>
      <c r="AY32">
        <v>10510</v>
      </c>
      <c r="AZ32">
        <v>590.42</v>
      </c>
      <c r="BA32">
        <v>2650.6</v>
      </c>
      <c r="BB32">
        <f>1-AZ32/BA32</f>
        <v>0</v>
      </c>
      <c r="BC32">
        <v>-1.816883183993991</v>
      </c>
      <c r="BD32" t="s">
        <v>483</v>
      </c>
      <c r="BE32">
        <v>10382.7</v>
      </c>
      <c r="BF32">
        <v>1940.558461538462</v>
      </c>
      <c r="BG32">
        <v>2389.96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1386</v>
      </c>
      <c r="CA32">
        <v>300</v>
      </c>
      <c r="CB32">
        <v>300</v>
      </c>
      <c r="CC32">
        <v>300</v>
      </c>
      <c r="CD32">
        <v>10382.7</v>
      </c>
      <c r="CE32">
        <v>2309.73</v>
      </c>
      <c r="CF32">
        <v>-0.00730968</v>
      </c>
      <c r="CG32">
        <v>-5.57</v>
      </c>
      <c r="CH32" t="s">
        <v>417</v>
      </c>
      <c r="CI32" t="s">
        <v>417</v>
      </c>
      <c r="CJ32" t="s">
        <v>417</v>
      </c>
      <c r="CK32" t="s">
        <v>417</v>
      </c>
      <c r="CL32" t="s">
        <v>417</v>
      </c>
      <c r="CM32" t="s">
        <v>417</v>
      </c>
      <c r="CN32" t="s">
        <v>417</v>
      </c>
      <c r="CO32" t="s">
        <v>417</v>
      </c>
      <c r="CP32" t="s">
        <v>417</v>
      </c>
      <c r="CQ32" t="s">
        <v>417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418</v>
      </c>
      <c r="CY32">
        <v>2</v>
      </c>
      <c r="CZ32" t="b">
        <v>1</v>
      </c>
      <c r="DA32">
        <v>1652370355.599999</v>
      </c>
      <c r="DB32">
        <v>114.3657419354839</v>
      </c>
      <c r="DC32">
        <v>119.9959677419355</v>
      </c>
      <c r="DD32">
        <v>24.73542580645162</v>
      </c>
      <c r="DE32">
        <v>16.24647741935484</v>
      </c>
      <c r="DF32">
        <v>115.0517419354839</v>
      </c>
      <c r="DG32">
        <v>24.79542580645162</v>
      </c>
      <c r="DH32">
        <v>400.064129032258</v>
      </c>
      <c r="DI32">
        <v>90.41434516129031</v>
      </c>
      <c r="DJ32">
        <v>0.1000148225806452</v>
      </c>
      <c r="DK32">
        <v>30.89107741935484</v>
      </c>
      <c r="DL32">
        <v>30.00923225806452</v>
      </c>
      <c r="DM32">
        <v>999.9000000000003</v>
      </c>
      <c r="DN32">
        <v>0</v>
      </c>
      <c r="DO32">
        <v>0</v>
      </c>
      <c r="DP32">
        <v>10002.78451612903</v>
      </c>
      <c r="DQ32">
        <v>0</v>
      </c>
      <c r="DR32">
        <v>378.7405161290322</v>
      </c>
      <c r="DS32">
        <v>-5.60924870967742</v>
      </c>
      <c r="DT32">
        <v>117.3007419354839</v>
      </c>
      <c r="DU32">
        <v>121.9776129032258</v>
      </c>
      <c r="DV32">
        <v>8.596422903225806</v>
      </c>
      <c r="DW32">
        <v>119.9959677419355</v>
      </c>
      <c r="DX32">
        <v>16.24647741935484</v>
      </c>
      <c r="DY32">
        <v>2.246154516129032</v>
      </c>
      <c r="DZ32">
        <v>1.468914838709678</v>
      </c>
      <c r="EA32">
        <v>19.29535483870968</v>
      </c>
      <c r="EB32">
        <v>12.64837741935484</v>
      </c>
      <c r="EC32">
        <v>1499.979677419355</v>
      </c>
      <c r="ED32">
        <v>0.9730072258064517</v>
      </c>
      <c r="EE32">
        <v>0.02699241612903226</v>
      </c>
      <c r="EF32">
        <v>0</v>
      </c>
      <c r="EG32">
        <v>1940.542580645162</v>
      </c>
      <c r="EH32">
        <v>5.000969999999999</v>
      </c>
      <c r="EI32">
        <v>29698.64516129032</v>
      </c>
      <c r="EJ32">
        <v>12491.45483870968</v>
      </c>
      <c r="EK32">
        <v>39.31606451612902</v>
      </c>
      <c r="EL32">
        <v>40.68699999999998</v>
      </c>
      <c r="EM32">
        <v>39.56199999999998</v>
      </c>
      <c r="EN32">
        <v>40.5</v>
      </c>
      <c r="EO32">
        <v>40.49187096774194</v>
      </c>
      <c r="EP32">
        <v>1454.629032258065</v>
      </c>
      <c r="EQ32">
        <v>40.35032258064515</v>
      </c>
      <c r="ER32">
        <v>0</v>
      </c>
      <c r="ES32">
        <v>182.4000000953674</v>
      </c>
      <c r="ET32">
        <v>0</v>
      </c>
      <c r="EU32">
        <v>1940.558461538462</v>
      </c>
      <c r="EV32">
        <v>-1.563760666586898</v>
      </c>
      <c r="EW32">
        <v>266.6290602276667</v>
      </c>
      <c r="EX32">
        <v>29700.70384615384</v>
      </c>
      <c r="EY32">
        <v>15</v>
      </c>
      <c r="EZ32">
        <v>1652370398.6</v>
      </c>
      <c r="FA32" t="s">
        <v>484</v>
      </c>
      <c r="FB32">
        <v>1652370387.6</v>
      </c>
      <c r="FC32">
        <v>1652370398.6</v>
      </c>
      <c r="FD32">
        <v>16</v>
      </c>
      <c r="FE32">
        <v>-0.008</v>
      </c>
      <c r="FF32">
        <v>-0.001</v>
      </c>
      <c r="FG32">
        <v>-0.6860000000000001</v>
      </c>
      <c r="FH32">
        <v>-0.06</v>
      </c>
      <c r="FI32">
        <v>120</v>
      </c>
      <c r="FJ32">
        <v>16</v>
      </c>
      <c r="FK32">
        <v>0.26</v>
      </c>
      <c r="FL32">
        <v>0.01</v>
      </c>
      <c r="FM32">
        <v>-5.364793000000001</v>
      </c>
      <c r="FN32">
        <v>-4.13983722326454</v>
      </c>
      <c r="FO32">
        <v>0.4203360568830611</v>
      </c>
      <c r="FP32">
        <v>-1</v>
      </c>
      <c r="FQ32">
        <v>8.578872499999999</v>
      </c>
      <c r="FR32">
        <v>0.3414889305815855</v>
      </c>
      <c r="FS32">
        <v>0.03471899845545665</v>
      </c>
      <c r="FT32">
        <v>1</v>
      </c>
      <c r="FU32">
        <v>0</v>
      </c>
      <c r="FV32">
        <v>0</v>
      </c>
      <c r="FW32">
        <v>0</v>
      </c>
      <c r="FX32">
        <v>-1</v>
      </c>
      <c r="FY32">
        <v>1</v>
      </c>
      <c r="FZ32">
        <v>1</v>
      </c>
      <c r="GA32" t="s">
        <v>420</v>
      </c>
      <c r="GB32">
        <v>2.6963</v>
      </c>
      <c r="GC32">
        <v>2.70509</v>
      </c>
      <c r="GD32">
        <v>0.0301561</v>
      </c>
      <c r="GE32">
        <v>0.0311848</v>
      </c>
      <c r="GF32">
        <v>0.108826</v>
      </c>
      <c r="GG32">
        <v>0.0792113</v>
      </c>
      <c r="GH32">
        <v>30519.7</v>
      </c>
      <c r="GI32">
        <v>30623</v>
      </c>
      <c r="GJ32">
        <v>29270.3</v>
      </c>
      <c r="GK32">
        <v>29247.4</v>
      </c>
      <c r="GL32">
        <v>34532.2</v>
      </c>
      <c r="GM32">
        <v>35845.3</v>
      </c>
      <c r="GN32">
        <v>41197.1</v>
      </c>
      <c r="GO32">
        <v>41725.5</v>
      </c>
      <c r="GP32">
        <v>1.72973</v>
      </c>
      <c r="GQ32">
        <v>2.04065</v>
      </c>
      <c r="GR32">
        <v>0.0745282</v>
      </c>
      <c r="GS32">
        <v>0</v>
      </c>
      <c r="GT32">
        <v>28.7715</v>
      </c>
      <c r="GU32">
        <v>999.9</v>
      </c>
      <c r="GV32">
        <v>45.2</v>
      </c>
      <c r="GW32">
        <v>32.1</v>
      </c>
      <c r="GX32">
        <v>24.0087</v>
      </c>
      <c r="GY32">
        <v>63.4878</v>
      </c>
      <c r="GZ32">
        <v>29.7035</v>
      </c>
      <c r="HA32">
        <v>1</v>
      </c>
      <c r="HB32">
        <v>0.220414</v>
      </c>
      <c r="HC32">
        <v>0.909747</v>
      </c>
      <c r="HD32">
        <v>20.3794</v>
      </c>
      <c r="HE32">
        <v>5.22583</v>
      </c>
      <c r="HF32">
        <v>12.0099</v>
      </c>
      <c r="HG32">
        <v>4.991</v>
      </c>
      <c r="HH32">
        <v>3.28988</v>
      </c>
      <c r="HI32">
        <v>2683</v>
      </c>
      <c r="HJ32">
        <v>9999</v>
      </c>
      <c r="HK32">
        <v>9999</v>
      </c>
      <c r="HL32">
        <v>49.5</v>
      </c>
      <c r="HM32">
        <v>1.8672</v>
      </c>
      <c r="HN32">
        <v>1.86615</v>
      </c>
      <c r="HO32">
        <v>1.86572</v>
      </c>
      <c r="HP32">
        <v>1.86567</v>
      </c>
      <c r="HQ32">
        <v>1.8674</v>
      </c>
      <c r="HR32">
        <v>1.86996</v>
      </c>
      <c r="HS32">
        <v>1.86859</v>
      </c>
      <c r="HT32">
        <v>1.86996</v>
      </c>
      <c r="HU32">
        <v>0</v>
      </c>
      <c r="HV32">
        <v>0</v>
      </c>
      <c r="HW32">
        <v>0</v>
      </c>
      <c r="HX32">
        <v>0</v>
      </c>
      <c r="HY32" t="s">
        <v>421</v>
      </c>
      <c r="HZ32" t="s">
        <v>422</v>
      </c>
      <c r="IA32" t="s">
        <v>423</v>
      </c>
      <c r="IB32" t="s">
        <v>423</v>
      </c>
      <c r="IC32" t="s">
        <v>423</v>
      </c>
      <c r="ID32" t="s">
        <v>423</v>
      </c>
      <c r="IE32">
        <v>0</v>
      </c>
      <c r="IF32">
        <v>100</v>
      </c>
      <c r="IG32">
        <v>100</v>
      </c>
      <c r="IH32">
        <v>-0.6860000000000001</v>
      </c>
      <c r="II32">
        <v>-0.06</v>
      </c>
      <c r="IJ32">
        <v>-0.4107484869413065</v>
      </c>
      <c r="IK32">
        <v>-0.002185601614162945</v>
      </c>
      <c r="IL32">
        <v>-2.252308143750626E-07</v>
      </c>
      <c r="IM32">
        <v>5.915558436307541E-11</v>
      </c>
      <c r="IN32">
        <v>-0.1190892058495332</v>
      </c>
      <c r="IO32">
        <v>-0.007570214193104963</v>
      </c>
      <c r="IP32">
        <v>0.0009214429922928372</v>
      </c>
      <c r="IQ32">
        <v>-1.392260276065805E-05</v>
      </c>
      <c r="IR32">
        <v>17</v>
      </c>
      <c r="IS32">
        <v>2272</v>
      </c>
      <c r="IT32">
        <v>1</v>
      </c>
      <c r="IU32">
        <v>31</v>
      </c>
      <c r="IV32">
        <v>1.2</v>
      </c>
      <c r="IW32">
        <v>1</v>
      </c>
      <c r="IX32">
        <v>0.41626</v>
      </c>
      <c r="IY32">
        <v>2.26074</v>
      </c>
      <c r="IZ32">
        <v>1.39648</v>
      </c>
      <c r="JA32">
        <v>2.35107</v>
      </c>
      <c r="JB32">
        <v>1.49536</v>
      </c>
      <c r="JC32">
        <v>2.35474</v>
      </c>
      <c r="JD32">
        <v>35.6613</v>
      </c>
      <c r="JE32">
        <v>15.6556</v>
      </c>
      <c r="JF32">
        <v>18</v>
      </c>
      <c r="JG32">
        <v>388.633</v>
      </c>
      <c r="JH32">
        <v>570.561</v>
      </c>
      <c r="JI32">
        <v>29.5815</v>
      </c>
      <c r="JJ32">
        <v>30.2725</v>
      </c>
      <c r="JK32">
        <v>29.9999</v>
      </c>
      <c r="JL32">
        <v>30.2008</v>
      </c>
      <c r="JM32">
        <v>30.1005</v>
      </c>
      <c r="JN32">
        <v>8.33155</v>
      </c>
      <c r="JO32">
        <v>33.0359</v>
      </c>
      <c r="JP32">
        <v>0</v>
      </c>
      <c r="JQ32">
        <v>29.6402</v>
      </c>
      <c r="JR32">
        <v>120</v>
      </c>
      <c r="JS32">
        <v>16.0868</v>
      </c>
      <c r="JT32">
        <v>100.049</v>
      </c>
      <c r="JU32">
        <v>100.164</v>
      </c>
    </row>
    <row r="33" spans="1:281">
      <c r="A33">
        <v>17</v>
      </c>
      <c r="B33">
        <v>1652370475.6</v>
      </c>
      <c r="C33">
        <v>2382</v>
      </c>
      <c r="D33" t="s">
        <v>485</v>
      </c>
      <c r="E33" t="s">
        <v>486</v>
      </c>
      <c r="F33">
        <v>5</v>
      </c>
      <c r="G33" t="s">
        <v>471</v>
      </c>
      <c r="H33" t="s">
        <v>414</v>
      </c>
      <c r="I33">
        <v>1652370467.599999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50.75812902754276</v>
      </c>
      <c r="AK33">
        <v>52.08636303030303</v>
      </c>
      <c r="AL33">
        <v>-0.0005105414279508803</v>
      </c>
      <c r="AM33">
        <v>65.96486176371873</v>
      </c>
      <c r="AN33">
        <f>(AP33 - AO33 + DI33*1E3/(8.314*(DK33+273.15)) * AR33/DH33 * AQ33) * DH33/(100*CV33) * 1000/(1000 - AP33)</f>
        <v>0</v>
      </c>
      <c r="AO33">
        <v>15.35575656443283</v>
      </c>
      <c r="AP33">
        <v>25.00854685314687</v>
      </c>
      <c r="AQ33">
        <v>0.001288383687378985</v>
      </c>
      <c r="AR33">
        <v>81.00144125889831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415</v>
      </c>
      <c r="AY33">
        <v>10510</v>
      </c>
      <c r="AZ33">
        <v>590.42</v>
      </c>
      <c r="BA33">
        <v>2650.6</v>
      </c>
      <c r="BB33">
        <f>1-AZ33/BA33</f>
        <v>0</v>
      </c>
      <c r="BC33">
        <v>-1.816883183993991</v>
      </c>
      <c r="BD33" t="s">
        <v>487</v>
      </c>
      <c r="BE33">
        <v>10381.1</v>
      </c>
      <c r="BF33">
        <v>1857.883461538462</v>
      </c>
      <c r="BG33">
        <v>2227.64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1387</v>
      </c>
      <c r="CA33">
        <v>300</v>
      </c>
      <c r="CB33">
        <v>300</v>
      </c>
      <c r="CC33">
        <v>300</v>
      </c>
      <c r="CD33">
        <v>10381.1</v>
      </c>
      <c r="CE33">
        <v>2164.06</v>
      </c>
      <c r="CF33">
        <v>-0.00730843</v>
      </c>
      <c r="CG33">
        <v>-3.11</v>
      </c>
      <c r="CH33" t="s">
        <v>417</v>
      </c>
      <c r="CI33" t="s">
        <v>417</v>
      </c>
      <c r="CJ33" t="s">
        <v>417</v>
      </c>
      <c r="CK33" t="s">
        <v>417</v>
      </c>
      <c r="CL33" t="s">
        <v>417</v>
      </c>
      <c r="CM33" t="s">
        <v>417</v>
      </c>
      <c r="CN33" t="s">
        <v>417</v>
      </c>
      <c r="CO33" t="s">
        <v>417</v>
      </c>
      <c r="CP33" t="s">
        <v>417</v>
      </c>
      <c r="CQ33" t="s">
        <v>417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418</v>
      </c>
      <c r="CY33">
        <v>2</v>
      </c>
      <c r="CZ33" t="b">
        <v>1</v>
      </c>
      <c r="DA33">
        <v>1652370467.599999</v>
      </c>
      <c r="DB33">
        <v>50.72749032258064</v>
      </c>
      <c r="DC33">
        <v>49.97473548387097</v>
      </c>
      <c r="DD33">
        <v>24.87786451612903</v>
      </c>
      <c r="DE33">
        <v>15.36756451612903</v>
      </c>
      <c r="DF33">
        <v>51.37349032258064</v>
      </c>
      <c r="DG33">
        <v>24.94786451612903</v>
      </c>
      <c r="DH33">
        <v>400.0678387096774</v>
      </c>
      <c r="DI33">
        <v>90.41214516129031</v>
      </c>
      <c r="DJ33">
        <v>0.1000029</v>
      </c>
      <c r="DK33">
        <v>30.9666129032258</v>
      </c>
      <c r="DL33">
        <v>29.96746129032258</v>
      </c>
      <c r="DM33">
        <v>999.9000000000003</v>
      </c>
      <c r="DN33">
        <v>0</v>
      </c>
      <c r="DO33">
        <v>0</v>
      </c>
      <c r="DP33">
        <v>9994.875483870968</v>
      </c>
      <c r="DQ33">
        <v>0</v>
      </c>
      <c r="DR33">
        <v>344.3382580645161</v>
      </c>
      <c r="DS33">
        <v>0.8673004193548385</v>
      </c>
      <c r="DT33">
        <v>52.14548064516129</v>
      </c>
      <c r="DU33">
        <v>50.75470322580645</v>
      </c>
      <c r="DV33">
        <v>9.628878064516128</v>
      </c>
      <c r="DW33">
        <v>49.97473548387097</v>
      </c>
      <c r="DX33">
        <v>15.36756451612903</v>
      </c>
      <c r="DY33">
        <v>2.259981612903226</v>
      </c>
      <c r="DZ33">
        <v>1.389414516129032</v>
      </c>
      <c r="EA33">
        <v>19.39396129032258</v>
      </c>
      <c r="EB33">
        <v>11.8025870967742</v>
      </c>
      <c r="EC33">
        <v>1500</v>
      </c>
      <c r="ED33">
        <v>0.9729936774193546</v>
      </c>
      <c r="EE33">
        <v>0.02700611612903225</v>
      </c>
      <c r="EF33">
        <v>0</v>
      </c>
      <c r="EG33">
        <v>1858.220322580645</v>
      </c>
      <c r="EH33">
        <v>5.000969999999999</v>
      </c>
      <c r="EI33">
        <v>28366.70967741936</v>
      </c>
      <c r="EJ33">
        <v>12491.56451612903</v>
      </c>
      <c r="EK33">
        <v>39.375</v>
      </c>
      <c r="EL33">
        <v>40.69106451612902</v>
      </c>
      <c r="EM33">
        <v>39.56199999999998</v>
      </c>
      <c r="EN33">
        <v>40.55799999999999</v>
      </c>
      <c r="EO33">
        <v>40.504</v>
      </c>
      <c r="EP33">
        <v>1454.625161290322</v>
      </c>
      <c r="EQ33">
        <v>40.37483870967744</v>
      </c>
      <c r="ER33">
        <v>0</v>
      </c>
      <c r="ES33">
        <v>111.3999998569489</v>
      </c>
      <c r="ET33">
        <v>0</v>
      </c>
      <c r="EU33">
        <v>1857.883461538462</v>
      </c>
      <c r="EV33">
        <v>-60.78324789407487</v>
      </c>
      <c r="EW33">
        <v>-941.7606844030124</v>
      </c>
      <c r="EX33">
        <v>28361.35</v>
      </c>
      <c r="EY33">
        <v>15</v>
      </c>
      <c r="EZ33">
        <v>1652370516.1</v>
      </c>
      <c r="FA33" t="s">
        <v>488</v>
      </c>
      <c r="FB33">
        <v>1652370501.1</v>
      </c>
      <c r="FC33">
        <v>1652370516.1</v>
      </c>
      <c r="FD33">
        <v>17</v>
      </c>
      <c r="FE33">
        <v>-0.116</v>
      </c>
      <c r="FF33">
        <v>-0.001</v>
      </c>
      <c r="FG33">
        <v>-0.646</v>
      </c>
      <c r="FH33">
        <v>-0.07000000000000001</v>
      </c>
      <c r="FI33">
        <v>50</v>
      </c>
      <c r="FJ33">
        <v>15</v>
      </c>
      <c r="FK33">
        <v>0.36</v>
      </c>
      <c r="FL33">
        <v>0.02</v>
      </c>
      <c r="FM33">
        <v>0.8765615365853656</v>
      </c>
      <c r="FN33">
        <v>-0.242273707317069</v>
      </c>
      <c r="FO33">
        <v>0.03290074503352251</v>
      </c>
      <c r="FP33">
        <v>-1</v>
      </c>
      <c r="FQ33">
        <v>9.598691219512196</v>
      </c>
      <c r="FR33">
        <v>0.4873394425087142</v>
      </c>
      <c r="FS33">
        <v>0.05304982150702686</v>
      </c>
      <c r="FT33">
        <v>1</v>
      </c>
      <c r="FU33">
        <v>0</v>
      </c>
      <c r="FV33">
        <v>0</v>
      </c>
      <c r="FW33">
        <v>0</v>
      </c>
      <c r="FX33">
        <v>-1</v>
      </c>
      <c r="FY33">
        <v>1</v>
      </c>
      <c r="FZ33">
        <v>1</v>
      </c>
      <c r="GA33" t="s">
        <v>420</v>
      </c>
      <c r="GB33">
        <v>2.69613</v>
      </c>
      <c r="GC33">
        <v>2.70505</v>
      </c>
      <c r="GD33">
        <v>0.0136555</v>
      </c>
      <c r="GE33">
        <v>0.0131824</v>
      </c>
      <c r="GF33">
        <v>0.109254</v>
      </c>
      <c r="GG33">
        <v>0.0761886</v>
      </c>
      <c r="GH33">
        <v>31038.2</v>
      </c>
      <c r="GI33">
        <v>31190.5</v>
      </c>
      <c r="GJ33">
        <v>29269.5</v>
      </c>
      <c r="GK33">
        <v>29246.1</v>
      </c>
      <c r="GL33">
        <v>34514.4</v>
      </c>
      <c r="GM33">
        <v>35962.3</v>
      </c>
      <c r="GN33">
        <v>41196.2</v>
      </c>
      <c r="GO33">
        <v>41724.1</v>
      </c>
      <c r="GP33">
        <v>1.73067</v>
      </c>
      <c r="GQ33">
        <v>2.03888</v>
      </c>
      <c r="GR33">
        <v>0.073716</v>
      </c>
      <c r="GS33">
        <v>0</v>
      </c>
      <c r="GT33">
        <v>28.7788</v>
      </c>
      <c r="GU33">
        <v>999.9</v>
      </c>
      <c r="GV33">
        <v>45</v>
      </c>
      <c r="GW33">
        <v>32.2</v>
      </c>
      <c r="GX33">
        <v>24.0344</v>
      </c>
      <c r="GY33">
        <v>63.5378</v>
      </c>
      <c r="GZ33">
        <v>29.6554</v>
      </c>
      <c r="HA33">
        <v>1</v>
      </c>
      <c r="HB33">
        <v>0.21721</v>
      </c>
      <c r="HC33">
        <v>-0.660321</v>
      </c>
      <c r="HD33">
        <v>20.3816</v>
      </c>
      <c r="HE33">
        <v>5.22328</v>
      </c>
      <c r="HF33">
        <v>12.0099</v>
      </c>
      <c r="HG33">
        <v>4.99095</v>
      </c>
      <c r="HH33">
        <v>3.28968</v>
      </c>
      <c r="HI33">
        <v>2685.2</v>
      </c>
      <c r="HJ33">
        <v>9999</v>
      </c>
      <c r="HK33">
        <v>9999</v>
      </c>
      <c r="HL33">
        <v>49.5</v>
      </c>
      <c r="HM33">
        <v>1.86718</v>
      </c>
      <c r="HN33">
        <v>1.86615</v>
      </c>
      <c r="HO33">
        <v>1.86569</v>
      </c>
      <c r="HP33">
        <v>1.86563</v>
      </c>
      <c r="HQ33">
        <v>1.86737</v>
      </c>
      <c r="HR33">
        <v>1.86996</v>
      </c>
      <c r="HS33">
        <v>1.86859</v>
      </c>
      <c r="HT33">
        <v>1.86996</v>
      </c>
      <c r="HU33">
        <v>0</v>
      </c>
      <c r="HV33">
        <v>0</v>
      </c>
      <c r="HW33">
        <v>0</v>
      </c>
      <c r="HX33">
        <v>0</v>
      </c>
      <c r="HY33" t="s">
        <v>421</v>
      </c>
      <c r="HZ33" t="s">
        <v>422</v>
      </c>
      <c r="IA33" t="s">
        <v>423</v>
      </c>
      <c r="IB33" t="s">
        <v>423</v>
      </c>
      <c r="IC33" t="s">
        <v>423</v>
      </c>
      <c r="ID33" t="s">
        <v>423</v>
      </c>
      <c r="IE33">
        <v>0</v>
      </c>
      <c r="IF33">
        <v>100</v>
      </c>
      <c r="IG33">
        <v>100</v>
      </c>
      <c r="IH33">
        <v>-0.646</v>
      </c>
      <c r="II33">
        <v>-0.07000000000000001</v>
      </c>
      <c r="IJ33">
        <v>-0.418588643425029</v>
      </c>
      <c r="IK33">
        <v>-0.002185601614162945</v>
      </c>
      <c r="IL33">
        <v>-2.252308143750626E-07</v>
      </c>
      <c r="IM33">
        <v>5.915558436307541E-11</v>
      </c>
      <c r="IN33">
        <v>-0.1198769757618438</v>
      </c>
      <c r="IO33">
        <v>-0.007570214193104963</v>
      </c>
      <c r="IP33">
        <v>0.0009214429922928372</v>
      </c>
      <c r="IQ33">
        <v>-1.392260276065805E-05</v>
      </c>
      <c r="IR33">
        <v>17</v>
      </c>
      <c r="IS33">
        <v>2272</v>
      </c>
      <c r="IT33">
        <v>1</v>
      </c>
      <c r="IU33">
        <v>31</v>
      </c>
      <c r="IV33">
        <v>1.5</v>
      </c>
      <c r="IW33">
        <v>1.3</v>
      </c>
      <c r="IX33">
        <v>0.262451</v>
      </c>
      <c r="IY33">
        <v>2.30225</v>
      </c>
      <c r="IZ33">
        <v>1.39648</v>
      </c>
      <c r="JA33">
        <v>2.35107</v>
      </c>
      <c r="JB33">
        <v>1.49536</v>
      </c>
      <c r="JC33">
        <v>2.28882</v>
      </c>
      <c r="JD33">
        <v>35.7078</v>
      </c>
      <c r="JE33">
        <v>15.6293</v>
      </c>
      <c r="JF33">
        <v>18</v>
      </c>
      <c r="JG33">
        <v>389.157</v>
      </c>
      <c r="JH33">
        <v>569.268</v>
      </c>
      <c r="JI33">
        <v>30.5834</v>
      </c>
      <c r="JJ33">
        <v>30.2621</v>
      </c>
      <c r="JK33">
        <v>30.0001</v>
      </c>
      <c r="JL33">
        <v>30.2034</v>
      </c>
      <c r="JM33">
        <v>30.1057</v>
      </c>
      <c r="JN33">
        <v>5.26937</v>
      </c>
      <c r="JO33">
        <v>35.357</v>
      </c>
      <c r="JP33">
        <v>0</v>
      </c>
      <c r="JQ33">
        <v>30.5892</v>
      </c>
      <c r="JR33">
        <v>50</v>
      </c>
      <c r="JS33">
        <v>15.2756</v>
      </c>
      <c r="JT33">
        <v>100.046</v>
      </c>
      <c r="JU33">
        <v>100.16</v>
      </c>
    </row>
    <row r="34" spans="1:281">
      <c r="A34">
        <v>18</v>
      </c>
      <c r="B34">
        <v>1652370607.1</v>
      </c>
      <c r="C34">
        <v>2513.5</v>
      </c>
      <c r="D34" t="s">
        <v>489</v>
      </c>
      <c r="E34" t="s">
        <v>490</v>
      </c>
      <c r="F34">
        <v>5</v>
      </c>
      <c r="G34" t="s">
        <v>471</v>
      </c>
      <c r="H34" t="s">
        <v>414</v>
      </c>
      <c r="I34">
        <v>1652370599.099999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426.1087373971112</v>
      </c>
      <c r="AK34">
        <v>397.8941151515151</v>
      </c>
      <c r="AL34">
        <v>0.001498608260927056</v>
      </c>
      <c r="AM34">
        <v>66.02946937163701</v>
      </c>
      <c r="AN34">
        <f>(AP34 - AO34 + DI34*1E3/(8.314*(DK34+273.15)) * AR34/DH34 * AQ34) * DH34/(100*CV34) * 1000/(1000 - AP34)</f>
        <v>0</v>
      </c>
      <c r="AO34">
        <v>14.30887413330619</v>
      </c>
      <c r="AP34">
        <v>25.27773776223779</v>
      </c>
      <c r="AQ34">
        <v>0.0001509644360849331</v>
      </c>
      <c r="AR34">
        <v>80.35930597460468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415</v>
      </c>
      <c r="AY34">
        <v>10510</v>
      </c>
      <c r="AZ34">
        <v>590.42</v>
      </c>
      <c r="BA34">
        <v>2650.6</v>
      </c>
      <c r="BB34">
        <f>1-AZ34/BA34</f>
        <v>0</v>
      </c>
      <c r="BC34">
        <v>-1.816883183993991</v>
      </c>
      <c r="BD34" t="s">
        <v>491</v>
      </c>
      <c r="BE34">
        <v>10382</v>
      </c>
      <c r="BF34">
        <v>1861.7004</v>
      </c>
      <c r="BG34">
        <v>2346.95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1388</v>
      </c>
      <c r="CA34">
        <v>300</v>
      </c>
      <c r="CB34">
        <v>300</v>
      </c>
      <c r="CC34">
        <v>300</v>
      </c>
      <c r="CD34">
        <v>10382</v>
      </c>
      <c r="CE34">
        <v>2249.06</v>
      </c>
      <c r="CF34">
        <v>-0.00730944</v>
      </c>
      <c r="CG34">
        <v>-7.84</v>
      </c>
      <c r="CH34" t="s">
        <v>417</v>
      </c>
      <c r="CI34" t="s">
        <v>417</v>
      </c>
      <c r="CJ34" t="s">
        <v>417</v>
      </c>
      <c r="CK34" t="s">
        <v>417</v>
      </c>
      <c r="CL34" t="s">
        <v>417</v>
      </c>
      <c r="CM34" t="s">
        <v>417</v>
      </c>
      <c r="CN34" t="s">
        <v>417</v>
      </c>
      <c r="CO34" t="s">
        <v>417</v>
      </c>
      <c r="CP34" t="s">
        <v>417</v>
      </c>
      <c r="CQ34" t="s">
        <v>417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418</v>
      </c>
      <c r="CY34">
        <v>2</v>
      </c>
      <c r="CZ34" t="b">
        <v>1</v>
      </c>
      <c r="DA34">
        <v>1652370599.099999</v>
      </c>
      <c r="DB34">
        <v>388.0334838709678</v>
      </c>
      <c r="DC34">
        <v>420.0246129032258</v>
      </c>
      <c r="DD34">
        <v>25.14924838709677</v>
      </c>
      <c r="DE34">
        <v>14.34357741935484</v>
      </c>
      <c r="DF34">
        <v>389.1924838709677</v>
      </c>
      <c r="DG34">
        <v>25.23224838709677</v>
      </c>
      <c r="DH34">
        <v>400.0629354838709</v>
      </c>
      <c r="DI34">
        <v>90.41515806451612</v>
      </c>
      <c r="DJ34">
        <v>0.1000052967741935</v>
      </c>
      <c r="DK34">
        <v>31.14646451612903</v>
      </c>
      <c r="DL34">
        <v>29.95441290322581</v>
      </c>
      <c r="DM34">
        <v>999.9000000000003</v>
      </c>
      <c r="DN34">
        <v>0</v>
      </c>
      <c r="DO34">
        <v>0</v>
      </c>
      <c r="DP34">
        <v>9999.393225806451</v>
      </c>
      <c r="DQ34">
        <v>0</v>
      </c>
      <c r="DR34">
        <v>374.8094838709677</v>
      </c>
      <c r="DS34">
        <v>-32.24817096774193</v>
      </c>
      <c r="DT34">
        <v>397.8349677419355</v>
      </c>
      <c r="DU34">
        <v>426.1369032258065</v>
      </c>
      <c r="DV34">
        <v>10.93953225806451</v>
      </c>
      <c r="DW34">
        <v>420.0246129032258</v>
      </c>
      <c r="DX34">
        <v>14.34357741935484</v>
      </c>
      <c r="DY34">
        <v>2.285975483870968</v>
      </c>
      <c r="DZ34">
        <v>1.296875806451613</v>
      </c>
      <c r="EA34">
        <v>19.57790967741936</v>
      </c>
      <c r="EB34">
        <v>10.76262258064516</v>
      </c>
      <c r="EC34">
        <v>1499.992580645162</v>
      </c>
      <c r="ED34">
        <v>0.9729889999999995</v>
      </c>
      <c r="EE34">
        <v>0.02701069999999998</v>
      </c>
      <c r="EF34">
        <v>0</v>
      </c>
      <c r="EG34">
        <v>1862.273870967742</v>
      </c>
      <c r="EH34">
        <v>5.000969999999999</v>
      </c>
      <c r="EI34">
        <v>28570.23548387097</v>
      </c>
      <c r="EJ34">
        <v>12491.49677419355</v>
      </c>
      <c r="EK34">
        <v>39.375</v>
      </c>
      <c r="EL34">
        <v>40.72154838709677</v>
      </c>
      <c r="EM34">
        <v>39.56199999999998</v>
      </c>
      <c r="EN34">
        <v>40.56199999999998</v>
      </c>
      <c r="EO34">
        <v>40.56199999999998</v>
      </c>
      <c r="EP34">
        <v>1454.612580645161</v>
      </c>
      <c r="EQ34">
        <v>40.38000000000002</v>
      </c>
      <c r="ER34">
        <v>0</v>
      </c>
      <c r="ES34">
        <v>130.7999999523163</v>
      </c>
      <c r="ET34">
        <v>0</v>
      </c>
      <c r="EU34">
        <v>1861.7004</v>
      </c>
      <c r="EV34">
        <v>-65.53538458713723</v>
      </c>
      <c r="EW34">
        <v>-1386.338461594706</v>
      </c>
      <c r="EX34">
        <v>28559.94</v>
      </c>
      <c r="EY34">
        <v>15</v>
      </c>
      <c r="EZ34">
        <v>1652370645.6</v>
      </c>
      <c r="FA34" t="s">
        <v>492</v>
      </c>
      <c r="FB34">
        <v>1652370625.6</v>
      </c>
      <c r="FC34">
        <v>1652370645.6</v>
      </c>
      <c r="FD34">
        <v>18</v>
      </c>
      <c r="FE34">
        <v>0.332</v>
      </c>
      <c r="FF34">
        <v>-0.001</v>
      </c>
      <c r="FG34">
        <v>-1.159</v>
      </c>
      <c r="FH34">
        <v>-0.083</v>
      </c>
      <c r="FI34">
        <v>420</v>
      </c>
      <c r="FJ34">
        <v>14</v>
      </c>
      <c r="FK34">
        <v>0.07000000000000001</v>
      </c>
      <c r="FL34">
        <v>0.01</v>
      </c>
      <c r="FM34">
        <v>-32.28162682926829</v>
      </c>
      <c r="FN34">
        <v>0.6238808362369135</v>
      </c>
      <c r="FO34">
        <v>0.088599584385939</v>
      </c>
      <c r="FP34">
        <v>-1</v>
      </c>
      <c r="FQ34">
        <v>10.90939024390244</v>
      </c>
      <c r="FR34">
        <v>0.6494236933797679</v>
      </c>
      <c r="FS34">
        <v>0.06533315299622641</v>
      </c>
      <c r="FT34">
        <v>0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1</v>
      </c>
      <c r="GA34" t="s">
        <v>432</v>
      </c>
      <c r="GB34">
        <v>2.69648</v>
      </c>
      <c r="GC34">
        <v>2.70517</v>
      </c>
      <c r="GD34">
        <v>0.08825479999999999</v>
      </c>
      <c r="GE34">
        <v>0.0925971</v>
      </c>
      <c r="GF34">
        <v>0.110061</v>
      </c>
      <c r="GG34">
        <v>0.07213509999999999</v>
      </c>
      <c r="GH34">
        <v>28691</v>
      </c>
      <c r="GI34">
        <v>28681.8</v>
      </c>
      <c r="GJ34">
        <v>29269.7</v>
      </c>
      <c r="GK34">
        <v>29247.4</v>
      </c>
      <c r="GL34">
        <v>34484.6</v>
      </c>
      <c r="GM34">
        <v>36125.2</v>
      </c>
      <c r="GN34">
        <v>41196.7</v>
      </c>
      <c r="GO34">
        <v>41727.2</v>
      </c>
      <c r="GP34">
        <v>1.73193</v>
      </c>
      <c r="GQ34">
        <v>2.03863</v>
      </c>
      <c r="GR34">
        <v>0.0699423</v>
      </c>
      <c r="GS34">
        <v>0</v>
      </c>
      <c r="GT34">
        <v>28.8209</v>
      </c>
      <c r="GU34">
        <v>999.9</v>
      </c>
      <c r="GV34">
        <v>45</v>
      </c>
      <c r="GW34">
        <v>32.2</v>
      </c>
      <c r="GX34">
        <v>24.0368</v>
      </c>
      <c r="GY34">
        <v>63.4178</v>
      </c>
      <c r="GZ34">
        <v>29.1867</v>
      </c>
      <c r="HA34">
        <v>1</v>
      </c>
      <c r="HB34">
        <v>0.21565</v>
      </c>
      <c r="HC34">
        <v>-0.830256</v>
      </c>
      <c r="HD34">
        <v>20.3809</v>
      </c>
      <c r="HE34">
        <v>5.22343</v>
      </c>
      <c r="HF34">
        <v>12.0099</v>
      </c>
      <c r="HG34">
        <v>4.9907</v>
      </c>
      <c r="HH34">
        <v>3.2899</v>
      </c>
      <c r="HI34">
        <v>2687.9</v>
      </c>
      <c r="HJ34">
        <v>9999</v>
      </c>
      <c r="HK34">
        <v>9999</v>
      </c>
      <c r="HL34">
        <v>49.6</v>
      </c>
      <c r="HM34">
        <v>1.86722</v>
      </c>
      <c r="HN34">
        <v>1.86615</v>
      </c>
      <c r="HO34">
        <v>1.86569</v>
      </c>
      <c r="HP34">
        <v>1.86564</v>
      </c>
      <c r="HQ34">
        <v>1.86738</v>
      </c>
      <c r="HR34">
        <v>1.86996</v>
      </c>
      <c r="HS34">
        <v>1.86859</v>
      </c>
      <c r="HT34">
        <v>1.86996</v>
      </c>
      <c r="HU34">
        <v>0</v>
      </c>
      <c r="HV34">
        <v>0</v>
      </c>
      <c r="HW34">
        <v>0</v>
      </c>
      <c r="HX34">
        <v>0</v>
      </c>
      <c r="HY34" t="s">
        <v>421</v>
      </c>
      <c r="HZ34" t="s">
        <v>422</v>
      </c>
      <c r="IA34" t="s">
        <v>423</v>
      </c>
      <c r="IB34" t="s">
        <v>423</v>
      </c>
      <c r="IC34" t="s">
        <v>423</v>
      </c>
      <c r="ID34" t="s">
        <v>423</v>
      </c>
      <c r="IE34">
        <v>0</v>
      </c>
      <c r="IF34">
        <v>100</v>
      </c>
      <c r="IG34">
        <v>100</v>
      </c>
      <c r="IH34">
        <v>-1.159</v>
      </c>
      <c r="II34">
        <v>-0.083</v>
      </c>
      <c r="IJ34">
        <v>-0.5347304162902331</v>
      </c>
      <c r="IK34">
        <v>-0.002185601614162945</v>
      </c>
      <c r="IL34">
        <v>-2.252308143750626E-07</v>
      </c>
      <c r="IM34">
        <v>5.915558436307541E-11</v>
      </c>
      <c r="IN34">
        <v>-0.1211317863196693</v>
      </c>
      <c r="IO34">
        <v>-0.007570214193104963</v>
      </c>
      <c r="IP34">
        <v>0.0009214429922928372</v>
      </c>
      <c r="IQ34">
        <v>-1.392260276065805E-05</v>
      </c>
      <c r="IR34">
        <v>17</v>
      </c>
      <c r="IS34">
        <v>2272</v>
      </c>
      <c r="IT34">
        <v>1</v>
      </c>
      <c r="IU34">
        <v>31</v>
      </c>
      <c r="IV34">
        <v>1.8</v>
      </c>
      <c r="IW34">
        <v>1.5</v>
      </c>
      <c r="IX34">
        <v>1.04614</v>
      </c>
      <c r="IY34">
        <v>2.23633</v>
      </c>
      <c r="IZ34">
        <v>1.39648</v>
      </c>
      <c r="JA34">
        <v>2.35107</v>
      </c>
      <c r="JB34">
        <v>1.49536</v>
      </c>
      <c r="JC34">
        <v>2.36206</v>
      </c>
      <c r="JD34">
        <v>35.7311</v>
      </c>
      <c r="JE34">
        <v>15.603</v>
      </c>
      <c r="JF34">
        <v>18</v>
      </c>
      <c r="JG34">
        <v>389.778</v>
      </c>
      <c r="JH34">
        <v>569.029</v>
      </c>
      <c r="JI34">
        <v>30.7856</v>
      </c>
      <c r="JJ34">
        <v>30.2411</v>
      </c>
      <c r="JK34">
        <v>30.0002</v>
      </c>
      <c r="JL34">
        <v>30.1956</v>
      </c>
      <c r="JM34">
        <v>30.1005</v>
      </c>
      <c r="JN34">
        <v>20.941</v>
      </c>
      <c r="JO34">
        <v>39.8961</v>
      </c>
      <c r="JP34">
        <v>0</v>
      </c>
      <c r="JQ34">
        <v>30.8024</v>
      </c>
      <c r="JR34">
        <v>420</v>
      </c>
      <c r="JS34">
        <v>14.1315</v>
      </c>
      <c r="JT34">
        <v>100.048</v>
      </c>
      <c r="JU34">
        <v>100.166</v>
      </c>
    </row>
    <row r="35" spans="1:281">
      <c r="A35">
        <v>19</v>
      </c>
      <c r="B35">
        <v>1652370706.6</v>
      </c>
      <c r="C35">
        <v>2613</v>
      </c>
      <c r="D35" t="s">
        <v>493</v>
      </c>
      <c r="E35" t="s">
        <v>494</v>
      </c>
      <c r="F35">
        <v>5</v>
      </c>
      <c r="G35" t="s">
        <v>471</v>
      </c>
      <c r="H35" t="s">
        <v>414</v>
      </c>
      <c r="I35">
        <v>1652370698.599999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426.0855834449751</v>
      </c>
      <c r="AK35">
        <v>399.0090545454545</v>
      </c>
      <c r="AL35">
        <v>3.06536211740006E-05</v>
      </c>
      <c r="AM35">
        <v>66.05374007769665</v>
      </c>
      <c r="AN35">
        <f>(AP35 - AO35 + DI35*1E3/(8.314*(DK35+273.15)) * AR35/DH35 * AQ35) * DH35/(100*CV35) * 1000/(1000 - AP35)</f>
        <v>0</v>
      </c>
      <c r="AO35">
        <v>14.31935340595371</v>
      </c>
      <c r="AP35">
        <v>25.21843426573427</v>
      </c>
      <c r="AQ35">
        <v>-0.007968431388485644</v>
      </c>
      <c r="AR35">
        <v>80.19337212594131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415</v>
      </c>
      <c r="AY35">
        <v>10510</v>
      </c>
      <c r="AZ35">
        <v>590.42</v>
      </c>
      <c r="BA35">
        <v>2650.6</v>
      </c>
      <c r="BB35">
        <f>1-AZ35/BA35</f>
        <v>0</v>
      </c>
      <c r="BC35">
        <v>-1.816883183993991</v>
      </c>
      <c r="BD35" t="s">
        <v>495</v>
      </c>
      <c r="BE35">
        <v>10380.3</v>
      </c>
      <c r="BF35">
        <v>1736.682</v>
      </c>
      <c r="BG35">
        <v>2197.51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1389</v>
      </c>
      <c r="CA35">
        <v>300</v>
      </c>
      <c r="CB35">
        <v>300</v>
      </c>
      <c r="CC35">
        <v>300</v>
      </c>
      <c r="CD35">
        <v>10380.3</v>
      </c>
      <c r="CE35">
        <v>2112.22</v>
      </c>
      <c r="CF35">
        <v>-0.00730808</v>
      </c>
      <c r="CG35">
        <v>-3.97</v>
      </c>
      <c r="CH35" t="s">
        <v>417</v>
      </c>
      <c r="CI35" t="s">
        <v>417</v>
      </c>
      <c r="CJ35" t="s">
        <v>417</v>
      </c>
      <c r="CK35" t="s">
        <v>417</v>
      </c>
      <c r="CL35" t="s">
        <v>417</v>
      </c>
      <c r="CM35" t="s">
        <v>417</v>
      </c>
      <c r="CN35" t="s">
        <v>417</v>
      </c>
      <c r="CO35" t="s">
        <v>417</v>
      </c>
      <c r="CP35" t="s">
        <v>417</v>
      </c>
      <c r="CQ35" t="s">
        <v>417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418</v>
      </c>
      <c r="CY35">
        <v>2</v>
      </c>
      <c r="CZ35" t="b">
        <v>1</v>
      </c>
      <c r="DA35">
        <v>1652370698.599999</v>
      </c>
      <c r="DB35">
        <v>388.8333870967742</v>
      </c>
      <c r="DC35">
        <v>419.996129032258</v>
      </c>
      <c r="DD35">
        <v>25.14329677419355</v>
      </c>
      <c r="DE35">
        <v>14.31779032258065</v>
      </c>
      <c r="DF35">
        <v>390.0203870967742</v>
      </c>
      <c r="DG35">
        <v>25.22229677419355</v>
      </c>
      <c r="DH35">
        <v>400.0833548387096</v>
      </c>
      <c r="DI35">
        <v>90.41167419354839</v>
      </c>
      <c r="DJ35">
        <v>0.1000095870967742</v>
      </c>
      <c r="DK35">
        <v>31.2605870967742</v>
      </c>
      <c r="DL35">
        <v>30.01550967741935</v>
      </c>
      <c r="DM35">
        <v>999.9000000000003</v>
      </c>
      <c r="DN35">
        <v>0</v>
      </c>
      <c r="DO35">
        <v>0</v>
      </c>
      <c r="DP35">
        <v>10006.89774193548</v>
      </c>
      <c r="DQ35">
        <v>0</v>
      </c>
      <c r="DR35">
        <v>342.891</v>
      </c>
      <c r="DS35">
        <v>-31.06186451612903</v>
      </c>
      <c r="DT35">
        <v>399.0181935483872</v>
      </c>
      <c r="DU35">
        <v>426.0968387096775</v>
      </c>
      <c r="DV35">
        <v>10.95412580645161</v>
      </c>
      <c r="DW35">
        <v>419.996129032258</v>
      </c>
      <c r="DX35">
        <v>14.31779032258065</v>
      </c>
      <c r="DY35">
        <v>2.284875806451613</v>
      </c>
      <c r="DZ35">
        <v>1.294494193548387</v>
      </c>
      <c r="EA35">
        <v>19.57015806451613</v>
      </c>
      <c r="EB35">
        <v>10.7350935483871</v>
      </c>
      <c r="EC35">
        <v>1499.998064516129</v>
      </c>
      <c r="ED35">
        <v>0.9729932580645162</v>
      </c>
      <c r="EE35">
        <v>0.02700693870967741</v>
      </c>
      <c r="EF35">
        <v>0</v>
      </c>
      <c r="EG35">
        <v>1736.956774193548</v>
      </c>
      <c r="EH35">
        <v>5.000969999999999</v>
      </c>
      <c r="EI35">
        <v>26582.38387096774</v>
      </c>
      <c r="EJ35">
        <v>12491.54838709677</v>
      </c>
      <c r="EK35">
        <v>39.375</v>
      </c>
      <c r="EL35">
        <v>40.68699999999998</v>
      </c>
      <c r="EM35">
        <v>39.56199999999998</v>
      </c>
      <c r="EN35">
        <v>40.52399999999999</v>
      </c>
      <c r="EO35">
        <v>40.56199999999998</v>
      </c>
      <c r="EP35">
        <v>1454.61870967742</v>
      </c>
      <c r="EQ35">
        <v>40.37161290322579</v>
      </c>
      <c r="ER35">
        <v>0</v>
      </c>
      <c r="ES35">
        <v>98.79999995231628</v>
      </c>
      <c r="ET35">
        <v>0</v>
      </c>
      <c r="EU35">
        <v>1736.682</v>
      </c>
      <c r="EV35">
        <v>-26.12692306133004</v>
      </c>
      <c r="EW35">
        <v>-459.0846152946837</v>
      </c>
      <c r="EX35">
        <v>26578.592</v>
      </c>
      <c r="EY35">
        <v>15</v>
      </c>
      <c r="EZ35">
        <v>1652370743.1</v>
      </c>
      <c r="FA35" t="s">
        <v>496</v>
      </c>
      <c r="FB35">
        <v>1652370731.6</v>
      </c>
      <c r="FC35">
        <v>1652370743.1</v>
      </c>
      <c r="FD35">
        <v>19</v>
      </c>
      <c r="FE35">
        <v>-0.028</v>
      </c>
      <c r="FF35">
        <v>0.002</v>
      </c>
      <c r="FG35">
        <v>-1.187</v>
      </c>
      <c r="FH35">
        <v>-0.079</v>
      </c>
      <c r="FI35">
        <v>420</v>
      </c>
      <c r="FJ35">
        <v>14</v>
      </c>
      <c r="FK35">
        <v>0.05</v>
      </c>
      <c r="FL35">
        <v>0.01</v>
      </c>
      <c r="FM35">
        <v>-31.06754</v>
      </c>
      <c r="FN35">
        <v>0.1531429643527756</v>
      </c>
      <c r="FO35">
        <v>0.02318758072762227</v>
      </c>
      <c r="FP35">
        <v>-1</v>
      </c>
      <c r="FQ35">
        <v>10.97008</v>
      </c>
      <c r="FR35">
        <v>-0.4277628517823807</v>
      </c>
      <c r="FS35">
        <v>0.04119262798122962</v>
      </c>
      <c r="FT35">
        <v>1</v>
      </c>
      <c r="FU35">
        <v>0</v>
      </c>
      <c r="FV35">
        <v>0</v>
      </c>
      <c r="FW35">
        <v>0</v>
      </c>
      <c r="FX35">
        <v>-1</v>
      </c>
      <c r="FY35">
        <v>1</v>
      </c>
      <c r="FZ35">
        <v>1</v>
      </c>
      <c r="GA35" t="s">
        <v>420</v>
      </c>
      <c r="GB35">
        <v>2.69625</v>
      </c>
      <c r="GC35">
        <v>2.70519</v>
      </c>
      <c r="GD35">
        <v>0.0883921</v>
      </c>
      <c r="GE35">
        <v>0.092588</v>
      </c>
      <c r="GF35">
        <v>0.109879</v>
      </c>
      <c r="GG35">
        <v>0.0724176</v>
      </c>
      <c r="GH35">
        <v>28688.2</v>
      </c>
      <c r="GI35">
        <v>28682.2</v>
      </c>
      <c r="GJ35">
        <v>29271.1</v>
      </c>
      <c r="GK35">
        <v>29247.4</v>
      </c>
      <c r="GL35">
        <v>34493</v>
      </c>
      <c r="GM35">
        <v>36114.4</v>
      </c>
      <c r="GN35">
        <v>41198.4</v>
      </c>
      <c r="GO35">
        <v>41727.4</v>
      </c>
      <c r="GP35">
        <v>1.7321</v>
      </c>
      <c r="GQ35">
        <v>2.03822</v>
      </c>
      <c r="GR35">
        <v>0.0717491</v>
      </c>
      <c r="GS35">
        <v>0</v>
      </c>
      <c r="GT35">
        <v>28.8481</v>
      </c>
      <c r="GU35">
        <v>999.9</v>
      </c>
      <c r="GV35">
        <v>44.9</v>
      </c>
      <c r="GW35">
        <v>32.3</v>
      </c>
      <c r="GX35">
        <v>24.1196</v>
      </c>
      <c r="GY35">
        <v>63.3278</v>
      </c>
      <c r="GZ35">
        <v>29.7596</v>
      </c>
      <c r="HA35">
        <v>1</v>
      </c>
      <c r="HB35">
        <v>0.213565</v>
      </c>
      <c r="HC35">
        <v>-0.51933</v>
      </c>
      <c r="HD35">
        <v>20.3823</v>
      </c>
      <c r="HE35">
        <v>5.22403</v>
      </c>
      <c r="HF35">
        <v>12.0099</v>
      </c>
      <c r="HG35">
        <v>4.9911</v>
      </c>
      <c r="HH35">
        <v>3.28973</v>
      </c>
      <c r="HI35">
        <v>2689.6</v>
      </c>
      <c r="HJ35">
        <v>9999</v>
      </c>
      <c r="HK35">
        <v>9999</v>
      </c>
      <c r="HL35">
        <v>49.6</v>
      </c>
      <c r="HM35">
        <v>1.86721</v>
      </c>
      <c r="HN35">
        <v>1.86615</v>
      </c>
      <c r="HO35">
        <v>1.86569</v>
      </c>
      <c r="HP35">
        <v>1.86562</v>
      </c>
      <c r="HQ35">
        <v>1.86739</v>
      </c>
      <c r="HR35">
        <v>1.86996</v>
      </c>
      <c r="HS35">
        <v>1.8686</v>
      </c>
      <c r="HT35">
        <v>1.86996</v>
      </c>
      <c r="HU35">
        <v>0</v>
      </c>
      <c r="HV35">
        <v>0</v>
      </c>
      <c r="HW35">
        <v>0</v>
      </c>
      <c r="HX35">
        <v>0</v>
      </c>
      <c r="HY35" t="s">
        <v>421</v>
      </c>
      <c r="HZ35" t="s">
        <v>422</v>
      </c>
      <c r="IA35" t="s">
        <v>423</v>
      </c>
      <c r="IB35" t="s">
        <v>423</v>
      </c>
      <c r="IC35" t="s">
        <v>423</v>
      </c>
      <c r="ID35" t="s">
        <v>423</v>
      </c>
      <c r="IE35">
        <v>0</v>
      </c>
      <c r="IF35">
        <v>100</v>
      </c>
      <c r="IG35">
        <v>100</v>
      </c>
      <c r="IH35">
        <v>-1.187</v>
      </c>
      <c r="II35">
        <v>-0.079</v>
      </c>
      <c r="IJ35">
        <v>-0.2029397848066539</v>
      </c>
      <c r="IK35">
        <v>-0.002185601614162945</v>
      </c>
      <c r="IL35">
        <v>-2.252308143750626E-07</v>
      </c>
      <c r="IM35">
        <v>5.915558436307541E-11</v>
      </c>
      <c r="IN35">
        <v>-0.1222329117677239</v>
      </c>
      <c r="IO35">
        <v>-0.007570214193104963</v>
      </c>
      <c r="IP35">
        <v>0.0009214429922928372</v>
      </c>
      <c r="IQ35">
        <v>-1.392260276065805E-05</v>
      </c>
      <c r="IR35">
        <v>17</v>
      </c>
      <c r="IS35">
        <v>2272</v>
      </c>
      <c r="IT35">
        <v>1</v>
      </c>
      <c r="IU35">
        <v>31</v>
      </c>
      <c r="IV35">
        <v>1.4</v>
      </c>
      <c r="IW35">
        <v>1</v>
      </c>
      <c r="IX35">
        <v>1.04614</v>
      </c>
      <c r="IY35">
        <v>2.23633</v>
      </c>
      <c r="IZ35">
        <v>1.39648</v>
      </c>
      <c r="JA35">
        <v>2.35229</v>
      </c>
      <c r="JB35">
        <v>1.49536</v>
      </c>
      <c r="JC35">
        <v>2.31201</v>
      </c>
      <c r="JD35">
        <v>35.7544</v>
      </c>
      <c r="JE35">
        <v>15.5855</v>
      </c>
      <c r="JF35">
        <v>18</v>
      </c>
      <c r="JG35">
        <v>389.778</v>
      </c>
      <c r="JH35">
        <v>568.578</v>
      </c>
      <c r="JI35">
        <v>30.7283</v>
      </c>
      <c r="JJ35">
        <v>30.2176</v>
      </c>
      <c r="JK35">
        <v>29.9999</v>
      </c>
      <c r="JL35">
        <v>30.18</v>
      </c>
      <c r="JM35">
        <v>30.085</v>
      </c>
      <c r="JN35">
        <v>20.9461</v>
      </c>
      <c r="JO35">
        <v>39.5216</v>
      </c>
      <c r="JP35">
        <v>0</v>
      </c>
      <c r="JQ35">
        <v>30.7208</v>
      </c>
      <c r="JR35">
        <v>420</v>
      </c>
      <c r="JS35">
        <v>14.3412</v>
      </c>
      <c r="JT35">
        <v>100.052</v>
      </c>
      <c r="JU35">
        <v>100.166</v>
      </c>
    </row>
    <row r="36" spans="1:281">
      <c r="A36">
        <v>20</v>
      </c>
      <c r="B36">
        <v>1652370817.6</v>
      </c>
      <c r="C36">
        <v>2724</v>
      </c>
      <c r="D36" t="s">
        <v>497</v>
      </c>
      <c r="E36" t="s">
        <v>498</v>
      </c>
      <c r="F36">
        <v>5</v>
      </c>
      <c r="G36" t="s">
        <v>471</v>
      </c>
      <c r="H36" t="s">
        <v>414</v>
      </c>
      <c r="I36">
        <v>1652370809.849999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629.656779281446</v>
      </c>
      <c r="AK36">
        <v>594.7305030303029</v>
      </c>
      <c r="AL36">
        <v>0.02690802953628887</v>
      </c>
      <c r="AM36">
        <v>65.96606425001031</v>
      </c>
      <c r="AN36">
        <f>(AP36 - AO36 + DI36*1E3/(8.314*(DK36+273.15)) * AR36/DH36 * AQ36) * DH36/(100*CV36) * 1000/(1000 - AP36)</f>
        <v>0</v>
      </c>
      <c r="AO36">
        <v>15.47308117671682</v>
      </c>
      <c r="AP36">
        <v>25.00417202797203</v>
      </c>
      <c r="AQ36">
        <v>-0.006438599483056725</v>
      </c>
      <c r="AR36">
        <v>80.98531903553095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415</v>
      </c>
      <c r="AY36">
        <v>10510</v>
      </c>
      <c r="AZ36">
        <v>590.42</v>
      </c>
      <c r="BA36">
        <v>2650.6</v>
      </c>
      <c r="BB36">
        <f>1-AZ36/BA36</f>
        <v>0</v>
      </c>
      <c r="BC36">
        <v>-1.816883183993991</v>
      </c>
      <c r="BD36" t="s">
        <v>499</v>
      </c>
      <c r="BE36">
        <v>10380.7</v>
      </c>
      <c r="BF36">
        <v>1762.901923076923</v>
      </c>
      <c r="BG36">
        <v>2252.34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1390</v>
      </c>
      <c r="CA36">
        <v>300</v>
      </c>
      <c r="CB36">
        <v>300</v>
      </c>
      <c r="CC36">
        <v>300</v>
      </c>
      <c r="CD36">
        <v>10380.7</v>
      </c>
      <c r="CE36">
        <v>2154.41</v>
      </c>
      <c r="CF36">
        <v>-0.00730845</v>
      </c>
      <c r="CG36">
        <v>-6.22</v>
      </c>
      <c r="CH36" t="s">
        <v>417</v>
      </c>
      <c r="CI36" t="s">
        <v>417</v>
      </c>
      <c r="CJ36" t="s">
        <v>417</v>
      </c>
      <c r="CK36" t="s">
        <v>417</v>
      </c>
      <c r="CL36" t="s">
        <v>417</v>
      </c>
      <c r="CM36" t="s">
        <v>417</v>
      </c>
      <c r="CN36" t="s">
        <v>417</v>
      </c>
      <c r="CO36" t="s">
        <v>417</v>
      </c>
      <c r="CP36" t="s">
        <v>417</v>
      </c>
      <c r="CQ36" t="s">
        <v>417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418</v>
      </c>
      <c r="CY36">
        <v>2</v>
      </c>
      <c r="CZ36" t="b">
        <v>1</v>
      </c>
      <c r="DA36">
        <v>1652370809.849999</v>
      </c>
      <c r="DB36">
        <v>579.8829000000001</v>
      </c>
      <c r="DC36">
        <v>619.9953</v>
      </c>
      <c r="DD36">
        <v>24.93909333333333</v>
      </c>
      <c r="DE36">
        <v>15.46901</v>
      </c>
      <c r="DF36">
        <v>581.1829</v>
      </c>
      <c r="DG36">
        <v>25.00409333333333</v>
      </c>
      <c r="DH36">
        <v>400.0747000000001</v>
      </c>
      <c r="DI36">
        <v>90.41659333333332</v>
      </c>
      <c r="DJ36">
        <v>0.09999784666666665</v>
      </c>
      <c r="DK36">
        <v>31.18249666666667</v>
      </c>
      <c r="DL36">
        <v>30.00203666666667</v>
      </c>
      <c r="DM36">
        <v>999.9000000000002</v>
      </c>
      <c r="DN36">
        <v>0</v>
      </c>
      <c r="DO36">
        <v>0</v>
      </c>
      <c r="DP36">
        <v>10000.725</v>
      </c>
      <c r="DQ36">
        <v>0</v>
      </c>
      <c r="DR36">
        <v>345.2044666666666</v>
      </c>
      <c r="DS36">
        <v>-40.37784666666666</v>
      </c>
      <c r="DT36">
        <v>594.5119333333332</v>
      </c>
      <c r="DU36">
        <v>629.7367333333333</v>
      </c>
      <c r="DV36">
        <v>9.584339</v>
      </c>
      <c r="DW36">
        <v>619.9953</v>
      </c>
      <c r="DX36">
        <v>15.46901</v>
      </c>
      <c r="DY36">
        <v>2.265238000000001</v>
      </c>
      <c r="DZ36">
        <v>1.398655</v>
      </c>
      <c r="EA36">
        <v>19.43129666666666</v>
      </c>
      <c r="EB36">
        <v>11.90306</v>
      </c>
      <c r="EC36">
        <v>1500.006666666666</v>
      </c>
      <c r="ED36">
        <v>0.9729931999999999</v>
      </c>
      <c r="EE36">
        <v>0.02700698999999999</v>
      </c>
      <c r="EF36">
        <v>0</v>
      </c>
      <c r="EG36">
        <v>1763.191333333333</v>
      </c>
      <c r="EH36">
        <v>5.000969999999999</v>
      </c>
      <c r="EI36">
        <v>27003.94666666666</v>
      </c>
      <c r="EJ36">
        <v>12491.6</v>
      </c>
      <c r="EK36">
        <v>39.375</v>
      </c>
      <c r="EL36">
        <v>40.68699999999998</v>
      </c>
      <c r="EM36">
        <v>39.56199999999998</v>
      </c>
      <c r="EN36">
        <v>40.5124</v>
      </c>
      <c r="EO36">
        <v>40.56199999999998</v>
      </c>
      <c r="EP36">
        <v>1454.626666666667</v>
      </c>
      <c r="EQ36">
        <v>40.37933333333335</v>
      </c>
      <c r="ER36">
        <v>0</v>
      </c>
      <c r="ES36">
        <v>110.5999999046326</v>
      </c>
      <c r="ET36">
        <v>0</v>
      </c>
      <c r="EU36">
        <v>1762.901923076923</v>
      </c>
      <c r="EV36">
        <v>-48.72991446896921</v>
      </c>
      <c r="EW36">
        <v>-729.4290589676092</v>
      </c>
      <c r="EX36">
        <v>27000.05384615385</v>
      </c>
      <c r="EY36">
        <v>15</v>
      </c>
      <c r="EZ36">
        <v>1652370856.1</v>
      </c>
      <c r="FA36" t="s">
        <v>500</v>
      </c>
      <c r="FB36">
        <v>1652370843.6</v>
      </c>
      <c r="FC36">
        <v>1652370856.1</v>
      </c>
      <c r="FD36">
        <v>20</v>
      </c>
      <c r="FE36">
        <v>0.361</v>
      </c>
      <c r="FF36">
        <v>0.002</v>
      </c>
      <c r="FG36">
        <v>-1.3</v>
      </c>
      <c r="FH36">
        <v>-0.065</v>
      </c>
      <c r="FI36">
        <v>620</v>
      </c>
      <c r="FJ36">
        <v>16</v>
      </c>
      <c r="FK36">
        <v>0.06</v>
      </c>
      <c r="FL36">
        <v>0.01</v>
      </c>
      <c r="FM36">
        <v>-40.55756585365854</v>
      </c>
      <c r="FN36">
        <v>3.244363066202052</v>
      </c>
      <c r="FO36">
        <v>0.3247516699367534</v>
      </c>
      <c r="FP36">
        <v>-1</v>
      </c>
      <c r="FQ36">
        <v>9.611385853658536</v>
      </c>
      <c r="FR36">
        <v>-0.4758947038327416</v>
      </c>
      <c r="FS36">
        <v>0.05007635394346587</v>
      </c>
      <c r="FT36">
        <v>1</v>
      </c>
      <c r="FU36">
        <v>0</v>
      </c>
      <c r="FV36">
        <v>0</v>
      </c>
      <c r="FW36">
        <v>0</v>
      </c>
      <c r="FX36">
        <v>-1</v>
      </c>
      <c r="FY36">
        <v>1</v>
      </c>
      <c r="FZ36">
        <v>1</v>
      </c>
      <c r="GA36" t="s">
        <v>420</v>
      </c>
      <c r="GB36">
        <v>2.69662</v>
      </c>
      <c r="GC36">
        <v>2.70524</v>
      </c>
      <c r="GD36">
        <v>0.118822</v>
      </c>
      <c r="GE36">
        <v>0.123016</v>
      </c>
      <c r="GF36">
        <v>0.109232</v>
      </c>
      <c r="GG36">
        <v>0.07662960000000001</v>
      </c>
      <c r="GH36">
        <v>27729.7</v>
      </c>
      <c r="GI36">
        <v>27719.4</v>
      </c>
      <c r="GJ36">
        <v>29270.6</v>
      </c>
      <c r="GK36">
        <v>29246.9</v>
      </c>
      <c r="GL36">
        <v>34518.3</v>
      </c>
      <c r="GM36">
        <v>35948.9</v>
      </c>
      <c r="GN36">
        <v>41197.8</v>
      </c>
      <c r="GO36">
        <v>41726.3</v>
      </c>
      <c r="GP36">
        <v>1.7314</v>
      </c>
      <c r="GQ36">
        <v>2.0405</v>
      </c>
      <c r="GR36">
        <v>0.0718608</v>
      </c>
      <c r="GS36">
        <v>0</v>
      </c>
      <c r="GT36">
        <v>28.8431</v>
      </c>
      <c r="GU36">
        <v>999.9</v>
      </c>
      <c r="GV36">
        <v>44.9</v>
      </c>
      <c r="GW36">
        <v>32.3</v>
      </c>
      <c r="GX36">
        <v>24.1201</v>
      </c>
      <c r="GY36">
        <v>63.3578</v>
      </c>
      <c r="GZ36">
        <v>28.8822</v>
      </c>
      <c r="HA36">
        <v>1</v>
      </c>
      <c r="HB36">
        <v>0.213471</v>
      </c>
      <c r="HC36">
        <v>-0.863461</v>
      </c>
      <c r="HD36">
        <v>20.3804</v>
      </c>
      <c r="HE36">
        <v>5.22388</v>
      </c>
      <c r="HF36">
        <v>12.0099</v>
      </c>
      <c r="HG36">
        <v>4.99</v>
      </c>
      <c r="HH36">
        <v>3.28963</v>
      </c>
      <c r="HI36">
        <v>2691.8</v>
      </c>
      <c r="HJ36">
        <v>9999</v>
      </c>
      <c r="HK36">
        <v>9999</v>
      </c>
      <c r="HL36">
        <v>49.6</v>
      </c>
      <c r="HM36">
        <v>1.86721</v>
      </c>
      <c r="HN36">
        <v>1.86615</v>
      </c>
      <c r="HO36">
        <v>1.8657</v>
      </c>
      <c r="HP36">
        <v>1.86564</v>
      </c>
      <c r="HQ36">
        <v>1.8674</v>
      </c>
      <c r="HR36">
        <v>1.86996</v>
      </c>
      <c r="HS36">
        <v>1.86859</v>
      </c>
      <c r="HT36">
        <v>1.86996</v>
      </c>
      <c r="HU36">
        <v>0</v>
      </c>
      <c r="HV36">
        <v>0</v>
      </c>
      <c r="HW36">
        <v>0</v>
      </c>
      <c r="HX36">
        <v>0</v>
      </c>
      <c r="HY36" t="s">
        <v>421</v>
      </c>
      <c r="HZ36" t="s">
        <v>422</v>
      </c>
      <c r="IA36" t="s">
        <v>423</v>
      </c>
      <c r="IB36" t="s">
        <v>423</v>
      </c>
      <c r="IC36" t="s">
        <v>423</v>
      </c>
      <c r="ID36" t="s">
        <v>423</v>
      </c>
      <c r="IE36">
        <v>0</v>
      </c>
      <c r="IF36">
        <v>100</v>
      </c>
      <c r="IG36">
        <v>100</v>
      </c>
      <c r="IH36">
        <v>-1.3</v>
      </c>
      <c r="II36">
        <v>-0.065</v>
      </c>
      <c r="IJ36">
        <v>-0.2307763726601315</v>
      </c>
      <c r="IK36">
        <v>-0.002185601614162945</v>
      </c>
      <c r="IL36">
        <v>-2.252308143750626E-07</v>
      </c>
      <c r="IM36">
        <v>5.915558436307541E-11</v>
      </c>
      <c r="IN36">
        <v>-0.1198998864517866</v>
      </c>
      <c r="IO36">
        <v>-0.007570214193104963</v>
      </c>
      <c r="IP36">
        <v>0.0009214429922928372</v>
      </c>
      <c r="IQ36">
        <v>-1.392260276065805E-05</v>
      </c>
      <c r="IR36">
        <v>17</v>
      </c>
      <c r="IS36">
        <v>2272</v>
      </c>
      <c r="IT36">
        <v>1</v>
      </c>
      <c r="IU36">
        <v>31</v>
      </c>
      <c r="IV36">
        <v>1.4</v>
      </c>
      <c r="IW36">
        <v>1.2</v>
      </c>
      <c r="IX36">
        <v>1.42456</v>
      </c>
      <c r="IY36">
        <v>2.23145</v>
      </c>
      <c r="IZ36">
        <v>1.39648</v>
      </c>
      <c r="JA36">
        <v>2.35229</v>
      </c>
      <c r="JB36">
        <v>1.49536</v>
      </c>
      <c r="JC36">
        <v>2.28882</v>
      </c>
      <c r="JD36">
        <v>35.7777</v>
      </c>
      <c r="JE36">
        <v>15.5505</v>
      </c>
      <c r="JF36">
        <v>18</v>
      </c>
      <c r="JG36">
        <v>389.311</v>
      </c>
      <c r="JH36">
        <v>570.199</v>
      </c>
      <c r="JI36">
        <v>30.3886</v>
      </c>
      <c r="JJ36">
        <v>30.2045</v>
      </c>
      <c r="JK36">
        <v>30</v>
      </c>
      <c r="JL36">
        <v>30.1644</v>
      </c>
      <c r="JM36">
        <v>30.0747</v>
      </c>
      <c r="JN36">
        <v>28.5123</v>
      </c>
      <c r="JO36">
        <v>35.3442</v>
      </c>
      <c r="JP36">
        <v>0</v>
      </c>
      <c r="JQ36">
        <v>30.3763</v>
      </c>
      <c r="JR36">
        <v>620</v>
      </c>
      <c r="JS36">
        <v>15.6154</v>
      </c>
      <c r="JT36">
        <v>100.05</v>
      </c>
      <c r="JU36">
        <v>100.164</v>
      </c>
    </row>
    <row r="37" spans="1:281">
      <c r="A37">
        <v>21</v>
      </c>
      <c r="B37">
        <v>1652370947.1</v>
      </c>
      <c r="C37">
        <v>2853.5</v>
      </c>
      <c r="D37" t="s">
        <v>501</v>
      </c>
      <c r="E37" t="s">
        <v>502</v>
      </c>
      <c r="F37">
        <v>5</v>
      </c>
      <c r="G37" t="s">
        <v>471</v>
      </c>
      <c r="H37" t="s">
        <v>414</v>
      </c>
      <c r="I37">
        <v>1652370939.099999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834.7038974457522</v>
      </c>
      <c r="AK37">
        <v>797.1636606060601</v>
      </c>
      <c r="AL37">
        <v>0.02771898639122614</v>
      </c>
      <c r="AM37">
        <v>66.04759537544386</v>
      </c>
      <c r="AN37">
        <f>(AP37 - AO37 + DI37*1E3/(8.314*(DK37+273.15)) * AR37/DH37 * AQ37) * DH37/(100*CV37) * 1000/(1000 - AP37)</f>
        <v>0</v>
      </c>
      <c r="AO37">
        <v>17.61119797889506</v>
      </c>
      <c r="AP37">
        <v>24.50205804195807</v>
      </c>
      <c r="AQ37">
        <v>-0.01537581616833528</v>
      </c>
      <c r="AR37">
        <v>80.23281858818724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415</v>
      </c>
      <c r="AY37">
        <v>10510</v>
      </c>
      <c r="AZ37">
        <v>590.42</v>
      </c>
      <c r="BA37">
        <v>2650.6</v>
      </c>
      <c r="BB37">
        <f>1-AZ37/BA37</f>
        <v>0</v>
      </c>
      <c r="BC37">
        <v>-1.816883183993991</v>
      </c>
      <c r="BD37" t="s">
        <v>503</v>
      </c>
      <c r="BE37">
        <v>10379.4</v>
      </c>
      <c r="BF37">
        <v>1694.735</v>
      </c>
      <c r="BG37">
        <v>2174.81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1391</v>
      </c>
      <c r="CA37">
        <v>300</v>
      </c>
      <c r="CB37">
        <v>300</v>
      </c>
      <c r="CC37">
        <v>300</v>
      </c>
      <c r="CD37">
        <v>10379.4</v>
      </c>
      <c r="CE37">
        <v>2080.65</v>
      </c>
      <c r="CF37">
        <v>-0.0073076</v>
      </c>
      <c r="CG37">
        <v>-4.32</v>
      </c>
      <c r="CH37" t="s">
        <v>417</v>
      </c>
      <c r="CI37" t="s">
        <v>417</v>
      </c>
      <c r="CJ37" t="s">
        <v>417</v>
      </c>
      <c r="CK37" t="s">
        <v>417</v>
      </c>
      <c r="CL37" t="s">
        <v>417</v>
      </c>
      <c r="CM37" t="s">
        <v>417</v>
      </c>
      <c r="CN37" t="s">
        <v>417</v>
      </c>
      <c r="CO37" t="s">
        <v>417</v>
      </c>
      <c r="CP37" t="s">
        <v>417</v>
      </c>
      <c r="CQ37" t="s">
        <v>417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418</v>
      </c>
      <c r="CY37">
        <v>2</v>
      </c>
      <c r="CZ37" t="b">
        <v>1</v>
      </c>
      <c r="DA37">
        <v>1652370939.099999</v>
      </c>
      <c r="DB37">
        <v>777.5335806451612</v>
      </c>
      <c r="DC37">
        <v>819.9637096774193</v>
      </c>
      <c r="DD37">
        <v>24.49806451612904</v>
      </c>
      <c r="DE37">
        <v>17.61019354838709</v>
      </c>
      <c r="DF37">
        <v>778.9855806451612</v>
      </c>
      <c r="DG37">
        <v>24.53506451612904</v>
      </c>
      <c r="DH37">
        <v>400.0804193548387</v>
      </c>
      <c r="DI37">
        <v>90.41005483870967</v>
      </c>
      <c r="DJ37">
        <v>0.0999863741935484</v>
      </c>
      <c r="DK37">
        <v>30.9588935483871</v>
      </c>
      <c r="DL37">
        <v>30.00365483870968</v>
      </c>
      <c r="DM37">
        <v>999.9000000000003</v>
      </c>
      <c r="DN37">
        <v>0</v>
      </c>
      <c r="DO37">
        <v>0</v>
      </c>
      <c r="DP37">
        <v>10002.1435483871</v>
      </c>
      <c r="DQ37">
        <v>0</v>
      </c>
      <c r="DR37">
        <v>362.1154838709676</v>
      </c>
      <c r="DS37">
        <v>-42.65914838709678</v>
      </c>
      <c r="DT37">
        <v>796.8925483870968</v>
      </c>
      <c r="DU37">
        <v>834.6623225806451</v>
      </c>
      <c r="DV37">
        <v>6.970211935483872</v>
      </c>
      <c r="DW37">
        <v>819.9637096774193</v>
      </c>
      <c r="DX37">
        <v>17.61019354838709</v>
      </c>
      <c r="DY37">
        <v>2.222315806451613</v>
      </c>
      <c r="DZ37">
        <v>1.592140322580645</v>
      </c>
      <c r="EA37">
        <v>19.12408064516129</v>
      </c>
      <c r="EB37">
        <v>13.88289032258064</v>
      </c>
      <c r="EC37">
        <v>1499.983225806451</v>
      </c>
      <c r="ED37">
        <v>0.9729958064516131</v>
      </c>
      <c r="EE37">
        <v>0.02700454516129031</v>
      </c>
      <c r="EF37">
        <v>0</v>
      </c>
      <c r="EG37">
        <v>1695.167741935484</v>
      </c>
      <c r="EH37">
        <v>5.000969999999999</v>
      </c>
      <c r="EI37">
        <v>26042.38064516129</v>
      </c>
      <c r="EJ37">
        <v>12491.43225806452</v>
      </c>
      <c r="EK37">
        <v>39.375</v>
      </c>
      <c r="EL37">
        <v>40.68699999999998</v>
      </c>
      <c r="EM37">
        <v>39.56199999999998</v>
      </c>
      <c r="EN37">
        <v>40.504</v>
      </c>
      <c r="EO37">
        <v>40.56199999999998</v>
      </c>
      <c r="EP37">
        <v>1454.613225806452</v>
      </c>
      <c r="EQ37">
        <v>40.36999999999998</v>
      </c>
      <c r="ER37">
        <v>0</v>
      </c>
      <c r="ES37">
        <v>129</v>
      </c>
      <c r="ET37">
        <v>0</v>
      </c>
      <c r="EU37">
        <v>1694.735</v>
      </c>
      <c r="EV37">
        <v>-54.37572648436732</v>
      </c>
      <c r="EW37">
        <v>-774.8170938323965</v>
      </c>
      <c r="EX37">
        <v>26036.56153846154</v>
      </c>
      <c r="EY37">
        <v>15</v>
      </c>
      <c r="EZ37">
        <v>1652370979.1</v>
      </c>
      <c r="FA37" t="s">
        <v>504</v>
      </c>
      <c r="FB37">
        <v>1652370977.6</v>
      </c>
      <c r="FC37">
        <v>1652370979.1</v>
      </c>
      <c r="FD37">
        <v>21</v>
      </c>
      <c r="FE37">
        <v>0.332</v>
      </c>
      <c r="FF37">
        <v>0.002</v>
      </c>
      <c r="FG37">
        <v>-1.452</v>
      </c>
      <c r="FH37">
        <v>-0.037</v>
      </c>
      <c r="FI37">
        <v>820</v>
      </c>
      <c r="FJ37">
        <v>18</v>
      </c>
      <c r="FK37">
        <v>0.07000000000000001</v>
      </c>
      <c r="FL37">
        <v>0.01</v>
      </c>
      <c r="FM37">
        <v>-42.80286341463415</v>
      </c>
      <c r="FN37">
        <v>2.580896864111542</v>
      </c>
      <c r="FO37">
        <v>0.2578090631683748</v>
      </c>
      <c r="FP37">
        <v>-1</v>
      </c>
      <c r="FQ37">
        <v>7.038005853658536</v>
      </c>
      <c r="FR37">
        <v>-1.027019581881522</v>
      </c>
      <c r="FS37">
        <v>0.103913977744155</v>
      </c>
      <c r="FT37">
        <v>0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1</v>
      </c>
      <c r="GA37" t="s">
        <v>432</v>
      </c>
      <c r="GB37">
        <v>2.69625</v>
      </c>
      <c r="GC37">
        <v>2.70513</v>
      </c>
      <c r="GD37">
        <v>0.14539</v>
      </c>
      <c r="GE37">
        <v>0.148875</v>
      </c>
      <c r="GF37">
        <v>0.107707</v>
      </c>
      <c r="GG37">
        <v>0.0845511</v>
      </c>
      <c r="GH37">
        <v>26893.3</v>
      </c>
      <c r="GI37">
        <v>26901.7</v>
      </c>
      <c r="GJ37">
        <v>29270.8</v>
      </c>
      <c r="GK37">
        <v>29247.1</v>
      </c>
      <c r="GL37">
        <v>34578.5</v>
      </c>
      <c r="GM37">
        <v>35639</v>
      </c>
      <c r="GN37">
        <v>41197.9</v>
      </c>
      <c r="GO37">
        <v>41726.7</v>
      </c>
      <c r="GP37">
        <v>1.72915</v>
      </c>
      <c r="GQ37">
        <v>2.04487</v>
      </c>
      <c r="GR37">
        <v>0.0729412</v>
      </c>
      <c r="GS37">
        <v>0</v>
      </c>
      <c r="GT37">
        <v>28.8108</v>
      </c>
      <c r="GU37">
        <v>999.9</v>
      </c>
      <c r="GV37">
        <v>44.6</v>
      </c>
      <c r="GW37">
        <v>32.4</v>
      </c>
      <c r="GX37">
        <v>24.0948</v>
      </c>
      <c r="GY37">
        <v>63.1379</v>
      </c>
      <c r="GZ37">
        <v>29.4792</v>
      </c>
      <c r="HA37">
        <v>1</v>
      </c>
      <c r="HB37">
        <v>0.211905</v>
      </c>
      <c r="HC37">
        <v>0.383162</v>
      </c>
      <c r="HD37">
        <v>20.3831</v>
      </c>
      <c r="HE37">
        <v>5.22418</v>
      </c>
      <c r="HF37">
        <v>12.0099</v>
      </c>
      <c r="HG37">
        <v>4.99105</v>
      </c>
      <c r="HH37">
        <v>3.28978</v>
      </c>
      <c r="HI37">
        <v>2694.2</v>
      </c>
      <c r="HJ37">
        <v>9999</v>
      </c>
      <c r="HK37">
        <v>9999</v>
      </c>
      <c r="HL37">
        <v>49.7</v>
      </c>
      <c r="HM37">
        <v>1.8672</v>
      </c>
      <c r="HN37">
        <v>1.86615</v>
      </c>
      <c r="HO37">
        <v>1.86571</v>
      </c>
      <c r="HP37">
        <v>1.86567</v>
      </c>
      <c r="HQ37">
        <v>1.86737</v>
      </c>
      <c r="HR37">
        <v>1.86996</v>
      </c>
      <c r="HS37">
        <v>1.86859</v>
      </c>
      <c r="HT37">
        <v>1.86996</v>
      </c>
      <c r="HU37">
        <v>0</v>
      </c>
      <c r="HV37">
        <v>0</v>
      </c>
      <c r="HW37">
        <v>0</v>
      </c>
      <c r="HX37">
        <v>0</v>
      </c>
      <c r="HY37" t="s">
        <v>421</v>
      </c>
      <c r="HZ37" t="s">
        <v>422</v>
      </c>
      <c r="IA37" t="s">
        <v>423</v>
      </c>
      <c r="IB37" t="s">
        <v>423</v>
      </c>
      <c r="IC37" t="s">
        <v>423</v>
      </c>
      <c r="ID37" t="s">
        <v>423</v>
      </c>
      <c r="IE37">
        <v>0</v>
      </c>
      <c r="IF37">
        <v>100</v>
      </c>
      <c r="IG37">
        <v>100</v>
      </c>
      <c r="IH37">
        <v>-1.452</v>
      </c>
      <c r="II37">
        <v>-0.037</v>
      </c>
      <c r="IJ37">
        <v>0.1303876891520839</v>
      </c>
      <c r="IK37">
        <v>-0.002185601614162945</v>
      </c>
      <c r="IL37">
        <v>-2.252308143750626E-07</v>
      </c>
      <c r="IM37">
        <v>5.915558436307541E-11</v>
      </c>
      <c r="IN37">
        <v>-0.1179714398214848</v>
      </c>
      <c r="IO37">
        <v>-0.007570214193104963</v>
      </c>
      <c r="IP37">
        <v>0.0009214429922928372</v>
      </c>
      <c r="IQ37">
        <v>-1.392260276065805E-05</v>
      </c>
      <c r="IR37">
        <v>17</v>
      </c>
      <c r="IS37">
        <v>2272</v>
      </c>
      <c r="IT37">
        <v>1</v>
      </c>
      <c r="IU37">
        <v>31</v>
      </c>
      <c r="IV37">
        <v>1.7</v>
      </c>
      <c r="IW37">
        <v>1.5</v>
      </c>
      <c r="IX37">
        <v>1.78345</v>
      </c>
      <c r="IY37">
        <v>2.21436</v>
      </c>
      <c r="IZ37">
        <v>1.39648</v>
      </c>
      <c r="JA37">
        <v>2.35229</v>
      </c>
      <c r="JB37">
        <v>1.49536</v>
      </c>
      <c r="JC37">
        <v>2.34619</v>
      </c>
      <c r="JD37">
        <v>35.801</v>
      </c>
      <c r="JE37">
        <v>15.5417</v>
      </c>
      <c r="JF37">
        <v>18</v>
      </c>
      <c r="JG37">
        <v>387.976</v>
      </c>
      <c r="JH37">
        <v>573.294</v>
      </c>
      <c r="JI37">
        <v>29.0799</v>
      </c>
      <c r="JJ37">
        <v>30.1888</v>
      </c>
      <c r="JK37">
        <v>30.0001</v>
      </c>
      <c r="JL37">
        <v>30.142</v>
      </c>
      <c r="JM37">
        <v>30.0516</v>
      </c>
      <c r="JN37">
        <v>35.7013</v>
      </c>
      <c r="JO37">
        <v>27.3055</v>
      </c>
      <c r="JP37">
        <v>0</v>
      </c>
      <c r="JQ37">
        <v>29.0813</v>
      </c>
      <c r="JR37">
        <v>820</v>
      </c>
      <c r="JS37">
        <v>17.9517</v>
      </c>
      <c r="JT37">
        <v>100.051</v>
      </c>
      <c r="JU37">
        <v>100.165</v>
      </c>
    </row>
    <row r="38" spans="1:281">
      <c r="A38">
        <v>22</v>
      </c>
      <c r="B38">
        <v>1652371070.1</v>
      </c>
      <c r="C38">
        <v>2976.5</v>
      </c>
      <c r="D38" t="s">
        <v>505</v>
      </c>
      <c r="E38" t="s">
        <v>506</v>
      </c>
      <c r="F38">
        <v>5</v>
      </c>
      <c r="G38" t="s">
        <v>471</v>
      </c>
      <c r="H38" t="s">
        <v>414</v>
      </c>
      <c r="I38">
        <v>1652371062.099999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1040.63671009014</v>
      </c>
      <c r="AK38">
        <v>1002.61793939394</v>
      </c>
      <c r="AL38">
        <v>0.04828328905570023</v>
      </c>
      <c r="AM38">
        <v>65.95718131851054</v>
      </c>
      <c r="AN38">
        <f>(AP38 - AO38 + DI38*1E3/(8.314*(DK38+273.15)) * AR38/DH38 * AQ38) * DH38/(100*CV38) * 1000/(1000 - AP38)</f>
        <v>0</v>
      </c>
      <c r="AO38">
        <v>19.91502528758095</v>
      </c>
      <c r="AP38">
        <v>24.2835104895105</v>
      </c>
      <c r="AQ38">
        <v>-0.0001980204227196657</v>
      </c>
      <c r="AR38">
        <v>81.11151583272921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415</v>
      </c>
      <c r="AY38">
        <v>10510</v>
      </c>
      <c r="AZ38">
        <v>590.42</v>
      </c>
      <c r="BA38">
        <v>2650.6</v>
      </c>
      <c r="BB38">
        <f>1-AZ38/BA38</f>
        <v>0</v>
      </c>
      <c r="BC38">
        <v>-1.816883183993991</v>
      </c>
      <c r="BD38" t="s">
        <v>507</v>
      </c>
      <c r="BE38">
        <v>10378.4</v>
      </c>
      <c r="BF38">
        <v>1658.4712</v>
      </c>
      <c r="BG38">
        <v>2137.73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1392</v>
      </c>
      <c r="CA38">
        <v>300</v>
      </c>
      <c r="CB38">
        <v>300</v>
      </c>
      <c r="CC38">
        <v>300</v>
      </c>
      <c r="CD38">
        <v>10378.4</v>
      </c>
      <c r="CE38">
        <v>2045.08</v>
      </c>
      <c r="CF38">
        <v>-0.00730674</v>
      </c>
      <c r="CG38">
        <v>-3.66</v>
      </c>
      <c r="CH38" t="s">
        <v>417</v>
      </c>
      <c r="CI38" t="s">
        <v>417</v>
      </c>
      <c r="CJ38" t="s">
        <v>417</v>
      </c>
      <c r="CK38" t="s">
        <v>417</v>
      </c>
      <c r="CL38" t="s">
        <v>417</v>
      </c>
      <c r="CM38" t="s">
        <v>417</v>
      </c>
      <c r="CN38" t="s">
        <v>417</v>
      </c>
      <c r="CO38" t="s">
        <v>417</v>
      </c>
      <c r="CP38" t="s">
        <v>417</v>
      </c>
      <c r="CQ38" t="s">
        <v>417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418</v>
      </c>
      <c r="CY38">
        <v>2</v>
      </c>
      <c r="CZ38" t="b">
        <v>1</v>
      </c>
      <c r="DA38">
        <v>1652371062.099999</v>
      </c>
      <c r="DB38">
        <v>977.7874516129032</v>
      </c>
      <c r="DC38">
        <v>1019.918387096774</v>
      </c>
      <c r="DD38">
        <v>24.22935806451613</v>
      </c>
      <c r="DE38">
        <v>19.87373870967742</v>
      </c>
      <c r="DF38">
        <v>979.7954516129032</v>
      </c>
      <c r="DG38">
        <v>24.23935806451613</v>
      </c>
      <c r="DH38">
        <v>400.0764516129032</v>
      </c>
      <c r="DI38">
        <v>90.4133870967742</v>
      </c>
      <c r="DJ38">
        <v>0.0999867677419355</v>
      </c>
      <c r="DK38">
        <v>30.72926129032259</v>
      </c>
      <c r="DL38">
        <v>30.02191612903226</v>
      </c>
      <c r="DM38">
        <v>999.9000000000003</v>
      </c>
      <c r="DN38">
        <v>0</v>
      </c>
      <c r="DO38">
        <v>0</v>
      </c>
      <c r="DP38">
        <v>9999.131290322581</v>
      </c>
      <c r="DQ38">
        <v>0</v>
      </c>
      <c r="DR38">
        <v>393.4449032258065</v>
      </c>
      <c r="DS38">
        <v>-41.96259677419355</v>
      </c>
      <c r="DT38">
        <v>1002.293548387097</v>
      </c>
      <c r="DU38">
        <v>1040.597741935484</v>
      </c>
      <c r="DV38">
        <v>4.408960967741936</v>
      </c>
      <c r="DW38">
        <v>1019.918387096774</v>
      </c>
      <c r="DX38">
        <v>19.87373870967742</v>
      </c>
      <c r="DY38">
        <v>2.195481612903226</v>
      </c>
      <c r="DZ38">
        <v>1.796852580645161</v>
      </c>
      <c r="EA38">
        <v>18.92937096774194</v>
      </c>
      <c r="EB38">
        <v>15.75933870967742</v>
      </c>
      <c r="EC38">
        <v>1500.007096774193</v>
      </c>
      <c r="ED38">
        <v>0.9729979032258064</v>
      </c>
      <c r="EE38">
        <v>0.02700232258064516</v>
      </c>
      <c r="EF38">
        <v>0</v>
      </c>
      <c r="EG38">
        <v>1659.096129032258</v>
      </c>
      <c r="EH38">
        <v>5.000969999999999</v>
      </c>
      <c r="EI38">
        <v>25584.00967741936</v>
      </c>
      <c r="EJ38">
        <v>12491.63548387096</v>
      </c>
      <c r="EK38">
        <v>39.41099999999999</v>
      </c>
      <c r="EL38">
        <v>40.75</v>
      </c>
      <c r="EM38">
        <v>39.58232258064515</v>
      </c>
      <c r="EN38">
        <v>40.56199999999998</v>
      </c>
      <c r="EO38">
        <v>40.55799999999999</v>
      </c>
      <c r="EP38">
        <v>1454.635483870968</v>
      </c>
      <c r="EQ38">
        <v>40.37161290322579</v>
      </c>
      <c r="ER38">
        <v>0</v>
      </c>
      <c r="ES38">
        <v>122.3999998569489</v>
      </c>
      <c r="ET38">
        <v>0</v>
      </c>
      <c r="EU38">
        <v>1658.4712</v>
      </c>
      <c r="EV38">
        <v>-51.60615392381038</v>
      </c>
      <c r="EW38">
        <v>-797.8538476805205</v>
      </c>
      <c r="EX38">
        <v>25575.76</v>
      </c>
      <c r="EY38">
        <v>15</v>
      </c>
      <c r="EZ38">
        <v>1652371102.6</v>
      </c>
      <c r="FA38" t="s">
        <v>508</v>
      </c>
      <c r="FB38">
        <v>1652371102.6</v>
      </c>
      <c r="FC38">
        <v>1652371094.1</v>
      </c>
      <c r="FD38">
        <v>22</v>
      </c>
      <c r="FE38">
        <v>-0.064</v>
      </c>
      <c r="FF38">
        <v>-0.001</v>
      </c>
      <c r="FG38">
        <v>-2.008</v>
      </c>
      <c r="FH38">
        <v>-0.01</v>
      </c>
      <c r="FI38">
        <v>1020</v>
      </c>
      <c r="FJ38">
        <v>20</v>
      </c>
      <c r="FK38">
        <v>0.06</v>
      </c>
      <c r="FL38">
        <v>0.02</v>
      </c>
      <c r="FM38">
        <v>-42.13010243902439</v>
      </c>
      <c r="FN38">
        <v>2.916278048780415</v>
      </c>
      <c r="FO38">
        <v>0.2899246533639347</v>
      </c>
      <c r="FP38">
        <v>-1</v>
      </c>
      <c r="FQ38">
        <v>4.46270243902439</v>
      </c>
      <c r="FR38">
        <v>-0.9178101742160141</v>
      </c>
      <c r="FS38">
        <v>0.09081380478975994</v>
      </c>
      <c r="FT38">
        <v>0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1</v>
      </c>
      <c r="GA38" t="s">
        <v>432</v>
      </c>
      <c r="GB38">
        <v>2.69628</v>
      </c>
      <c r="GC38">
        <v>2.70511</v>
      </c>
      <c r="GD38">
        <v>0.16908</v>
      </c>
      <c r="GE38">
        <v>0.171785</v>
      </c>
      <c r="GF38">
        <v>0.107055</v>
      </c>
      <c r="GG38">
        <v>0.0920808</v>
      </c>
      <c r="GH38">
        <v>26147.9</v>
      </c>
      <c r="GI38">
        <v>26176.7</v>
      </c>
      <c r="GJ38">
        <v>29271.7</v>
      </c>
      <c r="GK38">
        <v>29246.9</v>
      </c>
      <c r="GL38">
        <v>34605.9</v>
      </c>
      <c r="GM38">
        <v>35343.7</v>
      </c>
      <c r="GN38">
        <v>41199.7</v>
      </c>
      <c r="GO38">
        <v>41726.9</v>
      </c>
      <c r="GP38">
        <v>1.72763</v>
      </c>
      <c r="GQ38">
        <v>2.04895</v>
      </c>
      <c r="GR38">
        <v>0.07493420000000001</v>
      </c>
      <c r="GS38">
        <v>0</v>
      </c>
      <c r="GT38">
        <v>28.7888</v>
      </c>
      <c r="GU38">
        <v>999.9</v>
      </c>
      <c r="GV38">
        <v>44.4</v>
      </c>
      <c r="GW38">
        <v>32.4</v>
      </c>
      <c r="GX38">
        <v>23.9867</v>
      </c>
      <c r="GY38">
        <v>63.2879</v>
      </c>
      <c r="GZ38">
        <v>29.399</v>
      </c>
      <c r="HA38">
        <v>1</v>
      </c>
      <c r="HB38">
        <v>0.211176</v>
      </c>
      <c r="HC38">
        <v>0.559159</v>
      </c>
      <c r="HD38">
        <v>20.3824</v>
      </c>
      <c r="HE38">
        <v>5.22403</v>
      </c>
      <c r="HF38">
        <v>12.0099</v>
      </c>
      <c r="HG38">
        <v>4.99125</v>
      </c>
      <c r="HH38">
        <v>3.28963</v>
      </c>
      <c r="HI38">
        <v>2696.7</v>
      </c>
      <c r="HJ38">
        <v>9999</v>
      </c>
      <c r="HK38">
        <v>9999</v>
      </c>
      <c r="HL38">
        <v>49.7</v>
      </c>
      <c r="HM38">
        <v>1.86722</v>
      </c>
      <c r="HN38">
        <v>1.86616</v>
      </c>
      <c r="HO38">
        <v>1.86574</v>
      </c>
      <c r="HP38">
        <v>1.86569</v>
      </c>
      <c r="HQ38">
        <v>1.86739</v>
      </c>
      <c r="HR38">
        <v>1.86996</v>
      </c>
      <c r="HS38">
        <v>1.86859</v>
      </c>
      <c r="HT38">
        <v>1.86998</v>
      </c>
      <c r="HU38">
        <v>0</v>
      </c>
      <c r="HV38">
        <v>0</v>
      </c>
      <c r="HW38">
        <v>0</v>
      </c>
      <c r="HX38">
        <v>0</v>
      </c>
      <c r="HY38" t="s">
        <v>421</v>
      </c>
      <c r="HZ38" t="s">
        <v>422</v>
      </c>
      <c r="IA38" t="s">
        <v>423</v>
      </c>
      <c r="IB38" t="s">
        <v>423</v>
      </c>
      <c r="IC38" t="s">
        <v>423</v>
      </c>
      <c r="ID38" t="s">
        <v>423</v>
      </c>
      <c r="IE38">
        <v>0</v>
      </c>
      <c r="IF38">
        <v>100</v>
      </c>
      <c r="IG38">
        <v>100</v>
      </c>
      <c r="IH38">
        <v>-2.008</v>
      </c>
      <c r="II38">
        <v>-0.01</v>
      </c>
      <c r="IJ38">
        <v>0.4621364053629791</v>
      </c>
      <c r="IK38">
        <v>-0.002185601614162945</v>
      </c>
      <c r="IL38">
        <v>-2.252308143750626E-07</v>
      </c>
      <c r="IM38">
        <v>5.915558436307541E-11</v>
      </c>
      <c r="IN38">
        <v>-0.116254260041285</v>
      </c>
      <c r="IO38">
        <v>-0.007570214193104963</v>
      </c>
      <c r="IP38">
        <v>0.0009214429922928372</v>
      </c>
      <c r="IQ38">
        <v>-1.392260276065805E-05</v>
      </c>
      <c r="IR38">
        <v>17</v>
      </c>
      <c r="IS38">
        <v>2272</v>
      </c>
      <c r="IT38">
        <v>1</v>
      </c>
      <c r="IU38">
        <v>31</v>
      </c>
      <c r="IV38">
        <v>1.5</v>
      </c>
      <c r="IW38">
        <v>1.5</v>
      </c>
      <c r="IX38">
        <v>2.12769</v>
      </c>
      <c r="IY38">
        <v>2.20825</v>
      </c>
      <c r="IZ38">
        <v>1.39648</v>
      </c>
      <c r="JA38">
        <v>2.35352</v>
      </c>
      <c r="JB38">
        <v>1.49536</v>
      </c>
      <c r="JC38">
        <v>2.31079</v>
      </c>
      <c r="JD38">
        <v>35.801</v>
      </c>
      <c r="JE38">
        <v>15.5155</v>
      </c>
      <c r="JF38">
        <v>18</v>
      </c>
      <c r="JG38">
        <v>387.111</v>
      </c>
      <c r="JH38">
        <v>576.304</v>
      </c>
      <c r="JI38">
        <v>28.8265</v>
      </c>
      <c r="JJ38">
        <v>30.1836</v>
      </c>
      <c r="JK38">
        <v>30.0002</v>
      </c>
      <c r="JL38">
        <v>30.1332</v>
      </c>
      <c r="JM38">
        <v>30.0419</v>
      </c>
      <c r="JN38">
        <v>42.5928</v>
      </c>
      <c r="JO38">
        <v>18.3877</v>
      </c>
      <c r="JP38">
        <v>0</v>
      </c>
      <c r="JQ38">
        <v>28.8127</v>
      </c>
      <c r="JR38">
        <v>1020</v>
      </c>
      <c r="JS38">
        <v>20.1433</v>
      </c>
      <c r="JT38">
        <v>100.055</v>
      </c>
      <c r="JU38">
        <v>100.165</v>
      </c>
    </row>
    <row r="39" spans="1:281">
      <c r="A39">
        <v>23</v>
      </c>
      <c r="B39">
        <v>1652371165.6</v>
      </c>
      <c r="C39">
        <v>3072</v>
      </c>
      <c r="D39" t="s">
        <v>509</v>
      </c>
      <c r="E39" t="s">
        <v>510</v>
      </c>
      <c r="F39">
        <v>5</v>
      </c>
      <c r="G39" t="s">
        <v>471</v>
      </c>
      <c r="H39" t="s">
        <v>414</v>
      </c>
      <c r="I39">
        <v>1652371157.599999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1246.066224314987</v>
      </c>
      <c r="AK39">
        <v>1206.666121212121</v>
      </c>
      <c r="AL39">
        <v>0.08855719519613195</v>
      </c>
      <c r="AM39">
        <v>65.95355691066912</v>
      </c>
      <c r="AN39">
        <f>(AP39 - AO39 + DI39*1E3/(8.314*(DK39+273.15)) * AR39/DH39 * AQ39) * DH39/(100*CV39) * 1000/(1000 - AP39)</f>
        <v>0</v>
      </c>
      <c r="AO39">
        <v>20.89442155059507</v>
      </c>
      <c r="AP39">
        <v>24.25164195804198</v>
      </c>
      <c r="AQ39">
        <v>0.005475342517105517</v>
      </c>
      <c r="AR39">
        <v>81.16765941992898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415</v>
      </c>
      <c r="AY39">
        <v>10510</v>
      </c>
      <c r="AZ39">
        <v>590.42</v>
      </c>
      <c r="BA39">
        <v>2650.6</v>
      </c>
      <c r="BB39">
        <f>1-AZ39/BA39</f>
        <v>0</v>
      </c>
      <c r="BC39">
        <v>-1.816883183993991</v>
      </c>
      <c r="BD39" t="s">
        <v>511</v>
      </c>
      <c r="BE39">
        <v>10378</v>
      </c>
      <c r="BF39">
        <v>1660.246</v>
      </c>
      <c r="BG39">
        <v>2142.35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1393</v>
      </c>
      <c r="CA39">
        <v>300</v>
      </c>
      <c r="CB39">
        <v>300</v>
      </c>
      <c r="CC39">
        <v>300</v>
      </c>
      <c r="CD39">
        <v>10378</v>
      </c>
      <c r="CE39">
        <v>2050</v>
      </c>
      <c r="CF39">
        <v>-0.00730649</v>
      </c>
      <c r="CG39">
        <v>-4.53</v>
      </c>
      <c r="CH39" t="s">
        <v>417</v>
      </c>
      <c r="CI39" t="s">
        <v>417</v>
      </c>
      <c r="CJ39" t="s">
        <v>417</v>
      </c>
      <c r="CK39" t="s">
        <v>417</v>
      </c>
      <c r="CL39" t="s">
        <v>417</v>
      </c>
      <c r="CM39" t="s">
        <v>417</v>
      </c>
      <c r="CN39" t="s">
        <v>417</v>
      </c>
      <c r="CO39" t="s">
        <v>417</v>
      </c>
      <c r="CP39" t="s">
        <v>417</v>
      </c>
      <c r="CQ39" t="s">
        <v>417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418</v>
      </c>
      <c r="CY39">
        <v>2</v>
      </c>
      <c r="CZ39" t="b">
        <v>1</v>
      </c>
      <c r="DA39">
        <v>1652371157.599999</v>
      </c>
      <c r="DB39">
        <v>1176.974064516129</v>
      </c>
      <c r="DC39">
        <v>1219.978709677419</v>
      </c>
      <c r="DD39">
        <v>24.18629677419355</v>
      </c>
      <c r="DE39">
        <v>20.8506</v>
      </c>
      <c r="DF39">
        <v>1179.058064516129</v>
      </c>
      <c r="DG39">
        <v>24.18829677419355</v>
      </c>
      <c r="DH39">
        <v>400.0686129032259</v>
      </c>
      <c r="DI39">
        <v>90.41724193548386</v>
      </c>
      <c r="DJ39">
        <v>0.09998229354838707</v>
      </c>
      <c r="DK39">
        <v>30.60427096774194</v>
      </c>
      <c r="DL39">
        <v>29.98985483870967</v>
      </c>
      <c r="DM39">
        <v>999.9000000000003</v>
      </c>
      <c r="DN39">
        <v>0</v>
      </c>
      <c r="DO39">
        <v>0</v>
      </c>
      <c r="DP39">
        <v>10008.14516129032</v>
      </c>
      <c r="DQ39">
        <v>0</v>
      </c>
      <c r="DR39">
        <v>374.7556774193549</v>
      </c>
      <c r="DS39">
        <v>-43.31468387096773</v>
      </c>
      <c r="DT39">
        <v>1205.882580645161</v>
      </c>
      <c r="DU39">
        <v>1245.956451612903</v>
      </c>
      <c r="DV39">
        <v>3.37977935483871</v>
      </c>
      <c r="DW39">
        <v>1219.978709677419</v>
      </c>
      <c r="DX39">
        <v>20.8506</v>
      </c>
      <c r="DY39">
        <v>2.190844516129032</v>
      </c>
      <c r="DZ39">
        <v>1.885253225806452</v>
      </c>
      <c r="EA39">
        <v>18.89551612903226</v>
      </c>
      <c r="EB39">
        <v>16.51215483870968</v>
      </c>
      <c r="EC39">
        <v>1499.980967741935</v>
      </c>
      <c r="ED39">
        <v>0.972999516129032</v>
      </c>
      <c r="EE39">
        <v>0.0270006129032258</v>
      </c>
      <c r="EF39">
        <v>0</v>
      </c>
      <c r="EG39">
        <v>1660.637741935484</v>
      </c>
      <c r="EH39">
        <v>5.000969999999999</v>
      </c>
      <c r="EI39">
        <v>25490.13225806452</v>
      </c>
      <c r="EJ39">
        <v>12491.43225806451</v>
      </c>
      <c r="EK39">
        <v>39.43699999999998</v>
      </c>
      <c r="EL39">
        <v>40.76799999999999</v>
      </c>
      <c r="EM39">
        <v>39.625</v>
      </c>
      <c r="EN39">
        <v>40.61687096774194</v>
      </c>
      <c r="EO39">
        <v>40.56199999999998</v>
      </c>
      <c r="EP39">
        <v>1454.610967741935</v>
      </c>
      <c r="EQ39">
        <v>40.36903225806449</v>
      </c>
      <c r="ER39">
        <v>0</v>
      </c>
      <c r="ES39">
        <v>94.79999995231628</v>
      </c>
      <c r="ET39">
        <v>0</v>
      </c>
      <c r="EU39">
        <v>1660.246</v>
      </c>
      <c r="EV39">
        <v>-46.7423076837506</v>
      </c>
      <c r="EW39">
        <v>-894.4923077057359</v>
      </c>
      <c r="EX39">
        <v>25482.936</v>
      </c>
      <c r="EY39">
        <v>15</v>
      </c>
      <c r="EZ39">
        <v>1652371188.1</v>
      </c>
      <c r="FA39" t="s">
        <v>512</v>
      </c>
      <c r="FB39">
        <v>1652371188.1</v>
      </c>
      <c r="FC39">
        <v>1652371187.6</v>
      </c>
      <c r="FD39">
        <v>23</v>
      </c>
      <c r="FE39">
        <v>0.417</v>
      </c>
      <c r="FF39">
        <v>-0.003</v>
      </c>
      <c r="FG39">
        <v>-2.084</v>
      </c>
      <c r="FH39">
        <v>-0.002</v>
      </c>
      <c r="FI39">
        <v>1220</v>
      </c>
      <c r="FJ39">
        <v>21</v>
      </c>
      <c r="FK39">
        <v>0.05</v>
      </c>
      <c r="FL39">
        <v>0.02</v>
      </c>
      <c r="FM39">
        <v>-43.83568780487805</v>
      </c>
      <c r="FN39">
        <v>9.388710104529576</v>
      </c>
      <c r="FO39">
        <v>0.9535632917193766</v>
      </c>
      <c r="FP39">
        <v>-1</v>
      </c>
      <c r="FQ39">
        <v>3.403249512195121</v>
      </c>
      <c r="FR39">
        <v>-0.4571594425087033</v>
      </c>
      <c r="FS39">
        <v>0.04777187048377051</v>
      </c>
      <c r="FT39">
        <v>1</v>
      </c>
      <c r="FU39">
        <v>0</v>
      </c>
      <c r="FV39">
        <v>0</v>
      </c>
      <c r="FW39">
        <v>0</v>
      </c>
      <c r="FX39">
        <v>-1</v>
      </c>
      <c r="FY39">
        <v>1</v>
      </c>
      <c r="FZ39">
        <v>1</v>
      </c>
      <c r="GA39" t="s">
        <v>420</v>
      </c>
      <c r="GB39">
        <v>2.69659</v>
      </c>
      <c r="GC39">
        <v>2.70519</v>
      </c>
      <c r="GD39">
        <v>0.190312</v>
      </c>
      <c r="GE39">
        <v>0.192503</v>
      </c>
      <c r="GF39">
        <v>0.106961</v>
      </c>
      <c r="GG39">
        <v>0.09496549999999999</v>
      </c>
      <c r="GH39">
        <v>25477</v>
      </c>
      <c r="GI39">
        <v>25520.5</v>
      </c>
      <c r="GJ39">
        <v>29269.6</v>
      </c>
      <c r="GK39">
        <v>29246.4</v>
      </c>
      <c r="GL39">
        <v>34607.7</v>
      </c>
      <c r="GM39">
        <v>35230.1</v>
      </c>
      <c r="GN39">
        <v>41196.9</v>
      </c>
      <c r="GO39">
        <v>41726.3</v>
      </c>
      <c r="GP39">
        <v>1.72728</v>
      </c>
      <c r="GQ39">
        <v>2.0501</v>
      </c>
      <c r="GR39">
        <v>0.0770763</v>
      </c>
      <c r="GS39">
        <v>0</v>
      </c>
      <c r="GT39">
        <v>28.7439</v>
      </c>
      <c r="GU39">
        <v>999.9</v>
      </c>
      <c r="GV39">
        <v>44.4</v>
      </c>
      <c r="GW39">
        <v>32.5</v>
      </c>
      <c r="GX39">
        <v>24.1217</v>
      </c>
      <c r="GY39">
        <v>63.3579</v>
      </c>
      <c r="GZ39">
        <v>28.6859</v>
      </c>
      <c r="HA39">
        <v>1</v>
      </c>
      <c r="HB39">
        <v>0.212957</v>
      </c>
      <c r="HC39">
        <v>0.369194</v>
      </c>
      <c r="HD39">
        <v>20.3829</v>
      </c>
      <c r="HE39">
        <v>5.22448</v>
      </c>
      <c r="HF39">
        <v>12.0099</v>
      </c>
      <c r="HG39">
        <v>4.99125</v>
      </c>
      <c r="HH39">
        <v>3.28965</v>
      </c>
      <c r="HI39">
        <v>2698.5</v>
      </c>
      <c r="HJ39">
        <v>9999</v>
      </c>
      <c r="HK39">
        <v>9999</v>
      </c>
      <c r="HL39">
        <v>49.7</v>
      </c>
      <c r="HM39">
        <v>1.86721</v>
      </c>
      <c r="HN39">
        <v>1.86615</v>
      </c>
      <c r="HO39">
        <v>1.8657</v>
      </c>
      <c r="HP39">
        <v>1.86564</v>
      </c>
      <c r="HQ39">
        <v>1.86739</v>
      </c>
      <c r="HR39">
        <v>1.86996</v>
      </c>
      <c r="HS39">
        <v>1.86859</v>
      </c>
      <c r="HT39">
        <v>1.86996</v>
      </c>
      <c r="HU39">
        <v>0</v>
      </c>
      <c r="HV39">
        <v>0</v>
      </c>
      <c r="HW39">
        <v>0</v>
      </c>
      <c r="HX39">
        <v>0</v>
      </c>
      <c r="HY39" t="s">
        <v>421</v>
      </c>
      <c r="HZ39" t="s">
        <v>422</v>
      </c>
      <c r="IA39" t="s">
        <v>423</v>
      </c>
      <c r="IB39" t="s">
        <v>423</v>
      </c>
      <c r="IC39" t="s">
        <v>423</v>
      </c>
      <c r="ID39" t="s">
        <v>423</v>
      </c>
      <c r="IE39">
        <v>0</v>
      </c>
      <c r="IF39">
        <v>100</v>
      </c>
      <c r="IG39">
        <v>100</v>
      </c>
      <c r="IH39">
        <v>-2.084</v>
      </c>
      <c r="II39">
        <v>-0.002</v>
      </c>
      <c r="IJ39">
        <v>0.3982772055827868</v>
      </c>
      <c r="IK39">
        <v>-0.002185601614162945</v>
      </c>
      <c r="IL39">
        <v>-2.252308143750626E-07</v>
      </c>
      <c r="IM39">
        <v>5.915558436307541E-11</v>
      </c>
      <c r="IN39">
        <v>-0.1168793681941093</v>
      </c>
      <c r="IO39">
        <v>-0.007570214193104963</v>
      </c>
      <c r="IP39">
        <v>0.0009214429922928372</v>
      </c>
      <c r="IQ39">
        <v>-1.392260276065805E-05</v>
      </c>
      <c r="IR39">
        <v>17</v>
      </c>
      <c r="IS39">
        <v>2272</v>
      </c>
      <c r="IT39">
        <v>1</v>
      </c>
      <c r="IU39">
        <v>31</v>
      </c>
      <c r="IV39">
        <v>1.1</v>
      </c>
      <c r="IW39">
        <v>1.2</v>
      </c>
      <c r="IX39">
        <v>2.45728</v>
      </c>
      <c r="IY39">
        <v>2.21069</v>
      </c>
      <c r="IZ39">
        <v>1.39648</v>
      </c>
      <c r="JA39">
        <v>2.35107</v>
      </c>
      <c r="JB39">
        <v>1.49536</v>
      </c>
      <c r="JC39">
        <v>2.28882</v>
      </c>
      <c r="JD39">
        <v>35.8244</v>
      </c>
      <c r="JE39">
        <v>15.4892</v>
      </c>
      <c r="JF39">
        <v>18</v>
      </c>
      <c r="JG39">
        <v>386.987</v>
      </c>
      <c r="JH39">
        <v>577.277</v>
      </c>
      <c r="JI39">
        <v>28.8261</v>
      </c>
      <c r="JJ39">
        <v>30.1967</v>
      </c>
      <c r="JK39">
        <v>30.0001</v>
      </c>
      <c r="JL39">
        <v>30.1436</v>
      </c>
      <c r="JM39">
        <v>30.0516</v>
      </c>
      <c r="JN39">
        <v>49.1799</v>
      </c>
      <c r="JO39">
        <v>15.3327</v>
      </c>
      <c r="JP39">
        <v>2.46236</v>
      </c>
      <c r="JQ39">
        <v>28.8268</v>
      </c>
      <c r="JR39">
        <v>1220</v>
      </c>
      <c r="JS39">
        <v>21.0287</v>
      </c>
      <c r="JT39">
        <v>100.048</v>
      </c>
      <c r="JU39">
        <v>100.163</v>
      </c>
    </row>
    <row r="40" spans="1:281">
      <c r="A40">
        <v>24</v>
      </c>
      <c r="B40">
        <v>1652371249.1</v>
      </c>
      <c r="C40">
        <v>3155.5</v>
      </c>
      <c r="D40" t="s">
        <v>513</v>
      </c>
      <c r="E40" t="s">
        <v>514</v>
      </c>
      <c r="F40">
        <v>5</v>
      </c>
      <c r="G40" t="s">
        <v>471</v>
      </c>
      <c r="H40" t="s">
        <v>414</v>
      </c>
      <c r="I40">
        <v>1652371241.099999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1655.519517014944</v>
      </c>
      <c r="AK40">
        <v>1613.099636363636</v>
      </c>
      <c r="AL40">
        <v>0.1580445864869852</v>
      </c>
      <c r="AM40">
        <v>65.95096115535965</v>
      </c>
      <c r="AN40">
        <f>(AP40 - AO40 + DI40*1E3/(8.314*(DK40+273.15)) * AR40/DH40 * AQ40) * DH40/(100*CV40) * 1000/(1000 - AP40)</f>
        <v>0</v>
      </c>
      <c r="AO40">
        <v>21.45654458727592</v>
      </c>
      <c r="AP40">
        <v>24.21241748251749</v>
      </c>
      <c r="AQ40">
        <v>0.000290079865757966</v>
      </c>
      <c r="AR40">
        <v>81.20988715235777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417</v>
      </c>
      <c r="AY40" t="s">
        <v>417</v>
      </c>
      <c r="AZ40">
        <v>0</v>
      </c>
      <c r="BA40">
        <v>0</v>
      </c>
      <c r="BB40">
        <f>1-AZ40/BA40</f>
        <v>0</v>
      </c>
      <c r="BC40">
        <v>0</v>
      </c>
      <c r="BD40" t="s">
        <v>417</v>
      </c>
      <c r="BE40" t="s">
        <v>417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1393</v>
      </c>
      <c r="CA40">
        <v>300</v>
      </c>
      <c r="CB40">
        <v>300</v>
      </c>
      <c r="CC40">
        <v>300</v>
      </c>
      <c r="CD40">
        <v>10378</v>
      </c>
      <c r="CE40">
        <v>2050</v>
      </c>
      <c r="CF40">
        <v>-0.00730649</v>
      </c>
      <c r="CG40">
        <v>-4.53</v>
      </c>
      <c r="CH40" t="s">
        <v>417</v>
      </c>
      <c r="CI40" t="s">
        <v>417</v>
      </c>
      <c r="CJ40" t="s">
        <v>417</v>
      </c>
      <c r="CK40" t="s">
        <v>417</v>
      </c>
      <c r="CL40" t="s">
        <v>417</v>
      </c>
      <c r="CM40" t="s">
        <v>417</v>
      </c>
      <c r="CN40" t="s">
        <v>417</v>
      </c>
      <c r="CO40" t="s">
        <v>417</v>
      </c>
      <c r="CP40" t="s">
        <v>417</v>
      </c>
      <c r="CQ40" t="s">
        <v>417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418</v>
      </c>
      <c r="CY40">
        <v>2</v>
      </c>
      <c r="CZ40" t="b">
        <v>1</v>
      </c>
      <c r="DA40">
        <v>1652371241.099999</v>
      </c>
      <c r="DB40">
        <v>1572.87129032258</v>
      </c>
      <c r="DC40">
        <v>1619.973225806452</v>
      </c>
      <c r="DD40">
        <v>24.19480645161291</v>
      </c>
      <c r="DE40">
        <v>21.42715483870967</v>
      </c>
      <c r="DF40">
        <v>1575.50129032258</v>
      </c>
      <c r="DG40">
        <v>24.18780645161291</v>
      </c>
      <c r="DH40">
        <v>400.0625483870968</v>
      </c>
      <c r="DI40">
        <v>90.41682258064517</v>
      </c>
      <c r="DJ40">
        <v>0.09998108387096774</v>
      </c>
      <c r="DK40">
        <v>30.54715161290322</v>
      </c>
      <c r="DL40">
        <v>29.98498387096775</v>
      </c>
      <c r="DM40">
        <v>999.9000000000003</v>
      </c>
      <c r="DN40">
        <v>0</v>
      </c>
      <c r="DO40">
        <v>0</v>
      </c>
      <c r="DP40">
        <v>10001.73032258065</v>
      </c>
      <c r="DQ40">
        <v>0</v>
      </c>
      <c r="DR40">
        <v>387.3817096774194</v>
      </c>
      <c r="DS40">
        <v>-47.42856451612903</v>
      </c>
      <c r="DT40">
        <v>1611.588387096774</v>
      </c>
      <c r="DU40">
        <v>1655.445483870968</v>
      </c>
      <c r="DV40">
        <v>2.79961</v>
      </c>
      <c r="DW40">
        <v>1619.973225806452</v>
      </c>
      <c r="DX40">
        <v>21.42715483870967</v>
      </c>
      <c r="DY40">
        <v>2.190506129032258</v>
      </c>
      <c r="DZ40">
        <v>1.937375483870968</v>
      </c>
      <c r="EA40">
        <v>18.89305483870968</v>
      </c>
      <c r="EB40">
        <v>16.94159032258064</v>
      </c>
      <c r="EC40">
        <v>1500.000322580645</v>
      </c>
      <c r="ED40">
        <v>0.9730006451612901</v>
      </c>
      <c r="EE40">
        <v>0.02699940322580644</v>
      </c>
      <c r="EF40">
        <v>0</v>
      </c>
      <c r="EG40">
        <v>1652.744193548387</v>
      </c>
      <c r="EH40">
        <v>5.000969999999999</v>
      </c>
      <c r="EI40">
        <v>25391.00322580645</v>
      </c>
      <c r="EJ40">
        <v>12491.60645161291</v>
      </c>
      <c r="EK40">
        <v>39.5</v>
      </c>
      <c r="EL40">
        <v>40.84045161290321</v>
      </c>
      <c r="EM40">
        <v>39.68699999999998</v>
      </c>
      <c r="EN40">
        <v>40.66299999999999</v>
      </c>
      <c r="EO40">
        <v>40.62296774193548</v>
      </c>
      <c r="EP40">
        <v>1454.638709677419</v>
      </c>
      <c r="EQ40">
        <v>40.36032258064514</v>
      </c>
      <c r="ER40">
        <v>0</v>
      </c>
      <c r="ES40">
        <v>83.19999980926514</v>
      </c>
      <c r="ET40">
        <v>0</v>
      </c>
      <c r="EU40">
        <v>1652.06</v>
      </c>
      <c r="EV40">
        <v>-45.24846161588951</v>
      </c>
      <c r="EW40">
        <v>-552.715385462404</v>
      </c>
      <c r="EX40">
        <v>25380.604</v>
      </c>
      <c r="EY40">
        <v>15</v>
      </c>
      <c r="EZ40">
        <v>1652371289.6</v>
      </c>
      <c r="FA40" t="s">
        <v>515</v>
      </c>
      <c r="FB40">
        <v>1652371289.6</v>
      </c>
      <c r="FC40">
        <v>1652371275.1</v>
      </c>
      <c r="FD40">
        <v>24</v>
      </c>
      <c r="FE40">
        <v>0.442</v>
      </c>
      <c r="FF40">
        <v>0.001</v>
      </c>
      <c r="FG40">
        <v>-2.63</v>
      </c>
      <c r="FH40">
        <v>0.007</v>
      </c>
      <c r="FI40">
        <v>1620</v>
      </c>
      <c r="FJ40">
        <v>22</v>
      </c>
      <c r="FK40">
        <v>0.08</v>
      </c>
      <c r="FL40">
        <v>0.04</v>
      </c>
      <c r="FM40">
        <v>-48.81820975609757</v>
      </c>
      <c r="FN40">
        <v>22.30196864111502</v>
      </c>
      <c r="FO40">
        <v>2.284787394688882</v>
      </c>
      <c r="FP40">
        <v>-1</v>
      </c>
      <c r="FQ40">
        <v>2.820658536585366</v>
      </c>
      <c r="FR40">
        <v>-0.4127090592334473</v>
      </c>
      <c r="FS40">
        <v>0.04406932651314101</v>
      </c>
      <c r="FT40">
        <v>1</v>
      </c>
      <c r="FU40">
        <v>0</v>
      </c>
      <c r="FV40">
        <v>0</v>
      </c>
      <c r="FW40">
        <v>0</v>
      </c>
      <c r="FX40">
        <v>-1</v>
      </c>
      <c r="FY40">
        <v>1</v>
      </c>
      <c r="FZ40">
        <v>1</v>
      </c>
      <c r="GA40" t="s">
        <v>420</v>
      </c>
      <c r="GB40">
        <v>2.69636</v>
      </c>
      <c r="GC40">
        <v>2.70516</v>
      </c>
      <c r="GD40">
        <v>0.22747</v>
      </c>
      <c r="GE40">
        <v>0.229024</v>
      </c>
      <c r="GF40">
        <v>0.106836</v>
      </c>
      <c r="GG40">
        <v>0.09660249999999999</v>
      </c>
      <c r="GH40">
        <v>24305.7</v>
      </c>
      <c r="GI40">
        <v>24363.2</v>
      </c>
      <c r="GJ40">
        <v>29269.2</v>
      </c>
      <c r="GK40">
        <v>29244.9</v>
      </c>
      <c r="GL40">
        <v>34612.8</v>
      </c>
      <c r="GM40">
        <v>35164.4</v>
      </c>
      <c r="GN40">
        <v>41196.4</v>
      </c>
      <c r="GO40">
        <v>41724</v>
      </c>
      <c r="GP40">
        <v>1.72635</v>
      </c>
      <c r="GQ40">
        <v>2.05155</v>
      </c>
      <c r="GR40">
        <v>0.0811554</v>
      </c>
      <c r="GS40">
        <v>0</v>
      </c>
      <c r="GT40">
        <v>28.6662</v>
      </c>
      <c r="GU40">
        <v>999.9</v>
      </c>
      <c r="GV40">
        <v>44.7</v>
      </c>
      <c r="GW40">
        <v>32.5</v>
      </c>
      <c r="GX40">
        <v>24.2844</v>
      </c>
      <c r="GY40">
        <v>63.4779</v>
      </c>
      <c r="GZ40">
        <v>29.0505</v>
      </c>
      <c r="HA40">
        <v>1</v>
      </c>
      <c r="HB40">
        <v>0.215023</v>
      </c>
      <c r="HC40">
        <v>0.294837</v>
      </c>
      <c r="HD40">
        <v>20.3835</v>
      </c>
      <c r="HE40">
        <v>5.22343</v>
      </c>
      <c r="HF40">
        <v>12.0099</v>
      </c>
      <c r="HG40">
        <v>4.99115</v>
      </c>
      <c r="HH40">
        <v>3.28988</v>
      </c>
      <c r="HI40">
        <v>2700.1</v>
      </c>
      <c r="HJ40">
        <v>9999</v>
      </c>
      <c r="HK40">
        <v>9999</v>
      </c>
      <c r="HL40">
        <v>49.7</v>
      </c>
      <c r="HM40">
        <v>1.86721</v>
      </c>
      <c r="HN40">
        <v>1.86615</v>
      </c>
      <c r="HO40">
        <v>1.86569</v>
      </c>
      <c r="HP40">
        <v>1.86568</v>
      </c>
      <c r="HQ40">
        <v>1.86739</v>
      </c>
      <c r="HR40">
        <v>1.86996</v>
      </c>
      <c r="HS40">
        <v>1.86859</v>
      </c>
      <c r="HT40">
        <v>1.86996</v>
      </c>
      <c r="HU40">
        <v>0</v>
      </c>
      <c r="HV40">
        <v>0</v>
      </c>
      <c r="HW40">
        <v>0</v>
      </c>
      <c r="HX40">
        <v>0</v>
      </c>
      <c r="HY40" t="s">
        <v>421</v>
      </c>
      <c r="HZ40" t="s">
        <v>422</v>
      </c>
      <c r="IA40" t="s">
        <v>423</v>
      </c>
      <c r="IB40" t="s">
        <v>423</v>
      </c>
      <c r="IC40" t="s">
        <v>423</v>
      </c>
      <c r="ID40" t="s">
        <v>423</v>
      </c>
      <c r="IE40">
        <v>0</v>
      </c>
      <c r="IF40">
        <v>100</v>
      </c>
      <c r="IG40">
        <v>100</v>
      </c>
      <c r="IH40">
        <v>-2.63</v>
      </c>
      <c r="II40">
        <v>0.007</v>
      </c>
      <c r="IJ40">
        <v>0.8153028766416768</v>
      </c>
      <c r="IK40">
        <v>-0.002185601614162945</v>
      </c>
      <c r="IL40">
        <v>-2.252308143750626E-07</v>
      </c>
      <c r="IM40">
        <v>5.915558436307541E-11</v>
      </c>
      <c r="IN40">
        <v>-0.1200054365902891</v>
      </c>
      <c r="IO40">
        <v>-0.007570214193104963</v>
      </c>
      <c r="IP40">
        <v>0.0009214429922928372</v>
      </c>
      <c r="IQ40">
        <v>-1.392260276065805E-05</v>
      </c>
      <c r="IR40">
        <v>17</v>
      </c>
      <c r="IS40">
        <v>2272</v>
      </c>
      <c r="IT40">
        <v>1</v>
      </c>
      <c r="IU40">
        <v>31</v>
      </c>
      <c r="IV40">
        <v>1</v>
      </c>
      <c r="IW40">
        <v>1</v>
      </c>
      <c r="IX40">
        <v>3.07983</v>
      </c>
      <c r="IY40">
        <v>2.19727</v>
      </c>
      <c r="IZ40">
        <v>1.39648</v>
      </c>
      <c r="JA40">
        <v>2.34985</v>
      </c>
      <c r="JB40">
        <v>1.49536</v>
      </c>
      <c r="JC40">
        <v>2.36328</v>
      </c>
      <c r="JD40">
        <v>35.8477</v>
      </c>
      <c r="JE40">
        <v>15.4804</v>
      </c>
      <c r="JF40">
        <v>18</v>
      </c>
      <c r="JG40">
        <v>386.587</v>
      </c>
      <c r="JH40">
        <v>578.562</v>
      </c>
      <c r="JI40">
        <v>28.8617</v>
      </c>
      <c r="JJ40">
        <v>30.2153</v>
      </c>
      <c r="JK40">
        <v>30.0003</v>
      </c>
      <c r="JL40">
        <v>30.1592</v>
      </c>
      <c r="JM40">
        <v>30.0696</v>
      </c>
      <c r="JN40">
        <v>61.6362</v>
      </c>
      <c r="JO40">
        <v>14.2881</v>
      </c>
      <c r="JP40">
        <v>5.97948</v>
      </c>
      <c r="JQ40">
        <v>28.8675</v>
      </c>
      <c r="JR40">
        <v>1620</v>
      </c>
      <c r="JS40">
        <v>21.5115</v>
      </c>
      <c r="JT40">
        <v>100.046</v>
      </c>
      <c r="JU40">
        <v>100.158</v>
      </c>
    </row>
    <row r="41" spans="1:281">
      <c r="A41">
        <v>25</v>
      </c>
      <c r="B41">
        <v>1652371575.1</v>
      </c>
      <c r="C41">
        <v>3481.5</v>
      </c>
      <c r="D41" t="s">
        <v>516</v>
      </c>
      <c r="E41" t="s">
        <v>517</v>
      </c>
      <c r="F41">
        <v>5</v>
      </c>
      <c r="G41" t="s">
        <v>518</v>
      </c>
      <c r="H41" t="s">
        <v>414</v>
      </c>
      <c r="I41">
        <v>1652371567.349999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423.538960650778</v>
      </c>
      <c r="AK41">
        <v>383.8873393939392</v>
      </c>
      <c r="AL41">
        <v>0.0007387436572533195</v>
      </c>
      <c r="AM41">
        <v>65.95105977519088</v>
      </c>
      <c r="AN41">
        <f>(AP41 - AO41 + DI41*1E3/(8.314*(DK41+273.15)) * AR41/DH41 * AQ41) * DH41/(100*CV41) * 1000/(1000 - AP41)</f>
        <v>0</v>
      </c>
      <c r="AO41">
        <v>8.356262857106374</v>
      </c>
      <c r="AP41">
        <v>25.95192797202799</v>
      </c>
      <c r="AQ41">
        <v>-0.005839069104214707</v>
      </c>
      <c r="AR41">
        <v>81.26040297655408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417</v>
      </c>
      <c r="AY41" t="s">
        <v>417</v>
      </c>
      <c r="AZ41">
        <v>0</v>
      </c>
      <c r="BA41">
        <v>0</v>
      </c>
      <c r="BB41">
        <f>1-AZ41/BA41</f>
        <v>0</v>
      </c>
      <c r="BC41">
        <v>0</v>
      </c>
      <c r="BD41" t="s">
        <v>417</v>
      </c>
      <c r="BE41" t="s">
        <v>417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1393</v>
      </c>
      <c r="CA41">
        <v>300</v>
      </c>
      <c r="CB41">
        <v>300</v>
      </c>
      <c r="CC41">
        <v>300</v>
      </c>
      <c r="CD41">
        <v>10378</v>
      </c>
      <c r="CE41">
        <v>2050</v>
      </c>
      <c r="CF41">
        <v>-0.00730649</v>
      </c>
      <c r="CG41">
        <v>-4.53</v>
      </c>
      <c r="CH41" t="s">
        <v>417</v>
      </c>
      <c r="CI41" t="s">
        <v>417</v>
      </c>
      <c r="CJ41" t="s">
        <v>417</v>
      </c>
      <c r="CK41" t="s">
        <v>417</v>
      </c>
      <c r="CL41" t="s">
        <v>417</v>
      </c>
      <c r="CM41" t="s">
        <v>417</v>
      </c>
      <c r="CN41" t="s">
        <v>417</v>
      </c>
      <c r="CO41" t="s">
        <v>417</v>
      </c>
      <c r="CP41" t="s">
        <v>417</v>
      </c>
      <c r="CQ41" t="s">
        <v>417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418</v>
      </c>
      <c r="CY41">
        <v>2</v>
      </c>
      <c r="CZ41" t="b">
        <v>1</v>
      </c>
      <c r="DA41">
        <v>1652371567.349999</v>
      </c>
      <c r="DB41">
        <v>373.8655666666667</v>
      </c>
      <c r="DC41">
        <v>419.9918999999999</v>
      </c>
      <c r="DD41">
        <v>25.99178</v>
      </c>
      <c r="DE41">
        <v>8.333824333333332</v>
      </c>
      <c r="DF41">
        <v>373.4527666666667</v>
      </c>
      <c r="DG41">
        <v>25.92994666666667</v>
      </c>
      <c r="DH41">
        <v>400.0838000000001</v>
      </c>
      <c r="DI41">
        <v>90.41136</v>
      </c>
      <c r="DJ41">
        <v>0.1000237466666667</v>
      </c>
      <c r="DK41">
        <v>31.94182666666667</v>
      </c>
      <c r="DL41">
        <v>30.05476</v>
      </c>
      <c r="DM41">
        <v>999.9000000000002</v>
      </c>
      <c r="DN41">
        <v>0</v>
      </c>
      <c r="DO41">
        <v>0</v>
      </c>
      <c r="DP41">
        <v>9998.202333333333</v>
      </c>
      <c r="DQ41">
        <v>0</v>
      </c>
      <c r="DR41">
        <v>419.8896666666667</v>
      </c>
      <c r="DS41">
        <v>-46.12631</v>
      </c>
      <c r="DT41">
        <v>383.8423</v>
      </c>
      <c r="DU41">
        <v>423.5213666666667</v>
      </c>
      <c r="DV41">
        <v>17.65796</v>
      </c>
      <c r="DW41">
        <v>419.9918999999999</v>
      </c>
      <c r="DX41">
        <v>8.333824333333332</v>
      </c>
      <c r="DY41">
        <v>2.349953</v>
      </c>
      <c r="DZ41">
        <v>0.7534723999999999</v>
      </c>
      <c r="EA41">
        <v>20.02295666666667</v>
      </c>
      <c r="EB41">
        <v>2.859427666666666</v>
      </c>
      <c r="EC41">
        <v>1499.995666666666</v>
      </c>
      <c r="ED41">
        <v>0.9729916000000001</v>
      </c>
      <c r="EE41">
        <v>0.02700826999999999</v>
      </c>
      <c r="EF41">
        <v>0</v>
      </c>
      <c r="EG41">
        <v>1336.955666666667</v>
      </c>
      <c r="EH41">
        <v>5.000969999999999</v>
      </c>
      <c r="EI41">
        <v>20994.73666666667</v>
      </c>
      <c r="EJ41">
        <v>12491.51666666667</v>
      </c>
      <c r="EK41">
        <v>39.5</v>
      </c>
      <c r="EL41">
        <v>40.88533333333333</v>
      </c>
      <c r="EM41">
        <v>39.68699999999998</v>
      </c>
      <c r="EN41">
        <v>40.75</v>
      </c>
      <c r="EO41">
        <v>40.68909999999998</v>
      </c>
      <c r="EP41">
        <v>1454.615666666667</v>
      </c>
      <c r="EQ41">
        <v>40.38000000000002</v>
      </c>
      <c r="ER41">
        <v>0</v>
      </c>
      <c r="ES41">
        <v>409</v>
      </c>
      <c r="ET41">
        <v>0</v>
      </c>
      <c r="EU41">
        <v>1336.828076923077</v>
      </c>
      <c r="EV41">
        <v>-40.99042734649605</v>
      </c>
      <c r="EW41">
        <v>-240.2940169231596</v>
      </c>
      <c r="EX41">
        <v>20994.37692307692</v>
      </c>
      <c r="EY41">
        <v>15</v>
      </c>
      <c r="EZ41">
        <v>1652371289.6</v>
      </c>
      <c r="FA41" t="s">
        <v>515</v>
      </c>
      <c r="FB41">
        <v>1652371289.6</v>
      </c>
      <c r="FC41">
        <v>1652371275.1</v>
      </c>
      <c r="FD41">
        <v>24</v>
      </c>
      <c r="FE41">
        <v>0.442</v>
      </c>
      <c r="FF41">
        <v>0.001</v>
      </c>
      <c r="FG41">
        <v>-2.63</v>
      </c>
      <c r="FH41">
        <v>0.007</v>
      </c>
      <c r="FI41">
        <v>1620</v>
      </c>
      <c r="FJ41">
        <v>22</v>
      </c>
      <c r="FK41">
        <v>0.08</v>
      </c>
      <c r="FL41">
        <v>0.04</v>
      </c>
      <c r="FM41">
        <v>-46.15612195121951</v>
      </c>
      <c r="FN41">
        <v>0.7914313588850217</v>
      </c>
      <c r="FO41">
        <v>0.1082866239790404</v>
      </c>
      <c r="FP41">
        <v>-1</v>
      </c>
      <c r="FQ41">
        <v>17.68937317073171</v>
      </c>
      <c r="FR41">
        <v>-0.8403679442508732</v>
      </c>
      <c r="FS41">
        <v>0.08684038631204111</v>
      </c>
      <c r="FT41">
        <v>0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1</v>
      </c>
      <c r="GA41" t="s">
        <v>432</v>
      </c>
      <c r="GB41">
        <v>2.69572</v>
      </c>
      <c r="GC41">
        <v>2.70507</v>
      </c>
      <c r="GD41">
        <v>0.0854516</v>
      </c>
      <c r="GE41">
        <v>0.09251280000000001</v>
      </c>
      <c r="GF41">
        <v>0.112044</v>
      </c>
      <c r="GG41">
        <v>0.0486688</v>
      </c>
      <c r="GH41">
        <v>28773.1</v>
      </c>
      <c r="GI41">
        <v>28675.2</v>
      </c>
      <c r="GJ41">
        <v>29264.2</v>
      </c>
      <c r="GK41">
        <v>29238.6</v>
      </c>
      <c r="GL41">
        <v>34399.9</v>
      </c>
      <c r="GM41">
        <v>37033.1</v>
      </c>
      <c r="GN41">
        <v>41188</v>
      </c>
      <c r="GO41">
        <v>41717.1</v>
      </c>
      <c r="GP41">
        <v>1.73337</v>
      </c>
      <c r="GQ41">
        <v>2.02618</v>
      </c>
      <c r="GR41">
        <v>0.0698119</v>
      </c>
      <c r="GS41">
        <v>0</v>
      </c>
      <c r="GT41">
        <v>28.9178</v>
      </c>
      <c r="GU41">
        <v>999.9</v>
      </c>
      <c r="GV41">
        <v>44.3</v>
      </c>
      <c r="GW41">
        <v>32.6</v>
      </c>
      <c r="GX41">
        <v>24.2035</v>
      </c>
      <c r="GY41">
        <v>63.1879</v>
      </c>
      <c r="GZ41">
        <v>30.1282</v>
      </c>
      <c r="HA41">
        <v>1</v>
      </c>
      <c r="HB41">
        <v>0.225064</v>
      </c>
      <c r="HC41">
        <v>-0.775493</v>
      </c>
      <c r="HD41">
        <v>20.3805</v>
      </c>
      <c r="HE41">
        <v>5.22073</v>
      </c>
      <c r="HF41">
        <v>12.0099</v>
      </c>
      <c r="HG41">
        <v>4.98965</v>
      </c>
      <c r="HH41">
        <v>3.2889</v>
      </c>
      <c r="HI41">
        <v>2706.8</v>
      </c>
      <c r="HJ41">
        <v>9999</v>
      </c>
      <c r="HK41">
        <v>9999</v>
      </c>
      <c r="HL41">
        <v>49.8</v>
      </c>
      <c r="HM41">
        <v>1.8672</v>
      </c>
      <c r="HN41">
        <v>1.86615</v>
      </c>
      <c r="HO41">
        <v>1.8657</v>
      </c>
      <c r="HP41">
        <v>1.86568</v>
      </c>
      <c r="HQ41">
        <v>1.86741</v>
      </c>
      <c r="HR41">
        <v>1.86997</v>
      </c>
      <c r="HS41">
        <v>1.86859</v>
      </c>
      <c r="HT41">
        <v>1.86997</v>
      </c>
      <c r="HU41">
        <v>0</v>
      </c>
      <c r="HV41">
        <v>0</v>
      </c>
      <c r="HW41">
        <v>0</v>
      </c>
      <c r="HX41">
        <v>0</v>
      </c>
      <c r="HY41" t="s">
        <v>421</v>
      </c>
      <c r="HZ41" t="s">
        <v>422</v>
      </c>
      <c r="IA41" t="s">
        <v>423</v>
      </c>
      <c r="IB41" t="s">
        <v>423</v>
      </c>
      <c r="IC41" t="s">
        <v>423</v>
      </c>
      <c r="ID41" t="s">
        <v>423</v>
      </c>
      <c r="IE41">
        <v>0</v>
      </c>
      <c r="IF41">
        <v>100</v>
      </c>
      <c r="IG41">
        <v>100</v>
      </c>
      <c r="IH41">
        <v>0.412</v>
      </c>
      <c r="II41">
        <v>0.0614</v>
      </c>
      <c r="IJ41">
        <v>1.257309091789605</v>
      </c>
      <c r="IK41">
        <v>-0.002185601614162945</v>
      </c>
      <c r="IL41">
        <v>-2.252308143750626E-07</v>
      </c>
      <c r="IM41">
        <v>5.915558436307541E-11</v>
      </c>
      <c r="IN41">
        <v>-0.118683452207699</v>
      </c>
      <c r="IO41">
        <v>-0.007570214193104963</v>
      </c>
      <c r="IP41">
        <v>0.0009214429922928372</v>
      </c>
      <c r="IQ41">
        <v>-1.392260276065805E-05</v>
      </c>
      <c r="IR41">
        <v>17</v>
      </c>
      <c r="IS41">
        <v>2272</v>
      </c>
      <c r="IT41">
        <v>1</v>
      </c>
      <c r="IU41">
        <v>31</v>
      </c>
      <c r="IV41">
        <v>4.8</v>
      </c>
      <c r="IW41">
        <v>5</v>
      </c>
      <c r="IX41">
        <v>1.04248</v>
      </c>
      <c r="IY41">
        <v>2.2229</v>
      </c>
      <c r="IZ41">
        <v>1.39648</v>
      </c>
      <c r="JA41">
        <v>2.35229</v>
      </c>
      <c r="JB41">
        <v>1.49536</v>
      </c>
      <c r="JC41">
        <v>2.26929</v>
      </c>
      <c r="JD41">
        <v>35.9879</v>
      </c>
      <c r="JE41">
        <v>15.4016</v>
      </c>
      <c r="JF41">
        <v>18</v>
      </c>
      <c r="JG41">
        <v>391.003</v>
      </c>
      <c r="JH41">
        <v>560.3150000000001</v>
      </c>
      <c r="JI41">
        <v>32.3468</v>
      </c>
      <c r="JJ41">
        <v>30.354</v>
      </c>
      <c r="JK41">
        <v>30</v>
      </c>
      <c r="JL41">
        <v>30.2701</v>
      </c>
      <c r="JM41">
        <v>30.1676</v>
      </c>
      <c r="JN41">
        <v>20.8802</v>
      </c>
      <c r="JO41">
        <v>57.2373</v>
      </c>
      <c r="JP41">
        <v>0</v>
      </c>
      <c r="JQ41">
        <v>32.2993</v>
      </c>
      <c r="JR41">
        <v>413.306</v>
      </c>
      <c r="JS41">
        <v>8.55396</v>
      </c>
      <c r="JT41">
        <v>100.027</v>
      </c>
      <c r="JU41">
        <v>100.139</v>
      </c>
    </row>
    <row r="42" spans="1:281">
      <c r="A42">
        <v>26</v>
      </c>
      <c r="B42">
        <v>1652371580.1</v>
      </c>
      <c r="C42">
        <v>3486.5</v>
      </c>
      <c r="D42" t="s">
        <v>519</v>
      </c>
      <c r="E42" t="s">
        <v>520</v>
      </c>
      <c r="F42">
        <v>5</v>
      </c>
      <c r="G42" t="s">
        <v>518</v>
      </c>
      <c r="H42" t="s">
        <v>414</v>
      </c>
      <c r="I42">
        <v>1652371572.255172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423.607094316096</v>
      </c>
      <c r="AK42">
        <v>383.9317939393939</v>
      </c>
      <c r="AL42">
        <v>0.001757182032308042</v>
      </c>
      <c r="AM42">
        <v>65.95105977519088</v>
      </c>
      <c r="AN42">
        <f>(AP42 - AO42 + DI42*1E3/(8.314*(DK42+273.15)) * AR42/DH42 * AQ42) * DH42/(100*CV42) * 1000/(1000 - AP42)</f>
        <v>0</v>
      </c>
      <c r="AO42">
        <v>8.450845666879164</v>
      </c>
      <c r="AP42">
        <v>25.94364615384618</v>
      </c>
      <c r="AQ42">
        <v>0.0005046277620676647</v>
      </c>
      <c r="AR42">
        <v>81.26040297655408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417</v>
      </c>
      <c r="AY42" t="s">
        <v>417</v>
      </c>
      <c r="AZ42">
        <v>0</v>
      </c>
      <c r="BA42">
        <v>0</v>
      </c>
      <c r="BB42">
        <f>1-AZ42/BA42</f>
        <v>0</v>
      </c>
      <c r="BC42">
        <v>0</v>
      </c>
      <c r="BD42" t="s">
        <v>417</v>
      </c>
      <c r="BE42" t="s">
        <v>417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1393</v>
      </c>
      <c r="CA42">
        <v>300</v>
      </c>
      <c r="CB42">
        <v>300</v>
      </c>
      <c r="CC42">
        <v>300</v>
      </c>
      <c r="CD42">
        <v>10378</v>
      </c>
      <c r="CE42">
        <v>2050</v>
      </c>
      <c r="CF42">
        <v>-0.00730649</v>
      </c>
      <c r="CG42">
        <v>-4.53</v>
      </c>
      <c r="CH42" t="s">
        <v>417</v>
      </c>
      <c r="CI42" t="s">
        <v>417</v>
      </c>
      <c r="CJ42" t="s">
        <v>417</v>
      </c>
      <c r="CK42" t="s">
        <v>417</v>
      </c>
      <c r="CL42" t="s">
        <v>417</v>
      </c>
      <c r="CM42" t="s">
        <v>417</v>
      </c>
      <c r="CN42" t="s">
        <v>417</v>
      </c>
      <c r="CO42" t="s">
        <v>417</v>
      </c>
      <c r="CP42" t="s">
        <v>417</v>
      </c>
      <c r="CQ42" t="s">
        <v>417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418</v>
      </c>
      <c r="CY42">
        <v>2</v>
      </c>
      <c r="CZ42" t="b">
        <v>1</v>
      </c>
      <c r="DA42">
        <v>1652371572.255172</v>
      </c>
      <c r="DB42">
        <v>373.9167931034482</v>
      </c>
      <c r="DC42">
        <v>419.8061034482758</v>
      </c>
      <c r="DD42">
        <v>25.96732413793103</v>
      </c>
      <c r="DE42">
        <v>8.390977241379311</v>
      </c>
      <c r="DF42">
        <v>373.5041379310344</v>
      </c>
      <c r="DG42">
        <v>25.90578965517242</v>
      </c>
      <c r="DH42">
        <v>400.0430344827587</v>
      </c>
      <c r="DI42">
        <v>90.41106896551727</v>
      </c>
      <c r="DJ42">
        <v>0.0999126</v>
      </c>
      <c r="DK42">
        <v>31.9458</v>
      </c>
      <c r="DL42">
        <v>30.06010344827586</v>
      </c>
      <c r="DM42">
        <v>999.9000000000002</v>
      </c>
      <c r="DN42">
        <v>0</v>
      </c>
      <c r="DO42">
        <v>0</v>
      </c>
      <c r="DP42">
        <v>9997.948275862069</v>
      </c>
      <c r="DQ42">
        <v>0</v>
      </c>
      <c r="DR42">
        <v>429.184</v>
      </c>
      <c r="DS42">
        <v>-45.88921034482759</v>
      </c>
      <c r="DT42">
        <v>383.8853103448276</v>
      </c>
      <c r="DU42">
        <v>423.3584137931035</v>
      </c>
      <c r="DV42">
        <v>17.57635862068965</v>
      </c>
      <c r="DW42">
        <v>419.8061034482758</v>
      </c>
      <c r="DX42">
        <v>8.390977241379311</v>
      </c>
      <c r="DY42">
        <v>2.347734482758621</v>
      </c>
      <c r="DZ42">
        <v>0.7586372758620687</v>
      </c>
      <c r="EA42">
        <v>20.00770344827586</v>
      </c>
      <c r="EB42">
        <v>2.955675172413794</v>
      </c>
      <c r="EC42">
        <v>1499.993103448275</v>
      </c>
      <c r="ED42">
        <v>0.9729916206896552</v>
      </c>
      <c r="EE42">
        <v>0.02700825172413792</v>
      </c>
      <c r="EF42">
        <v>0</v>
      </c>
      <c r="EG42">
        <v>1333.560344827586</v>
      </c>
      <c r="EH42">
        <v>5.000969999999999</v>
      </c>
      <c r="EI42">
        <v>20975.96206896552</v>
      </c>
      <c r="EJ42">
        <v>12491.49655172414</v>
      </c>
      <c r="EK42">
        <v>39.5</v>
      </c>
      <c r="EL42">
        <v>40.88141379310344</v>
      </c>
      <c r="EM42">
        <v>39.68699999999998</v>
      </c>
      <c r="EN42">
        <v>40.75</v>
      </c>
      <c r="EO42">
        <v>40.68917241379309</v>
      </c>
      <c r="EP42">
        <v>1454.613103448276</v>
      </c>
      <c r="EQ42">
        <v>40.38000000000002</v>
      </c>
      <c r="ER42">
        <v>0</v>
      </c>
      <c r="ES42">
        <v>413.7999999523163</v>
      </c>
      <c r="ET42">
        <v>0</v>
      </c>
      <c r="EU42">
        <v>1333.501923076923</v>
      </c>
      <c r="EV42">
        <v>-41.48888891673305</v>
      </c>
      <c r="EW42">
        <v>-153.6957263170885</v>
      </c>
      <c r="EX42">
        <v>20976.10769230769</v>
      </c>
      <c r="EY42">
        <v>15</v>
      </c>
      <c r="EZ42">
        <v>1652371289.6</v>
      </c>
      <c r="FA42" t="s">
        <v>515</v>
      </c>
      <c r="FB42">
        <v>1652371289.6</v>
      </c>
      <c r="FC42">
        <v>1652371275.1</v>
      </c>
      <c r="FD42">
        <v>24</v>
      </c>
      <c r="FE42">
        <v>0.442</v>
      </c>
      <c r="FF42">
        <v>0.001</v>
      </c>
      <c r="FG42">
        <v>-2.63</v>
      </c>
      <c r="FH42">
        <v>0.007</v>
      </c>
      <c r="FI42">
        <v>1620</v>
      </c>
      <c r="FJ42">
        <v>22</v>
      </c>
      <c r="FK42">
        <v>0.08</v>
      </c>
      <c r="FL42">
        <v>0.04</v>
      </c>
      <c r="FM42">
        <v>-45.99216829268293</v>
      </c>
      <c r="FN42">
        <v>2.715048083623692</v>
      </c>
      <c r="FO42">
        <v>0.409897530585404</v>
      </c>
      <c r="FP42">
        <v>-1</v>
      </c>
      <c r="FQ42">
        <v>17.61911463414634</v>
      </c>
      <c r="FR42">
        <v>-1.02674843205579</v>
      </c>
      <c r="FS42">
        <v>0.1028742556170813</v>
      </c>
      <c r="FT42">
        <v>0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1</v>
      </c>
      <c r="GA42" t="s">
        <v>432</v>
      </c>
      <c r="GB42">
        <v>2.6961</v>
      </c>
      <c r="GC42">
        <v>2.70517</v>
      </c>
      <c r="GD42">
        <v>0.0854511</v>
      </c>
      <c r="GE42">
        <v>0.0920603</v>
      </c>
      <c r="GF42">
        <v>0.112019</v>
      </c>
      <c r="GG42">
        <v>0.0488172</v>
      </c>
      <c r="GH42">
        <v>28773.5</v>
      </c>
      <c r="GI42">
        <v>28689.5</v>
      </c>
      <c r="GJ42">
        <v>29264.6</v>
      </c>
      <c r="GK42">
        <v>29238.5</v>
      </c>
      <c r="GL42">
        <v>34401.3</v>
      </c>
      <c r="GM42">
        <v>37027.3</v>
      </c>
      <c r="GN42">
        <v>41188.4</v>
      </c>
      <c r="GO42">
        <v>41717</v>
      </c>
      <c r="GP42">
        <v>1.733</v>
      </c>
      <c r="GQ42">
        <v>2.0258</v>
      </c>
      <c r="GR42">
        <v>0.0703149</v>
      </c>
      <c r="GS42">
        <v>0</v>
      </c>
      <c r="GT42">
        <v>28.9269</v>
      </c>
      <c r="GU42">
        <v>999.9</v>
      </c>
      <c r="GV42">
        <v>44.3</v>
      </c>
      <c r="GW42">
        <v>32.6</v>
      </c>
      <c r="GX42">
        <v>24.2039</v>
      </c>
      <c r="GY42">
        <v>63.4079</v>
      </c>
      <c r="GZ42">
        <v>29.7636</v>
      </c>
      <c r="HA42">
        <v>1</v>
      </c>
      <c r="HB42">
        <v>0.225257</v>
      </c>
      <c r="HC42">
        <v>-0.739722</v>
      </c>
      <c r="HD42">
        <v>20.3804</v>
      </c>
      <c r="HE42">
        <v>5.21654</v>
      </c>
      <c r="HF42">
        <v>12.0099</v>
      </c>
      <c r="HG42">
        <v>4.98865</v>
      </c>
      <c r="HH42">
        <v>3.28828</v>
      </c>
      <c r="HI42">
        <v>2706.8</v>
      </c>
      <c r="HJ42">
        <v>9999</v>
      </c>
      <c r="HK42">
        <v>9999</v>
      </c>
      <c r="HL42">
        <v>49.8</v>
      </c>
      <c r="HM42">
        <v>1.86721</v>
      </c>
      <c r="HN42">
        <v>1.86615</v>
      </c>
      <c r="HO42">
        <v>1.8657</v>
      </c>
      <c r="HP42">
        <v>1.86567</v>
      </c>
      <c r="HQ42">
        <v>1.86739</v>
      </c>
      <c r="HR42">
        <v>1.86996</v>
      </c>
      <c r="HS42">
        <v>1.86859</v>
      </c>
      <c r="HT42">
        <v>1.86997</v>
      </c>
      <c r="HU42">
        <v>0</v>
      </c>
      <c r="HV42">
        <v>0</v>
      </c>
      <c r="HW42">
        <v>0</v>
      </c>
      <c r="HX42">
        <v>0</v>
      </c>
      <c r="HY42" t="s">
        <v>421</v>
      </c>
      <c r="HZ42" t="s">
        <v>422</v>
      </c>
      <c r="IA42" t="s">
        <v>423</v>
      </c>
      <c r="IB42" t="s">
        <v>423</v>
      </c>
      <c r="IC42" t="s">
        <v>423</v>
      </c>
      <c r="ID42" t="s">
        <v>423</v>
      </c>
      <c r="IE42">
        <v>0</v>
      </c>
      <c r="IF42">
        <v>100</v>
      </c>
      <c r="IG42">
        <v>100</v>
      </c>
      <c r="IH42">
        <v>0.412</v>
      </c>
      <c r="II42">
        <v>0.0612</v>
      </c>
      <c r="IJ42">
        <v>1.257309091789605</v>
      </c>
      <c r="IK42">
        <v>-0.002185601614162945</v>
      </c>
      <c r="IL42">
        <v>-2.252308143750626E-07</v>
      </c>
      <c r="IM42">
        <v>5.915558436307541E-11</v>
      </c>
      <c r="IN42">
        <v>-0.118683452207699</v>
      </c>
      <c r="IO42">
        <v>-0.007570214193104963</v>
      </c>
      <c r="IP42">
        <v>0.0009214429922928372</v>
      </c>
      <c r="IQ42">
        <v>-1.392260276065805E-05</v>
      </c>
      <c r="IR42">
        <v>17</v>
      </c>
      <c r="IS42">
        <v>2272</v>
      </c>
      <c r="IT42">
        <v>1</v>
      </c>
      <c r="IU42">
        <v>31</v>
      </c>
      <c r="IV42">
        <v>4.8</v>
      </c>
      <c r="IW42">
        <v>5.1</v>
      </c>
      <c r="IX42">
        <v>1.01685</v>
      </c>
      <c r="IY42">
        <v>2.21802</v>
      </c>
      <c r="IZ42">
        <v>1.39648</v>
      </c>
      <c r="JA42">
        <v>2.35352</v>
      </c>
      <c r="JB42">
        <v>1.49536</v>
      </c>
      <c r="JC42">
        <v>2.36572</v>
      </c>
      <c r="JD42">
        <v>35.9879</v>
      </c>
      <c r="JE42">
        <v>15.4104</v>
      </c>
      <c r="JF42">
        <v>18</v>
      </c>
      <c r="JG42">
        <v>390.814</v>
      </c>
      <c r="JH42">
        <v>560.054</v>
      </c>
      <c r="JI42">
        <v>32.29</v>
      </c>
      <c r="JJ42">
        <v>30.357</v>
      </c>
      <c r="JK42">
        <v>30.0002</v>
      </c>
      <c r="JL42">
        <v>30.2722</v>
      </c>
      <c r="JM42">
        <v>30.1698</v>
      </c>
      <c r="JN42">
        <v>20.3588</v>
      </c>
      <c r="JO42">
        <v>56.9617</v>
      </c>
      <c r="JP42">
        <v>0</v>
      </c>
      <c r="JQ42">
        <v>32.2379</v>
      </c>
      <c r="JR42">
        <v>399.854</v>
      </c>
      <c r="JS42">
        <v>8.61243</v>
      </c>
      <c r="JT42">
        <v>100.028</v>
      </c>
      <c r="JU42">
        <v>100.139</v>
      </c>
    </row>
    <row r="43" spans="1:281">
      <c r="A43">
        <v>27</v>
      </c>
      <c r="B43">
        <v>1652371585.1</v>
      </c>
      <c r="C43">
        <v>3491.5</v>
      </c>
      <c r="D43" t="s">
        <v>521</v>
      </c>
      <c r="E43" t="s">
        <v>522</v>
      </c>
      <c r="F43">
        <v>5</v>
      </c>
      <c r="G43" t="s">
        <v>518</v>
      </c>
      <c r="H43" t="s">
        <v>414</v>
      </c>
      <c r="I43">
        <v>1652371577.332142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418.5227695441124</v>
      </c>
      <c r="AK43">
        <v>381.7364181818179</v>
      </c>
      <c r="AL43">
        <v>-0.4663483109390765</v>
      </c>
      <c r="AM43">
        <v>65.95105977519088</v>
      </c>
      <c r="AN43">
        <f>(AP43 - AO43 + DI43*1E3/(8.314*(DK43+273.15)) * AR43/DH43 * AQ43) * DH43/(100*CV43) * 1000/(1000 - AP43)</f>
        <v>0</v>
      </c>
      <c r="AO43">
        <v>8.486970533914036</v>
      </c>
      <c r="AP43">
        <v>25.92318951048952</v>
      </c>
      <c r="AQ43">
        <v>-0.0004051620541578715</v>
      </c>
      <c r="AR43">
        <v>81.26040297655408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417</v>
      </c>
      <c r="AY43" t="s">
        <v>417</v>
      </c>
      <c r="AZ43">
        <v>0</v>
      </c>
      <c r="BA43">
        <v>0</v>
      </c>
      <c r="BB43">
        <f>1-AZ43/BA43</f>
        <v>0</v>
      </c>
      <c r="BC43">
        <v>0</v>
      </c>
      <c r="BD43" t="s">
        <v>417</v>
      </c>
      <c r="BE43" t="s">
        <v>417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1393</v>
      </c>
      <c r="CA43">
        <v>300</v>
      </c>
      <c r="CB43">
        <v>300</v>
      </c>
      <c r="CC43">
        <v>300</v>
      </c>
      <c r="CD43">
        <v>10378</v>
      </c>
      <c r="CE43">
        <v>2050</v>
      </c>
      <c r="CF43">
        <v>-0.00730649</v>
      </c>
      <c r="CG43">
        <v>-4.53</v>
      </c>
      <c r="CH43" t="s">
        <v>417</v>
      </c>
      <c r="CI43" t="s">
        <v>417</v>
      </c>
      <c r="CJ43" t="s">
        <v>417</v>
      </c>
      <c r="CK43" t="s">
        <v>417</v>
      </c>
      <c r="CL43" t="s">
        <v>417</v>
      </c>
      <c r="CM43" t="s">
        <v>417</v>
      </c>
      <c r="CN43" t="s">
        <v>417</v>
      </c>
      <c r="CO43" t="s">
        <v>417</v>
      </c>
      <c r="CP43" t="s">
        <v>417</v>
      </c>
      <c r="CQ43" t="s">
        <v>417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418</v>
      </c>
      <c r="CY43">
        <v>2</v>
      </c>
      <c r="CZ43" t="b">
        <v>1</v>
      </c>
      <c r="DA43">
        <v>1652371577.332142</v>
      </c>
      <c r="DB43">
        <v>373.6668214285714</v>
      </c>
      <c r="DC43">
        <v>417.0491785714286</v>
      </c>
      <c r="DD43">
        <v>25.947725</v>
      </c>
      <c r="DE43">
        <v>8.458144642857144</v>
      </c>
      <c r="DF43">
        <v>373.2536071428571</v>
      </c>
      <c r="DG43">
        <v>25.88641428571429</v>
      </c>
      <c r="DH43">
        <v>400.0301785714286</v>
      </c>
      <c r="DI43">
        <v>90.412025</v>
      </c>
      <c r="DJ43">
        <v>0.09984746428571425</v>
      </c>
      <c r="DK43">
        <v>31.95138928571428</v>
      </c>
      <c r="DL43">
        <v>30.06649285714285</v>
      </c>
      <c r="DM43">
        <v>999.9000000000002</v>
      </c>
      <c r="DN43">
        <v>0</v>
      </c>
      <c r="DO43">
        <v>0</v>
      </c>
      <c r="DP43">
        <v>10004.6125</v>
      </c>
      <c r="DQ43">
        <v>0</v>
      </c>
      <c r="DR43">
        <v>438.2897857142857</v>
      </c>
      <c r="DS43">
        <v>-43.38233214285713</v>
      </c>
      <c r="DT43">
        <v>383.6209642857143</v>
      </c>
      <c r="DU43">
        <v>420.6065714285714</v>
      </c>
      <c r="DV43">
        <v>17.48958928571428</v>
      </c>
      <c r="DW43">
        <v>417.0491785714286</v>
      </c>
      <c r="DX43">
        <v>8.458144642857144</v>
      </c>
      <c r="DY43">
        <v>2.345986785714286</v>
      </c>
      <c r="DZ43">
        <v>0.7647180357142856</v>
      </c>
      <c r="EA43">
        <v>19.99567499999999</v>
      </c>
      <c r="EB43">
        <v>3.068466071428572</v>
      </c>
      <c r="EC43">
        <v>1499.992857142857</v>
      </c>
      <c r="ED43">
        <v>0.9729914285714286</v>
      </c>
      <c r="EE43">
        <v>0.02700842142857142</v>
      </c>
      <c r="EF43">
        <v>0</v>
      </c>
      <c r="EG43">
        <v>1330.056428571428</v>
      </c>
      <c r="EH43">
        <v>5.00097</v>
      </c>
      <c r="EI43">
        <v>20940.27142857142</v>
      </c>
      <c r="EJ43">
        <v>12491.48571428571</v>
      </c>
      <c r="EK43">
        <v>39.5</v>
      </c>
      <c r="EL43">
        <v>40.89049999999999</v>
      </c>
      <c r="EM43">
        <v>39.68699999999999</v>
      </c>
      <c r="EN43">
        <v>40.75</v>
      </c>
      <c r="EO43">
        <v>40.69599999999999</v>
      </c>
      <c r="EP43">
        <v>1454.612142857143</v>
      </c>
      <c r="EQ43">
        <v>40.38000000000001</v>
      </c>
      <c r="ER43">
        <v>0</v>
      </c>
      <c r="ES43">
        <v>419.1999998092651</v>
      </c>
      <c r="ET43">
        <v>0</v>
      </c>
      <c r="EU43">
        <v>1329.6096</v>
      </c>
      <c r="EV43">
        <v>-41.13000006972277</v>
      </c>
      <c r="EW43">
        <v>-582.4384626884671</v>
      </c>
      <c r="EX43">
        <v>20938.904</v>
      </c>
      <c r="EY43">
        <v>15</v>
      </c>
      <c r="EZ43">
        <v>1652371289.6</v>
      </c>
      <c r="FA43" t="s">
        <v>515</v>
      </c>
      <c r="FB43">
        <v>1652371289.6</v>
      </c>
      <c r="FC43">
        <v>1652371275.1</v>
      </c>
      <c r="FD43">
        <v>24</v>
      </c>
      <c r="FE43">
        <v>0.442</v>
      </c>
      <c r="FF43">
        <v>0.001</v>
      </c>
      <c r="FG43">
        <v>-2.63</v>
      </c>
      <c r="FH43">
        <v>0.007</v>
      </c>
      <c r="FI43">
        <v>1620</v>
      </c>
      <c r="FJ43">
        <v>22</v>
      </c>
      <c r="FK43">
        <v>0.08</v>
      </c>
      <c r="FL43">
        <v>0.04</v>
      </c>
      <c r="FM43">
        <v>-44.72893170731707</v>
      </c>
      <c r="FN43">
        <v>19.31277909407658</v>
      </c>
      <c r="FO43">
        <v>2.658996014034843</v>
      </c>
      <c r="FP43">
        <v>-1</v>
      </c>
      <c r="FQ43">
        <v>17.55746585365854</v>
      </c>
      <c r="FR43">
        <v>-1.027722648083664</v>
      </c>
      <c r="FS43">
        <v>0.1028490501983869</v>
      </c>
      <c r="FT43">
        <v>0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1</v>
      </c>
      <c r="GA43" t="s">
        <v>432</v>
      </c>
      <c r="GB43">
        <v>2.6964</v>
      </c>
      <c r="GC43">
        <v>2.70549</v>
      </c>
      <c r="GD43">
        <v>0.0849893</v>
      </c>
      <c r="GE43">
        <v>0.0898851</v>
      </c>
      <c r="GF43">
        <v>0.11196</v>
      </c>
      <c r="GG43">
        <v>0.0492321</v>
      </c>
      <c r="GH43">
        <v>28787.4</v>
      </c>
      <c r="GI43">
        <v>28757.8</v>
      </c>
      <c r="GJ43">
        <v>29263.9</v>
      </c>
      <c r="GK43">
        <v>29238</v>
      </c>
      <c r="GL43">
        <v>34403.1</v>
      </c>
      <c r="GM43">
        <v>37010.5</v>
      </c>
      <c r="GN43">
        <v>41187.9</v>
      </c>
      <c r="GO43">
        <v>41716.3</v>
      </c>
      <c r="GP43">
        <v>1.7332</v>
      </c>
      <c r="GQ43">
        <v>2.02638</v>
      </c>
      <c r="GR43">
        <v>0.0707209</v>
      </c>
      <c r="GS43">
        <v>0</v>
      </c>
      <c r="GT43">
        <v>28.9366</v>
      </c>
      <c r="GU43">
        <v>999.9</v>
      </c>
      <c r="GV43">
        <v>44.3</v>
      </c>
      <c r="GW43">
        <v>32.6</v>
      </c>
      <c r="GX43">
        <v>24.2035</v>
      </c>
      <c r="GY43">
        <v>63.2979</v>
      </c>
      <c r="GZ43">
        <v>29.2628</v>
      </c>
      <c r="HA43">
        <v>1</v>
      </c>
      <c r="HB43">
        <v>0.225203</v>
      </c>
      <c r="HC43">
        <v>-0.655675</v>
      </c>
      <c r="HD43">
        <v>20.3809</v>
      </c>
      <c r="HE43">
        <v>5.21639</v>
      </c>
      <c r="HF43">
        <v>12.0099</v>
      </c>
      <c r="HG43">
        <v>4.98855</v>
      </c>
      <c r="HH43">
        <v>3.28842</v>
      </c>
      <c r="HI43">
        <v>2707</v>
      </c>
      <c r="HJ43">
        <v>9999</v>
      </c>
      <c r="HK43">
        <v>9999</v>
      </c>
      <c r="HL43">
        <v>49.8</v>
      </c>
      <c r="HM43">
        <v>1.86719</v>
      </c>
      <c r="HN43">
        <v>1.86615</v>
      </c>
      <c r="HO43">
        <v>1.8657</v>
      </c>
      <c r="HP43">
        <v>1.86567</v>
      </c>
      <c r="HQ43">
        <v>1.86742</v>
      </c>
      <c r="HR43">
        <v>1.86998</v>
      </c>
      <c r="HS43">
        <v>1.86859</v>
      </c>
      <c r="HT43">
        <v>1.86999</v>
      </c>
      <c r="HU43">
        <v>0</v>
      </c>
      <c r="HV43">
        <v>0</v>
      </c>
      <c r="HW43">
        <v>0</v>
      </c>
      <c r="HX43">
        <v>0</v>
      </c>
      <c r="HY43" t="s">
        <v>421</v>
      </c>
      <c r="HZ43" t="s">
        <v>422</v>
      </c>
      <c r="IA43" t="s">
        <v>423</v>
      </c>
      <c r="IB43" t="s">
        <v>423</v>
      </c>
      <c r="IC43" t="s">
        <v>423</v>
      </c>
      <c r="ID43" t="s">
        <v>423</v>
      </c>
      <c r="IE43">
        <v>0</v>
      </c>
      <c r="IF43">
        <v>100</v>
      </c>
      <c r="IG43">
        <v>100</v>
      </c>
      <c r="IH43">
        <v>0.418</v>
      </c>
      <c r="II43">
        <v>0.0609</v>
      </c>
      <c r="IJ43">
        <v>1.257309091789605</v>
      </c>
      <c r="IK43">
        <v>-0.002185601614162945</v>
      </c>
      <c r="IL43">
        <v>-2.252308143750626E-07</v>
      </c>
      <c r="IM43">
        <v>5.915558436307541E-11</v>
      </c>
      <c r="IN43">
        <v>-0.118683452207699</v>
      </c>
      <c r="IO43">
        <v>-0.007570214193104963</v>
      </c>
      <c r="IP43">
        <v>0.0009214429922928372</v>
      </c>
      <c r="IQ43">
        <v>-1.392260276065805E-05</v>
      </c>
      <c r="IR43">
        <v>17</v>
      </c>
      <c r="IS43">
        <v>2272</v>
      </c>
      <c r="IT43">
        <v>1</v>
      </c>
      <c r="IU43">
        <v>31</v>
      </c>
      <c r="IV43">
        <v>4.9</v>
      </c>
      <c r="IW43">
        <v>5.2</v>
      </c>
      <c r="IX43">
        <v>0.987549</v>
      </c>
      <c r="IY43">
        <v>2.22046</v>
      </c>
      <c r="IZ43">
        <v>1.39648</v>
      </c>
      <c r="JA43">
        <v>2.35229</v>
      </c>
      <c r="JB43">
        <v>1.49536</v>
      </c>
      <c r="JC43">
        <v>2.36816</v>
      </c>
      <c r="JD43">
        <v>35.9879</v>
      </c>
      <c r="JE43">
        <v>15.4104</v>
      </c>
      <c r="JF43">
        <v>18</v>
      </c>
      <c r="JG43">
        <v>390.932</v>
      </c>
      <c r="JH43">
        <v>560.496</v>
      </c>
      <c r="JI43">
        <v>32.2321</v>
      </c>
      <c r="JJ43">
        <v>30.3596</v>
      </c>
      <c r="JK43">
        <v>30.0001</v>
      </c>
      <c r="JL43">
        <v>30.2738</v>
      </c>
      <c r="JM43">
        <v>30.171</v>
      </c>
      <c r="JN43">
        <v>19.7803</v>
      </c>
      <c r="JO43">
        <v>56.1936</v>
      </c>
      <c r="JP43">
        <v>0</v>
      </c>
      <c r="JQ43">
        <v>32.1603</v>
      </c>
      <c r="JR43">
        <v>379.817</v>
      </c>
      <c r="JS43">
        <v>8.81812</v>
      </c>
      <c r="JT43">
        <v>100.027</v>
      </c>
      <c r="JU43">
        <v>100.137</v>
      </c>
    </row>
    <row r="44" spans="1:281">
      <c r="A44">
        <v>28</v>
      </c>
      <c r="B44">
        <v>1652371590.1</v>
      </c>
      <c r="C44">
        <v>3496.5</v>
      </c>
      <c r="D44" t="s">
        <v>523</v>
      </c>
      <c r="E44" t="s">
        <v>524</v>
      </c>
      <c r="F44">
        <v>5</v>
      </c>
      <c r="G44" t="s">
        <v>518</v>
      </c>
      <c r="H44" t="s">
        <v>414</v>
      </c>
      <c r="I44">
        <v>1652371582.6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404.4831887313799</v>
      </c>
      <c r="AK44">
        <v>374.4862303030301</v>
      </c>
      <c r="AL44">
        <v>-1.498669360035517</v>
      </c>
      <c r="AM44">
        <v>65.95105977519088</v>
      </c>
      <c r="AN44">
        <f>(AP44 - AO44 + DI44*1E3/(8.314*(DK44+273.15)) * AR44/DH44 * AQ44) * DH44/(100*CV44) * 1000/(1000 - AP44)</f>
        <v>0</v>
      </c>
      <c r="AO44">
        <v>8.59157416284113</v>
      </c>
      <c r="AP44">
        <v>25.91879510489511</v>
      </c>
      <c r="AQ44">
        <v>-0.002190612284015067</v>
      </c>
      <c r="AR44">
        <v>81.26040297655408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417</v>
      </c>
      <c r="AY44" t="s">
        <v>417</v>
      </c>
      <c r="AZ44">
        <v>0</v>
      </c>
      <c r="BA44">
        <v>0</v>
      </c>
      <c r="BB44">
        <f>1-AZ44/BA44</f>
        <v>0</v>
      </c>
      <c r="BC44">
        <v>0</v>
      </c>
      <c r="BD44" t="s">
        <v>417</v>
      </c>
      <c r="BE44" t="s">
        <v>417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1393</v>
      </c>
      <c r="CA44">
        <v>300</v>
      </c>
      <c r="CB44">
        <v>300</v>
      </c>
      <c r="CC44">
        <v>300</v>
      </c>
      <c r="CD44">
        <v>10378</v>
      </c>
      <c r="CE44">
        <v>2050</v>
      </c>
      <c r="CF44">
        <v>-0.00730649</v>
      </c>
      <c r="CG44">
        <v>-4.53</v>
      </c>
      <c r="CH44" t="s">
        <v>417</v>
      </c>
      <c r="CI44" t="s">
        <v>417</v>
      </c>
      <c r="CJ44" t="s">
        <v>417</v>
      </c>
      <c r="CK44" t="s">
        <v>417</v>
      </c>
      <c r="CL44" t="s">
        <v>417</v>
      </c>
      <c r="CM44" t="s">
        <v>417</v>
      </c>
      <c r="CN44" t="s">
        <v>417</v>
      </c>
      <c r="CO44" t="s">
        <v>417</v>
      </c>
      <c r="CP44" t="s">
        <v>417</v>
      </c>
      <c r="CQ44" t="s">
        <v>417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418</v>
      </c>
      <c r="CY44">
        <v>2</v>
      </c>
      <c r="CZ44" t="b">
        <v>1</v>
      </c>
      <c r="DA44">
        <v>1652371582.6</v>
      </c>
      <c r="DB44">
        <v>371.6868518518519</v>
      </c>
      <c r="DC44">
        <v>409.1751111111111</v>
      </c>
      <c r="DD44">
        <v>25.93342592592592</v>
      </c>
      <c r="DE44">
        <v>8.553181851851853</v>
      </c>
      <c r="DF44">
        <v>371.2689999999999</v>
      </c>
      <c r="DG44">
        <v>25.87228518518518</v>
      </c>
      <c r="DH44">
        <v>400.0635555555555</v>
      </c>
      <c r="DI44">
        <v>90.4139</v>
      </c>
      <c r="DJ44">
        <v>0.09992786666666666</v>
      </c>
      <c r="DK44">
        <v>31.95756296296296</v>
      </c>
      <c r="DL44">
        <v>30.07747777777778</v>
      </c>
      <c r="DM44">
        <v>999.9000000000001</v>
      </c>
      <c r="DN44">
        <v>0</v>
      </c>
      <c r="DO44">
        <v>0</v>
      </c>
      <c r="DP44">
        <v>10002.30814814815</v>
      </c>
      <c r="DQ44">
        <v>0</v>
      </c>
      <c r="DR44">
        <v>446.0528888888889</v>
      </c>
      <c r="DS44">
        <v>-37.48825555555556</v>
      </c>
      <c r="DT44">
        <v>381.5826296296296</v>
      </c>
      <c r="DU44">
        <v>412.7041481481481</v>
      </c>
      <c r="DV44">
        <v>17.38024444444445</v>
      </c>
      <c r="DW44">
        <v>409.1751111111111</v>
      </c>
      <c r="DX44">
        <v>8.553181851851853</v>
      </c>
      <c r="DY44">
        <v>2.344742962962963</v>
      </c>
      <c r="DZ44">
        <v>0.7733268148148149</v>
      </c>
      <c r="EA44">
        <v>19.98710000000001</v>
      </c>
      <c r="EB44">
        <v>3.226093333333333</v>
      </c>
      <c r="EC44">
        <v>1499.98925925926</v>
      </c>
      <c r="ED44">
        <v>0.9729916666666667</v>
      </c>
      <c r="EE44">
        <v>0.02700821111111111</v>
      </c>
      <c r="EF44">
        <v>0</v>
      </c>
      <c r="EG44">
        <v>1326.306296296297</v>
      </c>
      <c r="EH44">
        <v>5.00097</v>
      </c>
      <c r="EI44">
        <v>20895.0037037037</v>
      </c>
      <c r="EJ44">
        <v>12491.45925925926</v>
      </c>
      <c r="EK44">
        <v>39.5</v>
      </c>
      <c r="EL44">
        <v>40.90485185185184</v>
      </c>
      <c r="EM44">
        <v>39.68699999999999</v>
      </c>
      <c r="EN44">
        <v>40.75</v>
      </c>
      <c r="EO44">
        <v>40.70566666666667</v>
      </c>
      <c r="EP44">
        <v>1454.608518518519</v>
      </c>
      <c r="EQ44">
        <v>40.38000000000001</v>
      </c>
      <c r="ER44">
        <v>0</v>
      </c>
      <c r="ES44">
        <v>424</v>
      </c>
      <c r="ET44">
        <v>0</v>
      </c>
      <c r="EU44">
        <v>1326.1148</v>
      </c>
      <c r="EV44">
        <v>-44.86769225564182</v>
      </c>
      <c r="EW44">
        <v>-717.9692294342005</v>
      </c>
      <c r="EX44">
        <v>20895.048</v>
      </c>
      <c r="EY44">
        <v>15</v>
      </c>
      <c r="EZ44">
        <v>1652371289.6</v>
      </c>
      <c r="FA44" t="s">
        <v>515</v>
      </c>
      <c r="FB44">
        <v>1652371289.6</v>
      </c>
      <c r="FC44">
        <v>1652371275.1</v>
      </c>
      <c r="FD44">
        <v>24</v>
      </c>
      <c r="FE44">
        <v>0.442</v>
      </c>
      <c r="FF44">
        <v>0.001</v>
      </c>
      <c r="FG44">
        <v>-2.63</v>
      </c>
      <c r="FH44">
        <v>0.007</v>
      </c>
      <c r="FI44">
        <v>1620</v>
      </c>
      <c r="FJ44">
        <v>22</v>
      </c>
      <c r="FK44">
        <v>0.08</v>
      </c>
      <c r="FL44">
        <v>0.04</v>
      </c>
      <c r="FM44">
        <v>-41.01439268292683</v>
      </c>
      <c r="FN44">
        <v>58.59881602787456</v>
      </c>
      <c r="FO44">
        <v>6.435280042739635</v>
      </c>
      <c r="FP44">
        <v>-1</v>
      </c>
      <c r="FQ44">
        <v>17.4555</v>
      </c>
      <c r="FR44">
        <v>-1.150611846689894</v>
      </c>
      <c r="FS44">
        <v>0.1173700443770605</v>
      </c>
      <c r="FT44">
        <v>0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1</v>
      </c>
      <c r="GA44" t="s">
        <v>432</v>
      </c>
      <c r="GB44">
        <v>2.69617</v>
      </c>
      <c r="GC44">
        <v>2.70511</v>
      </c>
      <c r="GD44">
        <v>0.08363379999999999</v>
      </c>
      <c r="GE44">
        <v>0.0871955</v>
      </c>
      <c r="GF44">
        <v>0.111956</v>
      </c>
      <c r="GG44">
        <v>0.0499517</v>
      </c>
      <c r="GH44">
        <v>28829.7</v>
      </c>
      <c r="GI44">
        <v>28842.9</v>
      </c>
      <c r="GJ44">
        <v>29263.6</v>
      </c>
      <c r="GK44">
        <v>29238.2</v>
      </c>
      <c r="GL44">
        <v>34402.7</v>
      </c>
      <c r="GM44">
        <v>36982.5</v>
      </c>
      <c r="GN44">
        <v>41187.2</v>
      </c>
      <c r="GO44">
        <v>41716.4</v>
      </c>
      <c r="GP44">
        <v>1.73288</v>
      </c>
      <c r="GQ44">
        <v>2.02628</v>
      </c>
      <c r="GR44">
        <v>0.0701845</v>
      </c>
      <c r="GS44">
        <v>0</v>
      </c>
      <c r="GT44">
        <v>28.9478</v>
      </c>
      <c r="GU44">
        <v>999.9</v>
      </c>
      <c r="GV44">
        <v>44.3</v>
      </c>
      <c r="GW44">
        <v>32.6</v>
      </c>
      <c r="GX44">
        <v>24.2032</v>
      </c>
      <c r="GY44">
        <v>63.5479</v>
      </c>
      <c r="GZ44">
        <v>29.9559</v>
      </c>
      <c r="HA44">
        <v>1</v>
      </c>
      <c r="HB44">
        <v>0.225356</v>
      </c>
      <c r="HC44">
        <v>-0.573709</v>
      </c>
      <c r="HD44">
        <v>20.3809</v>
      </c>
      <c r="HE44">
        <v>5.21624</v>
      </c>
      <c r="HF44">
        <v>12.0099</v>
      </c>
      <c r="HG44">
        <v>4.98815</v>
      </c>
      <c r="HH44">
        <v>3.28838</v>
      </c>
      <c r="HI44">
        <v>2707</v>
      </c>
      <c r="HJ44">
        <v>9999</v>
      </c>
      <c r="HK44">
        <v>9999</v>
      </c>
      <c r="HL44">
        <v>49.8</v>
      </c>
      <c r="HM44">
        <v>1.86721</v>
      </c>
      <c r="HN44">
        <v>1.86615</v>
      </c>
      <c r="HO44">
        <v>1.8657</v>
      </c>
      <c r="HP44">
        <v>1.86569</v>
      </c>
      <c r="HQ44">
        <v>1.86739</v>
      </c>
      <c r="HR44">
        <v>1.86996</v>
      </c>
      <c r="HS44">
        <v>1.86861</v>
      </c>
      <c r="HT44">
        <v>1.86997</v>
      </c>
      <c r="HU44">
        <v>0</v>
      </c>
      <c r="HV44">
        <v>0</v>
      </c>
      <c r="HW44">
        <v>0</v>
      </c>
      <c r="HX44">
        <v>0</v>
      </c>
      <c r="HY44" t="s">
        <v>421</v>
      </c>
      <c r="HZ44" t="s">
        <v>422</v>
      </c>
      <c r="IA44" t="s">
        <v>423</v>
      </c>
      <c r="IB44" t="s">
        <v>423</v>
      </c>
      <c r="IC44" t="s">
        <v>423</v>
      </c>
      <c r="ID44" t="s">
        <v>423</v>
      </c>
      <c r="IE44">
        <v>0</v>
      </c>
      <c r="IF44">
        <v>100</v>
      </c>
      <c r="IG44">
        <v>100</v>
      </c>
      <c r="IH44">
        <v>0.436</v>
      </c>
      <c r="II44">
        <v>0.0609</v>
      </c>
      <c r="IJ44">
        <v>1.257309091789605</v>
      </c>
      <c r="IK44">
        <v>-0.002185601614162945</v>
      </c>
      <c r="IL44">
        <v>-2.252308143750626E-07</v>
      </c>
      <c r="IM44">
        <v>5.915558436307541E-11</v>
      </c>
      <c r="IN44">
        <v>-0.118683452207699</v>
      </c>
      <c r="IO44">
        <v>-0.007570214193104963</v>
      </c>
      <c r="IP44">
        <v>0.0009214429922928372</v>
      </c>
      <c r="IQ44">
        <v>-1.392260276065805E-05</v>
      </c>
      <c r="IR44">
        <v>17</v>
      </c>
      <c r="IS44">
        <v>2272</v>
      </c>
      <c r="IT44">
        <v>1</v>
      </c>
      <c r="IU44">
        <v>31</v>
      </c>
      <c r="IV44">
        <v>5</v>
      </c>
      <c r="IW44">
        <v>5.2</v>
      </c>
      <c r="IX44">
        <v>0.953369</v>
      </c>
      <c r="IY44">
        <v>2.22168</v>
      </c>
      <c r="IZ44">
        <v>1.39648</v>
      </c>
      <c r="JA44">
        <v>2.35352</v>
      </c>
      <c r="JB44">
        <v>1.49536</v>
      </c>
      <c r="JC44">
        <v>2.27905</v>
      </c>
      <c r="JD44">
        <v>35.9879</v>
      </c>
      <c r="JE44">
        <v>15.4104</v>
      </c>
      <c r="JF44">
        <v>18</v>
      </c>
      <c r="JG44">
        <v>390.772</v>
      </c>
      <c r="JH44">
        <v>560.4400000000001</v>
      </c>
      <c r="JI44">
        <v>32.154</v>
      </c>
      <c r="JJ44">
        <v>30.3629</v>
      </c>
      <c r="JK44">
        <v>30.0002</v>
      </c>
      <c r="JL44">
        <v>30.2764</v>
      </c>
      <c r="JM44">
        <v>30.173</v>
      </c>
      <c r="JN44">
        <v>19.0903</v>
      </c>
      <c r="JO44">
        <v>55.9067</v>
      </c>
      <c r="JP44">
        <v>0</v>
      </c>
      <c r="JQ44">
        <v>32.0724</v>
      </c>
      <c r="JR44">
        <v>366.439</v>
      </c>
      <c r="JS44">
        <v>8.918369999999999</v>
      </c>
      <c r="JT44">
        <v>100.025</v>
      </c>
      <c r="JU44">
        <v>100.138</v>
      </c>
    </row>
    <row r="45" spans="1:281">
      <c r="A45">
        <v>29</v>
      </c>
      <c r="B45">
        <v>1652371595.1</v>
      </c>
      <c r="C45">
        <v>3501.5</v>
      </c>
      <c r="D45" t="s">
        <v>525</v>
      </c>
      <c r="E45" t="s">
        <v>526</v>
      </c>
      <c r="F45">
        <v>5</v>
      </c>
      <c r="G45" t="s">
        <v>518</v>
      </c>
      <c r="H45" t="s">
        <v>414</v>
      </c>
      <c r="I45">
        <v>1652371587.314285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388.4697148214416</v>
      </c>
      <c r="AK45">
        <v>363.5088848484848</v>
      </c>
      <c r="AL45">
        <v>-2.228494949354615</v>
      </c>
      <c r="AM45">
        <v>65.95105977519088</v>
      </c>
      <c r="AN45">
        <f>(AP45 - AO45 + DI45*1E3/(8.314*(DK45+273.15)) * AR45/DH45 * AQ45) * DH45/(100*CV45) * 1000/(1000 - AP45)</f>
        <v>0</v>
      </c>
      <c r="AO45">
        <v>8.741732311885235</v>
      </c>
      <c r="AP45">
        <v>25.93246503496505</v>
      </c>
      <c r="AQ45">
        <v>-4.654979504587213E-05</v>
      </c>
      <c r="AR45">
        <v>81.26040297655408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417</v>
      </c>
      <c r="AY45" t="s">
        <v>417</v>
      </c>
      <c r="AZ45">
        <v>0</v>
      </c>
      <c r="BA45">
        <v>0</v>
      </c>
      <c r="BB45">
        <f>1-AZ45/BA45</f>
        <v>0</v>
      </c>
      <c r="BC45">
        <v>0</v>
      </c>
      <c r="BD45" t="s">
        <v>417</v>
      </c>
      <c r="BE45" t="s">
        <v>417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1393</v>
      </c>
      <c r="CA45">
        <v>300</v>
      </c>
      <c r="CB45">
        <v>300</v>
      </c>
      <c r="CC45">
        <v>300</v>
      </c>
      <c r="CD45">
        <v>10378</v>
      </c>
      <c r="CE45">
        <v>2050</v>
      </c>
      <c r="CF45">
        <v>-0.00730649</v>
      </c>
      <c r="CG45">
        <v>-4.53</v>
      </c>
      <c r="CH45" t="s">
        <v>417</v>
      </c>
      <c r="CI45" t="s">
        <v>417</v>
      </c>
      <c r="CJ45" t="s">
        <v>417</v>
      </c>
      <c r="CK45" t="s">
        <v>417</v>
      </c>
      <c r="CL45" t="s">
        <v>417</v>
      </c>
      <c r="CM45" t="s">
        <v>417</v>
      </c>
      <c r="CN45" t="s">
        <v>417</v>
      </c>
      <c r="CO45" t="s">
        <v>417</v>
      </c>
      <c r="CP45" t="s">
        <v>417</v>
      </c>
      <c r="CQ45" t="s">
        <v>417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418</v>
      </c>
      <c r="CY45">
        <v>2</v>
      </c>
      <c r="CZ45" t="b">
        <v>1</v>
      </c>
      <c r="DA45">
        <v>1652371587.314285</v>
      </c>
      <c r="DB45">
        <v>366.8333571428571</v>
      </c>
      <c r="DC45">
        <v>396.9782500000001</v>
      </c>
      <c r="DD45">
        <v>25.92581785714286</v>
      </c>
      <c r="DE45">
        <v>8.653872142857143</v>
      </c>
      <c r="DF45">
        <v>366.4042142857143</v>
      </c>
      <c r="DG45">
        <v>25.86475357142857</v>
      </c>
      <c r="DH45">
        <v>400.085</v>
      </c>
      <c r="DI45">
        <v>90.41590357142856</v>
      </c>
      <c r="DJ45">
        <v>0.1000249607142857</v>
      </c>
      <c r="DK45">
        <v>31.96258571428572</v>
      </c>
      <c r="DL45">
        <v>30.08807142857143</v>
      </c>
      <c r="DM45">
        <v>999.9000000000002</v>
      </c>
      <c r="DN45">
        <v>0</v>
      </c>
      <c r="DO45">
        <v>0</v>
      </c>
      <c r="DP45">
        <v>10002.29714285714</v>
      </c>
      <c r="DQ45">
        <v>0</v>
      </c>
      <c r="DR45">
        <v>449.1232857142857</v>
      </c>
      <c r="DS45">
        <v>-30.1449</v>
      </c>
      <c r="DT45">
        <v>376.5969999999999</v>
      </c>
      <c r="DU45">
        <v>400.4421071428571</v>
      </c>
      <c r="DV45">
        <v>17.27193928571429</v>
      </c>
      <c r="DW45">
        <v>396.9782500000001</v>
      </c>
      <c r="DX45">
        <v>8.653872142857143</v>
      </c>
      <c r="DY45">
        <v>2.344106785714286</v>
      </c>
      <c r="DZ45">
        <v>0.7824479285714286</v>
      </c>
      <c r="EA45">
        <v>19.98272142857143</v>
      </c>
      <c r="EB45">
        <v>3.391648928571429</v>
      </c>
      <c r="EC45">
        <v>1499.987857142857</v>
      </c>
      <c r="ED45">
        <v>0.9729920714285715</v>
      </c>
      <c r="EE45">
        <v>0.02700785357142857</v>
      </c>
      <c r="EF45">
        <v>0</v>
      </c>
      <c r="EG45">
        <v>1321.535714285714</v>
      </c>
      <c r="EH45">
        <v>5.00097</v>
      </c>
      <c r="EI45">
        <v>20825.57857142857</v>
      </c>
      <c r="EJ45">
        <v>12491.46071428571</v>
      </c>
      <c r="EK45">
        <v>39.5</v>
      </c>
      <c r="EL45">
        <v>40.92149999999999</v>
      </c>
      <c r="EM45">
        <v>39.68699999999999</v>
      </c>
      <c r="EN45">
        <v>40.75</v>
      </c>
      <c r="EO45">
        <v>40.71625</v>
      </c>
      <c r="EP45">
        <v>1454.607142857143</v>
      </c>
      <c r="EQ45">
        <v>40.37892857142857</v>
      </c>
      <c r="ER45">
        <v>0</v>
      </c>
      <c r="ES45">
        <v>429.3999998569489</v>
      </c>
      <c r="ET45">
        <v>0</v>
      </c>
      <c r="EU45">
        <v>1320.780769230769</v>
      </c>
      <c r="EV45">
        <v>-73.68547012128577</v>
      </c>
      <c r="EW45">
        <v>-941.7880345313711</v>
      </c>
      <c r="EX45">
        <v>20816.78076923077</v>
      </c>
      <c r="EY45">
        <v>15</v>
      </c>
      <c r="EZ45">
        <v>1652371289.6</v>
      </c>
      <c r="FA45" t="s">
        <v>515</v>
      </c>
      <c r="FB45">
        <v>1652371289.6</v>
      </c>
      <c r="FC45">
        <v>1652371275.1</v>
      </c>
      <c r="FD45">
        <v>24</v>
      </c>
      <c r="FE45">
        <v>0.442</v>
      </c>
      <c r="FF45">
        <v>0.001</v>
      </c>
      <c r="FG45">
        <v>-2.63</v>
      </c>
      <c r="FH45">
        <v>0.007</v>
      </c>
      <c r="FI45">
        <v>1620</v>
      </c>
      <c r="FJ45">
        <v>22</v>
      </c>
      <c r="FK45">
        <v>0.08</v>
      </c>
      <c r="FL45">
        <v>0.04</v>
      </c>
      <c r="FM45">
        <v>-34.2146</v>
      </c>
      <c r="FN45">
        <v>92.87693101045289</v>
      </c>
      <c r="FO45">
        <v>9.252001178914439</v>
      </c>
      <c r="FP45">
        <v>-1</v>
      </c>
      <c r="FQ45">
        <v>17.32979268292683</v>
      </c>
      <c r="FR45">
        <v>-1.400107317073136</v>
      </c>
      <c r="FS45">
        <v>0.1409805684417812</v>
      </c>
      <c r="FT45">
        <v>0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1</v>
      </c>
      <c r="GA45" t="s">
        <v>432</v>
      </c>
      <c r="GB45">
        <v>2.69626</v>
      </c>
      <c r="GC45">
        <v>2.70516</v>
      </c>
      <c r="GD45">
        <v>0.08162469999999999</v>
      </c>
      <c r="GE45">
        <v>0.0843071</v>
      </c>
      <c r="GF45">
        <v>0.111997</v>
      </c>
      <c r="GG45">
        <v>0.0504196</v>
      </c>
      <c r="GH45">
        <v>28892.8</v>
      </c>
      <c r="GI45">
        <v>28934.2</v>
      </c>
      <c r="GJ45">
        <v>29263.6</v>
      </c>
      <c r="GK45">
        <v>29238.1</v>
      </c>
      <c r="GL45">
        <v>34401.2</v>
      </c>
      <c r="GM45">
        <v>36964.1</v>
      </c>
      <c r="GN45">
        <v>41187.4</v>
      </c>
      <c r="GO45">
        <v>41716.4</v>
      </c>
      <c r="GP45">
        <v>1.7327</v>
      </c>
      <c r="GQ45">
        <v>2.0265</v>
      </c>
      <c r="GR45">
        <v>0.0703111</v>
      </c>
      <c r="GS45">
        <v>0</v>
      </c>
      <c r="GT45">
        <v>28.9568</v>
      </c>
      <c r="GU45">
        <v>999.9</v>
      </c>
      <c r="GV45">
        <v>44.3</v>
      </c>
      <c r="GW45">
        <v>32.6</v>
      </c>
      <c r="GX45">
        <v>24.2015</v>
      </c>
      <c r="GY45">
        <v>63.2879</v>
      </c>
      <c r="GZ45">
        <v>29.7756</v>
      </c>
      <c r="HA45">
        <v>1</v>
      </c>
      <c r="HB45">
        <v>0.225373</v>
      </c>
      <c r="HC45">
        <v>-0.454695</v>
      </c>
      <c r="HD45">
        <v>20.3813</v>
      </c>
      <c r="HE45">
        <v>5.21609</v>
      </c>
      <c r="HF45">
        <v>12.0099</v>
      </c>
      <c r="HG45">
        <v>4.9886</v>
      </c>
      <c r="HH45">
        <v>3.2884</v>
      </c>
      <c r="HI45">
        <v>2707.2</v>
      </c>
      <c r="HJ45">
        <v>9999</v>
      </c>
      <c r="HK45">
        <v>9999</v>
      </c>
      <c r="HL45">
        <v>49.8</v>
      </c>
      <c r="HM45">
        <v>1.86721</v>
      </c>
      <c r="HN45">
        <v>1.86615</v>
      </c>
      <c r="HO45">
        <v>1.8657</v>
      </c>
      <c r="HP45">
        <v>1.86567</v>
      </c>
      <c r="HQ45">
        <v>1.86739</v>
      </c>
      <c r="HR45">
        <v>1.86997</v>
      </c>
      <c r="HS45">
        <v>1.8686</v>
      </c>
      <c r="HT45">
        <v>1.86997</v>
      </c>
      <c r="HU45">
        <v>0</v>
      </c>
      <c r="HV45">
        <v>0</v>
      </c>
      <c r="HW45">
        <v>0</v>
      </c>
      <c r="HX45">
        <v>0</v>
      </c>
      <c r="HY45" t="s">
        <v>421</v>
      </c>
      <c r="HZ45" t="s">
        <v>422</v>
      </c>
      <c r="IA45" t="s">
        <v>423</v>
      </c>
      <c r="IB45" t="s">
        <v>423</v>
      </c>
      <c r="IC45" t="s">
        <v>423</v>
      </c>
      <c r="ID45" t="s">
        <v>423</v>
      </c>
      <c r="IE45">
        <v>0</v>
      </c>
      <c r="IF45">
        <v>100</v>
      </c>
      <c r="IG45">
        <v>100</v>
      </c>
      <c r="IH45">
        <v>0.462</v>
      </c>
      <c r="II45">
        <v>0.0612</v>
      </c>
      <c r="IJ45">
        <v>1.257309091789605</v>
      </c>
      <c r="IK45">
        <v>-0.002185601614162945</v>
      </c>
      <c r="IL45">
        <v>-2.252308143750626E-07</v>
      </c>
      <c r="IM45">
        <v>5.915558436307541E-11</v>
      </c>
      <c r="IN45">
        <v>-0.118683452207699</v>
      </c>
      <c r="IO45">
        <v>-0.007570214193104963</v>
      </c>
      <c r="IP45">
        <v>0.0009214429922928372</v>
      </c>
      <c r="IQ45">
        <v>-1.392260276065805E-05</v>
      </c>
      <c r="IR45">
        <v>17</v>
      </c>
      <c r="IS45">
        <v>2272</v>
      </c>
      <c r="IT45">
        <v>1</v>
      </c>
      <c r="IU45">
        <v>31</v>
      </c>
      <c r="IV45">
        <v>5.1</v>
      </c>
      <c r="IW45">
        <v>5.3</v>
      </c>
      <c r="IX45">
        <v>0.921631</v>
      </c>
      <c r="IY45">
        <v>2.22534</v>
      </c>
      <c r="IZ45">
        <v>1.39648</v>
      </c>
      <c r="JA45">
        <v>2.35352</v>
      </c>
      <c r="JB45">
        <v>1.49536</v>
      </c>
      <c r="JC45">
        <v>2.29492</v>
      </c>
      <c r="JD45">
        <v>35.9879</v>
      </c>
      <c r="JE45">
        <v>15.4016</v>
      </c>
      <c r="JF45">
        <v>18</v>
      </c>
      <c r="JG45">
        <v>390.692</v>
      </c>
      <c r="JH45">
        <v>560.6319999999999</v>
      </c>
      <c r="JI45">
        <v>32.068</v>
      </c>
      <c r="JJ45">
        <v>30.3661</v>
      </c>
      <c r="JK45">
        <v>30.0002</v>
      </c>
      <c r="JL45">
        <v>30.2786</v>
      </c>
      <c r="JM45">
        <v>30.1755</v>
      </c>
      <c r="JN45">
        <v>18.466</v>
      </c>
      <c r="JO45">
        <v>55.5932</v>
      </c>
      <c r="JP45">
        <v>0</v>
      </c>
      <c r="JQ45">
        <v>31.9764</v>
      </c>
      <c r="JR45">
        <v>346.403</v>
      </c>
      <c r="JS45">
        <v>8.99605</v>
      </c>
      <c r="JT45">
        <v>100.025</v>
      </c>
      <c r="JU45">
        <v>100.138</v>
      </c>
    </row>
    <row r="46" spans="1:281">
      <c r="A46">
        <v>30</v>
      </c>
      <c r="B46">
        <v>1652371600.1</v>
      </c>
      <c r="C46">
        <v>3506.5</v>
      </c>
      <c r="D46" t="s">
        <v>527</v>
      </c>
      <c r="E46" t="s">
        <v>528</v>
      </c>
      <c r="F46">
        <v>5</v>
      </c>
      <c r="G46" t="s">
        <v>518</v>
      </c>
      <c r="H46" t="s">
        <v>414</v>
      </c>
      <c r="I46">
        <v>1652371592.6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371.8660836367017</v>
      </c>
      <c r="AK46">
        <v>350.5101393939394</v>
      </c>
      <c r="AL46">
        <v>-2.614437199558538</v>
      </c>
      <c r="AM46">
        <v>65.95105977519088</v>
      </c>
      <c r="AN46">
        <f>(AP46 - AO46 + DI46*1E3/(8.314*(DK46+273.15)) * AR46/DH46 * AQ46) * DH46/(100*CV46) * 1000/(1000 - AP46)</f>
        <v>0</v>
      </c>
      <c r="AO46">
        <v>8.852203059761219</v>
      </c>
      <c r="AP46">
        <v>25.92012657342659</v>
      </c>
      <c r="AQ46">
        <v>-0.001179501331408776</v>
      </c>
      <c r="AR46">
        <v>81.26040297655408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417</v>
      </c>
      <c r="AY46" t="s">
        <v>417</v>
      </c>
      <c r="AZ46">
        <v>0</v>
      </c>
      <c r="BA46">
        <v>0</v>
      </c>
      <c r="BB46">
        <f>1-AZ46/BA46</f>
        <v>0</v>
      </c>
      <c r="BC46">
        <v>0</v>
      </c>
      <c r="BD46" t="s">
        <v>417</v>
      </c>
      <c r="BE46" t="s">
        <v>417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1393</v>
      </c>
      <c r="CA46">
        <v>300</v>
      </c>
      <c r="CB46">
        <v>300</v>
      </c>
      <c r="CC46">
        <v>300</v>
      </c>
      <c r="CD46">
        <v>10378</v>
      </c>
      <c r="CE46">
        <v>2050</v>
      </c>
      <c r="CF46">
        <v>-0.00730649</v>
      </c>
      <c r="CG46">
        <v>-4.53</v>
      </c>
      <c r="CH46" t="s">
        <v>417</v>
      </c>
      <c r="CI46" t="s">
        <v>417</v>
      </c>
      <c r="CJ46" t="s">
        <v>417</v>
      </c>
      <c r="CK46" t="s">
        <v>417</v>
      </c>
      <c r="CL46" t="s">
        <v>417</v>
      </c>
      <c r="CM46" t="s">
        <v>417</v>
      </c>
      <c r="CN46" t="s">
        <v>417</v>
      </c>
      <c r="CO46" t="s">
        <v>417</v>
      </c>
      <c r="CP46" t="s">
        <v>417</v>
      </c>
      <c r="CQ46" t="s">
        <v>417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418</v>
      </c>
      <c r="CY46">
        <v>2</v>
      </c>
      <c r="CZ46" t="b">
        <v>1</v>
      </c>
      <c r="DA46">
        <v>1652371592.6</v>
      </c>
      <c r="DB46">
        <v>357.7342222222222</v>
      </c>
      <c r="DC46">
        <v>380.4055185185185</v>
      </c>
      <c r="DD46">
        <v>25.92282962962963</v>
      </c>
      <c r="DE46">
        <v>8.789321851851852</v>
      </c>
      <c r="DF46">
        <v>357.2838518518518</v>
      </c>
      <c r="DG46">
        <v>25.8618</v>
      </c>
      <c r="DH46">
        <v>400.0984444444444</v>
      </c>
      <c r="DI46">
        <v>90.41756296296296</v>
      </c>
      <c r="DJ46">
        <v>0.1000653740740741</v>
      </c>
      <c r="DK46">
        <v>31.96417777777778</v>
      </c>
      <c r="DL46">
        <v>30.0928</v>
      </c>
      <c r="DM46">
        <v>999.9000000000001</v>
      </c>
      <c r="DN46">
        <v>0</v>
      </c>
      <c r="DO46">
        <v>0</v>
      </c>
      <c r="DP46">
        <v>9997.872592592592</v>
      </c>
      <c r="DQ46">
        <v>0</v>
      </c>
      <c r="DR46">
        <v>450.9379629629629</v>
      </c>
      <c r="DS46">
        <v>-22.6712074074074</v>
      </c>
      <c r="DT46">
        <v>367.2544814814814</v>
      </c>
      <c r="DU46">
        <v>383.7772962962962</v>
      </c>
      <c r="DV46">
        <v>17.1335</v>
      </c>
      <c r="DW46">
        <v>380.4055185185185</v>
      </c>
      <c r="DX46">
        <v>8.789321851851852</v>
      </c>
      <c r="DY46">
        <v>2.343878518518518</v>
      </c>
      <c r="DZ46">
        <v>0.7947092222222222</v>
      </c>
      <c r="EA46">
        <v>19.98116296296296</v>
      </c>
      <c r="EB46">
        <v>3.612373333333334</v>
      </c>
      <c r="EC46">
        <v>1499.976296296297</v>
      </c>
      <c r="ED46">
        <v>0.9729923333333333</v>
      </c>
      <c r="EE46">
        <v>0.02700762222222222</v>
      </c>
      <c r="EF46">
        <v>0</v>
      </c>
      <c r="EG46">
        <v>1313.635925925926</v>
      </c>
      <c r="EH46">
        <v>5.00097</v>
      </c>
      <c r="EI46">
        <v>20713.54814814815</v>
      </c>
      <c r="EJ46">
        <v>12491.38148148148</v>
      </c>
      <c r="EK46">
        <v>39.5</v>
      </c>
      <c r="EL46">
        <v>40.9301111111111</v>
      </c>
      <c r="EM46">
        <v>39.68699999999999</v>
      </c>
      <c r="EN46">
        <v>40.75</v>
      </c>
      <c r="EO46">
        <v>40.72433333333333</v>
      </c>
      <c r="EP46">
        <v>1454.597407407408</v>
      </c>
      <c r="EQ46">
        <v>40.37629629629629</v>
      </c>
      <c r="ER46">
        <v>0</v>
      </c>
      <c r="ES46">
        <v>434.1999998092651</v>
      </c>
      <c r="ET46">
        <v>0</v>
      </c>
      <c r="EU46">
        <v>1313.218076923077</v>
      </c>
      <c r="EV46">
        <v>-115.5948717470737</v>
      </c>
      <c r="EW46">
        <v>-1783.124785406794</v>
      </c>
      <c r="EX46">
        <v>20707.06923076923</v>
      </c>
      <c r="EY46">
        <v>15</v>
      </c>
      <c r="EZ46">
        <v>1652371289.6</v>
      </c>
      <c r="FA46" t="s">
        <v>515</v>
      </c>
      <c r="FB46">
        <v>1652371289.6</v>
      </c>
      <c r="FC46">
        <v>1652371275.1</v>
      </c>
      <c r="FD46">
        <v>24</v>
      </c>
      <c r="FE46">
        <v>0.442</v>
      </c>
      <c r="FF46">
        <v>0.001</v>
      </c>
      <c r="FG46">
        <v>-2.63</v>
      </c>
      <c r="FH46">
        <v>0.007</v>
      </c>
      <c r="FI46">
        <v>1620</v>
      </c>
      <c r="FJ46">
        <v>22</v>
      </c>
      <c r="FK46">
        <v>0.08</v>
      </c>
      <c r="FL46">
        <v>0.04</v>
      </c>
      <c r="FM46">
        <v>-28.76000975609756</v>
      </c>
      <c r="FN46">
        <v>89.96257421602786</v>
      </c>
      <c r="FO46">
        <v>8.980297663212774</v>
      </c>
      <c r="FP46">
        <v>-1</v>
      </c>
      <c r="FQ46">
        <v>17.24099756097561</v>
      </c>
      <c r="FR46">
        <v>-1.524453658536532</v>
      </c>
      <c r="FS46">
        <v>0.1517080451711804</v>
      </c>
      <c r="FT46">
        <v>0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1</v>
      </c>
      <c r="GA46" t="s">
        <v>432</v>
      </c>
      <c r="GB46">
        <v>2.69615</v>
      </c>
      <c r="GC46">
        <v>2.70504</v>
      </c>
      <c r="GD46">
        <v>0.0792495</v>
      </c>
      <c r="GE46">
        <v>0.08135100000000001</v>
      </c>
      <c r="GF46">
        <v>0.111968</v>
      </c>
      <c r="GG46">
        <v>0.0509361</v>
      </c>
      <c r="GH46">
        <v>28967.6</v>
      </c>
      <c r="GI46">
        <v>29027.4</v>
      </c>
      <c r="GJ46">
        <v>29263.6</v>
      </c>
      <c r="GK46">
        <v>29237.9</v>
      </c>
      <c r="GL46">
        <v>34402</v>
      </c>
      <c r="GM46">
        <v>36943.6</v>
      </c>
      <c r="GN46">
        <v>41187</v>
      </c>
      <c r="GO46">
        <v>41716</v>
      </c>
      <c r="GP46">
        <v>1.73263</v>
      </c>
      <c r="GQ46">
        <v>2.02647</v>
      </c>
      <c r="GR46">
        <v>0.06889919999999999</v>
      </c>
      <c r="GS46">
        <v>0</v>
      </c>
      <c r="GT46">
        <v>28.9644</v>
      </c>
      <c r="GU46">
        <v>999.9</v>
      </c>
      <c r="GV46">
        <v>44.3</v>
      </c>
      <c r="GW46">
        <v>32.6</v>
      </c>
      <c r="GX46">
        <v>24.2007</v>
      </c>
      <c r="GY46">
        <v>63.1779</v>
      </c>
      <c r="GZ46">
        <v>29.7356</v>
      </c>
      <c r="HA46">
        <v>1</v>
      </c>
      <c r="HB46">
        <v>0.22581</v>
      </c>
      <c r="HC46">
        <v>-0.39732</v>
      </c>
      <c r="HD46">
        <v>20.3815</v>
      </c>
      <c r="HE46">
        <v>5.21684</v>
      </c>
      <c r="HF46">
        <v>12.0099</v>
      </c>
      <c r="HG46">
        <v>4.9886</v>
      </c>
      <c r="HH46">
        <v>3.2884</v>
      </c>
      <c r="HI46">
        <v>2707.2</v>
      </c>
      <c r="HJ46">
        <v>9999</v>
      </c>
      <c r="HK46">
        <v>9999</v>
      </c>
      <c r="HL46">
        <v>49.8</v>
      </c>
      <c r="HM46">
        <v>1.8672</v>
      </c>
      <c r="HN46">
        <v>1.86615</v>
      </c>
      <c r="HO46">
        <v>1.8657</v>
      </c>
      <c r="HP46">
        <v>1.86568</v>
      </c>
      <c r="HQ46">
        <v>1.8674</v>
      </c>
      <c r="HR46">
        <v>1.86997</v>
      </c>
      <c r="HS46">
        <v>1.86859</v>
      </c>
      <c r="HT46">
        <v>1.86999</v>
      </c>
      <c r="HU46">
        <v>0</v>
      </c>
      <c r="HV46">
        <v>0</v>
      </c>
      <c r="HW46">
        <v>0</v>
      </c>
      <c r="HX46">
        <v>0</v>
      </c>
      <c r="HY46" t="s">
        <v>421</v>
      </c>
      <c r="HZ46" t="s">
        <v>422</v>
      </c>
      <c r="IA46" t="s">
        <v>423</v>
      </c>
      <c r="IB46" t="s">
        <v>423</v>
      </c>
      <c r="IC46" t="s">
        <v>423</v>
      </c>
      <c r="ID46" t="s">
        <v>423</v>
      </c>
      <c r="IE46">
        <v>0</v>
      </c>
      <c r="IF46">
        <v>100</v>
      </c>
      <c r="IG46">
        <v>100</v>
      </c>
      <c r="IH46">
        <v>0.492</v>
      </c>
      <c r="II46">
        <v>0.061</v>
      </c>
      <c r="IJ46">
        <v>1.257309091789605</v>
      </c>
      <c r="IK46">
        <v>-0.002185601614162945</v>
      </c>
      <c r="IL46">
        <v>-2.252308143750626E-07</v>
      </c>
      <c r="IM46">
        <v>5.915558436307541E-11</v>
      </c>
      <c r="IN46">
        <v>-0.118683452207699</v>
      </c>
      <c r="IO46">
        <v>-0.007570214193104963</v>
      </c>
      <c r="IP46">
        <v>0.0009214429922928372</v>
      </c>
      <c r="IQ46">
        <v>-1.392260276065805E-05</v>
      </c>
      <c r="IR46">
        <v>17</v>
      </c>
      <c r="IS46">
        <v>2272</v>
      </c>
      <c r="IT46">
        <v>1</v>
      </c>
      <c r="IU46">
        <v>31</v>
      </c>
      <c r="IV46">
        <v>5.2</v>
      </c>
      <c r="IW46">
        <v>5.4</v>
      </c>
      <c r="IX46">
        <v>0.889893</v>
      </c>
      <c r="IY46">
        <v>2.22168</v>
      </c>
      <c r="IZ46">
        <v>1.39648</v>
      </c>
      <c r="JA46">
        <v>2.35352</v>
      </c>
      <c r="JB46">
        <v>1.49536</v>
      </c>
      <c r="JC46">
        <v>2.36328</v>
      </c>
      <c r="JD46">
        <v>35.9879</v>
      </c>
      <c r="JE46">
        <v>15.4104</v>
      </c>
      <c r="JF46">
        <v>18</v>
      </c>
      <c r="JG46">
        <v>390.667</v>
      </c>
      <c r="JH46">
        <v>560.644</v>
      </c>
      <c r="JI46">
        <v>31.9664</v>
      </c>
      <c r="JJ46">
        <v>30.3688</v>
      </c>
      <c r="JK46">
        <v>30.0002</v>
      </c>
      <c r="JL46">
        <v>30.2813</v>
      </c>
      <c r="JM46">
        <v>30.1788</v>
      </c>
      <c r="JN46">
        <v>17.7587</v>
      </c>
      <c r="JO46">
        <v>55.3058</v>
      </c>
      <c r="JP46">
        <v>0</v>
      </c>
      <c r="JQ46">
        <v>31.8814</v>
      </c>
      <c r="JR46">
        <v>333.008</v>
      </c>
      <c r="JS46">
        <v>9.099399999999999</v>
      </c>
      <c r="JT46">
        <v>100.025</v>
      </c>
      <c r="JU46">
        <v>100.137</v>
      </c>
    </row>
    <row r="47" spans="1:281">
      <c r="A47">
        <v>31</v>
      </c>
      <c r="B47">
        <v>1652371605.1</v>
      </c>
      <c r="C47">
        <v>3511.5</v>
      </c>
      <c r="D47" t="s">
        <v>529</v>
      </c>
      <c r="E47" t="s">
        <v>530</v>
      </c>
      <c r="F47">
        <v>5</v>
      </c>
      <c r="G47" t="s">
        <v>518</v>
      </c>
      <c r="H47" t="s">
        <v>414</v>
      </c>
      <c r="I47">
        <v>1652371597.314285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355.2529302515925</v>
      </c>
      <c r="AK47">
        <v>336.4410787878788</v>
      </c>
      <c r="AL47">
        <v>-2.827464600166401</v>
      </c>
      <c r="AM47">
        <v>65.95105977519088</v>
      </c>
      <c r="AN47">
        <f>(AP47 - AO47 + DI47*1E3/(8.314*(DK47+273.15)) * AR47/DH47 * AQ47) * DH47/(100*CV47) * 1000/(1000 - AP47)</f>
        <v>0</v>
      </c>
      <c r="AO47">
        <v>8.971276955228749</v>
      </c>
      <c r="AP47">
        <v>25.92049580419582</v>
      </c>
      <c r="AQ47">
        <v>0.0007989069711144505</v>
      </c>
      <c r="AR47">
        <v>81.26040297655408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417</v>
      </c>
      <c r="AY47" t="s">
        <v>417</v>
      </c>
      <c r="AZ47">
        <v>0</v>
      </c>
      <c r="BA47">
        <v>0</v>
      </c>
      <c r="BB47">
        <f>1-AZ47/BA47</f>
        <v>0</v>
      </c>
      <c r="BC47">
        <v>0</v>
      </c>
      <c r="BD47" t="s">
        <v>417</v>
      </c>
      <c r="BE47" t="s">
        <v>417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1393</v>
      </c>
      <c r="CA47">
        <v>300</v>
      </c>
      <c r="CB47">
        <v>300</v>
      </c>
      <c r="CC47">
        <v>300</v>
      </c>
      <c r="CD47">
        <v>10378</v>
      </c>
      <c r="CE47">
        <v>2050</v>
      </c>
      <c r="CF47">
        <v>-0.00730649</v>
      </c>
      <c r="CG47">
        <v>-4.53</v>
      </c>
      <c r="CH47" t="s">
        <v>417</v>
      </c>
      <c r="CI47" t="s">
        <v>417</v>
      </c>
      <c r="CJ47" t="s">
        <v>417</v>
      </c>
      <c r="CK47" t="s">
        <v>417</v>
      </c>
      <c r="CL47" t="s">
        <v>417</v>
      </c>
      <c r="CM47" t="s">
        <v>417</v>
      </c>
      <c r="CN47" t="s">
        <v>417</v>
      </c>
      <c r="CO47" t="s">
        <v>417</v>
      </c>
      <c r="CP47" t="s">
        <v>417</v>
      </c>
      <c r="CQ47" t="s">
        <v>417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418</v>
      </c>
      <c r="CY47">
        <v>2</v>
      </c>
      <c r="CZ47" t="b">
        <v>1</v>
      </c>
      <c r="DA47">
        <v>1652371597.314285</v>
      </c>
      <c r="DB47">
        <v>346.8117499999999</v>
      </c>
      <c r="DC47">
        <v>364.9535</v>
      </c>
      <c r="DD47">
        <v>25.92461071428571</v>
      </c>
      <c r="DE47">
        <v>8.89446357142857</v>
      </c>
      <c r="DF47">
        <v>346.3359285714286</v>
      </c>
      <c r="DG47">
        <v>25.86356428571428</v>
      </c>
      <c r="DH47">
        <v>400.0812142857142</v>
      </c>
      <c r="DI47">
        <v>90.41758571428571</v>
      </c>
      <c r="DJ47">
        <v>0.1000277964285714</v>
      </c>
      <c r="DK47">
        <v>31.96260714285714</v>
      </c>
      <c r="DL47">
        <v>30.09569285714286</v>
      </c>
      <c r="DM47">
        <v>999.9000000000002</v>
      </c>
      <c r="DN47">
        <v>0</v>
      </c>
      <c r="DO47">
        <v>0</v>
      </c>
      <c r="DP47">
        <v>9997.839285714286</v>
      </c>
      <c r="DQ47">
        <v>0</v>
      </c>
      <c r="DR47">
        <v>451.3292857142857</v>
      </c>
      <c r="DS47">
        <v>-18.14175714285714</v>
      </c>
      <c r="DT47">
        <v>356.0420357142857</v>
      </c>
      <c r="DU47">
        <v>368.2271785714286</v>
      </c>
      <c r="DV47">
        <v>17.03014285714286</v>
      </c>
      <c r="DW47">
        <v>364.9535</v>
      </c>
      <c r="DX47">
        <v>8.89446357142857</v>
      </c>
      <c r="DY47">
        <v>2.344039642857143</v>
      </c>
      <c r="DZ47">
        <v>0.8042158214285714</v>
      </c>
      <c r="EA47">
        <v>19.98228214285714</v>
      </c>
      <c r="EB47">
        <v>3.781133928571429</v>
      </c>
      <c r="EC47">
        <v>1499.99</v>
      </c>
      <c r="ED47">
        <v>0.9729929285714286</v>
      </c>
      <c r="EE47">
        <v>0.02700709642857143</v>
      </c>
      <c r="EF47">
        <v>0</v>
      </c>
      <c r="EG47">
        <v>1302.984285714286</v>
      </c>
      <c r="EH47">
        <v>5.00097</v>
      </c>
      <c r="EI47">
        <v>20543.52142857143</v>
      </c>
      <c r="EJ47">
        <v>12491.50357142857</v>
      </c>
      <c r="EK47">
        <v>39.5</v>
      </c>
      <c r="EL47">
        <v>40.9347857142857</v>
      </c>
      <c r="EM47">
        <v>39.68699999999999</v>
      </c>
      <c r="EN47">
        <v>40.75</v>
      </c>
      <c r="EO47">
        <v>40.73425</v>
      </c>
      <c r="EP47">
        <v>1454.613214285714</v>
      </c>
      <c r="EQ47">
        <v>40.37357142857142</v>
      </c>
      <c r="ER47">
        <v>0</v>
      </c>
      <c r="ES47">
        <v>439</v>
      </c>
      <c r="ET47">
        <v>0</v>
      </c>
      <c r="EU47">
        <v>1302.408846153846</v>
      </c>
      <c r="EV47">
        <v>-155.5873504448883</v>
      </c>
      <c r="EW47">
        <v>-2658.94700971294</v>
      </c>
      <c r="EX47">
        <v>20532.38461538462</v>
      </c>
      <c r="EY47">
        <v>15</v>
      </c>
      <c r="EZ47">
        <v>1652371289.6</v>
      </c>
      <c r="FA47" t="s">
        <v>515</v>
      </c>
      <c r="FB47">
        <v>1652371289.6</v>
      </c>
      <c r="FC47">
        <v>1652371275.1</v>
      </c>
      <c r="FD47">
        <v>24</v>
      </c>
      <c r="FE47">
        <v>0.442</v>
      </c>
      <c r="FF47">
        <v>0.001</v>
      </c>
      <c r="FG47">
        <v>-2.63</v>
      </c>
      <c r="FH47">
        <v>0.007</v>
      </c>
      <c r="FI47">
        <v>1620</v>
      </c>
      <c r="FJ47">
        <v>22</v>
      </c>
      <c r="FK47">
        <v>0.08</v>
      </c>
      <c r="FL47">
        <v>0.04</v>
      </c>
      <c r="FM47">
        <v>-22.25083170731708</v>
      </c>
      <c r="FN47">
        <v>64.72908919860633</v>
      </c>
      <c r="FO47">
        <v>6.51469956450978</v>
      </c>
      <c r="FP47">
        <v>-1</v>
      </c>
      <c r="FQ47">
        <v>17.11585121951219</v>
      </c>
      <c r="FR47">
        <v>-1.429348432055777</v>
      </c>
      <c r="FS47">
        <v>0.142159139822588</v>
      </c>
      <c r="FT47">
        <v>0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1</v>
      </c>
      <c r="GA47" t="s">
        <v>432</v>
      </c>
      <c r="GB47">
        <v>2.69607</v>
      </c>
      <c r="GC47">
        <v>2.70506</v>
      </c>
      <c r="GD47">
        <v>0.07665379999999999</v>
      </c>
      <c r="GE47">
        <v>0.07833270000000001</v>
      </c>
      <c r="GF47">
        <v>0.111958</v>
      </c>
      <c r="GG47">
        <v>0.0512882</v>
      </c>
      <c r="GH47">
        <v>29049.7</v>
      </c>
      <c r="GI47">
        <v>29122.5</v>
      </c>
      <c r="GJ47">
        <v>29264.1</v>
      </c>
      <c r="GK47">
        <v>29237.7</v>
      </c>
      <c r="GL47">
        <v>34403.1</v>
      </c>
      <c r="GM47">
        <v>36929.5</v>
      </c>
      <c r="GN47">
        <v>41187.9</v>
      </c>
      <c r="GO47">
        <v>41715.7</v>
      </c>
      <c r="GP47">
        <v>1.73245</v>
      </c>
      <c r="GQ47">
        <v>2.0265</v>
      </c>
      <c r="GR47">
        <v>0.0702217</v>
      </c>
      <c r="GS47">
        <v>0</v>
      </c>
      <c r="GT47">
        <v>28.9699</v>
      </c>
      <c r="GU47">
        <v>999.9</v>
      </c>
      <c r="GV47">
        <v>44.3</v>
      </c>
      <c r="GW47">
        <v>32.6</v>
      </c>
      <c r="GX47">
        <v>24.2017</v>
      </c>
      <c r="GY47">
        <v>63.2179</v>
      </c>
      <c r="GZ47">
        <v>29.7596</v>
      </c>
      <c r="HA47">
        <v>1</v>
      </c>
      <c r="HB47">
        <v>0.225833</v>
      </c>
      <c r="HC47">
        <v>-0.302628</v>
      </c>
      <c r="HD47">
        <v>20.3818</v>
      </c>
      <c r="HE47">
        <v>5.21759</v>
      </c>
      <c r="HF47">
        <v>12.0099</v>
      </c>
      <c r="HG47">
        <v>4.98855</v>
      </c>
      <c r="HH47">
        <v>3.28842</v>
      </c>
      <c r="HI47">
        <v>2707.4</v>
      </c>
      <c r="HJ47">
        <v>9999</v>
      </c>
      <c r="HK47">
        <v>9999</v>
      </c>
      <c r="HL47">
        <v>49.8</v>
      </c>
      <c r="HM47">
        <v>1.8672</v>
      </c>
      <c r="HN47">
        <v>1.86615</v>
      </c>
      <c r="HO47">
        <v>1.8657</v>
      </c>
      <c r="HP47">
        <v>1.86565</v>
      </c>
      <c r="HQ47">
        <v>1.86737</v>
      </c>
      <c r="HR47">
        <v>1.86996</v>
      </c>
      <c r="HS47">
        <v>1.86859</v>
      </c>
      <c r="HT47">
        <v>1.86997</v>
      </c>
      <c r="HU47">
        <v>0</v>
      </c>
      <c r="HV47">
        <v>0</v>
      </c>
      <c r="HW47">
        <v>0</v>
      </c>
      <c r="HX47">
        <v>0</v>
      </c>
      <c r="HY47" t="s">
        <v>421</v>
      </c>
      <c r="HZ47" t="s">
        <v>422</v>
      </c>
      <c r="IA47" t="s">
        <v>423</v>
      </c>
      <c r="IB47" t="s">
        <v>423</v>
      </c>
      <c r="IC47" t="s">
        <v>423</v>
      </c>
      <c r="ID47" t="s">
        <v>423</v>
      </c>
      <c r="IE47">
        <v>0</v>
      </c>
      <c r="IF47">
        <v>100</v>
      </c>
      <c r="IG47">
        <v>100</v>
      </c>
      <c r="IH47">
        <v>0.523</v>
      </c>
      <c r="II47">
        <v>0.061</v>
      </c>
      <c r="IJ47">
        <v>1.257309091789605</v>
      </c>
      <c r="IK47">
        <v>-0.002185601614162945</v>
      </c>
      <c r="IL47">
        <v>-2.252308143750626E-07</v>
      </c>
      <c r="IM47">
        <v>5.915558436307541E-11</v>
      </c>
      <c r="IN47">
        <v>-0.118683452207699</v>
      </c>
      <c r="IO47">
        <v>-0.007570214193104963</v>
      </c>
      <c r="IP47">
        <v>0.0009214429922928372</v>
      </c>
      <c r="IQ47">
        <v>-1.392260276065805E-05</v>
      </c>
      <c r="IR47">
        <v>17</v>
      </c>
      <c r="IS47">
        <v>2272</v>
      </c>
      <c r="IT47">
        <v>1</v>
      </c>
      <c r="IU47">
        <v>31</v>
      </c>
      <c r="IV47">
        <v>5.3</v>
      </c>
      <c r="IW47">
        <v>5.5</v>
      </c>
      <c r="IX47">
        <v>0.854492</v>
      </c>
      <c r="IY47">
        <v>2.22168</v>
      </c>
      <c r="IZ47">
        <v>1.39648</v>
      </c>
      <c r="JA47">
        <v>2.35352</v>
      </c>
      <c r="JB47">
        <v>1.49536</v>
      </c>
      <c r="JC47">
        <v>2.34253</v>
      </c>
      <c r="JD47">
        <v>35.9879</v>
      </c>
      <c r="JE47">
        <v>15.4104</v>
      </c>
      <c r="JF47">
        <v>18</v>
      </c>
      <c r="JG47">
        <v>390.585</v>
      </c>
      <c r="JH47">
        <v>560.681</v>
      </c>
      <c r="JI47">
        <v>31.8664</v>
      </c>
      <c r="JJ47">
        <v>30.372</v>
      </c>
      <c r="JK47">
        <v>30.0002</v>
      </c>
      <c r="JL47">
        <v>30.2832</v>
      </c>
      <c r="JM47">
        <v>30.1807</v>
      </c>
      <c r="JN47">
        <v>17.1203</v>
      </c>
      <c r="JO47">
        <v>55.027</v>
      </c>
      <c r="JP47">
        <v>0</v>
      </c>
      <c r="JQ47">
        <v>31.7877</v>
      </c>
      <c r="JR47">
        <v>312.974</v>
      </c>
      <c r="JS47">
        <v>9.20072</v>
      </c>
      <c r="JT47">
        <v>100.027</v>
      </c>
      <c r="JU47">
        <v>100.136</v>
      </c>
    </row>
    <row r="48" spans="1:281">
      <c r="A48">
        <v>32</v>
      </c>
      <c r="B48">
        <v>1652371610.1</v>
      </c>
      <c r="C48">
        <v>3516.5</v>
      </c>
      <c r="D48" t="s">
        <v>531</v>
      </c>
      <c r="E48" t="s">
        <v>532</v>
      </c>
      <c r="F48">
        <v>5</v>
      </c>
      <c r="G48" t="s">
        <v>518</v>
      </c>
      <c r="H48" t="s">
        <v>414</v>
      </c>
      <c r="I48">
        <v>1652371602.6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338.5755098044778</v>
      </c>
      <c r="AK48">
        <v>322.0007030303029</v>
      </c>
      <c r="AL48">
        <v>-2.897373070417157</v>
      </c>
      <c r="AM48">
        <v>65.95105977519088</v>
      </c>
      <c r="AN48">
        <f>(AP48 - AO48 + DI48*1E3/(8.314*(DK48+273.15)) * AR48/DH48 * AQ48) * DH48/(100*CV48) * 1000/(1000 - AP48)</f>
        <v>0</v>
      </c>
      <c r="AO48">
        <v>9.045959858575323</v>
      </c>
      <c r="AP48">
        <v>25.88802937062939</v>
      </c>
      <c r="AQ48">
        <v>-0.000192173209516038</v>
      </c>
      <c r="AR48">
        <v>81.26040297655408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417</v>
      </c>
      <c r="AY48" t="s">
        <v>417</v>
      </c>
      <c r="AZ48">
        <v>0</v>
      </c>
      <c r="BA48">
        <v>0</v>
      </c>
      <c r="BB48">
        <f>1-AZ48/BA48</f>
        <v>0</v>
      </c>
      <c r="BC48">
        <v>0</v>
      </c>
      <c r="BD48" t="s">
        <v>417</v>
      </c>
      <c r="BE48" t="s">
        <v>417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1393</v>
      </c>
      <c r="CA48">
        <v>300</v>
      </c>
      <c r="CB48">
        <v>300</v>
      </c>
      <c r="CC48">
        <v>300</v>
      </c>
      <c r="CD48">
        <v>10378</v>
      </c>
      <c r="CE48">
        <v>2050</v>
      </c>
      <c r="CF48">
        <v>-0.00730649</v>
      </c>
      <c r="CG48">
        <v>-4.53</v>
      </c>
      <c r="CH48" t="s">
        <v>417</v>
      </c>
      <c r="CI48" t="s">
        <v>417</v>
      </c>
      <c r="CJ48" t="s">
        <v>417</v>
      </c>
      <c r="CK48" t="s">
        <v>417</v>
      </c>
      <c r="CL48" t="s">
        <v>417</v>
      </c>
      <c r="CM48" t="s">
        <v>417</v>
      </c>
      <c r="CN48" t="s">
        <v>417</v>
      </c>
      <c r="CO48" t="s">
        <v>417</v>
      </c>
      <c r="CP48" t="s">
        <v>417</v>
      </c>
      <c r="CQ48" t="s">
        <v>417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418</v>
      </c>
      <c r="CY48">
        <v>2</v>
      </c>
      <c r="CZ48" t="b">
        <v>1</v>
      </c>
      <c r="DA48">
        <v>1652371602.6</v>
      </c>
      <c r="DB48">
        <v>333.0485185185185</v>
      </c>
      <c r="DC48">
        <v>347.4778888888889</v>
      </c>
      <c r="DD48">
        <v>25.91900740740741</v>
      </c>
      <c r="DE48">
        <v>9.000767037037036</v>
      </c>
      <c r="DF48">
        <v>332.5407037037037</v>
      </c>
      <c r="DG48">
        <v>25.85804444444444</v>
      </c>
      <c r="DH48">
        <v>400.081074074074</v>
      </c>
      <c r="DI48">
        <v>90.41700370370371</v>
      </c>
      <c r="DJ48">
        <v>0.09999471851851852</v>
      </c>
      <c r="DK48">
        <v>31.9592</v>
      </c>
      <c r="DL48">
        <v>30.10201111111111</v>
      </c>
      <c r="DM48">
        <v>999.9000000000001</v>
      </c>
      <c r="DN48">
        <v>0</v>
      </c>
      <c r="DO48">
        <v>0</v>
      </c>
      <c r="DP48">
        <v>9999.790370370369</v>
      </c>
      <c r="DQ48">
        <v>0</v>
      </c>
      <c r="DR48">
        <v>445.5881851851852</v>
      </c>
      <c r="DS48">
        <v>-14.4294</v>
      </c>
      <c r="DT48">
        <v>341.9106296296296</v>
      </c>
      <c r="DU48">
        <v>350.6327407407408</v>
      </c>
      <c r="DV48">
        <v>16.91824444444444</v>
      </c>
      <c r="DW48">
        <v>347.4778888888889</v>
      </c>
      <c r="DX48">
        <v>9.000767037037036</v>
      </c>
      <c r="DY48">
        <v>2.343518148148148</v>
      </c>
      <c r="DZ48">
        <v>0.8138222962962964</v>
      </c>
      <c r="EA48">
        <v>19.9786962962963</v>
      </c>
      <c r="EB48">
        <v>3.950241111111111</v>
      </c>
      <c r="EC48">
        <v>1499.991111111111</v>
      </c>
      <c r="ED48">
        <v>0.9729936666666666</v>
      </c>
      <c r="EE48">
        <v>0.02700644444444444</v>
      </c>
      <c r="EF48">
        <v>0</v>
      </c>
      <c r="EG48">
        <v>1287.775555555556</v>
      </c>
      <c r="EH48">
        <v>5.00097</v>
      </c>
      <c r="EI48">
        <v>20262.3</v>
      </c>
      <c r="EJ48">
        <v>12491.51851851852</v>
      </c>
      <c r="EK48">
        <v>39.5</v>
      </c>
      <c r="EL48">
        <v>40.9347037037037</v>
      </c>
      <c r="EM48">
        <v>39.68699999999999</v>
      </c>
      <c r="EN48">
        <v>40.75</v>
      </c>
      <c r="EO48">
        <v>40.743</v>
      </c>
      <c r="EP48">
        <v>1454.617777777778</v>
      </c>
      <c r="EQ48">
        <v>40.37111111111111</v>
      </c>
      <c r="ER48">
        <v>0</v>
      </c>
      <c r="ES48">
        <v>443.7999999523163</v>
      </c>
      <c r="ET48">
        <v>0</v>
      </c>
      <c r="EU48">
        <v>1288.629230769231</v>
      </c>
      <c r="EV48">
        <v>-189.5726497082989</v>
      </c>
      <c r="EW48">
        <v>-3616.519661251327</v>
      </c>
      <c r="EX48">
        <v>20276.88461538462</v>
      </c>
      <c r="EY48">
        <v>15</v>
      </c>
      <c r="EZ48">
        <v>1652371289.6</v>
      </c>
      <c r="FA48" t="s">
        <v>515</v>
      </c>
      <c r="FB48">
        <v>1652371289.6</v>
      </c>
      <c r="FC48">
        <v>1652371275.1</v>
      </c>
      <c r="FD48">
        <v>24</v>
      </c>
      <c r="FE48">
        <v>0.442</v>
      </c>
      <c r="FF48">
        <v>0.001</v>
      </c>
      <c r="FG48">
        <v>-2.63</v>
      </c>
      <c r="FH48">
        <v>0.007</v>
      </c>
      <c r="FI48">
        <v>1620</v>
      </c>
      <c r="FJ48">
        <v>22</v>
      </c>
      <c r="FK48">
        <v>0.08</v>
      </c>
      <c r="FL48">
        <v>0.04</v>
      </c>
      <c r="FM48">
        <v>-16.86833</v>
      </c>
      <c r="FN48">
        <v>43.00077073170735</v>
      </c>
      <c r="FO48">
        <v>4.189274336397653</v>
      </c>
      <c r="FP48">
        <v>-1</v>
      </c>
      <c r="FQ48">
        <v>16.9899125</v>
      </c>
      <c r="FR48">
        <v>-1.265285178236396</v>
      </c>
      <c r="FS48">
        <v>0.1222039651310463</v>
      </c>
      <c r="FT48">
        <v>0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1</v>
      </c>
      <c r="GA48" t="s">
        <v>432</v>
      </c>
      <c r="GB48">
        <v>2.69633</v>
      </c>
      <c r="GC48">
        <v>2.70531</v>
      </c>
      <c r="GD48">
        <v>0.0739419</v>
      </c>
      <c r="GE48">
        <v>0.07522520000000001</v>
      </c>
      <c r="GF48">
        <v>0.111852</v>
      </c>
      <c r="GG48">
        <v>0.0517279</v>
      </c>
      <c r="GH48">
        <v>29134.9</v>
      </c>
      <c r="GI48">
        <v>29220.3</v>
      </c>
      <c r="GJ48">
        <v>29263.9</v>
      </c>
      <c r="GK48">
        <v>29237.3</v>
      </c>
      <c r="GL48">
        <v>34406.8</v>
      </c>
      <c r="GM48">
        <v>36911.9</v>
      </c>
      <c r="GN48">
        <v>41187.3</v>
      </c>
      <c r="GO48">
        <v>41715.3</v>
      </c>
      <c r="GP48">
        <v>1.73235</v>
      </c>
      <c r="GQ48">
        <v>2.02645</v>
      </c>
      <c r="GR48">
        <v>0.0699051</v>
      </c>
      <c r="GS48">
        <v>0</v>
      </c>
      <c r="GT48">
        <v>28.9762</v>
      </c>
      <c r="GU48">
        <v>999.9</v>
      </c>
      <c r="GV48">
        <v>44.3</v>
      </c>
      <c r="GW48">
        <v>32.6</v>
      </c>
      <c r="GX48">
        <v>24.2025</v>
      </c>
      <c r="GY48">
        <v>63.4379</v>
      </c>
      <c r="GZ48">
        <v>29.6554</v>
      </c>
      <c r="HA48">
        <v>1</v>
      </c>
      <c r="HB48">
        <v>0.225986</v>
      </c>
      <c r="HC48">
        <v>-0.275153</v>
      </c>
      <c r="HD48">
        <v>20.3819</v>
      </c>
      <c r="HE48">
        <v>5.21654</v>
      </c>
      <c r="HF48">
        <v>12.0099</v>
      </c>
      <c r="HG48">
        <v>4.98865</v>
      </c>
      <c r="HH48">
        <v>3.2883</v>
      </c>
      <c r="HI48">
        <v>2707.4</v>
      </c>
      <c r="HJ48">
        <v>9999</v>
      </c>
      <c r="HK48">
        <v>9999</v>
      </c>
      <c r="HL48">
        <v>49.8</v>
      </c>
      <c r="HM48">
        <v>1.86722</v>
      </c>
      <c r="HN48">
        <v>1.86615</v>
      </c>
      <c r="HO48">
        <v>1.86572</v>
      </c>
      <c r="HP48">
        <v>1.86566</v>
      </c>
      <c r="HQ48">
        <v>1.86737</v>
      </c>
      <c r="HR48">
        <v>1.86996</v>
      </c>
      <c r="HS48">
        <v>1.86861</v>
      </c>
      <c r="HT48">
        <v>1.87001</v>
      </c>
      <c r="HU48">
        <v>0</v>
      </c>
      <c r="HV48">
        <v>0</v>
      </c>
      <c r="HW48">
        <v>0</v>
      </c>
      <c r="HX48">
        <v>0</v>
      </c>
      <c r="HY48" t="s">
        <v>421</v>
      </c>
      <c r="HZ48" t="s">
        <v>422</v>
      </c>
      <c r="IA48" t="s">
        <v>423</v>
      </c>
      <c r="IB48" t="s">
        <v>423</v>
      </c>
      <c r="IC48" t="s">
        <v>423</v>
      </c>
      <c r="ID48" t="s">
        <v>423</v>
      </c>
      <c r="IE48">
        <v>0</v>
      </c>
      <c r="IF48">
        <v>100</v>
      </c>
      <c r="IG48">
        <v>100</v>
      </c>
      <c r="IH48">
        <v>0.556</v>
      </c>
      <c r="II48">
        <v>0.0605</v>
      </c>
      <c r="IJ48">
        <v>1.257309091789605</v>
      </c>
      <c r="IK48">
        <v>-0.002185601614162945</v>
      </c>
      <c r="IL48">
        <v>-2.252308143750626E-07</v>
      </c>
      <c r="IM48">
        <v>5.915558436307541E-11</v>
      </c>
      <c r="IN48">
        <v>-0.118683452207699</v>
      </c>
      <c r="IO48">
        <v>-0.007570214193104963</v>
      </c>
      <c r="IP48">
        <v>0.0009214429922928372</v>
      </c>
      <c r="IQ48">
        <v>-1.392260276065805E-05</v>
      </c>
      <c r="IR48">
        <v>17</v>
      </c>
      <c r="IS48">
        <v>2272</v>
      </c>
      <c r="IT48">
        <v>1</v>
      </c>
      <c r="IU48">
        <v>31</v>
      </c>
      <c r="IV48">
        <v>5.3</v>
      </c>
      <c r="IW48">
        <v>5.6</v>
      </c>
      <c r="IX48">
        <v>0.819092</v>
      </c>
      <c r="IY48">
        <v>2.23145</v>
      </c>
      <c r="IZ48">
        <v>1.39648</v>
      </c>
      <c r="JA48">
        <v>2.35352</v>
      </c>
      <c r="JB48">
        <v>1.49536</v>
      </c>
      <c r="JC48">
        <v>2.26196</v>
      </c>
      <c r="JD48">
        <v>35.9879</v>
      </c>
      <c r="JE48">
        <v>15.3929</v>
      </c>
      <c r="JF48">
        <v>18</v>
      </c>
      <c r="JG48">
        <v>390.551</v>
      </c>
      <c r="JH48">
        <v>560.674</v>
      </c>
      <c r="JI48">
        <v>31.7716</v>
      </c>
      <c r="JJ48">
        <v>30.376</v>
      </c>
      <c r="JK48">
        <v>30.0003</v>
      </c>
      <c r="JL48">
        <v>30.2865</v>
      </c>
      <c r="JM48">
        <v>30.184</v>
      </c>
      <c r="JN48">
        <v>16.404</v>
      </c>
      <c r="JO48">
        <v>54.4217</v>
      </c>
      <c r="JP48">
        <v>0</v>
      </c>
      <c r="JQ48">
        <v>31.6721</v>
      </c>
      <c r="JR48">
        <v>299.566</v>
      </c>
      <c r="JS48">
        <v>9.335470000000001</v>
      </c>
      <c r="JT48">
        <v>100.026</v>
      </c>
      <c r="JU48">
        <v>100.135</v>
      </c>
    </row>
    <row r="49" spans="1:281">
      <c r="A49">
        <v>33</v>
      </c>
      <c r="B49">
        <v>1652371615.1</v>
      </c>
      <c r="C49">
        <v>3521.5</v>
      </c>
      <c r="D49" t="s">
        <v>533</v>
      </c>
      <c r="E49" t="s">
        <v>534</v>
      </c>
      <c r="F49">
        <v>5</v>
      </c>
      <c r="G49" t="s">
        <v>518</v>
      </c>
      <c r="H49" t="s">
        <v>414</v>
      </c>
      <c r="I49">
        <v>1652371607.314285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321.7679264507725</v>
      </c>
      <c r="AK49">
        <v>307.1045757575757</v>
      </c>
      <c r="AL49">
        <v>-2.987889822938649</v>
      </c>
      <c r="AM49">
        <v>65.95105977519088</v>
      </c>
      <c r="AN49">
        <f>(AP49 - AO49 + DI49*1E3/(8.314*(DK49+273.15)) * AR49/DH49 * AQ49) * DH49/(100*CV49) * 1000/(1000 - AP49)</f>
        <v>0</v>
      </c>
      <c r="AO49">
        <v>9.153480568997887</v>
      </c>
      <c r="AP49">
        <v>25.88166783216784</v>
      </c>
      <c r="AQ49">
        <v>-0.003297304364642807</v>
      </c>
      <c r="AR49">
        <v>81.26040297655408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417</v>
      </c>
      <c r="AY49" t="s">
        <v>417</v>
      </c>
      <c r="AZ49">
        <v>0</v>
      </c>
      <c r="BA49">
        <v>0</v>
      </c>
      <c r="BB49">
        <f>1-AZ49/BA49</f>
        <v>0</v>
      </c>
      <c r="BC49">
        <v>0</v>
      </c>
      <c r="BD49" t="s">
        <v>417</v>
      </c>
      <c r="BE49" t="s">
        <v>417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1393</v>
      </c>
      <c r="CA49">
        <v>300</v>
      </c>
      <c r="CB49">
        <v>300</v>
      </c>
      <c r="CC49">
        <v>300</v>
      </c>
      <c r="CD49">
        <v>10378</v>
      </c>
      <c r="CE49">
        <v>2050</v>
      </c>
      <c r="CF49">
        <v>-0.00730649</v>
      </c>
      <c r="CG49">
        <v>-4.53</v>
      </c>
      <c r="CH49" t="s">
        <v>417</v>
      </c>
      <c r="CI49" t="s">
        <v>417</v>
      </c>
      <c r="CJ49" t="s">
        <v>417</v>
      </c>
      <c r="CK49" t="s">
        <v>417</v>
      </c>
      <c r="CL49" t="s">
        <v>417</v>
      </c>
      <c r="CM49" t="s">
        <v>417</v>
      </c>
      <c r="CN49" t="s">
        <v>417</v>
      </c>
      <c r="CO49" t="s">
        <v>417</v>
      </c>
      <c r="CP49" t="s">
        <v>417</v>
      </c>
      <c r="CQ49" t="s">
        <v>417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418</v>
      </c>
      <c r="CY49">
        <v>2</v>
      </c>
      <c r="CZ49" t="b">
        <v>1</v>
      </c>
      <c r="DA49">
        <v>1652371607.314285</v>
      </c>
      <c r="DB49">
        <v>319.9707142857143</v>
      </c>
      <c r="DC49">
        <v>331.8448571428572</v>
      </c>
      <c r="DD49">
        <v>25.90483571428571</v>
      </c>
      <c r="DE49">
        <v>9.097986785714287</v>
      </c>
      <c r="DF49">
        <v>319.4325714285715</v>
      </c>
      <c r="DG49">
        <v>25.84404285714286</v>
      </c>
      <c r="DH49">
        <v>400.0691428571428</v>
      </c>
      <c r="DI49">
        <v>90.41648571428571</v>
      </c>
      <c r="DJ49">
        <v>0.09997886071428573</v>
      </c>
      <c r="DK49">
        <v>31.95569285714285</v>
      </c>
      <c r="DL49">
        <v>30.10738571428571</v>
      </c>
      <c r="DM49">
        <v>999.9000000000002</v>
      </c>
      <c r="DN49">
        <v>0</v>
      </c>
      <c r="DO49">
        <v>0</v>
      </c>
      <c r="DP49">
        <v>10005.39535714286</v>
      </c>
      <c r="DQ49">
        <v>0</v>
      </c>
      <c r="DR49">
        <v>436.01725</v>
      </c>
      <c r="DS49">
        <v>-11.87428</v>
      </c>
      <c r="DT49">
        <v>328.4801071428571</v>
      </c>
      <c r="DU49">
        <v>334.8903571428572</v>
      </c>
      <c r="DV49">
        <v>16.80684642857143</v>
      </c>
      <c r="DW49">
        <v>331.8448571428572</v>
      </c>
      <c r="DX49">
        <v>9.097986785714287</v>
      </c>
      <c r="DY49">
        <v>2.342223571428571</v>
      </c>
      <c r="DZ49">
        <v>0.8226078928571428</v>
      </c>
      <c r="EA49">
        <v>19.96977142857143</v>
      </c>
      <c r="EB49">
        <v>4.102928928571429</v>
      </c>
      <c r="EC49">
        <v>1499.9925</v>
      </c>
      <c r="ED49">
        <v>0.9729948571428571</v>
      </c>
      <c r="EE49">
        <v>0.02700539285714285</v>
      </c>
      <c r="EF49">
        <v>0</v>
      </c>
      <c r="EG49">
        <v>1271.651428571429</v>
      </c>
      <c r="EH49">
        <v>5.00097</v>
      </c>
      <c r="EI49">
        <v>19970.37857142857</v>
      </c>
      <c r="EJ49">
        <v>12491.52142857143</v>
      </c>
      <c r="EK49">
        <v>39.5</v>
      </c>
      <c r="EL49">
        <v>40.93699999999999</v>
      </c>
      <c r="EM49">
        <v>39.68699999999999</v>
      </c>
      <c r="EN49">
        <v>40.75664285714286</v>
      </c>
      <c r="EO49">
        <v>40.75</v>
      </c>
      <c r="EP49">
        <v>1454.621428571429</v>
      </c>
      <c r="EQ49">
        <v>40.37035714285713</v>
      </c>
      <c r="ER49">
        <v>0</v>
      </c>
      <c r="ES49">
        <v>449.1999998092651</v>
      </c>
      <c r="ET49">
        <v>0</v>
      </c>
      <c r="EU49">
        <v>1269.2792</v>
      </c>
      <c r="EV49">
        <v>-219.7676926516525</v>
      </c>
      <c r="EW49">
        <v>-4038.592314519642</v>
      </c>
      <c r="EX49">
        <v>19926.312</v>
      </c>
      <c r="EY49">
        <v>15</v>
      </c>
      <c r="EZ49">
        <v>1652371289.6</v>
      </c>
      <c r="FA49" t="s">
        <v>515</v>
      </c>
      <c r="FB49">
        <v>1652371289.6</v>
      </c>
      <c r="FC49">
        <v>1652371275.1</v>
      </c>
      <c r="FD49">
        <v>24</v>
      </c>
      <c r="FE49">
        <v>0.442</v>
      </c>
      <c r="FF49">
        <v>0.001</v>
      </c>
      <c r="FG49">
        <v>-2.63</v>
      </c>
      <c r="FH49">
        <v>0.007</v>
      </c>
      <c r="FI49">
        <v>1620</v>
      </c>
      <c r="FJ49">
        <v>22</v>
      </c>
      <c r="FK49">
        <v>0.08</v>
      </c>
      <c r="FL49">
        <v>0.04</v>
      </c>
      <c r="FM49">
        <v>-13.44502536585366</v>
      </c>
      <c r="FN49">
        <v>33.23380411149825</v>
      </c>
      <c r="FO49">
        <v>3.292204459290341</v>
      </c>
      <c r="FP49">
        <v>-1</v>
      </c>
      <c r="FQ49">
        <v>16.86793902439024</v>
      </c>
      <c r="FR49">
        <v>-1.374062717770042</v>
      </c>
      <c r="FS49">
        <v>0.1363985764142304</v>
      </c>
      <c r="FT49">
        <v>0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1</v>
      </c>
      <c r="GA49" t="s">
        <v>432</v>
      </c>
      <c r="GB49">
        <v>2.69619</v>
      </c>
      <c r="GC49">
        <v>2.70527</v>
      </c>
      <c r="GD49">
        <v>0.0711001</v>
      </c>
      <c r="GE49">
        <v>0.0720706</v>
      </c>
      <c r="GF49">
        <v>0.111832</v>
      </c>
      <c r="GG49">
        <v>0.0522296</v>
      </c>
      <c r="GH49">
        <v>29223.9</v>
      </c>
      <c r="GI49">
        <v>29320.1</v>
      </c>
      <c r="GJ49">
        <v>29263.6</v>
      </c>
      <c r="GK49">
        <v>29237.4</v>
      </c>
      <c r="GL49">
        <v>34407.2</v>
      </c>
      <c r="GM49">
        <v>36892.3</v>
      </c>
      <c r="GN49">
        <v>41187</v>
      </c>
      <c r="GO49">
        <v>41715.3</v>
      </c>
      <c r="GP49">
        <v>1.73225</v>
      </c>
      <c r="GQ49">
        <v>2.02665</v>
      </c>
      <c r="GR49">
        <v>0.0698492</v>
      </c>
      <c r="GS49">
        <v>0</v>
      </c>
      <c r="GT49">
        <v>28.9824</v>
      </c>
      <c r="GU49">
        <v>999.9</v>
      </c>
      <c r="GV49">
        <v>44.3</v>
      </c>
      <c r="GW49">
        <v>32.6</v>
      </c>
      <c r="GX49">
        <v>24.1997</v>
      </c>
      <c r="GY49">
        <v>63.3279</v>
      </c>
      <c r="GZ49">
        <v>29.3349</v>
      </c>
      <c r="HA49">
        <v>1</v>
      </c>
      <c r="HB49">
        <v>0.226286</v>
      </c>
      <c r="HC49">
        <v>-0.118725</v>
      </c>
      <c r="HD49">
        <v>20.3818</v>
      </c>
      <c r="HE49">
        <v>5.21654</v>
      </c>
      <c r="HF49">
        <v>12.0099</v>
      </c>
      <c r="HG49">
        <v>4.98845</v>
      </c>
      <c r="HH49">
        <v>3.2882</v>
      </c>
      <c r="HI49">
        <v>2707.7</v>
      </c>
      <c r="HJ49">
        <v>9999</v>
      </c>
      <c r="HK49">
        <v>9999</v>
      </c>
      <c r="HL49">
        <v>49.8</v>
      </c>
      <c r="HM49">
        <v>1.86721</v>
      </c>
      <c r="HN49">
        <v>1.86615</v>
      </c>
      <c r="HO49">
        <v>1.86572</v>
      </c>
      <c r="HP49">
        <v>1.86566</v>
      </c>
      <c r="HQ49">
        <v>1.86739</v>
      </c>
      <c r="HR49">
        <v>1.86997</v>
      </c>
      <c r="HS49">
        <v>1.86861</v>
      </c>
      <c r="HT49">
        <v>1.86998</v>
      </c>
      <c r="HU49">
        <v>0</v>
      </c>
      <c r="HV49">
        <v>0</v>
      </c>
      <c r="HW49">
        <v>0</v>
      </c>
      <c r="HX49">
        <v>0</v>
      </c>
      <c r="HY49" t="s">
        <v>421</v>
      </c>
      <c r="HZ49" t="s">
        <v>422</v>
      </c>
      <c r="IA49" t="s">
        <v>423</v>
      </c>
      <c r="IB49" t="s">
        <v>423</v>
      </c>
      <c r="IC49" t="s">
        <v>423</v>
      </c>
      <c r="ID49" t="s">
        <v>423</v>
      </c>
      <c r="IE49">
        <v>0</v>
      </c>
      <c r="IF49">
        <v>100</v>
      </c>
      <c r="IG49">
        <v>100</v>
      </c>
      <c r="IH49">
        <v>0.589</v>
      </c>
      <c r="II49">
        <v>0.0604</v>
      </c>
      <c r="IJ49">
        <v>1.257309091789605</v>
      </c>
      <c r="IK49">
        <v>-0.002185601614162945</v>
      </c>
      <c r="IL49">
        <v>-2.252308143750626E-07</v>
      </c>
      <c r="IM49">
        <v>5.915558436307541E-11</v>
      </c>
      <c r="IN49">
        <v>-0.118683452207699</v>
      </c>
      <c r="IO49">
        <v>-0.007570214193104963</v>
      </c>
      <c r="IP49">
        <v>0.0009214429922928372</v>
      </c>
      <c r="IQ49">
        <v>-1.392260276065805E-05</v>
      </c>
      <c r="IR49">
        <v>17</v>
      </c>
      <c r="IS49">
        <v>2272</v>
      </c>
      <c r="IT49">
        <v>1</v>
      </c>
      <c r="IU49">
        <v>31</v>
      </c>
      <c r="IV49">
        <v>5.4</v>
      </c>
      <c r="IW49">
        <v>5.7</v>
      </c>
      <c r="IX49">
        <v>0.787354</v>
      </c>
      <c r="IY49">
        <v>2.23145</v>
      </c>
      <c r="IZ49">
        <v>1.39648</v>
      </c>
      <c r="JA49">
        <v>2.35352</v>
      </c>
      <c r="JB49">
        <v>1.49536</v>
      </c>
      <c r="JC49">
        <v>2.30835</v>
      </c>
      <c r="JD49">
        <v>35.9879</v>
      </c>
      <c r="JE49">
        <v>15.4016</v>
      </c>
      <c r="JF49">
        <v>18</v>
      </c>
      <c r="JG49">
        <v>390.513</v>
      </c>
      <c r="JH49">
        <v>560.855</v>
      </c>
      <c r="JI49">
        <v>31.6633</v>
      </c>
      <c r="JJ49">
        <v>30.3793</v>
      </c>
      <c r="JK49">
        <v>30.0004</v>
      </c>
      <c r="JL49">
        <v>30.2891</v>
      </c>
      <c r="JM49">
        <v>30.1873</v>
      </c>
      <c r="JN49">
        <v>15.7566</v>
      </c>
      <c r="JO49">
        <v>54.103</v>
      </c>
      <c r="JP49">
        <v>0</v>
      </c>
      <c r="JQ49">
        <v>31.5607</v>
      </c>
      <c r="JR49">
        <v>279.52</v>
      </c>
      <c r="JS49">
        <v>9.4488</v>
      </c>
      <c r="JT49">
        <v>100.025</v>
      </c>
      <c r="JU49">
        <v>100.135</v>
      </c>
    </row>
    <row r="50" spans="1:281">
      <c r="A50">
        <v>34</v>
      </c>
      <c r="B50">
        <v>1652371620.1</v>
      </c>
      <c r="C50">
        <v>3526.5</v>
      </c>
      <c r="D50" t="s">
        <v>535</v>
      </c>
      <c r="E50" t="s">
        <v>536</v>
      </c>
      <c r="F50">
        <v>5</v>
      </c>
      <c r="G50" t="s">
        <v>518</v>
      </c>
      <c r="H50" t="s">
        <v>414</v>
      </c>
      <c r="I50">
        <v>1652371612.6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305.0764223205466</v>
      </c>
      <c r="AK50">
        <v>292.3091515151513</v>
      </c>
      <c r="AL50">
        <v>-2.962799336288858</v>
      </c>
      <c r="AM50">
        <v>65.95105977519088</v>
      </c>
      <c r="AN50">
        <f>(AP50 - AO50 + DI50*1E3/(8.314*(DK50+273.15)) * AR50/DH50 * AQ50) * DH50/(100*CV50) * 1000/(1000 - AP50)</f>
        <v>0</v>
      </c>
      <c r="AO50">
        <v>9.265609766537173</v>
      </c>
      <c r="AP50">
        <v>25.86403846153848</v>
      </c>
      <c r="AQ50">
        <v>-0.0003150178016099687</v>
      </c>
      <c r="AR50">
        <v>81.26040297655408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417</v>
      </c>
      <c r="AY50" t="s">
        <v>417</v>
      </c>
      <c r="AZ50">
        <v>0</v>
      </c>
      <c r="BA50">
        <v>0</v>
      </c>
      <c r="BB50">
        <f>1-AZ50/BA50</f>
        <v>0</v>
      </c>
      <c r="BC50">
        <v>0</v>
      </c>
      <c r="BD50" t="s">
        <v>417</v>
      </c>
      <c r="BE50" t="s">
        <v>417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1393</v>
      </c>
      <c r="CA50">
        <v>300</v>
      </c>
      <c r="CB50">
        <v>300</v>
      </c>
      <c r="CC50">
        <v>300</v>
      </c>
      <c r="CD50">
        <v>10378</v>
      </c>
      <c r="CE50">
        <v>2050</v>
      </c>
      <c r="CF50">
        <v>-0.00730649</v>
      </c>
      <c r="CG50">
        <v>-4.53</v>
      </c>
      <c r="CH50" t="s">
        <v>417</v>
      </c>
      <c r="CI50" t="s">
        <v>417</v>
      </c>
      <c r="CJ50" t="s">
        <v>417</v>
      </c>
      <c r="CK50" t="s">
        <v>417</v>
      </c>
      <c r="CL50" t="s">
        <v>417</v>
      </c>
      <c r="CM50" t="s">
        <v>417</v>
      </c>
      <c r="CN50" t="s">
        <v>417</v>
      </c>
      <c r="CO50" t="s">
        <v>417</v>
      </c>
      <c r="CP50" t="s">
        <v>417</v>
      </c>
      <c r="CQ50" t="s">
        <v>417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418</v>
      </c>
      <c r="CY50">
        <v>2</v>
      </c>
      <c r="CZ50" t="b">
        <v>1</v>
      </c>
      <c r="DA50">
        <v>1652371612.6</v>
      </c>
      <c r="DB50">
        <v>304.931925925926</v>
      </c>
      <c r="DC50">
        <v>314.3034074074073</v>
      </c>
      <c r="DD50">
        <v>25.88703703703704</v>
      </c>
      <c r="DE50">
        <v>9.206785925925926</v>
      </c>
      <c r="DF50">
        <v>304.3589629629629</v>
      </c>
      <c r="DG50">
        <v>25.82645925925926</v>
      </c>
      <c r="DH50">
        <v>400.0761481481481</v>
      </c>
      <c r="DI50">
        <v>90.41654444444445</v>
      </c>
      <c r="DJ50">
        <v>0.09999938148148148</v>
      </c>
      <c r="DK50">
        <v>31.95116296296296</v>
      </c>
      <c r="DL50">
        <v>30.11798148148148</v>
      </c>
      <c r="DM50">
        <v>999.9000000000001</v>
      </c>
      <c r="DN50">
        <v>0</v>
      </c>
      <c r="DO50">
        <v>0</v>
      </c>
      <c r="DP50">
        <v>10009.90444444445</v>
      </c>
      <c r="DQ50">
        <v>0</v>
      </c>
      <c r="DR50">
        <v>423.9622222222222</v>
      </c>
      <c r="DS50">
        <v>-9.37164037037037</v>
      </c>
      <c r="DT50">
        <v>313.0355925925926</v>
      </c>
      <c r="DU50">
        <v>317.2225185185184</v>
      </c>
      <c r="DV50">
        <v>16.68025185185185</v>
      </c>
      <c r="DW50">
        <v>314.3034074074073</v>
      </c>
      <c r="DX50">
        <v>9.206785925925926</v>
      </c>
      <c r="DY50">
        <v>2.340616296296296</v>
      </c>
      <c r="DZ50">
        <v>0.8324456666666665</v>
      </c>
      <c r="EA50">
        <v>19.95868518518519</v>
      </c>
      <c r="EB50">
        <v>4.272170370370371</v>
      </c>
      <c r="EC50">
        <v>1499.965555555555</v>
      </c>
      <c r="ED50">
        <v>0.9729954444444444</v>
      </c>
      <c r="EE50">
        <v>0.02700487407407407</v>
      </c>
      <c r="EF50">
        <v>0</v>
      </c>
      <c r="EG50">
        <v>1251.73962962963</v>
      </c>
      <c r="EH50">
        <v>5.00097</v>
      </c>
      <c r="EI50">
        <v>19626.75555555556</v>
      </c>
      <c r="EJ50">
        <v>12491.29259259259</v>
      </c>
      <c r="EK50">
        <v>39.50688888888889</v>
      </c>
      <c r="EL50">
        <v>40.93699999999999</v>
      </c>
      <c r="EM50">
        <v>39.69866666666667</v>
      </c>
      <c r="EN50">
        <v>40.75918518518519</v>
      </c>
      <c r="EO50">
        <v>40.75</v>
      </c>
      <c r="EP50">
        <v>1454.595555555556</v>
      </c>
      <c r="EQ50">
        <v>40.36999999999999</v>
      </c>
      <c r="ER50">
        <v>0</v>
      </c>
      <c r="ES50">
        <v>454</v>
      </c>
      <c r="ET50">
        <v>0</v>
      </c>
      <c r="EU50">
        <v>1250.9024</v>
      </c>
      <c r="EV50">
        <v>-238.8299996484509</v>
      </c>
      <c r="EW50">
        <v>-3681.123071476323</v>
      </c>
      <c r="EX50">
        <v>19614.608</v>
      </c>
      <c r="EY50">
        <v>15</v>
      </c>
      <c r="EZ50">
        <v>1652371289.6</v>
      </c>
      <c r="FA50" t="s">
        <v>515</v>
      </c>
      <c r="FB50">
        <v>1652371289.6</v>
      </c>
      <c r="FC50">
        <v>1652371275.1</v>
      </c>
      <c r="FD50">
        <v>24</v>
      </c>
      <c r="FE50">
        <v>0.442</v>
      </c>
      <c r="FF50">
        <v>0.001</v>
      </c>
      <c r="FG50">
        <v>-2.63</v>
      </c>
      <c r="FH50">
        <v>0.007</v>
      </c>
      <c r="FI50">
        <v>1620</v>
      </c>
      <c r="FJ50">
        <v>22</v>
      </c>
      <c r="FK50">
        <v>0.08</v>
      </c>
      <c r="FL50">
        <v>0.04</v>
      </c>
      <c r="FM50">
        <v>-11.32751682926829</v>
      </c>
      <c r="FN50">
        <v>29.15901177700342</v>
      </c>
      <c r="FO50">
        <v>2.88182809001038</v>
      </c>
      <c r="FP50">
        <v>-1</v>
      </c>
      <c r="FQ50">
        <v>16.77386097560976</v>
      </c>
      <c r="FR50">
        <v>-1.432743554006944</v>
      </c>
      <c r="FS50">
        <v>0.1422032552165036</v>
      </c>
      <c r="FT50">
        <v>0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1</v>
      </c>
      <c r="GA50" t="s">
        <v>432</v>
      </c>
      <c r="GB50">
        <v>2.69611</v>
      </c>
      <c r="GC50">
        <v>2.70516</v>
      </c>
      <c r="GD50">
        <v>0.0682186</v>
      </c>
      <c r="GE50">
        <v>0.06886009999999999</v>
      </c>
      <c r="GF50">
        <v>0.11178</v>
      </c>
      <c r="GG50">
        <v>0.0527911</v>
      </c>
      <c r="GH50">
        <v>29314.4</v>
      </c>
      <c r="GI50">
        <v>29421.8</v>
      </c>
      <c r="GJ50">
        <v>29263.3</v>
      </c>
      <c r="GK50">
        <v>29237.6</v>
      </c>
      <c r="GL50">
        <v>34409.1</v>
      </c>
      <c r="GM50">
        <v>36870.3</v>
      </c>
      <c r="GN50">
        <v>41186.8</v>
      </c>
      <c r="GO50">
        <v>41715.3</v>
      </c>
      <c r="GP50">
        <v>1.73225</v>
      </c>
      <c r="GQ50">
        <v>2.02655</v>
      </c>
      <c r="GR50">
        <v>0.069961</v>
      </c>
      <c r="GS50">
        <v>0</v>
      </c>
      <c r="GT50">
        <v>28.9901</v>
      </c>
      <c r="GU50">
        <v>999.9</v>
      </c>
      <c r="GV50">
        <v>44.3</v>
      </c>
      <c r="GW50">
        <v>32.6</v>
      </c>
      <c r="GX50">
        <v>24.1999</v>
      </c>
      <c r="GY50">
        <v>63.0979</v>
      </c>
      <c r="GZ50">
        <v>29.8718</v>
      </c>
      <c r="HA50">
        <v>1</v>
      </c>
      <c r="HB50">
        <v>0.226679</v>
      </c>
      <c r="HC50">
        <v>-0.0450245</v>
      </c>
      <c r="HD50">
        <v>20.3818</v>
      </c>
      <c r="HE50">
        <v>5.21654</v>
      </c>
      <c r="HF50">
        <v>12.0099</v>
      </c>
      <c r="HG50">
        <v>4.9886</v>
      </c>
      <c r="HH50">
        <v>3.28838</v>
      </c>
      <c r="HI50">
        <v>2707.7</v>
      </c>
      <c r="HJ50">
        <v>9999</v>
      </c>
      <c r="HK50">
        <v>9999</v>
      </c>
      <c r="HL50">
        <v>49.8</v>
      </c>
      <c r="HM50">
        <v>1.86721</v>
      </c>
      <c r="HN50">
        <v>1.86615</v>
      </c>
      <c r="HO50">
        <v>1.86575</v>
      </c>
      <c r="HP50">
        <v>1.86568</v>
      </c>
      <c r="HQ50">
        <v>1.86741</v>
      </c>
      <c r="HR50">
        <v>1.86997</v>
      </c>
      <c r="HS50">
        <v>1.86861</v>
      </c>
      <c r="HT50">
        <v>1.86997</v>
      </c>
      <c r="HU50">
        <v>0</v>
      </c>
      <c r="HV50">
        <v>0</v>
      </c>
      <c r="HW50">
        <v>0</v>
      </c>
      <c r="HX50">
        <v>0</v>
      </c>
      <c r="HY50" t="s">
        <v>421</v>
      </c>
      <c r="HZ50" t="s">
        <v>422</v>
      </c>
      <c r="IA50" t="s">
        <v>423</v>
      </c>
      <c r="IB50" t="s">
        <v>423</v>
      </c>
      <c r="IC50" t="s">
        <v>423</v>
      </c>
      <c r="ID50" t="s">
        <v>423</v>
      </c>
      <c r="IE50">
        <v>0</v>
      </c>
      <c r="IF50">
        <v>100</v>
      </c>
      <c r="IG50">
        <v>100</v>
      </c>
      <c r="IH50">
        <v>0.623</v>
      </c>
      <c r="II50">
        <v>0.0603</v>
      </c>
      <c r="IJ50">
        <v>1.257309091789605</v>
      </c>
      <c r="IK50">
        <v>-0.002185601614162945</v>
      </c>
      <c r="IL50">
        <v>-2.252308143750626E-07</v>
      </c>
      <c r="IM50">
        <v>5.915558436307541E-11</v>
      </c>
      <c r="IN50">
        <v>-0.118683452207699</v>
      </c>
      <c r="IO50">
        <v>-0.007570214193104963</v>
      </c>
      <c r="IP50">
        <v>0.0009214429922928372</v>
      </c>
      <c r="IQ50">
        <v>-1.392260276065805E-05</v>
      </c>
      <c r="IR50">
        <v>17</v>
      </c>
      <c r="IS50">
        <v>2272</v>
      </c>
      <c r="IT50">
        <v>1</v>
      </c>
      <c r="IU50">
        <v>31</v>
      </c>
      <c r="IV50">
        <v>5.5</v>
      </c>
      <c r="IW50">
        <v>5.8</v>
      </c>
      <c r="IX50">
        <v>0.750732</v>
      </c>
      <c r="IY50">
        <v>2.23145</v>
      </c>
      <c r="IZ50">
        <v>1.39648</v>
      </c>
      <c r="JA50">
        <v>2.35352</v>
      </c>
      <c r="JB50">
        <v>1.49536</v>
      </c>
      <c r="JC50">
        <v>2.35718</v>
      </c>
      <c r="JD50">
        <v>35.9879</v>
      </c>
      <c r="JE50">
        <v>15.4016</v>
      </c>
      <c r="JF50">
        <v>18</v>
      </c>
      <c r="JG50">
        <v>390.529</v>
      </c>
      <c r="JH50">
        <v>560.8099999999999</v>
      </c>
      <c r="JI50">
        <v>31.5436</v>
      </c>
      <c r="JJ50">
        <v>30.3829</v>
      </c>
      <c r="JK50">
        <v>30.0004</v>
      </c>
      <c r="JL50">
        <v>30.2917</v>
      </c>
      <c r="JM50">
        <v>30.1905</v>
      </c>
      <c r="JN50">
        <v>15.026</v>
      </c>
      <c r="JO50">
        <v>53.8099</v>
      </c>
      <c r="JP50">
        <v>0</v>
      </c>
      <c r="JQ50">
        <v>31.4358</v>
      </c>
      <c r="JR50">
        <v>266.163</v>
      </c>
      <c r="JS50">
        <v>9.56981</v>
      </c>
      <c r="JT50">
        <v>100.024</v>
      </c>
      <c r="JU50">
        <v>100.135</v>
      </c>
    </row>
    <row r="51" spans="1:281">
      <c r="A51">
        <v>35</v>
      </c>
      <c r="B51">
        <v>1652371625.1</v>
      </c>
      <c r="C51">
        <v>3531.5</v>
      </c>
      <c r="D51" t="s">
        <v>537</v>
      </c>
      <c r="E51" t="s">
        <v>538</v>
      </c>
      <c r="F51">
        <v>5</v>
      </c>
      <c r="G51" t="s">
        <v>518</v>
      </c>
      <c r="H51" t="s">
        <v>414</v>
      </c>
      <c r="I51">
        <v>1652371617.314285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288.4883685063327</v>
      </c>
      <c r="AK51">
        <v>277.4497212121212</v>
      </c>
      <c r="AL51">
        <v>-2.973846024792352</v>
      </c>
      <c r="AM51">
        <v>65.95105977519088</v>
      </c>
      <c r="AN51">
        <f>(AP51 - AO51 + DI51*1E3/(8.314*(DK51+273.15)) * AR51/DH51 * AQ51) * DH51/(100*CV51) * 1000/(1000 - AP51)</f>
        <v>0</v>
      </c>
      <c r="AO51">
        <v>9.392920880193973</v>
      </c>
      <c r="AP51">
        <v>25.85289160839163</v>
      </c>
      <c r="AQ51">
        <v>-0.003306891647001905</v>
      </c>
      <c r="AR51">
        <v>81.26040297655408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417</v>
      </c>
      <c r="AY51" t="s">
        <v>417</v>
      </c>
      <c r="AZ51">
        <v>0</v>
      </c>
      <c r="BA51">
        <v>0</v>
      </c>
      <c r="BB51">
        <f>1-AZ51/BA51</f>
        <v>0</v>
      </c>
      <c r="BC51">
        <v>0</v>
      </c>
      <c r="BD51" t="s">
        <v>417</v>
      </c>
      <c r="BE51" t="s">
        <v>417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1393</v>
      </c>
      <c r="CA51">
        <v>300</v>
      </c>
      <c r="CB51">
        <v>300</v>
      </c>
      <c r="CC51">
        <v>300</v>
      </c>
      <c r="CD51">
        <v>10378</v>
      </c>
      <c r="CE51">
        <v>2050</v>
      </c>
      <c r="CF51">
        <v>-0.00730649</v>
      </c>
      <c r="CG51">
        <v>-4.53</v>
      </c>
      <c r="CH51" t="s">
        <v>417</v>
      </c>
      <c r="CI51" t="s">
        <v>417</v>
      </c>
      <c r="CJ51" t="s">
        <v>417</v>
      </c>
      <c r="CK51" t="s">
        <v>417</v>
      </c>
      <c r="CL51" t="s">
        <v>417</v>
      </c>
      <c r="CM51" t="s">
        <v>417</v>
      </c>
      <c r="CN51" t="s">
        <v>417</v>
      </c>
      <c r="CO51" t="s">
        <v>417</v>
      </c>
      <c r="CP51" t="s">
        <v>417</v>
      </c>
      <c r="CQ51" t="s">
        <v>417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418</v>
      </c>
      <c r="CY51">
        <v>2</v>
      </c>
      <c r="CZ51" t="b">
        <v>1</v>
      </c>
      <c r="DA51">
        <v>1652371617.314285</v>
      </c>
      <c r="DB51">
        <v>291.3471071428572</v>
      </c>
      <c r="DC51">
        <v>298.6808571428572</v>
      </c>
      <c r="DD51">
        <v>25.870625</v>
      </c>
      <c r="DE51">
        <v>9.321045</v>
      </c>
      <c r="DF51">
        <v>290.7428571428571</v>
      </c>
      <c r="DG51">
        <v>25.81023571428571</v>
      </c>
      <c r="DH51">
        <v>400.0896428571428</v>
      </c>
      <c r="DI51">
        <v>90.41561428571428</v>
      </c>
      <c r="DJ51">
        <v>0.1000198964285714</v>
      </c>
      <c r="DK51">
        <v>31.94568928571429</v>
      </c>
      <c r="DL51">
        <v>30.12305</v>
      </c>
      <c r="DM51">
        <v>999.9000000000002</v>
      </c>
      <c r="DN51">
        <v>0</v>
      </c>
      <c r="DO51">
        <v>0</v>
      </c>
      <c r="DP51">
        <v>10008.63357142857</v>
      </c>
      <c r="DQ51">
        <v>0</v>
      </c>
      <c r="DR51">
        <v>416.7350357142856</v>
      </c>
      <c r="DS51">
        <v>-7.333872857142858</v>
      </c>
      <c r="DT51">
        <v>299.0846785714285</v>
      </c>
      <c r="DU51">
        <v>301.4894285714286</v>
      </c>
      <c r="DV51">
        <v>16.54957142857143</v>
      </c>
      <c r="DW51">
        <v>298.6808571428572</v>
      </c>
      <c r="DX51">
        <v>9.321045</v>
      </c>
      <c r="DY51">
        <v>2.339107857142857</v>
      </c>
      <c r="DZ51">
        <v>0.84276775</v>
      </c>
      <c r="EA51">
        <v>19.94827857142857</v>
      </c>
      <c r="EB51">
        <v>4.44799</v>
      </c>
      <c r="EC51">
        <v>1499.973214285714</v>
      </c>
      <c r="ED51">
        <v>0.9729963571428571</v>
      </c>
      <c r="EE51">
        <v>0.02700406785714285</v>
      </c>
      <c r="EF51">
        <v>0</v>
      </c>
      <c r="EG51">
        <v>1232.541428571429</v>
      </c>
      <c r="EH51">
        <v>5.00097</v>
      </c>
      <c r="EI51">
        <v>19339.83571428572</v>
      </c>
      <c r="EJ51">
        <v>12491.35714285714</v>
      </c>
      <c r="EK51">
        <v>39.5155</v>
      </c>
      <c r="EL51">
        <v>40.93699999999999</v>
      </c>
      <c r="EM51">
        <v>39.70499999999999</v>
      </c>
      <c r="EN51">
        <v>40.76771428571428</v>
      </c>
      <c r="EO51">
        <v>40.75</v>
      </c>
      <c r="EP51">
        <v>1454.603214285714</v>
      </c>
      <c r="EQ51">
        <v>40.36999999999999</v>
      </c>
      <c r="ER51">
        <v>0</v>
      </c>
      <c r="ES51">
        <v>458.7999999523163</v>
      </c>
      <c r="ET51">
        <v>0</v>
      </c>
      <c r="EU51">
        <v>1231.2968</v>
      </c>
      <c r="EV51">
        <v>-252.3230769297973</v>
      </c>
      <c r="EW51">
        <v>-3651.484615506248</v>
      </c>
      <c r="EX51">
        <v>19321.32</v>
      </c>
      <c r="EY51">
        <v>15</v>
      </c>
      <c r="EZ51">
        <v>1652371289.6</v>
      </c>
      <c r="FA51" t="s">
        <v>515</v>
      </c>
      <c r="FB51">
        <v>1652371289.6</v>
      </c>
      <c r="FC51">
        <v>1652371275.1</v>
      </c>
      <c r="FD51">
        <v>24</v>
      </c>
      <c r="FE51">
        <v>0.442</v>
      </c>
      <c r="FF51">
        <v>0.001</v>
      </c>
      <c r="FG51">
        <v>-2.63</v>
      </c>
      <c r="FH51">
        <v>0.007</v>
      </c>
      <c r="FI51">
        <v>1620</v>
      </c>
      <c r="FJ51">
        <v>22</v>
      </c>
      <c r="FK51">
        <v>0.08</v>
      </c>
      <c r="FL51">
        <v>0.04</v>
      </c>
      <c r="FM51">
        <v>-8.6436165</v>
      </c>
      <c r="FN51">
        <v>26.04388818011259</v>
      </c>
      <c r="FO51">
        <v>2.507671908394866</v>
      </c>
      <c r="FP51">
        <v>-1</v>
      </c>
      <c r="FQ51">
        <v>16.6321475</v>
      </c>
      <c r="FR51">
        <v>-1.626070919324629</v>
      </c>
      <c r="FS51">
        <v>0.1566624508098543</v>
      </c>
      <c r="FT51">
        <v>0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1</v>
      </c>
      <c r="GA51" t="s">
        <v>432</v>
      </c>
      <c r="GB51">
        <v>2.69618</v>
      </c>
      <c r="GC51">
        <v>2.70516</v>
      </c>
      <c r="GD51">
        <v>0.0652659</v>
      </c>
      <c r="GE51">
        <v>0.06555370000000001</v>
      </c>
      <c r="GF51">
        <v>0.111736</v>
      </c>
      <c r="GG51">
        <v>0.0533749</v>
      </c>
      <c r="GH51">
        <v>29406.9</v>
      </c>
      <c r="GI51">
        <v>29526</v>
      </c>
      <c r="GJ51">
        <v>29262.9</v>
      </c>
      <c r="GK51">
        <v>29237.4</v>
      </c>
      <c r="GL51">
        <v>34410.7</v>
      </c>
      <c r="GM51">
        <v>36847.2</v>
      </c>
      <c r="GN51">
        <v>41186.8</v>
      </c>
      <c r="GO51">
        <v>41714.9</v>
      </c>
      <c r="GP51">
        <v>1.73212</v>
      </c>
      <c r="GQ51">
        <v>2.02663</v>
      </c>
      <c r="GR51">
        <v>0.0696816</v>
      </c>
      <c r="GS51">
        <v>0</v>
      </c>
      <c r="GT51">
        <v>28.9988</v>
      </c>
      <c r="GU51">
        <v>999.9</v>
      </c>
      <c r="GV51">
        <v>44.3</v>
      </c>
      <c r="GW51">
        <v>32.6</v>
      </c>
      <c r="GX51">
        <v>24.2028</v>
      </c>
      <c r="GY51">
        <v>63.2879</v>
      </c>
      <c r="GZ51">
        <v>29.9239</v>
      </c>
      <c r="HA51">
        <v>1</v>
      </c>
      <c r="HB51">
        <v>0.2272</v>
      </c>
      <c r="HC51">
        <v>0.070689</v>
      </c>
      <c r="HD51">
        <v>20.3818</v>
      </c>
      <c r="HE51">
        <v>5.21744</v>
      </c>
      <c r="HF51">
        <v>12.0099</v>
      </c>
      <c r="HG51">
        <v>4.98845</v>
      </c>
      <c r="HH51">
        <v>3.28842</v>
      </c>
      <c r="HI51">
        <v>2707.9</v>
      </c>
      <c r="HJ51">
        <v>9999</v>
      </c>
      <c r="HK51">
        <v>9999</v>
      </c>
      <c r="HL51">
        <v>49.8</v>
      </c>
      <c r="HM51">
        <v>1.8672</v>
      </c>
      <c r="HN51">
        <v>1.86615</v>
      </c>
      <c r="HO51">
        <v>1.86571</v>
      </c>
      <c r="HP51">
        <v>1.86569</v>
      </c>
      <c r="HQ51">
        <v>1.86738</v>
      </c>
      <c r="HR51">
        <v>1.86996</v>
      </c>
      <c r="HS51">
        <v>1.8686</v>
      </c>
      <c r="HT51">
        <v>1.86999</v>
      </c>
      <c r="HU51">
        <v>0</v>
      </c>
      <c r="HV51">
        <v>0</v>
      </c>
      <c r="HW51">
        <v>0</v>
      </c>
      <c r="HX51">
        <v>0</v>
      </c>
      <c r="HY51" t="s">
        <v>421</v>
      </c>
      <c r="HZ51" t="s">
        <v>422</v>
      </c>
      <c r="IA51" t="s">
        <v>423</v>
      </c>
      <c r="IB51" t="s">
        <v>423</v>
      </c>
      <c r="IC51" t="s">
        <v>423</v>
      </c>
      <c r="ID51" t="s">
        <v>423</v>
      </c>
      <c r="IE51">
        <v>0</v>
      </c>
      <c r="IF51">
        <v>100</v>
      </c>
      <c r="IG51">
        <v>100</v>
      </c>
      <c r="IH51">
        <v>0.656</v>
      </c>
      <c r="II51">
        <v>0.0601</v>
      </c>
      <c r="IJ51">
        <v>1.257309091789605</v>
      </c>
      <c r="IK51">
        <v>-0.002185601614162945</v>
      </c>
      <c r="IL51">
        <v>-2.252308143750626E-07</v>
      </c>
      <c r="IM51">
        <v>5.915558436307541E-11</v>
      </c>
      <c r="IN51">
        <v>-0.118683452207699</v>
      </c>
      <c r="IO51">
        <v>-0.007570214193104963</v>
      </c>
      <c r="IP51">
        <v>0.0009214429922928372</v>
      </c>
      <c r="IQ51">
        <v>-1.392260276065805E-05</v>
      </c>
      <c r="IR51">
        <v>17</v>
      </c>
      <c r="IS51">
        <v>2272</v>
      </c>
      <c r="IT51">
        <v>1</v>
      </c>
      <c r="IU51">
        <v>31</v>
      </c>
      <c r="IV51">
        <v>5.6</v>
      </c>
      <c r="IW51">
        <v>5.8</v>
      </c>
      <c r="IX51">
        <v>0.716553</v>
      </c>
      <c r="IY51">
        <v>2.23389</v>
      </c>
      <c r="IZ51">
        <v>1.39648</v>
      </c>
      <c r="JA51">
        <v>2.35352</v>
      </c>
      <c r="JB51">
        <v>1.49536</v>
      </c>
      <c r="JC51">
        <v>2.35229</v>
      </c>
      <c r="JD51">
        <v>36.0113</v>
      </c>
      <c r="JE51">
        <v>15.4016</v>
      </c>
      <c r="JF51">
        <v>18</v>
      </c>
      <c r="JG51">
        <v>390.482</v>
      </c>
      <c r="JH51">
        <v>560.897</v>
      </c>
      <c r="JI51">
        <v>31.4197</v>
      </c>
      <c r="JJ51">
        <v>30.3866</v>
      </c>
      <c r="JK51">
        <v>30.0003</v>
      </c>
      <c r="JL51">
        <v>30.295</v>
      </c>
      <c r="JM51">
        <v>30.1937</v>
      </c>
      <c r="JN51">
        <v>14.3656</v>
      </c>
      <c r="JO51">
        <v>53.2573</v>
      </c>
      <c r="JP51">
        <v>0</v>
      </c>
      <c r="JQ51">
        <v>31.3045</v>
      </c>
      <c r="JR51">
        <v>252.805</v>
      </c>
      <c r="JS51">
        <v>9.70115</v>
      </c>
      <c r="JT51">
        <v>100.024</v>
      </c>
      <c r="JU51">
        <v>100.135</v>
      </c>
    </row>
    <row r="52" spans="1:281">
      <c r="A52">
        <v>36</v>
      </c>
      <c r="B52">
        <v>1652371630.1</v>
      </c>
      <c r="C52">
        <v>3536.5</v>
      </c>
      <c r="D52" t="s">
        <v>539</v>
      </c>
      <c r="E52" t="s">
        <v>540</v>
      </c>
      <c r="F52">
        <v>5</v>
      </c>
      <c r="G52" t="s">
        <v>518</v>
      </c>
      <c r="H52" t="s">
        <v>414</v>
      </c>
      <c r="I52">
        <v>1652371622.6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271.7990554100626</v>
      </c>
      <c r="AK52">
        <v>262.6674666666665</v>
      </c>
      <c r="AL52">
        <v>-2.959445145267516</v>
      </c>
      <c r="AM52">
        <v>65.95105977519088</v>
      </c>
      <c r="AN52">
        <f>(AP52 - AO52 + DI52*1E3/(8.314*(DK52+273.15)) * AR52/DH52 * AQ52) * DH52/(100*CV52) * 1000/(1000 - AP52)</f>
        <v>0</v>
      </c>
      <c r="AO52">
        <v>9.534409186570024</v>
      </c>
      <c r="AP52">
        <v>25.83714125874128</v>
      </c>
      <c r="AQ52">
        <v>-0.0009868496318636668</v>
      </c>
      <c r="AR52">
        <v>81.26040297655408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417</v>
      </c>
      <c r="AY52" t="s">
        <v>417</v>
      </c>
      <c r="AZ52">
        <v>0</v>
      </c>
      <c r="BA52">
        <v>0</v>
      </c>
      <c r="BB52">
        <f>1-AZ52/BA52</f>
        <v>0</v>
      </c>
      <c r="BC52">
        <v>0</v>
      </c>
      <c r="BD52" t="s">
        <v>417</v>
      </c>
      <c r="BE52" t="s">
        <v>417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1393</v>
      </c>
      <c r="CA52">
        <v>300</v>
      </c>
      <c r="CB52">
        <v>300</v>
      </c>
      <c r="CC52">
        <v>300</v>
      </c>
      <c r="CD52">
        <v>10378</v>
      </c>
      <c r="CE52">
        <v>2050</v>
      </c>
      <c r="CF52">
        <v>-0.00730649</v>
      </c>
      <c r="CG52">
        <v>-4.53</v>
      </c>
      <c r="CH52" t="s">
        <v>417</v>
      </c>
      <c r="CI52" t="s">
        <v>417</v>
      </c>
      <c r="CJ52" t="s">
        <v>417</v>
      </c>
      <c r="CK52" t="s">
        <v>417</v>
      </c>
      <c r="CL52" t="s">
        <v>417</v>
      </c>
      <c r="CM52" t="s">
        <v>417</v>
      </c>
      <c r="CN52" t="s">
        <v>417</v>
      </c>
      <c r="CO52" t="s">
        <v>417</v>
      </c>
      <c r="CP52" t="s">
        <v>417</v>
      </c>
      <c r="CQ52" t="s">
        <v>417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418</v>
      </c>
      <c r="CY52">
        <v>2</v>
      </c>
      <c r="CZ52" t="b">
        <v>1</v>
      </c>
      <c r="DA52">
        <v>1652371622.6</v>
      </c>
      <c r="DB52">
        <v>276.0747037037037</v>
      </c>
      <c r="DC52">
        <v>281.1941481481481</v>
      </c>
      <c r="DD52">
        <v>25.85677777777778</v>
      </c>
      <c r="DE52">
        <v>9.453097407407405</v>
      </c>
      <c r="DF52">
        <v>275.4353333333333</v>
      </c>
      <c r="DG52">
        <v>25.79655925925926</v>
      </c>
      <c r="DH52">
        <v>400.095148148148</v>
      </c>
      <c r="DI52">
        <v>90.41406296296299</v>
      </c>
      <c r="DJ52">
        <v>0.1000267925925926</v>
      </c>
      <c r="DK52">
        <v>31.9371</v>
      </c>
      <c r="DL52">
        <v>30.13406666666667</v>
      </c>
      <c r="DM52">
        <v>999.9000000000001</v>
      </c>
      <c r="DN52">
        <v>0</v>
      </c>
      <c r="DO52">
        <v>0</v>
      </c>
      <c r="DP52">
        <v>9999.977037037037</v>
      </c>
      <c r="DQ52">
        <v>0</v>
      </c>
      <c r="DR52">
        <v>411.9177407407408</v>
      </c>
      <c r="DS52">
        <v>-5.119482222222222</v>
      </c>
      <c r="DT52">
        <v>283.4027407407407</v>
      </c>
      <c r="DU52">
        <v>283.876</v>
      </c>
      <c r="DV52">
        <v>16.40367777777778</v>
      </c>
      <c r="DW52">
        <v>281.1941481481481</v>
      </c>
      <c r="DX52">
        <v>9.453097407407405</v>
      </c>
      <c r="DY52">
        <v>2.337815925925926</v>
      </c>
      <c r="DZ52">
        <v>0.8546926666666667</v>
      </c>
      <c r="EA52">
        <v>19.93935555555556</v>
      </c>
      <c r="EB52">
        <v>4.648745925925926</v>
      </c>
      <c r="EC52">
        <v>1499.969259259259</v>
      </c>
      <c r="ED52">
        <v>0.9729969259259259</v>
      </c>
      <c r="EE52">
        <v>0.02700349259259259</v>
      </c>
      <c r="EF52">
        <v>0</v>
      </c>
      <c r="EG52">
        <v>1210.062962962963</v>
      </c>
      <c r="EH52">
        <v>5.00097</v>
      </c>
      <c r="EI52">
        <v>19024.16296296296</v>
      </c>
      <c r="EJ52">
        <v>12491.32592592592</v>
      </c>
      <c r="EK52">
        <v>39.51607407407408</v>
      </c>
      <c r="EL52">
        <v>40.93699999999999</v>
      </c>
      <c r="EM52">
        <v>39.72666666666666</v>
      </c>
      <c r="EN52">
        <v>40.77755555555555</v>
      </c>
      <c r="EO52">
        <v>40.75</v>
      </c>
      <c r="EP52">
        <v>1454.598888888889</v>
      </c>
      <c r="EQ52">
        <v>40.37037037037036</v>
      </c>
      <c r="ER52">
        <v>0</v>
      </c>
      <c r="ES52">
        <v>464.1999998092651</v>
      </c>
      <c r="ET52">
        <v>0</v>
      </c>
      <c r="EU52">
        <v>1209.438076923077</v>
      </c>
      <c r="EV52">
        <v>-261.1654700817438</v>
      </c>
      <c r="EW52">
        <v>-3601.452991339763</v>
      </c>
      <c r="EX52">
        <v>19014.27307692308</v>
      </c>
      <c r="EY52">
        <v>15</v>
      </c>
      <c r="EZ52">
        <v>1652371289.6</v>
      </c>
      <c r="FA52" t="s">
        <v>515</v>
      </c>
      <c r="FB52">
        <v>1652371289.6</v>
      </c>
      <c r="FC52">
        <v>1652371275.1</v>
      </c>
      <c r="FD52">
        <v>24</v>
      </c>
      <c r="FE52">
        <v>0.442</v>
      </c>
      <c r="FF52">
        <v>0.001</v>
      </c>
      <c r="FG52">
        <v>-2.63</v>
      </c>
      <c r="FH52">
        <v>0.007</v>
      </c>
      <c r="FI52">
        <v>1620</v>
      </c>
      <c r="FJ52">
        <v>22</v>
      </c>
      <c r="FK52">
        <v>0.08</v>
      </c>
      <c r="FL52">
        <v>0.04</v>
      </c>
      <c r="FM52">
        <v>-6.370675609756097</v>
      </c>
      <c r="FN52">
        <v>25.09196947735192</v>
      </c>
      <c r="FO52">
        <v>2.474251860552805</v>
      </c>
      <c r="FP52">
        <v>-1</v>
      </c>
      <c r="FQ52">
        <v>16.48382926829268</v>
      </c>
      <c r="FR52">
        <v>-1.660252264808351</v>
      </c>
      <c r="FS52">
        <v>0.1639978572791351</v>
      </c>
      <c r="FT52">
        <v>0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1</v>
      </c>
      <c r="GA52" t="s">
        <v>432</v>
      </c>
      <c r="GB52">
        <v>2.69641</v>
      </c>
      <c r="GC52">
        <v>2.70509</v>
      </c>
      <c r="GD52">
        <v>0.0622674</v>
      </c>
      <c r="GE52">
        <v>0.0621746</v>
      </c>
      <c r="GF52">
        <v>0.111694</v>
      </c>
      <c r="GG52">
        <v>0.0538351</v>
      </c>
      <c r="GH52">
        <v>29501.2</v>
      </c>
      <c r="GI52">
        <v>29632.5</v>
      </c>
      <c r="GJ52">
        <v>29262.9</v>
      </c>
      <c r="GK52">
        <v>29237.1</v>
      </c>
      <c r="GL52">
        <v>34411.9</v>
      </c>
      <c r="GM52">
        <v>36828.9</v>
      </c>
      <c r="GN52">
        <v>41186.2</v>
      </c>
      <c r="GO52">
        <v>41714.7</v>
      </c>
      <c r="GP52">
        <v>1.73183</v>
      </c>
      <c r="GQ52">
        <v>2.02667</v>
      </c>
      <c r="GR52">
        <v>0.0700355</v>
      </c>
      <c r="GS52">
        <v>0</v>
      </c>
      <c r="GT52">
        <v>29.0081</v>
      </c>
      <c r="GU52">
        <v>999.9</v>
      </c>
      <c r="GV52">
        <v>44.3</v>
      </c>
      <c r="GW52">
        <v>32.6</v>
      </c>
      <c r="GX52">
        <v>24.2027</v>
      </c>
      <c r="GY52">
        <v>62.9379</v>
      </c>
      <c r="GZ52">
        <v>29.6034</v>
      </c>
      <c r="HA52">
        <v>1</v>
      </c>
      <c r="HB52">
        <v>0.227838</v>
      </c>
      <c r="HC52">
        <v>0.188984</v>
      </c>
      <c r="HD52">
        <v>20.3817</v>
      </c>
      <c r="HE52">
        <v>5.21699</v>
      </c>
      <c r="HF52">
        <v>12.0099</v>
      </c>
      <c r="HG52">
        <v>4.98885</v>
      </c>
      <c r="HH52">
        <v>3.2883</v>
      </c>
      <c r="HI52">
        <v>2707.9</v>
      </c>
      <c r="HJ52">
        <v>9999</v>
      </c>
      <c r="HK52">
        <v>9999</v>
      </c>
      <c r="HL52">
        <v>49.8</v>
      </c>
      <c r="HM52">
        <v>1.8672</v>
      </c>
      <c r="HN52">
        <v>1.86615</v>
      </c>
      <c r="HO52">
        <v>1.86572</v>
      </c>
      <c r="HP52">
        <v>1.86567</v>
      </c>
      <c r="HQ52">
        <v>1.8674</v>
      </c>
      <c r="HR52">
        <v>1.86996</v>
      </c>
      <c r="HS52">
        <v>1.86862</v>
      </c>
      <c r="HT52">
        <v>1.86997</v>
      </c>
      <c r="HU52">
        <v>0</v>
      </c>
      <c r="HV52">
        <v>0</v>
      </c>
      <c r="HW52">
        <v>0</v>
      </c>
      <c r="HX52">
        <v>0</v>
      </c>
      <c r="HY52" t="s">
        <v>421</v>
      </c>
      <c r="HZ52" t="s">
        <v>422</v>
      </c>
      <c r="IA52" t="s">
        <v>423</v>
      </c>
      <c r="IB52" t="s">
        <v>423</v>
      </c>
      <c r="IC52" t="s">
        <v>423</v>
      </c>
      <c r="ID52" t="s">
        <v>423</v>
      </c>
      <c r="IE52">
        <v>0</v>
      </c>
      <c r="IF52">
        <v>100</v>
      </c>
      <c r="IG52">
        <v>100</v>
      </c>
      <c r="IH52">
        <v>0.6899999999999999</v>
      </c>
      <c r="II52">
        <v>0.06</v>
      </c>
      <c r="IJ52">
        <v>1.257309091789605</v>
      </c>
      <c r="IK52">
        <v>-0.002185601614162945</v>
      </c>
      <c r="IL52">
        <v>-2.252308143750626E-07</v>
      </c>
      <c r="IM52">
        <v>5.915558436307541E-11</v>
      </c>
      <c r="IN52">
        <v>-0.118683452207699</v>
      </c>
      <c r="IO52">
        <v>-0.007570214193104963</v>
      </c>
      <c r="IP52">
        <v>0.0009214429922928372</v>
      </c>
      <c r="IQ52">
        <v>-1.392260276065805E-05</v>
      </c>
      <c r="IR52">
        <v>17</v>
      </c>
      <c r="IS52">
        <v>2272</v>
      </c>
      <c r="IT52">
        <v>1</v>
      </c>
      <c r="IU52">
        <v>31</v>
      </c>
      <c r="IV52">
        <v>5.7</v>
      </c>
      <c r="IW52">
        <v>5.9</v>
      </c>
      <c r="IX52">
        <v>0.683594</v>
      </c>
      <c r="IY52">
        <v>2.24487</v>
      </c>
      <c r="IZ52">
        <v>1.39648</v>
      </c>
      <c r="JA52">
        <v>2.35352</v>
      </c>
      <c r="JB52">
        <v>1.49536</v>
      </c>
      <c r="JC52">
        <v>2.26318</v>
      </c>
      <c r="JD52">
        <v>36.0113</v>
      </c>
      <c r="JE52">
        <v>15.3929</v>
      </c>
      <c r="JF52">
        <v>18</v>
      </c>
      <c r="JG52">
        <v>390.336</v>
      </c>
      <c r="JH52">
        <v>560.965</v>
      </c>
      <c r="JI52">
        <v>31.2874</v>
      </c>
      <c r="JJ52">
        <v>30.3908</v>
      </c>
      <c r="JK52">
        <v>30.0004</v>
      </c>
      <c r="JL52">
        <v>30.2976</v>
      </c>
      <c r="JM52">
        <v>30.197</v>
      </c>
      <c r="JN52">
        <v>13.6245</v>
      </c>
      <c r="JO52">
        <v>52.9771</v>
      </c>
      <c r="JP52">
        <v>0</v>
      </c>
      <c r="JQ52">
        <v>31.1638</v>
      </c>
      <c r="JR52">
        <v>232.764</v>
      </c>
      <c r="JS52">
        <v>9.82471</v>
      </c>
      <c r="JT52">
        <v>100.023</v>
      </c>
      <c r="JU52">
        <v>100.134</v>
      </c>
    </row>
    <row r="53" spans="1:281">
      <c r="A53">
        <v>37</v>
      </c>
      <c r="B53">
        <v>1652371635.1</v>
      </c>
      <c r="C53">
        <v>3541.5</v>
      </c>
      <c r="D53" t="s">
        <v>541</v>
      </c>
      <c r="E53" t="s">
        <v>542</v>
      </c>
      <c r="F53">
        <v>5</v>
      </c>
      <c r="G53" t="s">
        <v>518</v>
      </c>
      <c r="H53" t="s">
        <v>414</v>
      </c>
      <c r="I53">
        <v>1652371627.314285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255.0944422234834</v>
      </c>
      <c r="AK53">
        <v>247.8011636363635</v>
      </c>
      <c r="AL53">
        <v>-2.971632569850376</v>
      </c>
      <c r="AM53">
        <v>65.95105977519088</v>
      </c>
      <c r="AN53">
        <f>(AP53 - AO53 + DI53*1E3/(8.314*(DK53+273.15)) * AR53/DH53 * AQ53) * DH53/(100*CV53) * 1000/(1000 - AP53)</f>
        <v>0</v>
      </c>
      <c r="AO53">
        <v>9.638740956851663</v>
      </c>
      <c r="AP53">
        <v>25.82788111888113</v>
      </c>
      <c r="AQ53">
        <v>-0.0005544347677861185</v>
      </c>
      <c r="AR53">
        <v>81.26040297655408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417</v>
      </c>
      <c r="AY53" t="s">
        <v>417</v>
      </c>
      <c r="AZ53">
        <v>0</v>
      </c>
      <c r="BA53">
        <v>0</v>
      </c>
      <c r="BB53">
        <f>1-AZ53/BA53</f>
        <v>0</v>
      </c>
      <c r="BC53">
        <v>0</v>
      </c>
      <c r="BD53" t="s">
        <v>417</v>
      </c>
      <c r="BE53" t="s">
        <v>417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1393</v>
      </c>
      <c r="CA53">
        <v>300</v>
      </c>
      <c r="CB53">
        <v>300</v>
      </c>
      <c r="CC53">
        <v>300</v>
      </c>
      <c r="CD53">
        <v>10378</v>
      </c>
      <c r="CE53">
        <v>2050</v>
      </c>
      <c r="CF53">
        <v>-0.00730649</v>
      </c>
      <c r="CG53">
        <v>-4.53</v>
      </c>
      <c r="CH53" t="s">
        <v>417</v>
      </c>
      <c r="CI53" t="s">
        <v>417</v>
      </c>
      <c r="CJ53" t="s">
        <v>417</v>
      </c>
      <c r="CK53" t="s">
        <v>417</v>
      </c>
      <c r="CL53" t="s">
        <v>417</v>
      </c>
      <c r="CM53" t="s">
        <v>417</v>
      </c>
      <c r="CN53" t="s">
        <v>417</v>
      </c>
      <c r="CO53" t="s">
        <v>417</v>
      </c>
      <c r="CP53" t="s">
        <v>417</v>
      </c>
      <c r="CQ53" t="s">
        <v>417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418</v>
      </c>
      <c r="CY53">
        <v>2</v>
      </c>
      <c r="CZ53" t="b">
        <v>1</v>
      </c>
      <c r="DA53">
        <v>1652371627.314285</v>
      </c>
      <c r="DB53">
        <v>262.4623571428571</v>
      </c>
      <c r="DC53">
        <v>265.59175</v>
      </c>
      <c r="DD53">
        <v>25.84372142857143</v>
      </c>
      <c r="DE53">
        <v>9.567233214285716</v>
      </c>
      <c r="DF53">
        <v>261.7918214285714</v>
      </c>
      <c r="DG53">
        <v>25.78366428571429</v>
      </c>
      <c r="DH53">
        <v>400.077642857143</v>
      </c>
      <c r="DI53">
        <v>90.41236428571429</v>
      </c>
      <c r="DJ53">
        <v>0.09999429642857145</v>
      </c>
      <c r="DK53">
        <v>31.92846785714286</v>
      </c>
      <c r="DL53">
        <v>30.139925</v>
      </c>
      <c r="DM53">
        <v>999.9000000000002</v>
      </c>
      <c r="DN53">
        <v>0</v>
      </c>
      <c r="DO53">
        <v>0</v>
      </c>
      <c r="DP53">
        <v>9997.517857142857</v>
      </c>
      <c r="DQ53">
        <v>0</v>
      </c>
      <c r="DR53">
        <v>412.2051785714286</v>
      </c>
      <c r="DS53">
        <v>-3.129301625</v>
      </c>
      <c r="DT53">
        <v>269.4255</v>
      </c>
      <c r="DU53">
        <v>268.1556428571428</v>
      </c>
      <c r="DV53">
        <v>16.27649285714286</v>
      </c>
      <c r="DW53">
        <v>265.59175</v>
      </c>
      <c r="DX53">
        <v>9.567233214285716</v>
      </c>
      <c r="DY53">
        <v>2.336591785714286</v>
      </c>
      <c r="DZ53">
        <v>0.8649961071428571</v>
      </c>
      <c r="EA53">
        <v>19.93089642857143</v>
      </c>
      <c r="EB53">
        <v>4.820380357142858</v>
      </c>
      <c r="EC53">
        <v>1499.981785714286</v>
      </c>
      <c r="ED53">
        <v>0.9729978928571429</v>
      </c>
      <c r="EE53">
        <v>0.02700253571428571</v>
      </c>
      <c r="EF53">
        <v>0</v>
      </c>
      <c r="EG53">
        <v>1189.411428571429</v>
      </c>
      <c r="EH53">
        <v>5.00097</v>
      </c>
      <c r="EI53">
        <v>18728.81071428572</v>
      </c>
      <c r="EJ53">
        <v>12491.425</v>
      </c>
      <c r="EK53">
        <v>39.51992857142857</v>
      </c>
      <c r="EL53">
        <v>40.9415</v>
      </c>
      <c r="EM53">
        <v>39.7365</v>
      </c>
      <c r="EN53">
        <v>40.79428571428571</v>
      </c>
      <c r="EO53">
        <v>40.75</v>
      </c>
      <c r="EP53">
        <v>1454.611428571429</v>
      </c>
      <c r="EQ53">
        <v>40.37035714285713</v>
      </c>
      <c r="ER53">
        <v>0</v>
      </c>
      <c r="ES53">
        <v>469</v>
      </c>
      <c r="ET53">
        <v>0</v>
      </c>
      <c r="EU53">
        <v>1188.401153846154</v>
      </c>
      <c r="EV53">
        <v>-265.9326495729889</v>
      </c>
      <c r="EW53">
        <v>-3812.704273884727</v>
      </c>
      <c r="EX53">
        <v>18712.70769230769</v>
      </c>
      <c r="EY53">
        <v>15</v>
      </c>
      <c r="EZ53">
        <v>1652371289.6</v>
      </c>
      <c r="FA53" t="s">
        <v>515</v>
      </c>
      <c r="FB53">
        <v>1652371289.6</v>
      </c>
      <c r="FC53">
        <v>1652371275.1</v>
      </c>
      <c r="FD53">
        <v>24</v>
      </c>
      <c r="FE53">
        <v>0.442</v>
      </c>
      <c r="FF53">
        <v>0.001</v>
      </c>
      <c r="FG53">
        <v>-2.63</v>
      </c>
      <c r="FH53">
        <v>0.007</v>
      </c>
      <c r="FI53">
        <v>1620</v>
      </c>
      <c r="FJ53">
        <v>22</v>
      </c>
      <c r="FK53">
        <v>0.08</v>
      </c>
      <c r="FL53">
        <v>0.04</v>
      </c>
      <c r="FM53">
        <v>-4.377910099999999</v>
      </c>
      <c r="FN53">
        <v>25.32037150469043</v>
      </c>
      <c r="FO53">
        <v>2.435793939188359</v>
      </c>
      <c r="FP53">
        <v>-1</v>
      </c>
      <c r="FQ53">
        <v>16.3587825</v>
      </c>
      <c r="FR53">
        <v>-1.647929831144454</v>
      </c>
      <c r="FS53">
        <v>0.1588898185654138</v>
      </c>
      <c r="FT53">
        <v>0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1</v>
      </c>
      <c r="GA53" t="s">
        <v>432</v>
      </c>
      <c r="GB53">
        <v>2.69646</v>
      </c>
      <c r="GC53">
        <v>2.70516</v>
      </c>
      <c r="GD53">
        <v>0.0592018</v>
      </c>
      <c r="GE53">
        <v>0.0587056</v>
      </c>
      <c r="GF53">
        <v>0.111667</v>
      </c>
      <c r="GG53">
        <v>0.0543654</v>
      </c>
      <c r="GH53">
        <v>29596.5</v>
      </c>
      <c r="GI53">
        <v>29741.5</v>
      </c>
      <c r="GJ53">
        <v>29261.9</v>
      </c>
      <c r="GK53">
        <v>29236.5</v>
      </c>
      <c r="GL53">
        <v>34411.7</v>
      </c>
      <c r="GM53">
        <v>36807.5</v>
      </c>
      <c r="GN53">
        <v>41184.8</v>
      </c>
      <c r="GO53">
        <v>41714</v>
      </c>
      <c r="GP53">
        <v>1.73185</v>
      </c>
      <c r="GQ53">
        <v>2.02642</v>
      </c>
      <c r="GR53">
        <v>0.06908549999999999</v>
      </c>
      <c r="GS53">
        <v>0</v>
      </c>
      <c r="GT53">
        <v>29.0175</v>
      </c>
      <c r="GU53">
        <v>999.9</v>
      </c>
      <c r="GV53">
        <v>44.3</v>
      </c>
      <c r="GW53">
        <v>32.6</v>
      </c>
      <c r="GX53">
        <v>24.2053</v>
      </c>
      <c r="GY53">
        <v>63.1879</v>
      </c>
      <c r="GZ53">
        <v>29.2188</v>
      </c>
      <c r="HA53">
        <v>1</v>
      </c>
      <c r="HB53">
        <v>0.228183</v>
      </c>
      <c r="HC53">
        <v>0.306106</v>
      </c>
      <c r="HD53">
        <v>20.3813</v>
      </c>
      <c r="HE53">
        <v>5.21654</v>
      </c>
      <c r="HF53">
        <v>12.0099</v>
      </c>
      <c r="HG53">
        <v>4.98845</v>
      </c>
      <c r="HH53">
        <v>3.28828</v>
      </c>
      <c r="HI53">
        <v>2708.1</v>
      </c>
      <c r="HJ53">
        <v>9999</v>
      </c>
      <c r="HK53">
        <v>9999</v>
      </c>
      <c r="HL53">
        <v>49.8</v>
      </c>
      <c r="HM53">
        <v>1.86721</v>
      </c>
      <c r="HN53">
        <v>1.86615</v>
      </c>
      <c r="HO53">
        <v>1.86575</v>
      </c>
      <c r="HP53">
        <v>1.86569</v>
      </c>
      <c r="HQ53">
        <v>1.8674</v>
      </c>
      <c r="HR53">
        <v>1.86996</v>
      </c>
      <c r="HS53">
        <v>1.8686</v>
      </c>
      <c r="HT53">
        <v>1.86998</v>
      </c>
      <c r="HU53">
        <v>0</v>
      </c>
      <c r="HV53">
        <v>0</v>
      </c>
      <c r="HW53">
        <v>0</v>
      </c>
      <c r="HX53">
        <v>0</v>
      </c>
      <c r="HY53" t="s">
        <v>421</v>
      </c>
      <c r="HZ53" t="s">
        <v>422</v>
      </c>
      <c r="IA53" t="s">
        <v>423</v>
      </c>
      <c r="IB53" t="s">
        <v>423</v>
      </c>
      <c r="IC53" t="s">
        <v>423</v>
      </c>
      <c r="ID53" t="s">
        <v>423</v>
      </c>
      <c r="IE53">
        <v>0</v>
      </c>
      <c r="IF53">
        <v>100</v>
      </c>
      <c r="IG53">
        <v>100</v>
      </c>
      <c r="IH53">
        <v>0.722</v>
      </c>
      <c r="II53">
        <v>0.0598</v>
      </c>
      <c r="IJ53">
        <v>1.257309091789605</v>
      </c>
      <c r="IK53">
        <v>-0.002185601614162945</v>
      </c>
      <c r="IL53">
        <v>-2.252308143750626E-07</v>
      </c>
      <c r="IM53">
        <v>5.915558436307541E-11</v>
      </c>
      <c r="IN53">
        <v>-0.118683452207699</v>
      </c>
      <c r="IO53">
        <v>-0.007570214193104963</v>
      </c>
      <c r="IP53">
        <v>0.0009214429922928372</v>
      </c>
      <c r="IQ53">
        <v>-1.392260276065805E-05</v>
      </c>
      <c r="IR53">
        <v>17</v>
      </c>
      <c r="IS53">
        <v>2272</v>
      </c>
      <c r="IT53">
        <v>1</v>
      </c>
      <c r="IU53">
        <v>31</v>
      </c>
      <c r="IV53">
        <v>5.8</v>
      </c>
      <c r="IW53">
        <v>6</v>
      </c>
      <c r="IX53">
        <v>0.646973</v>
      </c>
      <c r="IY53">
        <v>2.24121</v>
      </c>
      <c r="IZ53">
        <v>1.39648</v>
      </c>
      <c r="JA53">
        <v>2.35352</v>
      </c>
      <c r="JB53">
        <v>1.49536</v>
      </c>
      <c r="JC53">
        <v>2.30713</v>
      </c>
      <c r="JD53">
        <v>36.0113</v>
      </c>
      <c r="JE53">
        <v>15.3929</v>
      </c>
      <c r="JF53">
        <v>18</v>
      </c>
      <c r="JG53">
        <v>390.37</v>
      </c>
      <c r="JH53">
        <v>560.803</v>
      </c>
      <c r="JI53">
        <v>31.145</v>
      </c>
      <c r="JJ53">
        <v>30.3945</v>
      </c>
      <c r="JK53">
        <v>30.0006</v>
      </c>
      <c r="JL53">
        <v>30.3009</v>
      </c>
      <c r="JM53">
        <v>30.1996</v>
      </c>
      <c r="JN53">
        <v>12.9562</v>
      </c>
      <c r="JO53">
        <v>52.6531</v>
      </c>
      <c r="JP53">
        <v>0</v>
      </c>
      <c r="JQ53">
        <v>31.0171</v>
      </c>
      <c r="JR53">
        <v>219.404</v>
      </c>
      <c r="JS53">
        <v>9.951980000000001</v>
      </c>
      <c r="JT53">
        <v>100.019</v>
      </c>
      <c r="JU53">
        <v>100.132</v>
      </c>
    </row>
    <row r="54" spans="1:281">
      <c r="A54">
        <v>38</v>
      </c>
      <c r="B54">
        <v>1652371640.1</v>
      </c>
      <c r="C54">
        <v>3546.5</v>
      </c>
      <c r="D54" t="s">
        <v>543</v>
      </c>
      <c r="E54" t="s">
        <v>544</v>
      </c>
      <c r="F54">
        <v>5</v>
      </c>
      <c r="G54" t="s">
        <v>518</v>
      </c>
      <c r="H54" t="s">
        <v>414</v>
      </c>
      <c r="I54">
        <v>1652371632.6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238.3073054415141</v>
      </c>
      <c r="AK54">
        <v>233.0043999999998</v>
      </c>
      <c r="AL54">
        <v>-2.958647767572025</v>
      </c>
      <c r="AM54">
        <v>65.95105977519088</v>
      </c>
      <c r="AN54">
        <f>(AP54 - AO54 + DI54*1E3/(8.314*(DK54+273.15)) * AR54/DH54 * AQ54) * DH54/(100*CV54) * 1000/(1000 - AP54)</f>
        <v>0</v>
      </c>
      <c r="AO54">
        <v>9.766592206510122</v>
      </c>
      <c r="AP54">
        <v>25.8115013986014</v>
      </c>
      <c r="AQ54">
        <v>-0.0001767970267585891</v>
      </c>
      <c r="AR54">
        <v>81.26040297655408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417</v>
      </c>
      <c r="AY54" t="s">
        <v>417</v>
      </c>
      <c r="AZ54">
        <v>0</v>
      </c>
      <c r="BA54">
        <v>0</v>
      </c>
      <c r="BB54">
        <f>1-AZ54/BA54</f>
        <v>0</v>
      </c>
      <c r="BC54">
        <v>0</v>
      </c>
      <c r="BD54" t="s">
        <v>417</v>
      </c>
      <c r="BE54" t="s">
        <v>417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1393</v>
      </c>
      <c r="CA54">
        <v>300</v>
      </c>
      <c r="CB54">
        <v>300</v>
      </c>
      <c r="CC54">
        <v>300</v>
      </c>
      <c r="CD54">
        <v>10378</v>
      </c>
      <c r="CE54">
        <v>2050</v>
      </c>
      <c r="CF54">
        <v>-0.00730649</v>
      </c>
      <c r="CG54">
        <v>-4.53</v>
      </c>
      <c r="CH54" t="s">
        <v>417</v>
      </c>
      <c r="CI54" t="s">
        <v>417</v>
      </c>
      <c r="CJ54" t="s">
        <v>417</v>
      </c>
      <c r="CK54" t="s">
        <v>417</v>
      </c>
      <c r="CL54" t="s">
        <v>417</v>
      </c>
      <c r="CM54" t="s">
        <v>417</v>
      </c>
      <c r="CN54" t="s">
        <v>417</v>
      </c>
      <c r="CO54" t="s">
        <v>417</v>
      </c>
      <c r="CP54" t="s">
        <v>417</v>
      </c>
      <c r="CQ54" t="s">
        <v>417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418</v>
      </c>
      <c r="CY54">
        <v>2</v>
      </c>
      <c r="CZ54" t="b">
        <v>1</v>
      </c>
      <c r="DA54">
        <v>1652371632.6</v>
      </c>
      <c r="DB54">
        <v>247.1965555555555</v>
      </c>
      <c r="DC54">
        <v>248.050962962963</v>
      </c>
      <c r="DD54">
        <v>25.83094814814815</v>
      </c>
      <c r="DE54">
        <v>9.705636296296294</v>
      </c>
      <c r="DF54">
        <v>246.4909259259259</v>
      </c>
      <c r="DG54">
        <v>25.77104814814814</v>
      </c>
      <c r="DH54">
        <v>400.0687037037038</v>
      </c>
      <c r="DI54">
        <v>90.41252592592592</v>
      </c>
      <c r="DJ54">
        <v>0.09998841111111112</v>
      </c>
      <c r="DK54">
        <v>31.91712592592593</v>
      </c>
      <c r="DL54">
        <v>30.1466</v>
      </c>
      <c r="DM54">
        <v>999.9000000000001</v>
      </c>
      <c r="DN54">
        <v>0</v>
      </c>
      <c r="DO54">
        <v>0</v>
      </c>
      <c r="DP54">
        <v>9993.679629629629</v>
      </c>
      <c r="DQ54">
        <v>0</v>
      </c>
      <c r="DR54">
        <v>412.5388148148148</v>
      </c>
      <c r="DS54">
        <v>-0.8542939074074075</v>
      </c>
      <c r="DT54">
        <v>253.7514074074074</v>
      </c>
      <c r="DU54">
        <v>250.4805555555556</v>
      </c>
      <c r="DV54">
        <v>16.12532222222222</v>
      </c>
      <c r="DW54">
        <v>248.050962962963</v>
      </c>
      <c r="DX54">
        <v>9.705636296296294</v>
      </c>
      <c r="DY54">
        <v>2.335441111111111</v>
      </c>
      <c r="DZ54">
        <v>0.8775112222222222</v>
      </c>
      <c r="EA54">
        <v>19.92295555555556</v>
      </c>
      <c r="EB54">
        <v>5.026295925925925</v>
      </c>
      <c r="EC54">
        <v>1499.996296296296</v>
      </c>
      <c r="ED54">
        <v>0.9729986666666667</v>
      </c>
      <c r="EE54">
        <v>0.0270017</v>
      </c>
      <c r="EF54">
        <v>0</v>
      </c>
      <c r="EG54">
        <v>1166.00962962963</v>
      </c>
      <c r="EH54">
        <v>5.00097</v>
      </c>
      <c r="EI54">
        <v>18377.87777777778</v>
      </c>
      <c r="EJ54">
        <v>12491.55555555555</v>
      </c>
      <c r="EK54">
        <v>39.52525925925926</v>
      </c>
      <c r="EL54">
        <v>40.95099999999999</v>
      </c>
      <c r="EM54">
        <v>39.75</v>
      </c>
      <c r="EN54">
        <v>40.80281481481481</v>
      </c>
      <c r="EO54">
        <v>40.75</v>
      </c>
      <c r="EP54">
        <v>1454.625925925926</v>
      </c>
      <c r="EQ54">
        <v>40.37037037037036</v>
      </c>
      <c r="ER54">
        <v>0</v>
      </c>
      <c r="ES54">
        <v>473.7999999523163</v>
      </c>
      <c r="ET54">
        <v>0</v>
      </c>
      <c r="EU54">
        <v>1167.147692307692</v>
      </c>
      <c r="EV54">
        <v>-265.1514531738485</v>
      </c>
      <c r="EW54">
        <v>-4141.312823472704</v>
      </c>
      <c r="EX54">
        <v>18393.56923076923</v>
      </c>
      <c r="EY54">
        <v>15</v>
      </c>
      <c r="EZ54">
        <v>1652371289.6</v>
      </c>
      <c r="FA54" t="s">
        <v>515</v>
      </c>
      <c r="FB54">
        <v>1652371289.6</v>
      </c>
      <c r="FC54">
        <v>1652371275.1</v>
      </c>
      <c r="FD54">
        <v>24</v>
      </c>
      <c r="FE54">
        <v>0.442</v>
      </c>
      <c r="FF54">
        <v>0.001</v>
      </c>
      <c r="FG54">
        <v>-2.63</v>
      </c>
      <c r="FH54">
        <v>0.007</v>
      </c>
      <c r="FI54">
        <v>1620</v>
      </c>
      <c r="FJ54">
        <v>22</v>
      </c>
      <c r="FK54">
        <v>0.08</v>
      </c>
      <c r="FL54">
        <v>0.04</v>
      </c>
      <c r="FM54">
        <v>-2.2458142875</v>
      </c>
      <c r="FN54">
        <v>25.75615891744842</v>
      </c>
      <c r="FO54">
        <v>2.477781213786797</v>
      </c>
      <c r="FP54">
        <v>-1</v>
      </c>
      <c r="FQ54">
        <v>16.21742</v>
      </c>
      <c r="FR54">
        <v>-1.661711819887476</v>
      </c>
      <c r="FS54">
        <v>0.1603541100190453</v>
      </c>
      <c r="FT54">
        <v>0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1</v>
      </c>
      <c r="GA54" t="s">
        <v>432</v>
      </c>
      <c r="GB54">
        <v>2.69595</v>
      </c>
      <c r="GC54">
        <v>2.70512</v>
      </c>
      <c r="GD54">
        <v>0.0560837</v>
      </c>
      <c r="GE54">
        <v>0.0551725</v>
      </c>
      <c r="GF54">
        <v>0.111625</v>
      </c>
      <c r="GG54">
        <v>0.0550888</v>
      </c>
      <c r="GH54">
        <v>29695</v>
      </c>
      <c r="GI54">
        <v>29853.2</v>
      </c>
      <c r="GJ54">
        <v>29262.2</v>
      </c>
      <c r="GK54">
        <v>29236.6</v>
      </c>
      <c r="GL54">
        <v>34413.4</v>
      </c>
      <c r="GM54">
        <v>36779.3</v>
      </c>
      <c r="GN54">
        <v>41185</v>
      </c>
      <c r="GO54">
        <v>41714</v>
      </c>
      <c r="GP54">
        <v>1.73142</v>
      </c>
      <c r="GQ54">
        <v>2.02685</v>
      </c>
      <c r="GR54">
        <v>0.06886200000000001</v>
      </c>
      <c r="GS54">
        <v>0</v>
      </c>
      <c r="GT54">
        <v>29.0266</v>
      </c>
      <c r="GU54">
        <v>999.9</v>
      </c>
      <c r="GV54">
        <v>44.3</v>
      </c>
      <c r="GW54">
        <v>32.6</v>
      </c>
      <c r="GX54">
        <v>24.2025</v>
      </c>
      <c r="GY54">
        <v>63.2279</v>
      </c>
      <c r="GZ54">
        <v>29.8758</v>
      </c>
      <c r="HA54">
        <v>1</v>
      </c>
      <c r="HB54">
        <v>0.228897</v>
      </c>
      <c r="HC54">
        <v>0.425934</v>
      </c>
      <c r="HD54">
        <v>20.3807</v>
      </c>
      <c r="HE54">
        <v>5.21549</v>
      </c>
      <c r="HF54">
        <v>12.0099</v>
      </c>
      <c r="HG54">
        <v>4.9886</v>
      </c>
      <c r="HH54">
        <v>3.2883</v>
      </c>
      <c r="HI54">
        <v>2708.1</v>
      </c>
      <c r="HJ54">
        <v>9999</v>
      </c>
      <c r="HK54">
        <v>9999</v>
      </c>
      <c r="HL54">
        <v>49.8</v>
      </c>
      <c r="HM54">
        <v>1.86719</v>
      </c>
      <c r="HN54">
        <v>1.86615</v>
      </c>
      <c r="HO54">
        <v>1.86571</v>
      </c>
      <c r="HP54">
        <v>1.86566</v>
      </c>
      <c r="HQ54">
        <v>1.8674</v>
      </c>
      <c r="HR54">
        <v>1.86996</v>
      </c>
      <c r="HS54">
        <v>1.8686</v>
      </c>
      <c r="HT54">
        <v>1.86996</v>
      </c>
      <c r="HU54">
        <v>0</v>
      </c>
      <c r="HV54">
        <v>0</v>
      </c>
      <c r="HW54">
        <v>0</v>
      </c>
      <c r="HX54">
        <v>0</v>
      </c>
      <c r="HY54" t="s">
        <v>421</v>
      </c>
      <c r="HZ54" t="s">
        <v>422</v>
      </c>
      <c r="IA54" t="s">
        <v>423</v>
      </c>
      <c r="IB54" t="s">
        <v>423</v>
      </c>
      <c r="IC54" t="s">
        <v>423</v>
      </c>
      <c r="ID54" t="s">
        <v>423</v>
      </c>
      <c r="IE54">
        <v>0</v>
      </c>
      <c r="IF54">
        <v>100</v>
      </c>
      <c r="IG54">
        <v>100</v>
      </c>
      <c r="IH54">
        <v>0.756</v>
      </c>
      <c r="II54">
        <v>0.0596</v>
      </c>
      <c r="IJ54">
        <v>1.257309091789605</v>
      </c>
      <c r="IK54">
        <v>-0.002185601614162945</v>
      </c>
      <c r="IL54">
        <v>-2.252308143750626E-07</v>
      </c>
      <c r="IM54">
        <v>5.915558436307541E-11</v>
      </c>
      <c r="IN54">
        <v>-0.118683452207699</v>
      </c>
      <c r="IO54">
        <v>-0.007570214193104963</v>
      </c>
      <c r="IP54">
        <v>0.0009214429922928372</v>
      </c>
      <c r="IQ54">
        <v>-1.392260276065805E-05</v>
      </c>
      <c r="IR54">
        <v>17</v>
      </c>
      <c r="IS54">
        <v>2272</v>
      </c>
      <c r="IT54">
        <v>1</v>
      </c>
      <c r="IU54">
        <v>31</v>
      </c>
      <c r="IV54">
        <v>5.8</v>
      </c>
      <c r="IW54">
        <v>6.1</v>
      </c>
      <c r="IX54">
        <v>0.610352</v>
      </c>
      <c r="IY54">
        <v>2.24121</v>
      </c>
      <c r="IZ54">
        <v>1.39648</v>
      </c>
      <c r="JA54">
        <v>2.35352</v>
      </c>
      <c r="JB54">
        <v>1.49536</v>
      </c>
      <c r="JC54">
        <v>2.35474</v>
      </c>
      <c r="JD54">
        <v>36.0113</v>
      </c>
      <c r="JE54">
        <v>15.4016</v>
      </c>
      <c r="JF54">
        <v>18</v>
      </c>
      <c r="JG54">
        <v>390.161</v>
      </c>
      <c r="JH54">
        <v>561.151</v>
      </c>
      <c r="JI54">
        <v>30.9975</v>
      </c>
      <c r="JJ54">
        <v>30.3988</v>
      </c>
      <c r="JK54">
        <v>30.0007</v>
      </c>
      <c r="JL54">
        <v>30.3041</v>
      </c>
      <c r="JM54">
        <v>30.2028</v>
      </c>
      <c r="JN54">
        <v>12.2042</v>
      </c>
      <c r="JO54">
        <v>52.3741</v>
      </c>
      <c r="JP54">
        <v>0</v>
      </c>
      <c r="JQ54">
        <v>30.868</v>
      </c>
      <c r="JR54">
        <v>199.367</v>
      </c>
      <c r="JS54">
        <v>10.0895</v>
      </c>
      <c r="JT54">
        <v>100.02</v>
      </c>
      <c r="JU54">
        <v>100.132</v>
      </c>
    </row>
    <row r="55" spans="1:281">
      <c r="A55">
        <v>39</v>
      </c>
      <c r="B55">
        <v>1652371645.1</v>
      </c>
      <c r="C55">
        <v>3551.5</v>
      </c>
      <c r="D55" t="s">
        <v>545</v>
      </c>
      <c r="E55" t="s">
        <v>546</v>
      </c>
      <c r="F55">
        <v>5</v>
      </c>
      <c r="G55" t="s">
        <v>518</v>
      </c>
      <c r="H55" t="s">
        <v>414</v>
      </c>
      <c r="I55">
        <v>1652371637.314285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221.6817518236217</v>
      </c>
      <c r="AK55">
        <v>218.2720181818181</v>
      </c>
      <c r="AL55">
        <v>-2.945203269745571</v>
      </c>
      <c r="AM55">
        <v>65.95105977519088</v>
      </c>
      <c r="AN55">
        <f>(AP55 - AO55 + DI55*1E3/(8.314*(DK55+273.15)) * AR55/DH55 * AQ55) * DH55/(100*CV55) * 1000/(1000 - AP55)</f>
        <v>0</v>
      </c>
      <c r="AO55">
        <v>9.937586198341529</v>
      </c>
      <c r="AP55">
        <v>25.81347342657343</v>
      </c>
      <c r="AQ55">
        <v>-0.001194428321704812</v>
      </c>
      <c r="AR55">
        <v>81.26040297655408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417</v>
      </c>
      <c r="AY55" t="s">
        <v>417</v>
      </c>
      <c r="AZ55">
        <v>0</v>
      </c>
      <c r="BA55">
        <v>0</v>
      </c>
      <c r="BB55">
        <f>1-AZ55/BA55</f>
        <v>0</v>
      </c>
      <c r="BC55">
        <v>0</v>
      </c>
      <c r="BD55" t="s">
        <v>417</v>
      </c>
      <c r="BE55" t="s">
        <v>417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1393</v>
      </c>
      <c r="CA55">
        <v>300</v>
      </c>
      <c r="CB55">
        <v>300</v>
      </c>
      <c r="CC55">
        <v>300</v>
      </c>
      <c r="CD55">
        <v>10378</v>
      </c>
      <c r="CE55">
        <v>2050</v>
      </c>
      <c r="CF55">
        <v>-0.00730649</v>
      </c>
      <c r="CG55">
        <v>-4.53</v>
      </c>
      <c r="CH55" t="s">
        <v>417</v>
      </c>
      <c r="CI55" t="s">
        <v>417</v>
      </c>
      <c r="CJ55" t="s">
        <v>417</v>
      </c>
      <c r="CK55" t="s">
        <v>417</v>
      </c>
      <c r="CL55" t="s">
        <v>417</v>
      </c>
      <c r="CM55" t="s">
        <v>417</v>
      </c>
      <c r="CN55" t="s">
        <v>417</v>
      </c>
      <c r="CO55" t="s">
        <v>417</v>
      </c>
      <c r="CP55" t="s">
        <v>417</v>
      </c>
      <c r="CQ55" t="s">
        <v>417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418</v>
      </c>
      <c r="CY55">
        <v>2</v>
      </c>
      <c r="CZ55" t="b">
        <v>1</v>
      </c>
      <c r="DA55">
        <v>1652371637.314285</v>
      </c>
      <c r="DB55">
        <v>233.5986785714286</v>
      </c>
      <c r="DC55">
        <v>232.4327142857143</v>
      </c>
      <c r="DD55">
        <v>25.82097142857143</v>
      </c>
      <c r="DE55">
        <v>9.830947857142856</v>
      </c>
      <c r="DF55">
        <v>232.8618571428571</v>
      </c>
      <c r="DG55">
        <v>25.76118214285714</v>
      </c>
      <c r="DH55">
        <v>400.0802857142857</v>
      </c>
      <c r="DI55">
        <v>90.41249285714287</v>
      </c>
      <c r="DJ55">
        <v>0.09996759642857142</v>
      </c>
      <c r="DK55">
        <v>31.90291071428571</v>
      </c>
      <c r="DL55">
        <v>30.14466428571429</v>
      </c>
      <c r="DM55">
        <v>999.9000000000002</v>
      </c>
      <c r="DN55">
        <v>0</v>
      </c>
      <c r="DO55">
        <v>0</v>
      </c>
      <c r="DP55">
        <v>10001.29321428572</v>
      </c>
      <c r="DQ55">
        <v>0</v>
      </c>
      <c r="DR55">
        <v>413.3233928571429</v>
      </c>
      <c r="DS55">
        <v>1.166013017857143</v>
      </c>
      <c r="DT55">
        <v>239.7904642857143</v>
      </c>
      <c r="DU55">
        <v>234.7386071428571</v>
      </c>
      <c r="DV55">
        <v>15.99002857142857</v>
      </c>
      <c r="DW55">
        <v>232.4327142857143</v>
      </c>
      <c r="DX55">
        <v>9.830947857142856</v>
      </c>
      <c r="DY55">
        <v>2.334538214285714</v>
      </c>
      <c r="DZ55">
        <v>0.8888404642857143</v>
      </c>
      <c r="EA55">
        <v>19.91671785714286</v>
      </c>
      <c r="EB55">
        <v>5.210196785714286</v>
      </c>
      <c r="EC55">
        <v>1500.001428571429</v>
      </c>
      <c r="ED55">
        <v>0.9729993214285715</v>
      </c>
      <c r="EE55">
        <v>0.02700099285714286</v>
      </c>
      <c r="EF55">
        <v>0</v>
      </c>
      <c r="EG55">
        <v>1145.371785714286</v>
      </c>
      <c r="EH55">
        <v>5.00097</v>
      </c>
      <c r="EI55">
        <v>18061.50357142857</v>
      </c>
      <c r="EJ55">
        <v>12491.60357142857</v>
      </c>
      <c r="EK55">
        <v>39.54428571428571</v>
      </c>
      <c r="EL55">
        <v>40.95949999999998</v>
      </c>
      <c r="EM55">
        <v>39.75</v>
      </c>
      <c r="EN55">
        <v>40.80757142857142</v>
      </c>
      <c r="EO55">
        <v>40.75</v>
      </c>
      <c r="EP55">
        <v>1454.631785714286</v>
      </c>
      <c r="EQ55">
        <v>40.36785714285713</v>
      </c>
      <c r="ER55">
        <v>0</v>
      </c>
      <c r="ES55">
        <v>479.1999998092651</v>
      </c>
      <c r="ET55">
        <v>0</v>
      </c>
      <c r="EU55">
        <v>1142.1644</v>
      </c>
      <c r="EV55">
        <v>-260.534615775545</v>
      </c>
      <c r="EW55">
        <v>-3991.123082851539</v>
      </c>
      <c r="EX55">
        <v>18011.392</v>
      </c>
      <c r="EY55">
        <v>15</v>
      </c>
      <c r="EZ55">
        <v>1652371289.6</v>
      </c>
      <c r="FA55" t="s">
        <v>515</v>
      </c>
      <c r="FB55">
        <v>1652371289.6</v>
      </c>
      <c r="FC55">
        <v>1652371275.1</v>
      </c>
      <c r="FD55">
        <v>24</v>
      </c>
      <c r="FE55">
        <v>0.442</v>
      </c>
      <c r="FF55">
        <v>0.001</v>
      </c>
      <c r="FG55">
        <v>-2.63</v>
      </c>
      <c r="FH55">
        <v>0.007</v>
      </c>
      <c r="FI55">
        <v>1620</v>
      </c>
      <c r="FJ55">
        <v>22</v>
      </c>
      <c r="FK55">
        <v>0.08</v>
      </c>
      <c r="FL55">
        <v>0.04</v>
      </c>
      <c r="FM55">
        <v>0.001607768292682937</v>
      </c>
      <c r="FN55">
        <v>25.78576381881532</v>
      </c>
      <c r="FO55">
        <v>2.542654812163671</v>
      </c>
      <c r="FP55">
        <v>-1</v>
      </c>
      <c r="FQ55">
        <v>16.06386097560976</v>
      </c>
      <c r="FR55">
        <v>-1.731261324041844</v>
      </c>
      <c r="FS55">
        <v>0.1715982785717978</v>
      </c>
      <c r="FT55">
        <v>0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1</v>
      </c>
      <c r="GA55" t="s">
        <v>432</v>
      </c>
      <c r="GB55">
        <v>2.69606</v>
      </c>
      <c r="GC55">
        <v>2.70525</v>
      </c>
      <c r="GD55">
        <v>0.0529077</v>
      </c>
      <c r="GE55">
        <v>0.05156</v>
      </c>
      <c r="GF55">
        <v>0.111622</v>
      </c>
      <c r="GG55">
        <v>0.0554966</v>
      </c>
      <c r="GH55">
        <v>29794.3</v>
      </c>
      <c r="GI55">
        <v>29966.8</v>
      </c>
      <c r="GJ55">
        <v>29261.7</v>
      </c>
      <c r="GK55">
        <v>29236</v>
      </c>
      <c r="GL55">
        <v>34413</v>
      </c>
      <c r="GM55">
        <v>36762.4</v>
      </c>
      <c r="GN55">
        <v>41184.3</v>
      </c>
      <c r="GO55">
        <v>41713</v>
      </c>
      <c r="GP55">
        <v>1.73135</v>
      </c>
      <c r="GQ55">
        <v>2.02685</v>
      </c>
      <c r="GR55">
        <v>0.06739050000000001</v>
      </c>
      <c r="GS55">
        <v>0</v>
      </c>
      <c r="GT55">
        <v>29.0335</v>
      </c>
      <c r="GU55">
        <v>999.9</v>
      </c>
      <c r="GV55">
        <v>44.3</v>
      </c>
      <c r="GW55">
        <v>32.6</v>
      </c>
      <c r="GX55">
        <v>24.2014</v>
      </c>
      <c r="GY55">
        <v>63.5079</v>
      </c>
      <c r="GZ55">
        <v>29.9119</v>
      </c>
      <c r="HA55">
        <v>1</v>
      </c>
      <c r="HB55">
        <v>0.229403</v>
      </c>
      <c r="HC55">
        <v>0.521114</v>
      </c>
      <c r="HD55">
        <v>20.3802</v>
      </c>
      <c r="HE55">
        <v>5.21474</v>
      </c>
      <c r="HF55">
        <v>12.0099</v>
      </c>
      <c r="HG55">
        <v>4.9884</v>
      </c>
      <c r="HH55">
        <v>3.28833</v>
      </c>
      <c r="HI55">
        <v>2708.1</v>
      </c>
      <c r="HJ55">
        <v>9999</v>
      </c>
      <c r="HK55">
        <v>9999</v>
      </c>
      <c r="HL55">
        <v>49.8</v>
      </c>
      <c r="HM55">
        <v>1.8672</v>
      </c>
      <c r="HN55">
        <v>1.86615</v>
      </c>
      <c r="HO55">
        <v>1.86572</v>
      </c>
      <c r="HP55">
        <v>1.86568</v>
      </c>
      <c r="HQ55">
        <v>1.8674</v>
      </c>
      <c r="HR55">
        <v>1.86996</v>
      </c>
      <c r="HS55">
        <v>1.86859</v>
      </c>
      <c r="HT55">
        <v>1.86997</v>
      </c>
      <c r="HU55">
        <v>0</v>
      </c>
      <c r="HV55">
        <v>0</v>
      </c>
      <c r="HW55">
        <v>0</v>
      </c>
      <c r="HX55">
        <v>0</v>
      </c>
      <c r="HY55" t="s">
        <v>421</v>
      </c>
      <c r="HZ55" t="s">
        <v>422</v>
      </c>
      <c r="IA55" t="s">
        <v>423</v>
      </c>
      <c r="IB55" t="s">
        <v>423</v>
      </c>
      <c r="IC55" t="s">
        <v>423</v>
      </c>
      <c r="ID55" t="s">
        <v>423</v>
      </c>
      <c r="IE55">
        <v>0</v>
      </c>
      <c r="IF55">
        <v>100</v>
      </c>
      <c r="IG55">
        <v>100</v>
      </c>
      <c r="IH55">
        <v>0.788</v>
      </c>
      <c r="II55">
        <v>0.0596</v>
      </c>
      <c r="IJ55">
        <v>1.257309091789605</v>
      </c>
      <c r="IK55">
        <v>-0.002185601614162945</v>
      </c>
      <c r="IL55">
        <v>-2.252308143750626E-07</v>
      </c>
      <c r="IM55">
        <v>5.915558436307541E-11</v>
      </c>
      <c r="IN55">
        <v>-0.118683452207699</v>
      </c>
      <c r="IO55">
        <v>-0.007570214193104963</v>
      </c>
      <c r="IP55">
        <v>0.0009214429922928372</v>
      </c>
      <c r="IQ55">
        <v>-1.392260276065805E-05</v>
      </c>
      <c r="IR55">
        <v>17</v>
      </c>
      <c r="IS55">
        <v>2272</v>
      </c>
      <c r="IT55">
        <v>1</v>
      </c>
      <c r="IU55">
        <v>31</v>
      </c>
      <c r="IV55">
        <v>5.9</v>
      </c>
      <c r="IW55">
        <v>6.2</v>
      </c>
      <c r="IX55">
        <v>0.578613</v>
      </c>
      <c r="IY55">
        <v>2.24731</v>
      </c>
      <c r="IZ55">
        <v>1.39648</v>
      </c>
      <c r="JA55">
        <v>2.35352</v>
      </c>
      <c r="JB55">
        <v>1.49536</v>
      </c>
      <c r="JC55">
        <v>2.30103</v>
      </c>
      <c r="JD55">
        <v>36.0113</v>
      </c>
      <c r="JE55">
        <v>15.4016</v>
      </c>
      <c r="JF55">
        <v>18</v>
      </c>
      <c r="JG55">
        <v>390.137</v>
      </c>
      <c r="JH55">
        <v>561.181</v>
      </c>
      <c r="JI55">
        <v>30.8461</v>
      </c>
      <c r="JJ55">
        <v>30.4024</v>
      </c>
      <c r="JK55">
        <v>30.0006</v>
      </c>
      <c r="JL55">
        <v>30.3067</v>
      </c>
      <c r="JM55">
        <v>30.206</v>
      </c>
      <c r="JN55">
        <v>11.5201</v>
      </c>
      <c r="JO55">
        <v>51.7622</v>
      </c>
      <c r="JP55">
        <v>0</v>
      </c>
      <c r="JQ55">
        <v>30.7277</v>
      </c>
      <c r="JR55">
        <v>185.91</v>
      </c>
      <c r="JS55">
        <v>10.2123</v>
      </c>
      <c r="JT55">
        <v>100.019</v>
      </c>
      <c r="JU55">
        <v>100.13</v>
      </c>
    </row>
    <row r="56" spans="1:281">
      <c r="A56">
        <v>40</v>
      </c>
      <c r="B56">
        <v>1652371650.1</v>
      </c>
      <c r="C56">
        <v>3556.5</v>
      </c>
      <c r="D56" t="s">
        <v>547</v>
      </c>
      <c r="E56" t="s">
        <v>548</v>
      </c>
      <c r="F56">
        <v>5</v>
      </c>
      <c r="G56" t="s">
        <v>518</v>
      </c>
      <c r="H56" t="s">
        <v>414</v>
      </c>
      <c r="I56">
        <v>1652371642.6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205.0080227522165</v>
      </c>
      <c r="AK56">
        <v>203.5456909090909</v>
      </c>
      <c r="AL56">
        <v>-2.94602933607374</v>
      </c>
      <c r="AM56">
        <v>65.95105977519088</v>
      </c>
      <c r="AN56">
        <f>(AP56 - AO56 + DI56*1E3/(8.314*(DK56+273.15)) * AR56/DH56 * AQ56) * DH56/(100*CV56) * 1000/(1000 - AP56)</f>
        <v>0</v>
      </c>
      <c r="AO56">
        <v>10.03095501850231</v>
      </c>
      <c r="AP56">
        <v>25.79395944055947</v>
      </c>
      <c r="AQ56">
        <v>-0.0003923716193625974</v>
      </c>
      <c r="AR56">
        <v>81.26040297655408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417</v>
      </c>
      <c r="AY56" t="s">
        <v>417</v>
      </c>
      <c r="AZ56">
        <v>0</v>
      </c>
      <c r="BA56">
        <v>0</v>
      </c>
      <c r="BB56">
        <f>1-AZ56/BA56</f>
        <v>0</v>
      </c>
      <c r="BC56">
        <v>0</v>
      </c>
      <c r="BD56" t="s">
        <v>417</v>
      </c>
      <c r="BE56" t="s">
        <v>417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1393</v>
      </c>
      <c r="CA56">
        <v>300</v>
      </c>
      <c r="CB56">
        <v>300</v>
      </c>
      <c r="CC56">
        <v>300</v>
      </c>
      <c r="CD56">
        <v>10378</v>
      </c>
      <c r="CE56">
        <v>2050</v>
      </c>
      <c r="CF56">
        <v>-0.00730649</v>
      </c>
      <c r="CG56">
        <v>-4.53</v>
      </c>
      <c r="CH56" t="s">
        <v>417</v>
      </c>
      <c r="CI56" t="s">
        <v>417</v>
      </c>
      <c r="CJ56" t="s">
        <v>417</v>
      </c>
      <c r="CK56" t="s">
        <v>417</v>
      </c>
      <c r="CL56" t="s">
        <v>417</v>
      </c>
      <c r="CM56" t="s">
        <v>417</v>
      </c>
      <c r="CN56" t="s">
        <v>417</v>
      </c>
      <c r="CO56" t="s">
        <v>417</v>
      </c>
      <c r="CP56" t="s">
        <v>417</v>
      </c>
      <c r="CQ56" t="s">
        <v>417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418</v>
      </c>
      <c r="CY56">
        <v>2</v>
      </c>
      <c r="CZ56" t="b">
        <v>1</v>
      </c>
      <c r="DA56">
        <v>1652371642.6</v>
      </c>
      <c r="DB56">
        <v>218.3889629629629</v>
      </c>
      <c r="DC56">
        <v>214.9797407407408</v>
      </c>
      <c r="DD56">
        <v>25.81138148148148</v>
      </c>
      <c r="DE56">
        <v>9.974536296296296</v>
      </c>
      <c r="DF56">
        <v>217.6172962962963</v>
      </c>
      <c r="DG56">
        <v>25.7517</v>
      </c>
      <c r="DH56">
        <v>400.079</v>
      </c>
      <c r="DI56">
        <v>90.41164074074074</v>
      </c>
      <c r="DJ56">
        <v>0.09996296296296296</v>
      </c>
      <c r="DK56">
        <v>31.8829</v>
      </c>
      <c r="DL56">
        <v>30.13955185185185</v>
      </c>
      <c r="DM56">
        <v>999.9000000000001</v>
      </c>
      <c r="DN56">
        <v>0</v>
      </c>
      <c r="DO56">
        <v>0</v>
      </c>
      <c r="DP56">
        <v>9999.793703703703</v>
      </c>
      <c r="DQ56">
        <v>0</v>
      </c>
      <c r="DR56">
        <v>411.2399629629629</v>
      </c>
      <c r="DS56">
        <v>3.409288518518519</v>
      </c>
      <c r="DT56">
        <v>224.1754074074074</v>
      </c>
      <c r="DU56">
        <v>217.1440740740741</v>
      </c>
      <c r="DV56">
        <v>15.83685555555556</v>
      </c>
      <c r="DW56">
        <v>214.9797407407408</v>
      </c>
      <c r="DX56">
        <v>9.974536296296296</v>
      </c>
      <c r="DY56">
        <v>2.333648888888889</v>
      </c>
      <c r="DZ56">
        <v>0.9018135185185185</v>
      </c>
      <c r="EA56">
        <v>19.91057777777778</v>
      </c>
      <c r="EB56">
        <v>5.41895037037037</v>
      </c>
      <c r="EC56">
        <v>1500.011481481481</v>
      </c>
      <c r="ED56">
        <v>0.9729999629629631</v>
      </c>
      <c r="EE56">
        <v>0.0270003</v>
      </c>
      <c r="EF56">
        <v>0</v>
      </c>
      <c r="EG56">
        <v>1122.702962962963</v>
      </c>
      <c r="EH56">
        <v>5.00097</v>
      </c>
      <c r="EI56">
        <v>17710.37037037037</v>
      </c>
      <c r="EJ56">
        <v>12491.6962962963</v>
      </c>
      <c r="EK56">
        <v>39.5551111111111</v>
      </c>
      <c r="EL56">
        <v>40.97666666666666</v>
      </c>
      <c r="EM56">
        <v>39.75</v>
      </c>
      <c r="EN56">
        <v>40.8074074074074</v>
      </c>
      <c r="EO56">
        <v>40.75</v>
      </c>
      <c r="EP56">
        <v>1454.644074074074</v>
      </c>
      <c r="EQ56">
        <v>40.36481481481481</v>
      </c>
      <c r="ER56">
        <v>0</v>
      </c>
      <c r="ES56">
        <v>484</v>
      </c>
      <c r="ET56">
        <v>0</v>
      </c>
      <c r="EU56">
        <v>1121.6296</v>
      </c>
      <c r="EV56">
        <v>-253.4707688406392</v>
      </c>
      <c r="EW56">
        <v>-3781.192301794804</v>
      </c>
      <c r="EX56">
        <v>17695.104</v>
      </c>
      <c r="EY56">
        <v>15</v>
      </c>
      <c r="EZ56">
        <v>1652371289.6</v>
      </c>
      <c r="FA56" t="s">
        <v>515</v>
      </c>
      <c r="FB56">
        <v>1652371289.6</v>
      </c>
      <c r="FC56">
        <v>1652371275.1</v>
      </c>
      <c r="FD56">
        <v>24</v>
      </c>
      <c r="FE56">
        <v>0.442</v>
      </c>
      <c r="FF56">
        <v>0.001</v>
      </c>
      <c r="FG56">
        <v>-2.63</v>
      </c>
      <c r="FH56">
        <v>0.007</v>
      </c>
      <c r="FI56">
        <v>1620</v>
      </c>
      <c r="FJ56">
        <v>22</v>
      </c>
      <c r="FK56">
        <v>0.08</v>
      </c>
      <c r="FL56">
        <v>0.04</v>
      </c>
      <c r="FM56">
        <v>2.125561670731707</v>
      </c>
      <c r="FN56">
        <v>25.38959688501742</v>
      </c>
      <c r="FO56">
        <v>2.504751009369905</v>
      </c>
      <c r="FP56">
        <v>-1</v>
      </c>
      <c r="FQ56">
        <v>15.92780487804878</v>
      </c>
      <c r="FR56">
        <v>-1.740045993031377</v>
      </c>
      <c r="FS56">
        <v>0.1724864080204999</v>
      </c>
      <c r="FT56">
        <v>0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1</v>
      </c>
      <c r="GA56" t="s">
        <v>432</v>
      </c>
      <c r="GB56">
        <v>2.69605</v>
      </c>
      <c r="GC56">
        <v>2.70487</v>
      </c>
      <c r="GD56">
        <v>0.0496751</v>
      </c>
      <c r="GE56">
        <v>0.0479581</v>
      </c>
      <c r="GF56">
        <v>0.111561</v>
      </c>
      <c r="GG56">
        <v>0.0561235</v>
      </c>
      <c r="GH56">
        <v>29895.9</v>
      </c>
      <c r="GI56">
        <v>30080.8</v>
      </c>
      <c r="GJ56">
        <v>29261.6</v>
      </c>
      <c r="GK56">
        <v>29236.3</v>
      </c>
      <c r="GL56">
        <v>34415.3</v>
      </c>
      <c r="GM56">
        <v>36738.2</v>
      </c>
      <c r="GN56">
        <v>41184.4</v>
      </c>
      <c r="GO56">
        <v>41713.4</v>
      </c>
      <c r="GP56">
        <v>1.73097</v>
      </c>
      <c r="GQ56">
        <v>2.0269</v>
      </c>
      <c r="GR56">
        <v>0.06688760000000001</v>
      </c>
      <c r="GS56">
        <v>0</v>
      </c>
      <c r="GT56">
        <v>29.0385</v>
      </c>
      <c r="GU56">
        <v>999.9</v>
      </c>
      <c r="GV56">
        <v>44.3</v>
      </c>
      <c r="GW56">
        <v>32.6</v>
      </c>
      <c r="GX56">
        <v>24.2029</v>
      </c>
      <c r="GY56">
        <v>63.2779</v>
      </c>
      <c r="GZ56">
        <v>29.6955</v>
      </c>
      <c r="HA56">
        <v>1</v>
      </c>
      <c r="HB56">
        <v>0.229756</v>
      </c>
      <c r="HC56">
        <v>0.572037</v>
      </c>
      <c r="HD56">
        <v>20.3796</v>
      </c>
      <c r="HE56">
        <v>5.2107</v>
      </c>
      <c r="HF56">
        <v>12.0099</v>
      </c>
      <c r="HG56">
        <v>4.98685</v>
      </c>
      <c r="HH56">
        <v>3.2874</v>
      </c>
      <c r="HI56">
        <v>2708.3</v>
      </c>
      <c r="HJ56">
        <v>9999</v>
      </c>
      <c r="HK56">
        <v>9999</v>
      </c>
      <c r="HL56">
        <v>49.9</v>
      </c>
      <c r="HM56">
        <v>1.86721</v>
      </c>
      <c r="HN56">
        <v>1.86615</v>
      </c>
      <c r="HO56">
        <v>1.86572</v>
      </c>
      <c r="HP56">
        <v>1.86568</v>
      </c>
      <c r="HQ56">
        <v>1.86739</v>
      </c>
      <c r="HR56">
        <v>1.86997</v>
      </c>
      <c r="HS56">
        <v>1.86859</v>
      </c>
      <c r="HT56">
        <v>1.86996</v>
      </c>
      <c r="HU56">
        <v>0</v>
      </c>
      <c r="HV56">
        <v>0</v>
      </c>
      <c r="HW56">
        <v>0</v>
      </c>
      <c r="HX56">
        <v>0</v>
      </c>
      <c r="HY56" t="s">
        <v>421</v>
      </c>
      <c r="HZ56" t="s">
        <v>422</v>
      </c>
      <c r="IA56" t="s">
        <v>423</v>
      </c>
      <c r="IB56" t="s">
        <v>423</v>
      </c>
      <c r="IC56" t="s">
        <v>423</v>
      </c>
      <c r="ID56" t="s">
        <v>423</v>
      </c>
      <c r="IE56">
        <v>0</v>
      </c>
      <c r="IF56">
        <v>100</v>
      </c>
      <c r="IG56">
        <v>100</v>
      </c>
      <c r="IH56">
        <v>0.82</v>
      </c>
      <c r="II56">
        <v>0.0595</v>
      </c>
      <c r="IJ56">
        <v>1.257309091789605</v>
      </c>
      <c r="IK56">
        <v>-0.002185601614162945</v>
      </c>
      <c r="IL56">
        <v>-2.252308143750626E-07</v>
      </c>
      <c r="IM56">
        <v>5.915558436307541E-11</v>
      </c>
      <c r="IN56">
        <v>-0.118683452207699</v>
      </c>
      <c r="IO56">
        <v>-0.007570214193104963</v>
      </c>
      <c r="IP56">
        <v>0.0009214429922928372</v>
      </c>
      <c r="IQ56">
        <v>-1.392260276065805E-05</v>
      </c>
      <c r="IR56">
        <v>17</v>
      </c>
      <c r="IS56">
        <v>2272</v>
      </c>
      <c r="IT56">
        <v>1</v>
      </c>
      <c r="IU56">
        <v>31</v>
      </c>
      <c r="IV56">
        <v>6</v>
      </c>
      <c r="IW56">
        <v>6.2</v>
      </c>
      <c r="IX56">
        <v>0.5371089999999999</v>
      </c>
      <c r="IY56">
        <v>2.25464</v>
      </c>
      <c r="IZ56">
        <v>1.39648</v>
      </c>
      <c r="JA56">
        <v>2.35352</v>
      </c>
      <c r="JB56">
        <v>1.49536</v>
      </c>
      <c r="JC56">
        <v>2.28394</v>
      </c>
      <c r="JD56">
        <v>36.0113</v>
      </c>
      <c r="JE56">
        <v>15.3929</v>
      </c>
      <c r="JF56">
        <v>18</v>
      </c>
      <c r="JG56">
        <v>389.957</v>
      </c>
      <c r="JH56">
        <v>561.245</v>
      </c>
      <c r="JI56">
        <v>30.701</v>
      </c>
      <c r="JJ56">
        <v>30.4067</v>
      </c>
      <c r="JK56">
        <v>30.0004</v>
      </c>
      <c r="JL56">
        <v>30.3103</v>
      </c>
      <c r="JM56">
        <v>30.2088</v>
      </c>
      <c r="JN56">
        <v>10.7502</v>
      </c>
      <c r="JO56">
        <v>51.7622</v>
      </c>
      <c r="JP56">
        <v>0</v>
      </c>
      <c r="JQ56">
        <v>30.5967</v>
      </c>
      <c r="JR56">
        <v>165.654</v>
      </c>
      <c r="JS56">
        <v>10.2374</v>
      </c>
      <c r="JT56">
        <v>100.018</v>
      </c>
      <c r="JU56">
        <v>100.131</v>
      </c>
    </row>
    <row r="57" spans="1:281">
      <c r="A57">
        <v>41</v>
      </c>
      <c r="B57">
        <v>1652371655.1</v>
      </c>
      <c r="C57">
        <v>3561.5</v>
      </c>
      <c r="D57" t="s">
        <v>549</v>
      </c>
      <c r="E57" t="s">
        <v>550</v>
      </c>
      <c r="F57">
        <v>5</v>
      </c>
      <c r="G57" t="s">
        <v>518</v>
      </c>
      <c r="H57" t="s">
        <v>414</v>
      </c>
      <c r="I57">
        <v>1652371647.314285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188.7644751148212</v>
      </c>
      <c r="AK57">
        <v>189.0132242424242</v>
      </c>
      <c r="AL57">
        <v>-2.907127493522278</v>
      </c>
      <c r="AM57">
        <v>65.95105977519088</v>
      </c>
      <c r="AN57">
        <f>(AP57 - AO57 + DI57*1E3/(8.314*(DK57+273.15)) * AR57/DH57 * AQ57) * DH57/(100*CV57) * 1000/(1000 - AP57)</f>
        <v>0</v>
      </c>
      <c r="AO57">
        <v>10.17926611185379</v>
      </c>
      <c r="AP57">
        <v>25.7812202797203</v>
      </c>
      <c r="AQ57">
        <v>-0.0005125514561799034</v>
      </c>
      <c r="AR57">
        <v>81.26040297655408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417</v>
      </c>
      <c r="AY57" t="s">
        <v>417</v>
      </c>
      <c r="AZ57">
        <v>0</v>
      </c>
      <c r="BA57">
        <v>0</v>
      </c>
      <c r="BB57">
        <f>1-AZ57/BA57</f>
        <v>0</v>
      </c>
      <c r="BC57">
        <v>0</v>
      </c>
      <c r="BD57" t="s">
        <v>417</v>
      </c>
      <c r="BE57" t="s">
        <v>417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1393</v>
      </c>
      <c r="CA57">
        <v>300</v>
      </c>
      <c r="CB57">
        <v>300</v>
      </c>
      <c r="CC57">
        <v>300</v>
      </c>
      <c r="CD57">
        <v>10378</v>
      </c>
      <c r="CE57">
        <v>2050</v>
      </c>
      <c r="CF57">
        <v>-0.00730649</v>
      </c>
      <c r="CG57">
        <v>-4.53</v>
      </c>
      <c r="CH57" t="s">
        <v>417</v>
      </c>
      <c r="CI57" t="s">
        <v>417</v>
      </c>
      <c r="CJ57" t="s">
        <v>417</v>
      </c>
      <c r="CK57" t="s">
        <v>417</v>
      </c>
      <c r="CL57" t="s">
        <v>417</v>
      </c>
      <c r="CM57" t="s">
        <v>417</v>
      </c>
      <c r="CN57" t="s">
        <v>417</v>
      </c>
      <c r="CO57" t="s">
        <v>417</v>
      </c>
      <c r="CP57" t="s">
        <v>417</v>
      </c>
      <c r="CQ57" t="s">
        <v>417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418</v>
      </c>
      <c r="CY57">
        <v>2</v>
      </c>
      <c r="CZ57" t="b">
        <v>1</v>
      </c>
      <c r="DA57">
        <v>1652371647.314285</v>
      </c>
      <c r="DB57">
        <v>204.8960357142857</v>
      </c>
      <c r="DC57">
        <v>199.4605714285715</v>
      </c>
      <c r="DD57">
        <v>25.801225</v>
      </c>
      <c r="DE57">
        <v>10.08785321428572</v>
      </c>
      <c r="DF57">
        <v>204.0936785714286</v>
      </c>
      <c r="DG57">
        <v>25.74167142857143</v>
      </c>
      <c r="DH57">
        <v>400.0814999999999</v>
      </c>
      <c r="DI57">
        <v>90.40898214285713</v>
      </c>
      <c r="DJ57">
        <v>0.09999153928571428</v>
      </c>
      <c r="DK57">
        <v>31.86274642857143</v>
      </c>
      <c r="DL57">
        <v>30.1332</v>
      </c>
      <c r="DM57">
        <v>999.9000000000002</v>
      </c>
      <c r="DN57">
        <v>0</v>
      </c>
      <c r="DO57">
        <v>0</v>
      </c>
      <c r="DP57">
        <v>9999.243214285714</v>
      </c>
      <c r="DQ57">
        <v>0</v>
      </c>
      <c r="DR57">
        <v>408.3683214285714</v>
      </c>
      <c r="DS57">
        <v>5.435473928571428</v>
      </c>
      <c r="DT57">
        <v>210.3227857142857</v>
      </c>
      <c r="DU57">
        <v>201.4917142857143</v>
      </c>
      <c r="DV57">
        <v>15.71338214285714</v>
      </c>
      <c r="DW57">
        <v>199.4605714285715</v>
      </c>
      <c r="DX57">
        <v>10.08785321428572</v>
      </c>
      <c r="DY57">
        <v>2.332661785714286</v>
      </c>
      <c r="DZ57">
        <v>0.9120317499999999</v>
      </c>
      <c r="EA57">
        <v>19.90374285714285</v>
      </c>
      <c r="EB57">
        <v>5.581420714285714</v>
      </c>
      <c r="EC57">
        <v>1500.0025</v>
      </c>
      <c r="ED57">
        <v>0.9730005714285715</v>
      </c>
      <c r="EE57">
        <v>0.02699964285714285</v>
      </c>
      <c r="EF57">
        <v>0</v>
      </c>
      <c r="EG57">
        <v>1103.097142857143</v>
      </c>
      <c r="EH57">
        <v>5.00097</v>
      </c>
      <c r="EI57">
        <v>17416.82142857143</v>
      </c>
      <c r="EJ57">
        <v>12491.61785714286</v>
      </c>
      <c r="EK57">
        <v>39.5597857142857</v>
      </c>
      <c r="EL57">
        <v>40.9865</v>
      </c>
      <c r="EM57">
        <v>39.75</v>
      </c>
      <c r="EN57">
        <v>40.81199999999999</v>
      </c>
      <c r="EO57">
        <v>40.75442857142857</v>
      </c>
      <c r="EP57">
        <v>1454.638214285715</v>
      </c>
      <c r="EQ57">
        <v>40.3617857142857</v>
      </c>
      <c r="ER57">
        <v>0</v>
      </c>
      <c r="ES57">
        <v>488.7999999523163</v>
      </c>
      <c r="ET57">
        <v>0</v>
      </c>
      <c r="EU57">
        <v>1101.7104</v>
      </c>
      <c r="EV57">
        <v>-245.1753846037072</v>
      </c>
      <c r="EW57">
        <v>-3780.007692233095</v>
      </c>
      <c r="EX57">
        <v>17396.568</v>
      </c>
      <c r="EY57">
        <v>15</v>
      </c>
      <c r="EZ57">
        <v>1652371289.6</v>
      </c>
      <c r="FA57" t="s">
        <v>515</v>
      </c>
      <c r="FB57">
        <v>1652371289.6</v>
      </c>
      <c r="FC57">
        <v>1652371275.1</v>
      </c>
      <c r="FD57">
        <v>24</v>
      </c>
      <c r="FE57">
        <v>0.442</v>
      </c>
      <c r="FF57">
        <v>0.001</v>
      </c>
      <c r="FG57">
        <v>-2.63</v>
      </c>
      <c r="FH57">
        <v>0.007</v>
      </c>
      <c r="FI57">
        <v>1620</v>
      </c>
      <c r="FJ57">
        <v>22</v>
      </c>
      <c r="FK57">
        <v>0.08</v>
      </c>
      <c r="FL57">
        <v>0.04</v>
      </c>
      <c r="FM57">
        <v>4.1583435625</v>
      </c>
      <c r="FN57">
        <v>25.41755559287055</v>
      </c>
      <c r="FO57">
        <v>2.449808827754212</v>
      </c>
      <c r="FP57">
        <v>-1</v>
      </c>
      <c r="FQ57">
        <v>15.7934425</v>
      </c>
      <c r="FR57">
        <v>-1.598142213883697</v>
      </c>
      <c r="FS57">
        <v>0.1549334306847618</v>
      </c>
      <c r="FT57">
        <v>0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1</v>
      </c>
      <c r="GA57" t="s">
        <v>432</v>
      </c>
      <c r="GB57">
        <v>2.69628</v>
      </c>
      <c r="GC57">
        <v>2.70512</v>
      </c>
      <c r="GD57">
        <v>0.0464024</v>
      </c>
      <c r="GE57">
        <v>0.0440115</v>
      </c>
      <c r="GF57">
        <v>0.11151</v>
      </c>
      <c r="GG57">
        <v>0.0562707</v>
      </c>
      <c r="GH57">
        <v>29999.1</v>
      </c>
      <c r="GI57">
        <v>30205</v>
      </c>
      <c r="GJ57">
        <v>29261.9</v>
      </c>
      <c r="GK57">
        <v>29235.8</v>
      </c>
      <c r="GL57">
        <v>34417.5</v>
      </c>
      <c r="GM57">
        <v>36731.7</v>
      </c>
      <c r="GN57">
        <v>41184.7</v>
      </c>
      <c r="GO57">
        <v>41712.6</v>
      </c>
      <c r="GP57">
        <v>1.73135</v>
      </c>
      <c r="GQ57">
        <v>2.02693</v>
      </c>
      <c r="GR57">
        <v>0.0666641</v>
      </c>
      <c r="GS57">
        <v>0</v>
      </c>
      <c r="GT57">
        <v>29.0433</v>
      </c>
      <c r="GU57">
        <v>999.9</v>
      </c>
      <c r="GV57">
        <v>44.3</v>
      </c>
      <c r="GW57">
        <v>32.6</v>
      </c>
      <c r="GX57">
        <v>24.2043</v>
      </c>
      <c r="GY57">
        <v>63.2279</v>
      </c>
      <c r="GZ57">
        <v>29.2508</v>
      </c>
      <c r="HA57">
        <v>1</v>
      </c>
      <c r="HB57">
        <v>0.23018</v>
      </c>
      <c r="HC57">
        <v>0.621269</v>
      </c>
      <c r="HD57">
        <v>20.38</v>
      </c>
      <c r="HE57">
        <v>5.21549</v>
      </c>
      <c r="HF57">
        <v>12.0099</v>
      </c>
      <c r="HG57">
        <v>4.9887</v>
      </c>
      <c r="HH57">
        <v>3.28838</v>
      </c>
      <c r="HI57">
        <v>2708.3</v>
      </c>
      <c r="HJ57">
        <v>9999</v>
      </c>
      <c r="HK57">
        <v>9999</v>
      </c>
      <c r="HL57">
        <v>49.9</v>
      </c>
      <c r="HM57">
        <v>1.86721</v>
      </c>
      <c r="HN57">
        <v>1.86615</v>
      </c>
      <c r="HO57">
        <v>1.86573</v>
      </c>
      <c r="HP57">
        <v>1.86568</v>
      </c>
      <c r="HQ57">
        <v>1.8674</v>
      </c>
      <c r="HR57">
        <v>1.86996</v>
      </c>
      <c r="HS57">
        <v>1.86861</v>
      </c>
      <c r="HT57">
        <v>1.86996</v>
      </c>
      <c r="HU57">
        <v>0</v>
      </c>
      <c r="HV57">
        <v>0</v>
      </c>
      <c r="HW57">
        <v>0</v>
      </c>
      <c r="HX57">
        <v>0</v>
      </c>
      <c r="HY57" t="s">
        <v>421</v>
      </c>
      <c r="HZ57" t="s">
        <v>422</v>
      </c>
      <c r="IA57" t="s">
        <v>423</v>
      </c>
      <c r="IB57" t="s">
        <v>423</v>
      </c>
      <c r="IC57" t="s">
        <v>423</v>
      </c>
      <c r="ID57" t="s">
        <v>423</v>
      </c>
      <c r="IE57">
        <v>0</v>
      </c>
      <c r="IF57">
        <v>100</v>
      </c>
      <c r="IG57">
        <v>100</v>
      </c>
      <c r="IH57">
        <v>0.852</v>
      </c>
      <c r="II57">
        <v>0.0593</v>
      </c>
      <c r="IJ57">
        <v>1.257309091789605</v>
      </c>
      <c r="IK57">
        <v>-0.002185601614162945</v>
      </c>
      <c r="IL57">
        <v>-2.252308143750626E-07</v>
      </c>
      <c r="IM57">
        <v>5.915558436307541E-11</v>
      </c>
      <c r="IN57">
        <v>-0.118683452207699</v>
      </c>
      <c r="IO57">
        <v>-0.007570214193104963</v>
      </c>
      <c r="IP57">
        <v>0.0009214429922928372</v>
      </c>
      <c r="IQ57">
        <v>-1.392260276065805E-05</v>
      </c>
      <c r="IR57">
        <v>17</v>
      </c>
      <c r="IS57">
        <v>2272</v>
      </c>
      <c r="IT57">
        <v>1</v>
      </c>
      <c r="IU57">
        <v>31</v>
      </c>
      <c r="IV57">
        <v>6.1</v>
      </c>
      <c r="IW57">
        <v>6.3</v>
      </c>
      <c r="IX57">
        <v>0.50293</v>
      </c>
      <c r="IY57">
        <v>2.2583</v>
      </c>
      <c r="IZ57">
        <v>1.39648</v>
      </c>
      <c r="JA57">
        <v>2.35352</v>
      </c>
      <c r="JB57">
        <v>1.49536</v>
      </c>
      <c r="JC57">
        <v>2.30957</v>
      </c>
      <c r="JD57">
        <v>36.0113</v>
      </c>
      <c r="JE57">
        <v>15.3929</v>
      </c>
      <c r="JF57">
        <v>18</v>
      </c>
      <c r="JG57">
        <v>390.176</v>
      </c>
      <c r="JH57">
        <v>561.299</v>
      </c>
      <c r="JI57">
        <v>30.568</v>
      </c>
      <c r="JJ57">
        <v>30.411</v>
      </c>
      <c r="JK57">
        <v>30.0003</v>
      </c>
      <c r="JL57">
        <v>30.3133</v>
      </c>
      <c r="JM57">
        <v>30.2125</v>
      </c>
      <c r="JN57">
        <v>10.0526</v>
      </c>
      <c r="JO57">
        <v>51.4895</v>
      </c>
      <c r="JP57">
        <v>0</v>
      </c>
      <c r="JQ57">
        <v>30.4674</v>
      </c>
      <c r="JR57">
        <v>152.28</v>
      </c>
      <c r="JS57">
        <v>10.3545</v>
      </c>
      <c r="JT57">
        <v>100.019</v>
      </c>
      <c r="JU57">
        <v>100.129</v>
      </c>
    </row>
    <row r="58" spans="1:281">
      <c r="A58">
        <v>42</v>
      </c>
      <c r="B58">
        <v>1652371660.1</v>
      </c>
      <c r="C58">
        <v>3566.5</v>
      </c>
      <c r="D58" t="s">
        <v>551</v>
      </c>
      <c r="E58" t="s">
        <v>552</v>
      </c>
      <c r="F58">
        <v>5</v>
      </c>
      <c r="G58" t="s">
        <v>518</v>
      </c>
      <c r="H58" t="s">
        <v>414</v>
      </c>
      <c r="I58">
        <v>1652371652.6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171.3561042268101</v>
      </c>
      <c r="AK58">
        <v>174.1057393939393</v>
      </c>
      <c r="AL58">
        <v>-2.980870815937142</v>
      </c>
      <c r="AM58">
        <v>65.95105977519088</v>
      </c>
      <c r="AN58">
        <f>(AP58 - AO58 + DI58*1E3/(8.314*(DK58+273.15)) * AR58/DH58 * AQ58) * DH58/(100*CV58) * 1000/(1000 - AP58)</f>
        <v>0</v>
      </c>
      <c r="AO58">
        <v>10.21414245407741</v>
      </c>
      <c r="AP58">
        <v>25.73278391608392</v>
      </c>
      <c r="AQ58">
        <v>-0.0009119808662885052</v>
      </c>
      <c r="AR58">
        <v>81.26040297655408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417</v>
      </c>
      <c r="AY58" t="s">
        <v>417</v>
      </c>
      <c r="AZ58">
        <v>0</v>
      </c>
      <c r="BA58">
        <v>0</v>
      </c>
      <c r="BB58">
        <f>1-AZ58/BA58</f>
        <v>0</v>
      </c>
      <c r="BC58">
        <v>0</v>
      </c>
      <c r="BD58" t="s">
        <v>417</v>
      </c>
      <c r="BE58" t="s">
        <v>417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1393</v>
      </c>
      <c r="CA58">
        <v>300</v>
      </c>
      <c r="CB58">
        <v>300</v>
      </c>
      <c r="CC58">
        <v>300</v>
      </c>
      <c r="CD58">
        <v>10378</v>
      </c>
      <c r="CE58">
        <v>2050</v>
      </c>
      <c r="CF58">
        <v>-0.00730649</v>
      </c>
      <c r="CG58">
        <v>-4.53</v>
      </c>
      <c r="CH58" t="s">
        <v>417</v>
      </c>
      <c r="CI58" t="s">
        <v>417</v>
      </c>
      <c r="CJ58" t="s">
        <v>417</v>
      </c>
      <c r="CK58" t="s">
        <v>417</v>
      </c>
      <c r="CL58" t="s">
        <v>417</v>
      </c>
      <c r="CM58" t="s">
        <v>417</v>
      </c>
      <c r="CN58" t="s">
        <v>417</v>
      </c>
      <c r="CO58" t="s">
        <v>417</v>
      </c>
      <c r="CP58" t="s">
        <v>417</v>
      </c>
      <c r="CQ58" t="s">
        <v>417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418</v>
      </c>
      <c r="CY58">
        <v>2</v>
      </c>
      <c r="CZ58" t="b">
        <v>1</v>
      </c>
      <c r="DA58">
        <v>1652371652.6</v>
      </c>
      <c r="DB58">
        <v>189.7657777777778</v>
      </c>
      <c r="DC58">
        <v>181.9126666666666</v>
      </c>
      <c r="DD58">
        <v>25.78288518518518</v>
      </c>
      <c r="DE58">
        <v>10.18141111111111</v>
      </c>
      <c r="DF58">
        <v>188.929037037037</v>
      </c>
      <c r="DG58">
        <v>25.72356666666667</v>
      </c>
      <c r="DH58">
        <v>400.0700740740741</v>
      </c>
      <c r="DI58">
        <v>90.40568518518519</v>
      </c>
      <c r="DJ58">
        <v>0.1000140666666667</v>
      </c>
      <c r="DK58">
        <v>31.83987407407408</v>
      </c>
      <c r="DL58">
        <v>30.12880370370371</v>
      </c>
      <c r="DM58">
        <v>999.9000000000001</v>
      </c>
      <c r="DN58">
        <v>0</v>
      </c>
      <c r="DO58">
        <v>0</v>
      </c>
      <c r="DP58">
        <v>9996.621851851851</v>
      </c>
      <c r="DQ58">
        <v>0</v>
      </c>
      <c r="DR58">
        <v>403.9323703703703</v>
      </c>
      <c r="DS58">
        <v>7.85315074074074</v>
      </c>
      <c r="DT58">
        <v>194.7882222222223</v>
      </c>
      <c r="DU58">
        <v>183.7828518518519</v>
      </c>
      <c r="DV58">
        <v>15.60148518518518</v>
      </c>
      <c r="DW58">
        <v>181.9126666666666</v>
      </c>
      <c r="DX58">
        <v>10.18141111111111</v>
      </c>
      <c r="DY58">
        <v>2.330919259259259</v>
      </c>
      <c r="DZ58">
        <v>0.9204571111111112</v>
      </c>
      <c r="EA58">
        <v>19.89168518518518</v>
      </c>
      <c r="EB58">
        <v>5.714317777777778</v>
      </c>
      <c r="EC58">
        <v>1499.997037037037</v>
      </c>
      <c r="ED58">
        <v>0.9730012592592594</v>
      </c>
      <c r="EE58">
        <v>0.0269989</v>
      </c>
      <c r="EF58">
        <v>0</v>
      </c>
      <c r="EG58">
        <v>1082.029259259259</v>
      </c>
      <c r="EH58">
        <v>5.00097</v>
      </c>
      <c r="EI58">
        <v>17085.8962962963</v>
      </c>
      <c r="EJ58">
        <v>12491.57407407407</v>
      </c>
      <c r="EK58">
        <v>39.56199999999999</v>
      </c>
      <c r="EL58">
        <v>41</v>
      </c>
      <c r="EM58">
        <v>39.75</v>
      </c>
      <c r="EN58">
        <v>40.81199999999999</v>
      </c>
      <c r="EO58">
        <v>40.77066666666666</v>
      </c>
      <c r="EP58">
        <v>1454.635925925926</v>
      </c>
      <c r="EQ58">
        <v>40.36037037037036</v>
      </c>
      <c r="ER58">
        <v>0</v>
      </c>
      <c r="ES58">
        <v>494.1999998092651</v>
      </c>
      <c r="ET58">
        <v>0</v>
      </c>
      <c r="EU58">
        <v>1081.445384615384</v>
      </c>
      <c r="EV58">
        <v>-233.2676923038295</v>
      </c>
      <c r="EW58">
        <v>-3693.770940352222</v>
      </c>
      <c r="EX58">
        <v>17077.82307692308</v>
      </c>
      <c r="EY58">
        <v>15</v>
      </c>
      <c r="EZ58">
        <v>1652371289.6</v>
      </c>
      <c r="FA58" t="s">
        <v>515</v>
      </c>
      <c r="FB58">
        <v>1652371289.6</v>
      </c>
      <c r="FC58">
        <v>1652371275.1</v>
      </c>
      <c r="FD58">
        <v>24</v>
      </c>
      <c r="FE58">
        <v>0.442</v>
      </c>
      <c r="FF58">
        <v>0.001</v>
      </c>
      <c r="FG58">
        <v>-2.63</v>
      </c>
      <c r="FH58">
        <v>0.007</v>
      </c>
      <c r="FI58">
        <v>1620</v>
      </c>
      <c r="FJ58">
        <v>22</v>
      </c>
      <c r="FK58">
        <v>0.08</v>
      </c>
      <c r="FL58">
        <v>0.04</v>
      </c>
      <c r="FM58">
        <v>6.523466585365853</v>
      </c>
      <c r="FN58">
        <v>27.32679491289198</v>
      </c>
      <c r="FO58">
        <v>2.703527327125651</v>
      </c>
      <c r="FP58">
        <v>-1</v>
      </c>
      <c r="FQ58">
        <v>15.66864146341463</v>
      </c>
      <c r="FR58">
        <v>-1.297766550522624</v>
      </c>
      <c r="FS58">
        <v>0.1294160580672402</v>
      </c>
      <c r="FT58">
        <v>0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1</v>
      </c>
      <c r="GA58" t="s">
        <v>432</v>
      </c>
      <c r="GB58">
        <v>2.69604</v>
      </c>
      <c r="GC58">
        <v>2.70534</v>
      </c>
      <c r="GD58">
        <v>0.0430053</v>
      </c>
      <c r="GE58">
        <v>0.0401795</v>
      </c>
      <c r="GF58">
        <v>0.11136</v>
      </c>
      <c r="GG58">
        <v>0.0566581</v>
      </c>
      <c r="GH58">
        <v>30106.1</v>
      </c>
      <c r="GI58">
        <v>30325.3</v>
      </c>
      <c r="GJ58">
        <v>29262.1</v>
      </c>
      <c r="GK58">
        <v>29235.2</v>
      </c>
      <c r="GL58">
        <v>34423.5</v>
      </c>
      <c r="GM58">
        <v>36715.9</v>
      </c>
      <c r="GN58">
        <v>41184.8</v>
      </c>
      <c r="GO58">
        <v>41711.9</v>
      </c>
      <c r="GP58">
        <v>1.73145</v>
      </c>
      <c r="GQ58">
        <v>2.02705</v>
      </c>
      <c r="GR58">
        <v>0.0662543</v>
      </c>
      <c r="GS58">
        <v>0</v>
      </c>
      <c r="GT58">
        <v>29.0476</v>
      </c>
      <c r="GU58">
        <v>999.9</v>
      </c>
      <c r="GV58">
        <v>44.3</v>
      </c>
      <c r="GW58">
        <v>32.6</v>
      </c>
      <c r="GX58">
        <v>24.2067</v>
      </c>
      <c r="GY58">
        <v>63.2379</v>
      </c>
      <c r="GZ58">
        <v>29.8237</v>
      </c>
      <c r="HA58">
        <v>1</v>
      </c>
      <c r="HB58">
        <v>0.230429</v>
      </c>
      <c r="HC58">
        <v>0.671481</v>
      </c>
      <c r="HD58">
        <v>20.3797</v>
      </c>
      <c r="HE58">
        <v>5.21385</v>
      </c>
      <c r="HF58">
        <v>12.0099</v>
      </c>
      <c r="HG58">
        <v>4.9885</v>
      </c>
      <c r="HH58">
        <v>3.28815</v>
      </c>
      <c r="HI58">
        <v>2708.5</v>
      </c>
      <c r="HJ58">
        <v>9999</v>
      </c>
      <c r="HK58">
        <v>9999</v>
      </c>
      <c r="HL58">
        <v>49.9</v>
      </c>
      <c r="HM58">
        <v>1.8672</v>
      </c>
      <c r="HN58">
        <v>1.86616</v>
      </c>
      <c r="HO58">
        <v>1.86574</v>
      </c>
      <c r="HP58">
        <v>1.86566</v>
      </c>
      <c r="HQ58">
        <v>1.86745</v>
      </c>
      <c r="HR58">
        <v>1.86996</v>
      </c>
      <c r="HS58">
        <v>1.86859</v>
      </c>
      <c r="HT58">
        <v>1.86997</v>
      </c>
      <c r="HU58">
        <v>0</v>
      </c>
      <c r="HV58">
        <v>0</v>
      </c>
      <c r="HW58">
        <v>0</v>
      </c>
      <c r="HX58">
        <v>0</v>
      </c>
      <c r="HY58" t="s">
        <v>421</v>
      </c>
      <c r="HZ58" t="s">
        <v>422</v>
      </c>
      <c r="IA58" t="s">
        <v>423</v>
      </c>
      <c r="IB58" t="s">
        <v>423</v>
      </c>
      <c r="IC58" t="s">
        <v>423</v>
      </c>
      <c r="ID58" t="s">
        <v>423</v>
      </c>
      <c r="IE58">
        <v>0</v>
      </c>
      <c r="IF58">
        <v>100</v>
      </c>
      <c r="IG58">
        <v>100</v>
      </c>
      <c r="IH58">
        <v>0.886</v>
      </c>
      <c r="II58">
        <v>0.0586</v>
      </c>
      <c r="IJ58">
        <v>1.257309091789605</v>
      </c>
      <c r="IK58">
        <v>-0.002185601614162945</v>
      </c>
      <c r="IL58">
        <v>-2.252308143750626E-07</v>
      </c>
      <c r="IM58">
        <v>5.915558436307541E-11</v>
      </c>
      <c r="IN58">
        <v>-0.118683452207699</v>
      </c>
      <c r="IO58">
        <v>-0.007570214193104963</v>
      </c>
      <c r="IP58">
        <v>0.0009214429922928372</v>
      </c>
      <c r="IQ58">
        <v>-1.392260276065805E-05</v>
      </c>
      <c r="IR58">
        <v>17</v>
      </c>
      <c r="IS58">
        <v>2272</v>
      </c>
      <c r="IT58">
        <v>1</v>
      </c>
      <c r="IU58">
        <v>31</v>
      </c>
      <c r="IV58">
        <v>6.2</v>
      </c>
      <c r="IW58">
        <v>6.4</v>
      </c>
      <c r="IX58">
        <v>0.467529</v>
      </c>
      <c r="IY58">
        <v>2.26196</v>
      </c>
      <c r="IZ58">
        <v>1.39648</v>
      </c>
      <c r="JA58">
        <v>2.35352</v>
      </c>
      <c r="JB58">
        <v>1.49536</v>
      </c>
      <c r="JC58">
        <v>2.36572</v>
      </c>
      <c r="JD58">
        <v>36.0347</v>
      </c>
      <c r="JE58">
        <v>15.3929</v>
      </c>
      <c r="JF58">
        <v>18</v>
      </c>
      <c r="JG58">
        <v>390.249</v>
      </c>
      <c r="JH58">
        <v>561.417</v>
      </c>
      <c r="JI58">
        <v>30.4391</v>
      </c>
      <c r="JJ58">
        <v>30.4156</v>
      </c>
      <c r="JK58">
        <v>30.0004</v>
      </c>
      <c r="JL58">
        <v>30.3165</v>
      </c>
      <c r="JM58">
        <v>30.2151</v>
      </c>
      <c r="JN58">
        <v>9.285069999999999</v>
      </c>
      <c r="JO58">
        <v>51.1895</v>
      </c>
      <c r="JP58">
        <v>0</v>
      </c>
      <c r="JQ58">
        <v>30.3407</v>
      </c>
      <c r="JR58">
        <v>132.215</v>
      </c>
      <c r="JS58">
        <v>10.4928</v>
      </c>
      <c r="JT58">
        <v>100.02</v>
      </c>
      <c r="JU58">
        <v>100.127</v>
      </c>
    </row>
    <row r="59" spans="1:281">
      <c r="A59">
        <v>43</v>
      </c>
      <c r="B59">
        <v>1652371665.1</v>
      </c>
      <c r="C59">
        <v>3571.5</v>
      </c>
      <c r="D59" t="s">
        <v>553</v>
      </c>
      <c r="E59" t="s">
        <v>554</v>
      </c>
      <c r="F59">
        <v>5</v>
      </c>
      <c r="G59" t="s">
        <v>518</v>
      </c>
      <c r="H59" t="s">
        <v>414</v>
      </c>
      <c r="I59">
        <v>1652371657.314285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155.0012818806008</v>
      </c>
      <c r="AK59">
        <v>159.4079757575757</v>
      </c>
      <c r="AL59">
        <v>-2.93934533324729</v>
      </c>
      <c r="AM59">
        <v>65.95105977519088</v>
      </c>
      <c r="AN59">
        <f>(AP59 - AO59 + DI59*1E3/(8.314*(DK59+273.15)) * AR59/DH59 * AQ59) * DH59/(100*CV59) * 1000/(1000 - AP59)</f>
        <v>0</v>
      </c>
      <c r="AO59">
        <v>10.31295560350576</v>
      </c>
      <c r="AP59">
        <v>25.70046783216784</v>
      </c>
      <c r="AQ59">
        <v>-0.01188537187434908</v>
      </c>
      <c r="AR59">
        <v>81.26040297655408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417</v>
      </c>
      <c r="AY59" t="s">
        <v>417</v>
      </c>
      <c r="AZ59">
        <v>0</v>
      </c>
      <c r="BA59">
        <v>0</v>
      </c>
      <c r="BB59">
        <f>1-AZ59/BA59</f>
        <v>0</v>
      </c>
      <c r="BC59">
        <v>0</v>
      </c>
      <c r="BD59" t="s">
        <v>417</v>
      </c>
      <c r="BE59" t="s">
        <v>417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1393</v>
      </c>
      <c r="CA59">
        <v>300</v>
      </c>
      <c r="CB59">
        <v>300</v>
      </c>
      <c r="CC59">
        <v>300</v>
      </c>
      <c r="CD59">
        <v>10378</v>
      </c>
      <c r="CE59">
        <v>2050</v>
      </c>
      <c r="CF59">
        <v>-0.00730649</v>
      </c>
      <c r="CG59">
        <v>-4.53</v>
      </c>
      <c r="CH59" t="s">
        <v>417</v>
      </c>
      <c r="CI59" t="s">
        <v>417</v>
      </c>
      <c r="CJ59" t="s">
        <v>417</v>
      </c>
      <c r="CK59" t="s">
        <v>417</v>
      </c>
      <c r="CL59" t="s">
        <v>417</v>
      </c>
      <c r="CM59" t="s">
        <v>417</v>
      </c>
      <c r="CN59" t="s">
        <v>417</v>
      </c>
      <c r="CO59" t="s">
        <v>417</v>
      </c>
      <c r="CP59" t="s">
        <v>417</v>
      </c>
      <c r="CQ59" t="s">
        <v>417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418</v>
      </c>
      <c r="CY59">
        <v>2</v>
      </c>
      <c r="CZ59" t="b">
        <v>1</v>
      </c>
      <c r="DA59">
        <v>1652371657.314285</v>
      </c>
      <c r="DB59">
        <v>176.2518214285714</v>
      </c>
      <c r="DC59">
        <v>166.2583214285715</v>
      </c>
      <c r="DD59">
        <v>25.75306071428571</v>
      </c>
      <c r="DE59">
        <v>10.27133571428571</v>
      </c>
      <c r="DF59">
        <v>175.3845714285714</v>
      </c>
      <c r="DG59">
        <v>25.69410714285715</v>
      </c>
      <c r="DH59">
        <v>400.0825357142857</v>
      </c>
      <c r="DI59">
        <v>90.40299285714285</v>
      </c>
      <c r="DJ59">
        <v>0.1000200392857143</v>
      </c>
      <c r="DK59">
        <v>31.81928928571428</v>
      </c>
      <c r="DL59">
        <v>30.12891428571428</v>
      </c>
      <c r="DM59">
        <v>999.9000000000002</v>
      </c>
      <c r="DN59">
        <v>0</v>
      </c>
      <c r="DO59">
        <v>0</v>
      </c>
      <c r="DP59">
        <v>10004.77928571428</v>
      </c>
      <c r="DQ59">
        <v>0</v>
      </c>
      <c r="DR59">
        <v>397.6755714285713</v>
      </c>
      <c r="DS59">
        <v>9.993551785714287</v>
      </c>
      <c r="DT59">
        <v>180.9112857142857</v>
      </c>
      <c r="DU59">
        <v>167.9827142857143</v>
      </c>
      <c r="DV59">
        <v>15.48172857142857</v>
      </c>
      <c r="DW59">
        <v>166.2583214285715</v>
      </c>
      <c r="DX59">
        <v>10.27133571428571</v>
      </c>
      <c r="DY59">
        <v>2.328153571428571</v>
      </c>
      <c r="DZ59">
        <v>0.9285596071428571</v>
      </c>
      <c r="EA59">
        <v>19.87252142857143</v>
      </c>
      <c r="EB59">
        <v>5.840757857142859</v>
      </c>
      <c r="EC59">
        <v>1499.979285714286</v>
      </c>
      <c r="ED59">
        <v>0.973001642857143</v>
      </c>
      <c r="EE59">
        <v>0.02699848571428572</v>
      </c>
      <c r="EF59">
        <v>0</v>
      </c>
      <c r="EG59">
        <v>1064.156785714286</v>
      </c>
      <c r="EH59">
        <v>5.00097</v>
      </c>
      <c r="EI59">
        <v>16813.45714285714</v>
      </c>
      <c r="EJ59">
        <v>12491.43214285714</v>
      </c>
      <c r="EK59">
        <v>39.56199999999999</v>
      </c>
      <c r="EL59">
        <v>41</v>
      </c>
      <c r="EM59">
        <v>39.75</v>
      </c>
      <c r="EN59">
        <v>40.81199999999999</v>
      </c>
      <c r="EO59">
        <v>40.78542857142856</v>
      </c>
      <c r="EP59">
        <v>1454.619285714285</v>
      </c>
      <c r="EQ59">
        <v>40.35999999999999</v>
      </c>
      <c r="ER59">
        <v>0</v>
      </c>
      <c r="ES59">
        <v>499</v>
      </c>
      <c r="ET59">
        <v>0</v>
      </c>
      <c r="EU59">
        <v>1063.23</v>
      </c>
      <c r="EV59">
        <v>-221.4037606714801</v>
      </c>
      <c r="EW59">
        <v>-3365.675213172881</v>
      </c>
      <c r="EX59">
        <v>16800.93846153846</v>
      </c>
      <c r="EY59">
        <v>15</v>
      </c>
      <c r="EZ59">
        <v>1652371289.6</v>
      </c>
      <c r="FA59" t="s">
        <v>515</v>
      </c>
      <c r="FB59">
        <v>1652371289.6</v>
      </c>
      <c r="FC59">
        <v>1652371275.1</v>
      </c>
      <c r="FD59">
        <v>24</v>
      </c>
      <c r="FE59">
        <v>0.442</v>
      </c>
      <c r="FF59">
        <v>0.001</v>
      </c>
      <c r="FG59">
        <v>-2.63</v>
      </c>
      <c r="FH59">
        <v>0.007</v>
      </c>
      <c r="FI59">
        <v>1620</v>
      </c>
      <c r="FJ59">
        <v>22</v>
      </c>
      <c r="FK59">
        <v>0.08</v>
      </c>
      <c r="FL59">
        <v>0.04</v>
      </c>
      <c r="FM59">
        <v>8.626973250000001</v>
      </c>
      <c r="FN59">
        <v>27.62015470919324</v>
      </c>
      <c r="FO59">
        <v>2.66607311138347</v>
      </c>
      <c r="FP59">
        <v>-1</v>
      </c>
      <c r="FQ59">
        <v>15.55376</v>
      </c>
      <c r="FR59">
        <v>-1.435474671669814</v>
      </c>
      <c r="FS59">
        <v>0.1404040398279194</v>
      </c>
      <c r="FT59">
        <v>0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1</v>
      </c>
      <c r="GA59" t="s">
        <v>432</v>
      </c>
      <c r="GB59">
        <v>2.69621</v>
      </c>
      <c r="GC59">
        <v>2.7051</v>
      </c>
      <c r="GD59">
        <v>0.0395688</v>
      </c>
      <c r="GE59">
        <v>0.0361215</v>
      </c>
      <c r="GF59">
        <v>0.111269</v>
      </c>
      <c r="GG59">
        <v>0.0571976</v>
      </c>
      <c r="GH59">
        <v>30213.2</v>
      </c>
      <c r="GI59">
        <v>30453.5</v>
      </c>
      <c r="GJ59">
        <v>29261.1</v>
      </c>
      <c r="GK59">
        <v>29235.1</v>
      </c>
      <c r="GL59">
        <v>34425.9</v>
      </c>
      <c r="GM59">
        <v>36694.3</v>
      </c>
      <c r="GN59">
        <v>41183.5</v>
      </c>
      <c r="GO59">
        <v>41711.5</v>
      </c>
      <c r="GP59">
        <v>1.73105</v>
      </c>
      <c r="GQ59">
        <v>2.02698</v>
      </c>
      <c r="GR59">
        <v>0.0658073</v>
      </c>
      <c r="GS59">
        <v>0</v>
      </c>
      <c r="GT59">
        <v>29.0526</v>
      </c>
      <c r="GU59">
        <v>999.9</v>
      </c>
      <c r="GV59">
        <v>44.3</v>
      </c>
      <c r="GW59">
        <v>32.6</v>
      </c>
      <c r="GX59">
        <v>24.2052</v>
      </c>
      <c r="GY59">
        <v>63.3079</v>
      </c>
      <c r="GZ59">
        <v>29.8718</v>
      </c>
      <c r="HA59">
        <v>1</v>
      </c>
      <c r="HB59">
        <v>0.230887</v>
      </c>
      <c r="HC59">
        <v>0.743513</v>
      </c>
      <c r="HD59">
        <v>20.3795</v>
      </c>
      <c r="HE59">
        <v>5.21489</v>
      </c>
      <c r="HF59">
        <v>12.0099</v>
      </c>
      <c r="HG59">
        <v>4.9885</v>
      </c>
      <c r="HH59">
        <v>3.2884</v>
      </c>
      <c r="HI59">
        <v>2708.5</v>
      </c>
      <c r="HJ59">
        <v>9999</v>
      </c>
      <c r="HK59">
        <v>9999</v>
      </c>
      <c r="HL59">
        <v>49.9</v>
      </c>
      <c r="HM59">
        <v>1.86721</v>
      </c>
      <c r="HN59">
        <v>1.86615</v>
      </c>
      <c r="HO59">
        <v>1.86574</v>
      </c>
      <c r="HP59">
        <v>1.86568</v>
      </c>
      <c r="HQ59">
        <v>1.8674</v>
      </c>
      <c r="HR59">
        <v>1.86996</v>
      </c>
      <c r="HS59">
        <v>1.86859</v>
      </c>
      <c r="HT59">
        <v>1.86997</v>
      </c>
      <c r="HU59">
        <v>0</v>
      </c>
      <c r="HV59">
        <v>0</v>
      </c>
      <c r="HW59">
        <v>0</v>
      </c>
      <c r="HX59">
        <v>0</v>
      </c>
      <c r="HY59" t="s">
        <v>421</v>
      </c>
      <c r="HZ59" t="s">
        <v>422</v>
      </c>
      <c r="IA59" t="s">
        <v>423</v>
      </c>
      <c r="IB59" t="s">
        <v>423</v>
      </c>
      <c r="IC59" t="s">
        <v>423</v>
      </c>
      <c r="ID59" t="s">
        <v>423</v>
      </c>
      <c r="IE59">
        <v>0</v>
      </c>
      <c r="IF59">
        <v>100</v>
      </c>
      <c r="IG59">
        <v>100</v>
      </c>
      <c r="IH59">
        <v>0.918</v>
      </c>
      <c r="II59">
        <v>0.0583</v>
      </c>
      <c r="IJ59">
        <v>1.257309091789605</v>
      </c>
      <c r="IK59">
        <v>-0.002185601614162945</v>
      </c>
      <c r="IL59">
        <v>-2.252308143750626E-07</v>
      </c>
      <c r="IM59">
        <v>5.915558436307541E-11</v>
      </c>
      <c r="IN59">
        <v>-0.118683452207699</v>
      </c>
      <c r="IO59">
        <v>-0.007570214193104963</v>
      </c>
      <c r="IP59">
        <v>0.0009214429922928372</v>
      </c>
      <c r="IQ59">
        <v>-1.392260276065805E-05</v>
      </c>
      <c r="IR59">
        <v>17</v>
      </c>
      <c r="IS59">
        <v>2272</v>
      </c>
      <c r="IT59">
        <v>1</v>
      </c>
      <c r="IU59">
        <v>31</v>
      </c>
      <c r="IV59">
        <v>6.3</v>
      </c>
      <c r="IW59">
        <v>6.5</v>
      </c>
      <c r="IX59">
        <v>0.428467</v>
      </c>
      <c r="IY59">
        <v>2.26196</v>
      </c>
      <c r="IZ59">
        <v>1.39648</v>
      </c>
      <c r="JA59">
        <v>2.35229</v>
      </c>
      <c r="JB59">
        <v>1.49536</v>
      </c>
      <c r="JC59">
        <v>2.34619</v>
      </c>
      <c r="JD59">
        <v>36.0113</v>
      </c>
      <c r="JE59">
        <v>15.3929</v>
      </c>
      <c r="JF59">
        <v>18</v>
      </c>
      <c r="JG59">
        <v>390.054</v>
      </c>
      <c r="JH59">
        <v>561.397</v>
      </c>
      <c r="JI59">
        <v>30.315</v>
      </c>
      <c r="JJ59">
        <v>30.4199</v>
      </c>
      <c r="JK59">
        <v>30.0004</v>
      </c>
      <c r="JL59">
        <v>30.3198</v>
      </c>
      <c r="JM59">
        <v>30.219</v>
      </c>
      <c r="JN59">
        <v>8.578329999999999</v>
      </c>
      <c r="JO59">
        <v>50.588</v>
      </c>
      <c r="JP59">
        <v>0</v>
      </c>
      <c r="JQ59">
        <v>30.2103</v>
      </c>
      <c r="JR59">
        <v>118.839</v>
      </c>
      <c r="JS59">
        <v>10.6229</v>
      </c>
      <c r="JT59">
        <v>100.016</v>
      </c>
      <c r="JU59">
        <v>100.126</v>
      </c>
    </row>
    <row r="60" spans="1:281">
      <c r="A60">
        <v>44</v>
      </c>
      <c r="B60">
        <v>1652371670.1</v>
      </c>
      <c r="C60">
        <v>3576.5</v>
      </c>
      <c r="D60" t="s">
        <v>555</v>
      </c>
      <c r="E60" t="s">
        <v>556</v>
      </c>
      <c r="F60">
        <v>5</v>
      </c>
      <c r="G60" t="s">
        <v>518</v>
      </c>
      <c r="H60" t="s">
        <v>414</v>
      </c>
      <c r="I60">
        <v>1652371662.6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137.8145183730182</v>
      </c>
      <c r="AK60">
        <v>144.5689454545454</v>
      </c>
      <c r="AL60">
        <v>-2.971793084549188</v>
      </c>
      <c r="AM60">
        <v>65.95105977519088</v>
      </c>
      <c r="AN60">
        <f>(AP60 - AO60 + DI60*1E3/(8.314*(DK60+273.15)) * AR60/DH60 * AQ60) * DH60/(100*CV60) * 1000/(1000 - AP60)</f>
        <v>0</v>
      </c>
      <c r="AO60">
        <v>10.43918667264451</v>
      </c>
      <c r="AP60">
        <v>25.68000769230772</v>
      </c>
      <c r="AQ60">
        <v>-0.0007451020363822367</v>
      </c>
      <c r="AR60">
        <v>81.26040297655408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417</v>
      </c>
      <c r="AY60" t="s">
        <v>417</v>
      </c>
      <c r="AZ60">
        <v>0</v>
      </c>
      <c r="BA60">
        <v>0</v>
      </c>
      <c r="BB60">
        <f>1-AZ60/BA60</f>
        <v>0</v>
      </c>
      <c r="BC60">
        <v>0</v>
      </c>
      <c r="BD60" t="s">
        <v>417</v>
      </c>
      <c r="BE60" t="s">
        <v>417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1393</v>
      </c>
      <c r="CA60">
        <v>300</v>
      </c>
      <c r="CB60">
        <v>300</v>
      </c>
      <c r="CC60">
        <v>300</v>
      </c>
      <c r="CD60">
        <v>10378</v>
      </c>
      <c r="CE60">
        <v>2050</v>
      </c>
      <c r="CF60">
        <v>-0.00730649</v>
      </c>
      <c r="CG60">
        <v>-4.53</v>
      </c>
      <c r="CH60" t="s">
        <v>417</v>
      </c>
      <c r="CI60" t="s">
        <v>417</v>
      </c>
      <c r="CJ60" t="s">
        <v>417</v>
      </c>
      <c r="CK60" t="s">
        <v>417</v>
      </c>
      <c r="CL60" t="s">
        <v>417</v>
      </c>
      <c r="CM60" t="s">
        <v>417</v>
      </c>
      <c r="CN60" t="s">
        <v>417</v>
      </c>
      <c r="CO60" t="s">
        <v>417</v>
      </c>
      <c r="CP60" t="s">
        <v>417</v>
      </c>
      <c r="CQ60" t="s">
        <v>417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418</v>
      </c>
      <c r="CY60">
        <v>2</v>
      </c>
      <c r="CZ60" t="b">
        <v>1</v>
      </c>
      <c r="DA60">
        <v>1652371662.6</v>
      </c>
      <c r="DB60">
        <v>161.0378888888889</v>
      </c>
      <c r="DC60">
        <v>148.5651851851852</v>
      </c>
      <c r="DD60">
        <v>25.71898518518519</v>
      </c>
      <c r="DE60">
        <v>10.37437407407407</v>
      </c>
      <c r="DF60">
        <v>160.1361851851852</v>
      </c>
      <c r="DG60">
        <v>25.66043333333333</v>
      </c>
      <c r="DH60">
        <v>400.0758518518519</v>
      </c>
      <c r="DI60">
        <v>90.40062592592591</v>
      </c>
      <c r="DJ60">
        <v>0.09998949259259259</v>
      </c>
      <c r="DK60">
        <v>31.79490740740741</v>
      </c>
      <c r="DL60">
        <v>30.12541111111111</v>
      </c>
      <c r="DM60">
        <v>999.9000000000001</v>
      </c>
      <c r="DN60">
        <v>0</v>
      </c>
      <c r="DO60">
        <v>0</v>
      </c>
      <c r="DP60">
        <v>10008.72407407407</v>
      </c>
      <c r="DQ60">
        <v>0</v>
      </c>
      <c r="DR60">
        <v>393.8352592592593</v>
      </c>
      <c r="DS60">
        <v>12.47274296296296</v>
      </c>
      <c r="DT60">
        <v>165.2892962962963</v>
      </c>
      <c r="DU60">
        <v>150.1211481481482</v>
      </c>
      <c r="DV60">
        <v>15.34460740740741</v>
      </c>
      <c r="DW60">
        <v>148.5651851851852</v>
      </c>
      <c r="DX60">
        <v>10.37437407407407</v>
      </c>
      <c r="DY60">
        <v>2.325012592592592</v>
      </c>
      <c r="DZ60">
        <v>0.9378503333333333</v>
      </c>
      <c r="EA60">
        <v>19.85074444444444</v>
      </c>
      <c r="EB60">
        <v>5.984329629629628</v>
      </c>
      <c r="EC60">
        <v>1499.987037037037</v>
      </c>
      <c r="ED60">
        <v>0.9730021851851852</v>
      </c>
      <c r="EE60">
        <v>0.0269979037037037</v>
      </c>
      <c r="EF60">
        <v>0</v>
      </c>
      <c r="EG60">
        <v>1045.028888888889</v>
      </c>
      <c r="EH60">
        <v>5.00097</v>
      </c>
      <c r="EI60">
        <v>16522.75185185185</v>
      </c>
      <c r="EJ60">
        <v>12491.4962962963</v>
      </c>
      <c r="EK60">
        <v>39.56199999999999</v>
      </c>
      <c r="EL60">
        <v>41</v>
      </c>
      <c r="EM60">
        <v>39.75229629629629</v>
      </c>
      <c r="EN60">
        <v>40.81199999999999</v>
      </c>
      <c r="EO60">
        <v>40.79822222222222</v>
      </c>
      <c r="EP60">
        <v>1454.626666666667</v>
      </c>
      <c r="EQ60">
        <v>40.36037037037037</v>
      </c>
      <c r="ER60">
        <v>0</v>
      </c>
      <c r="ES60">
        <v>503.7999999523163</v>
      </c>
      <c r="ET60">
        <v>0</v>
      </c>
      <c r="EU60">
        <v>1045.902692307692</v>
      </c>
      <c r="EV60">
        <v>-211.944273634413</v>
      </c>
      <c r="EW60">
        <v>-3085.28205294399</v>
      </c>
      <c r="EX60">
        <v>16538.41923076923</v>
      </c>
      <c r="EY60">
        <v>15</v>
      </c>
      <c r="EZ60">
        <v>1652371289.6</v>
      </c>
      <c r="FA60" t="s">
        <v>515</v>
      </c>
      <c r="FB60">
        <v>1652371289.6</v>
      </c>
      <c r="FC60">
        <v>1652371275.1</v>
      </c>
      <c r="FD60">
        <v>24</v>
      </c>
      <c r="FE60">
        <v>0.442</v>
      </c>
      <c r="FF60">
        <v>0.001</v>
      </c>
      <c r="FG60">
        <v>-2.63</v>
      </c>
      <c r="FH60">
        <v>0.007</v>
      </c>
      <c r="FI60">
        <v>1620</v>
      </c>
      <c r="FJ60">
        <v>22</v>
      </c>
      <c r="FK60">
        <v>0.08</v>
      </c>
      <c r="FL60">
        <v>0.04</v>
      </c>
      <c r="FM60">
        <v>10.9395285</v>
      </c>
      <c r="FN60">
        <v>28.07364202626641</v>
      </c>
      <c r="FO60">
        <v>2.708558139035001</v>
      </c>
      <c r="FP60">
        <v>-1</v>
      </c>
      <c r="FQ60">
        <v>15.4239975</v>
      </c>
      <c r="FR60">
        <v>-1.573806754221421</v>
      </c>
      <c r="FS60">
        <v>0.153918409372466</v>
      </c>
      <c r="FT60">
        <v>0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1</v>
      </c>
      <c r="GA60" t="s">
        <v>432</v>
      </c>
      <c r="GB60">
        <v>2.69621</v>
      </c>
      <c r="GC60">
        <v>2.70515</v>
      </c>
      <c r="GD60">
        <v>0.0360443</v>
      </c>
      <c r="GE60">
        <v>0.0320931</v>
      </c>
      <c r="GF60">
        <v>0.111214</v>
      </c>
      <c r="GG60">
        <v>0.0577821</v>
      </c>
      <c r="GH60">
        <v>30324.4</v>
      </c>
      <c r="GI60">
        <v>30580.6</v>
      </c>
      <c r="GJ60">
        <v>29261.5</v>
      </c>
      <c r="GK60">
        <v>29235</v>
      </c>
      <c r="GL60">
        <v>34428.3</v>
      </c>
      <c r="GM60">
        <v>36671.5</v>
      </c>
      <c r="GN60">
        <v>41183.8</v>
      </c>
      <c r="GO60">
        <v>41711.5</v>
      </c>
      <c r="GP60">
        <v>1.7307</v>
      </c>
      <c r="GQ60">
        <v>2.02702</v>
      </c>
      <c r="GR60">
        <v>0.0654906</v>
      </c>
      <c r="GS60">
        <v>0</v>
      </c>
      <c r="GT60">
        <v>29.0572</v>
      </c>
      <c r="GU60">
        <v>999.9</v>
      </c>
      <c r="GV60">
        <v>44.3</v>
      </c>
      <c r="GW60">
        <v>32.6</v>
      </c>
      <c r="GX60">
        <v>24.2065</v>
      </c>
      <c r="GY60">
        <v>63.2579</v>
      </c>
      <c r="GZ60">
        <v>29.6835</v>
      </c>
      <c r="HA60">
        <v>1</v>
      </c>
      <c r="HB60">
        <v>0.231126</v>
      </c>
      <c r="HC60">
        <v>0.82037</v>
      </c>
      <c r="HD60">
        <v>20.379</v>
      </c>
      <c r="HE60">
        <v>5.21489</v>
      </c>
      <c r="HF60">
        <v>12.0099</v>
      </c>
      <c r="HG60">
        <v>4.9881</v>
      </c>
      <c r="HH60">
        <v>3.28825</v>
      </c>
      <c r="HI60">
        <v>2708.8</v>
      </c>
      <c r="HJ60">
        <v>9999</v>
      </c>
      <c r="HK60">
        <v>9999</v>
      </c>
      <c r="HL60">
        <v>49.9</v>
      </c>
      <c r="HM60">
        <v>1.86721</v>
      </c>
      <c r="HN60">
        <v>1.86615</v>
      </c>
      <c r="HO60">
        <v>1.86571</v>
      </c>
      <c r="HP60">
        <v>1.86568</v>
      </c>
      <c r="HQ60">
        <v>1.86739</v>
      </c>
      <c r="HR60">
        <v>1.86996</v>
      </c>
      <c r="HS60">
        <v>1.86859</v>
      </c>
      <c r="HT60">
        <v>1.86996</v>
      </c>
      <c r="HU60">
        <v>0</v>
      </c>
      <c r="HV60">
        <v>0</v>
      </c>
      <c r="HW60">
        <v>0</v>
      </c>
      <c r="HX60">
        <v>0</v>
      </c>
      <c r="HY60" t="s">
        <v>421</v>
      </c>
      <c r="HZ60" t="s">
        <v>422</v>
      </c>
      <c r="IA60" t="s">
        <v>423</v>
      </c>
      <c r="IB60" t="s">
        <v>423</v>
      </c>
      <c r="IC60" t="s">
        <v>423</v>
      </c>
      <c r="ID60" t="s">
        <v>423</v>
      </c>
      <c r="IE60">
        <v>0</v>
      </c>
      <c r="IF60">
        <v>100</v>
      </c>
      <c r="IG60">
        <v>100</v>
      </c>
      <c r="IH60">
        <v>0.95</v>
      </c>
      <c r="II60">
        <v>0.0581</v>
      </c>
      <c r="IJ60">
        <v>1.257309091789605</v>
      </c>
      <c r="IK60">
        <v>-0.002185601614162945</v>
      </c>
      <c r="IL60">
        <v>-2.252308143750626E-07</v>
      </c>
      <c r="IM60">
        <v>5.915558436307541E-11</v>
      </c>
      <c r="IN60">
        <v>-0.118683452207699</v>
      </c>
      <c r="IO60">
        <v>-0.007570214193104963</v>
      </c>
      <c r="IP60">
        <v>0.0009214429922928372</v>
      </c>
      <c r="IQ60">
        <v>-1.392260276065805E-05</v>
      </c>
      <c r="IR60">
        <v>17</v>
      </c>
      <c r="IS60">
        <v>2272</v>
      </c>
      <c r="IT60">
        <v>1</v>
      </c>
      <c r="IU60">
        <v>31</v>
      </c>
      <c r="IV60">
        <v>6.3</v>
      </c>
      <c r="IW60">
        <v>6.6</v>
      </c>
      <c r="IX60">
        <v>0.390625</v>
      </c>
      <c r="IY60">
        <v>2.27783</v>
      </c>
      <c r="IZ60">
        <v>1.39648</v>
      </c>
      <c r="JA60">
        <v>2.35352</v>
      </c>
      <c r="JB60">
        <v>1.49536</v>
      </c>
      <c r="JC60">
        <v>2.27173</v>
      </c>
      <c r="JD60">
        <v>36.0113</v>
      </c>
      <c r="JE60">
        <v>15.3841</v>
      </c>
      <c r="JF60">
        <v>18</v>
      </c>
      <c r="JG60">
        <v>389.886</v>
      </c>
      <c r="JH60">
        <v>561.466</v>
      </c>
      <c r="JI60">
        <v>30.1872</v>
      </c>
      <c r="JJ60">
        <v>30.4242</v>
      </c>
      <c r="JK60">
        <v>30.0004</v>
      </c>
      <c r="JL60">
        <v>30.3231</v>
      </c>
      <c r="JM60">
        <v>30.2222</v>
      </c>
      <c r="JN60">
        <v>7.80893</v>
      </c>
      <c r="JO60">
        <v>50.308</v>
      </c>
      <c r="JP60">
        <v>0</v>
      </c>
      <c r="JQ60">
        <v>30.0901</v>
      </c>
      <c r="JR60">
        <v>98.7899</v>
      </c>
      <c r="JS60">
        <v>10.7553</v>
      </c>
      <c r="JT60">
        <v>100.018</v>
      </c>
      <c r="JU60">
        <v>100.126</v>
      </c>
    </row>
    <row r="61" spans="1:281">
      <c r="A61">
        <v>45</v>
      </c>
      <c r="B61">
        <v>1652371675.1</v>
      </c>
      <c r="C61">
        <v>3581.5</v>
      </c>
      <c r="D61" t="s">
        <v>557</v>
      </c>
      <c r="E61" t="s">
        <v>558</v>
      </c>
      <c r="F61">
        <v>5</v>
      </c>
      <c r="G61" t="s">
        <v>518</v>
      </c>
      <c r="H61" t="s">
        <v>414</v>
      </c>
      <c r="I61">
        <v>1652371667.314285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121.3185302621268</v>
      </c>
      <c r="AK61">
        <v>129.8277878787879</v>
      </c>
      <c r="AL61">
        <v>-2.947723452158601</v>
      </c>
      <c r="AM61">
        <v>65.95105977519088</v>
      </c>
      <c r="AN61">
        <f>(AP61 - AO61 + DI61*1E3/(8.314*(DK61+273.15)) * AR61/DH61 * AQ61) * DH61/(100*CV61) * 1000/(1000 - AP61)</f>
        <v>0</v>
      </c>
      <c r="AO61">
        <v>10.58207550458406</v>
      </c>
      <c r="AP61">
        <v>25.67825314685316</v>
      </c>
      <c r="AQ61">
        <v>-0.0003003351432034297</v>
      </c>
      <c r="AR61">
        <v>81.26040297655408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417</v>
      </c>
      <c r="AY61" t="s">
        <v>417</v>
      </c>
      <c r="AZ61">
        <v>0</v>
      </c>
      <c r="BA61">
        <v>0</v>
      </c>
      <c r="BB61">
        <f>1-AZ61/BA61</f>
        <v>0</v>
      </c>
      <c r="BC61">
        <v>0</v>
      </c>
      <c r="BD61" t="s">
        <v>417</v>
      </c>
      <c r="BE61" t="s">
        <v>417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1393</v>
      </c>
      <c r="CA61">
        <v>300</v>
      </c>
      <c r="CB61">
        <v>300</v>
      </c>
      <c r="CC61">
        <v>300</v>
      </c>
      <c r="CD61">
        <v>10378</v>
      </c>
      <c r="CE61">
        <v>2050</v>
      </c>
      <c r="CF61">
        <v>-0.00730649</v>
      </c>
      <c r="CG61">
        <v>-4.53</v>
      </c>
      <c r="CH61" t="s">
        <v>417</v>
      </c>
      <c r="CI61" t="s">
        <v>417</v>
      </c>
      <c r="CJ61" t="s">
        <v>417</v>
      </c>
      <c r="CK61" t="s">
        <v>417</v>
      </c>
      <c r="CL61" t="s">
        <v>417</v>
      </c>
      <c r="CM61" t="s">
        <v>417</v>
      </c>
      <c r="CN61" t="s">
        <v>417</v>
      </c>
      <c r="CO61" t="s">
        <v>417</v>
      </c>
      <c r="CP61" t="s">
        <v>417</v>
      </c>
      <c r="CQ61" t="s">
        <v>417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418</v>
      </c>
      <c r="CY61">
        <v>2</v>
      </c>
      <c r="CZ61" t="b">
        <v>1</v>
      </c>
      <c r="DA61">
        <v>1652371667.314285</v>
      </c>
      <c r="DB61">
        <v>147.4623928571429</v>
      </c>
      <c r="DC61">
        <v>132.9240357142857</v>
      </c>
      <c r="DD61">
        <v>25.69465</v>
      </c>
      <c r="DE61">
        <v>10.49378928571429</v>
      </c>
      <c r="DF61">
        <v>146.5300714285714</v>
      </c>
      <c r="DG61">
        <v>25.63638928571428</v>
      </c>
      <c r="DH61">
        <v>400.0621785714285</v>
      </c>
      <c r="DI61">
        <v>90.39986785714288</v>
      </c>
      <c r="DJ61">
        <v>0.09997369642857143</v>
      </c>
      <c r="DK61">
        <v>31.77191428571428</v>
      </c>
      <c r="DL61">
        <v>30.12368214285714</v>
      </c>
      <c r="DM61">
        <v>999.9000000000002</v>
      </c>
      <c r="DN61">
        <v>0</v>
      </c>
      <c r="DO61">
        <v>0</v>
      </c>
      <c r="DP61">
        <v>10006.89535714286</v>
      </c>
      <c r="DQ61">
        <v>0</v>
      </c>
      <c r="DR61">
        <v>393.5313571428572</v>
      </c>
      <c r="DS61">
        <v>14.53835</v>
      </c>
      <c r="DT61">
        <v>151.3515357142857</v>
      </c>
      <c r="DU61">
        <v>134.3321071428572</v>
      </c>
      <c r="DV61">
        <v>15.20084642857143</v>
      </c>
      <c r="DW61">
        <v>132.9240357142857</v>
      </c>
      <c r="DX61">
        <v>10.49378928571429</v>
      </c>
      <c r="DY61">
        <v>2.322792142857143</v>
      </c>
      <c r="DZ61">
        <v>0.9486382142857142</v>
      </c>
      <c r="EA61">
        <v>19.83533928571429</v>
      </c>
      <c r="EB61">
        <v>6.149781071428571</v>
      </c>
      <c r="EC61">
        <v>1499.977142857143</v>
      </c>
      <c r="ED61">
        <v>0.9730025357142857</v>
      </c>
      <c r="EE61">
        <v>0.02699753214285714</v>
      </c>
      <c r="EF61">
        <v>0</v>
      </c>
      <c r="EG61">
        <v>1028.900357142857</v>
      </c>
      <c r="EH61">
        <v>5.00097</v>
      </c>
      <c r="EI61">
        <v>16290.05</v>
      </c>
      <c r="EJ61">
        <v>12491.41785714285</v>
      </c>
      <c r="EK61">
        <v>39.56199999999999</v>
      </c>
      <c r="EL61">
        <v>41</v>
      </c>
      <c r="EM61">
        <v>39.75885714285715</v>
      </c>
      <c r="EN61">
        <v>40.82099999999999</v>
      </c>
      <c r="EO61">
        <v>40.79871428571428</v>
      </c>
      <c r="EP61">
        <v>1454.616785714286</v>
      </c>
      <c r="EQ61">
        <v>40.36035714285713</v>
      </c>
      <c r="ER61">
        <v>0</v>
      </c>
      <c r="ES61">
        <v>509.1999998092651</v>
      </c>
      <c r="ET61">
        <v>0</v>
      </c>
      <c r="EU61">
        <v>1026.4224</v>
      </c>
      <c r="EV61">
        <v>-198.1261541421183</v>
      </c>
      <c r="EW61">
        <v>-2920.438465670552</v>
      </c>
      <c r="EX61">
        <v>16256.808</v>
      </c>
      <c r="EY61">
        <v>15</v>
      </c>
      <c r="EZ61">
        <v>1652371289.6</v>
      </c>
      <c r="FA61" t="s">
        <v>515</v>
      </c>
      <c r="FB61">
        <v>1652371289.6</v>
      </c>
      <c r="FC61">
        <v>1652371275.1</v>
      </c>
      <c r="FD61">
        <v>24</v>
      </c>
      <c r="FE61">
        <v>0.442</v>
      </c>
      <c r="FF61">
        <v>0.001</v>
      </c>
      <c r="FG61">
        <v>-2.63</v>
      </c>
      <c r="FH61">
        <v>0.007</v>
      </c>
      <c r="FI61">
        <v>1620</v>
      </c>
      <c r="FJ61">
        <v>22</v>
      </c>
      <c r="FK61">
        <v>0.08</v>
      </c>
      <c r="FL61">
        <v>0.04</v>
      </c>
      <c r="FM61">
        <v>13.35896121951219</v>
      </c>
      <c r="FN61">
        <v>26.62126871080138</v>
      </c>
      <c r="FO61">
        <v>2.629268163528097</v>
      </c>
      <c r="FP61">
        <v>-1</v>
      </c>
      <c r="FQ61">
        <v>15.28527804878049</v>
      </c>
      <c r="FR61">
        <v>-1.806474564459922</v>
      </c>
      <c r="FS61">
        <v>0.1786375066620575</v>
      </c>
      <c r="FT61">
        <v>0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1</v>
      </c>
      <c r="GA61" t="s">
        <v>432</v>
      </c>
      <c r="GB61">
        <v>2.69642</v>
      </c>
      <c r="GC61">
        <v>2.70535</v>
      </c>
      <c r="GD61">
        <v>0.0324733</v>
      </c>
      <c r="GE61">
        <v>0.027858</v>
      </c>
      <c r="GF61">
        <v>0.111199</v>
      </c>
      <c r="GG61">
        <v>0.0581233</v>
      </c>
      <c r="GH61">
        <v>30435.8</v>
      </c>
      <c r="GI61">
        <v>30714.5</v>
      </c>
      <c r="GJ61">
        <v>29260.6</v>
      </c>
      <c r="GK61">
        <v>29235.1</v>
      </c>
      <c r="GL61">
        <v>34428</v>
      </c>
      <c r="GM61">
        <v>36658.2</v>
      </c>
      <c r="GN61">
        <v>41182.9</v>
      </c>
      <c r="GO61">
        <v>41711.7</v>
      </c>
      <c r="GP61">
        <v>1.7306</v>
      </c>
      <c r="GQ61">
        <v>2.02665</v>
      </c>
      <c r="GR61">
        <v>0.064373</v>
      </c>
      <c r="GS61">
        <v>0</v>
      </c>
      <c r="GT61">
        <v>29.0615</v>
      </c>
      <c r="GU61">
        <v>999.9</v>
      </c>
      <c r="GV61">
        <v>44.3</v>
      </c>
      <c r="GW61">
        <v>32.6</v>
      </c>
      <c r="GX61">
        <v>24.2054</v>
      </c>
      <c r="GY61">
        <v>63.3579</v>
      </c>
      <c r="GZ61">
        <v>29.2668</v>
      </c>
      <c r="HA61">
        <v>1</v>
      </c>
      <c r="HB61">
        <v>0.231634</v>
      </c>
      <c r="HC61">
        <v>0.8664809999999999</v>
      </c>
      <c r="HD61">
        <v>20.3787</v>
      </c>
      <c r="HE61">
        <v>5.21519</v>
      </c>
      <c r="HF61">
        <v>12.0099</v>
      </c>
      <c r="HG61">
        <v>4.98745</v>
      </c>
      <c r="HH61">
        <v>3.28815</v>
      </c>
      <c r="HI61">
        <v>2708.8</v>
      </c>
      <c r="HJ61">
        <v>9999</v>
      </c>
      <c r="HK61">
        <v>9999</v>
      </c>
      <c r="HL61">
        <v>49.9</v>
      </c>
      <c r="HM61">
        <v>1.86721</v>
      </c>
      <c r="HN61">
        <v>1.86616</v>
      </c>
      <c r="HO61">
        <v>1.8657</v>
      </c>
      <c r="HP61">
        <v>1.86568</v>
      </c>
      <c r="HQ61">
        <v>1.86739</v>
      </c>
      <c r="HR61">
        <v>1.86996</v>
      </c>
      <c r="HS61">
        <v>1.8686</v>
      </c>
      <c r="HT61">
        <v>1.86996</v>
      </c>
      <c r="HU61">
        <v>0</v>
      </c>
      <c r="HV61">
        <v>0</v>
      </c>
      <c r="HW61">
        <v>0</v>
      </c>
      <c r="HX61">
        <v>0</v>
      </c>
      <c r="HY61" t="s">
        <v>421</v>
      </c>
      <c r="HZ61" t="s">
        <v>422</v>
      </c>
      <c r="IA61" t="s">
        <v>423</v>
      </c>
      <c r="IB61" t="s">
        <v>423</v>
      </c>
      <c r="IC61" t="s">
        <v>423</v>
      </c>
      <c r="ID61" t="s">
        <v>423</v>
      </c>
      <c r="IE61">
        <v>0</v>
      </c>
      <c r="IF61">
        <v>100</v>
      </c>
      <c r="IG61">
        <v>100</v>
      </c>
      <c r="IH61">
        <v>0.982</v>
      </c>
      <c r="II61">
        <v>0.058</v>
      </c>
      <c r="IJ61">
        <v>1.257309091789605</v>
      </c>
      <c r="IK61">
        <v>-0.002185601614162945</v>
      </c>
      <c r="IL61">
        <v>-2.252308143750626E-07</v>
      </c>
      <c r="IM61">
        <v>5.915558436307541E-11</v>
      </c>
      <c r="IN61">
        <v>-0.118683452207699</v>
      </c>
      <c r="IO61">
        <v>-0.007570214193104963</v>
      </c>
      <c r="IP61">
        <v>0.0009214429922928372</v>
      </c>
      <c r="IQ61">
        <v>-1.392260276065805E-05</v>
      </c>
      <c r="IR61">
        <v>17</v>
      </c>
      <c r="IS61">
        <v>2272</v>
      </c>
      <c r="IT61">
        <v>1</v>
      </c>
      <c r="IU61">
        <v>31</v>
      </c>
      <c r="IV61">
        <v>6.4</v>
      </c>
      <c r="IW61">
        <v>6.7</v>
      </c>
      <c r="IX61">
        <v>0.357666</v>
      </c>
      <c r="IY61">
        <v>2.28271</v>
      </c>
      <c r="IZ61">
        <v>1.39648</v>
      </c>
      <c r="JA61">
        <v>2.35352</v>
      </c>
      <c r="JB61">
        <v>1.49536</v>
      </c>
      <c r="JC61">
        <v>2.30713</v>
      </c>
      <c r="JD61">
        <v>36.0347</v>
      </c>
      <c r="JE61">
        <v>15.3841</v>
      </c>
      <c r="JF61">
        <v>18</v>
      </c>
      <c r="JG61">
        <v>389.856</v>
      </c>
      <c r="JH61">
        <v>561.216</v>
      </c>
      <c r="JI61">
        <v>30.0642</v>
      </c>
      <c r="JJ61">
        <v>30.4288</v>
      </c>
      <c r="JK61">
        <v>30.0004</v>
      </c>
      <c r="JL61">
        <v>30.327</v>
      </c>
      <c r="JM61">
        <v>30.2255</v>
      </c>
      <c r="JN61">
        <v>7.10087</v>
      </c>
      <c r="JO61">
        <v>50.308</v>
      </c>
      <c r="JP61">
        <v>0</v>
      </c>
      <c r="JQ61">
        <v>29.9682</v>
      </c>
      <c r="JR61">
        <v>85.4151</v>
      </c>
      <c r="JS61">
        <v>10.752</v>
      </c>
      <c r="JT61">
        <v>100.015</v>
      </c>
      <c r="JU61">
        <v>100.127</v>
      </c>
    </row>
    <row r="62" spans="1:281">
      <c r="A62">
        <v>46</v>
      </c>
      <c r="B62">
        <v>1652371680.1</v>
      </c>
      <c r="C62">
        <v>3586.5</v>
      </c>
      <c r="D62" t="s">
        <v>559</v>
      </c>
      <c r="E62" t="s">
        <v>560</v>
      </c>
      <c r="F62">
        <v>5</v>
      </c>
      <c r="G62" t="s">
        <v>518</v>
      </c>
      <c r="H62" t="s">
        <v>414</v>
      </c>
      <c r="I62">
        <v>1652371672.6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104.0916143698083</v>
      </c>
      <c r="AK62">
        <v>114.932303030303</v>
      </c>
      <c r="AL62">
        <v>-2.978857844861606</v>
      </c>
      <c r="AM62">
        <v>65.95105977519088</v>
      </c>
      <c r="AN62">
        <f>(AP62 - AO62 + DI62*1E3/(8.314*(DK62+273.15)) * AR62/DH62 * AQ62) * DH62/(100*CV62) * 1000/(1000 - AP62)</f>
        <v>0</v>
      </c>
      <c r="AO62">
        <v>10.65932116823888</v>
      </c>
      <c r="AP62">
        <v>25.66084965034965</v>
      </c>
      <c r="AQ62">
        <v>0.0003605842581489529</v>
      </c>
      <c r="AR62">
        <v>81.26040297655408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417</v>
      </c>
      <c r="AY62" t="s">
        <v>417</v>
      </c>
      <c r="AZ62">
        <v>0</v>
      </c>
      <c r="BA62">
        <v>0</v>
      </c>
      <c r="BB62">
        <f>1-AZ62/BA62</f>
        <v>0</v>
      </c>
      <c r="BC62">
        <v>0</v>
      </c>
      <c r="BD62" t="s">
        <v>417</v>
      </c>
      <c r="BE62" t="s">
        <v>417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1393</v>
      </c>
      <c r="CA62">
        <v>300</v>
      </c>
      <c r="CB62">
        <v>300</v>
      </c>
      <c r="CC62">
        <v>300</v>
      </c>
      <c r="CD62">
        <v>10378</v>
      </c>
      <c r="CE62">
        <v>2050</v>
      </c>
      <c r="CF62">
        <v>-0.00730649</v>
      </c>
      <c r="CG62">
        <v>-4.53</v>
      </c>
      <c r="CH62" t="s">
        <v>417</v>
      </c>
      <c r="CI62" t="s">
        <v>417</v>
      </c>
      <c r="CJ62" t="s">
        <v>417</v>
      </c>
      <c r="CK62" t="s">
        <v>417</v>
      </c>
      <c r="CL62" t="s">
        <v>417</v>
      </c>
      <c r="CM62" t="s">
        <v>417</v>
      </c>
      <c r="CN62" t="s">
        <v>417</v>
      </c>
      <c r="CO62" t="s">
        <v>417</v>
      </c>
      <c r="CP62" t="s">
        <v>417</v>
      </c>
      <c r="CQ62" t="s">
        <v>417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418</v>
      </c>
      <c r="CY62">
        <v>2</v>
      </c>
      <c r="CZ62" t="b">
        <v>1</v>
      </c>
      <c r="DA62">
        <v>1652371672.6</v>
      </c>
      <c r="DB62">
        <v>132.2281851851852</v>
      </c>
      <c r="DC62">
        <v>115.2330037037037</v>
      </c>
      <c r="DD62">
        <v>25.68044444444444</v>
      </c>
      <c r="DE62">
        <v>10.59718888888889</v>
      </c>
      <c r="DF62">
        <v>131.2614444444444</v>
      </c>
      <c r="DG62">
        <v>25.62235555555555</v>
      </c>
      <c r="DH62">
        <v>400.0743333333333</v>
      </c>
      <c r="DI62">
        <v>90.40056666666666</v>
      </c>
      <c r="DJ62">
        <v>0.1000146703703704</v>
      </c>
      <c r="DK62">
        <v>31.74535925925926</v>
      </c>
      <c r="DL62">
        <v>30.1162074074074</v>
      </c>
      <c r="DM62">
        <v>999.9000000000001</v>
      </c>
      <c r="DN62">
        <v>0</v>
      </c>
      <c r="DO62">
        <v>0</v>
      </c>
      <c r="DP62">
        <v>9990.664814814816</v>
      </c>
      <c r="DQ62">
        <v>0</v>
      </c>
      <c r="DR62">
        <v>397.0908148148148</v>
      </c>
      <c r="DS62">
        <v>16.99507407407408</v>
      </c>
      <c r="DT62">
        <v>135.7133703703704</v>
      </c>
      <c r="DU62">
        <v>116.4662259259259</v>
      </c>
      <c r="DV62">
        <v>15.08323703703704</v>
      </c>
      <c r="DW62">
        <v>115.2330037037037</v>
      </c>
      <c r="DX62">
        <v>10.59718888888889</v>
      </c>
      <c r="DY62">
        <v>2.321526296296296</v>
      </c>
      <c r="DZ62">
        <v>0.9579922962962962</v>
      </c>
      <c r="EA62">
        <v>19.82654814814815</v>
      </c>
      <c r="EB62">
        <v>6.292354074074074</v>
      </c>
      <c r="EC62">
        <v>1499.991481481482</v>
      </c>
      <c r="ED62">
        <v>0.9730031111111112</v>
      </c>
      <c r="EE62">
        <v>0.02699692222222223</v>
      </c>
      <c r="EF62">
        <v>0</v>
      </c>
      <c r="EG62">
        <v>1011.941037037037</v>
      </c>
      <c r="EH62">
        <v>5.00097</v>
      </c>
      <c r="EI62">
        <v>16040.45925925926</v>
      </c>
      <c r="EJ62">
        <v>12491.53703703704</v>
      </c>
      <c r="EK62">
        <v>39.56199999999999</v>
      </c>
      <c r="EL62">
        <v>41</v>
      </c>
      <c r="EM62">
        <v>39.77066666666666</v>
      </c>
      <c r="EN62">
        <v>40.83066666666667</v>
      </c>
      <c r="EO62">
        <v>40.80281481481481</v>
      </c>
      <c r="EP62">
        <v>1454.630740740741</v>
      </c>
      <c r="EQ62">
        <v>40.36074074074073</v>
      </c>
      <c r="ER62">
        <v>0</v>
      </c>
      <c r="ES62">
        <v>514</v>
      </c>
      <c r="ET62">
        <v>0</v>
      </c>
      <c r="EU62">
        <v>1011.17592</v>
      </c>
      <c r="EV62">
        <v>-183.1556920111714</v>
      </c>
      <c r="EW62">
        <v>-2727.046149627226</v>
      </c>
      <c r="EX62">
        <v>16029.676</v>
      </c>
      <c r="EY62">
        <v>15</v>
      </c>
      <c r="EZ62">
        <v>1652371289.6</v>
      </c>
      <c r="FA62" t="s">
        <v>515</v>
      </c>
      <c r="FB62">
        <v>1652371289.6</v>
      </c>
      <c r="FC62">
        <v>1652371275.1</v>
      </c>
      <c r="FD62">
        <v>24</v>
      </c>
      <c r="FE62">
        <v>0.442</v>
      </c>
      <c r="FF62">
        <v>0.001</v>
      </c>
      <c r="FG62">
        <v>-2.63</v>
      </c>
      <c r="FH62">
        <v>0.007</v>
      </c>
      <c r="FI62">
        <v>1620</v>
      </c>
      <c r="FJ62">
        <v>22</v>
      </c>
      <c r="FK62">
        <v>0.08</v>
      </c>
      <c r="FL62">
        <v>0.04</v>
      </c>
      <c r="FM62">
        <v>15.15180731707317</v>
      </c>
      <c r="FN62">
        <v>27.82422229965157</v>
      </c>
      <c r="FO62">
        <v>2.746603319435973</v>
      </c>
      <c r="FP62">
        <v>-1</v>
      </c>
      <c r="FQ62">
        <v>15.18220243902439</v>
      </c>
      <c r="FR62">
        <v>-1.500702439024422</v>
      </c>
      <c r="FS62">
        <v>0.1511764265527885</v>
      </c>
      <c r="FT62">
        <v>0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1</v>
      </c>
      <c r="GA62" t="s">
        <v>432</v>
      </c>
      <c r="GB62">
        <v>2.69623</v>
      </c>
      <c r="GC62">
        <v>2.70485</v>
      </c>
      <c r="GD62">
        <v>0.0288094</v>
      </c>
      <c r="GE62">
        <v>0.0236954</v>
      </c>
      <c r="GF62">
        <v>0.111138</v>
      </c>
      <c r="GG62">
        <v>0.0582508</v>
      </c>
      <c r="GH62">
        <v>30551.1</v>
      </c>
      <c r="GI62">
        <v>30846.9</v>
      </c>
      <c r="GJ62">
        <v>29260.7</v>
      </c>
      <c r="GK62">
        <v>29236</v>
      </c>
      <c r="GL62">
        <v>34430.6</v>
      </c>
      <c r="GM62">
        <v>36652.5</v>
      </c>
      <c r="GN62">
        <v>41183.2</v>
      </c>
      <c r="GO62">
        <v>41711</v>
      </c>
      <c r="GP62">
        <v>1.73035</v>
      </c>
      <c r="GQ62">
        <v>2.02693</v>
      </c>
      <c r="GR62">
        <v>0.06457789999999999</v>
      </c>
      <c r="GS62">
        <v>0</v>
      </c>
      <c r="GT62">
        <v>29.0645</v>
      </c>
      <c r="GU62">
        <v>999.9</v>
      </c>
      <c r="GV62">
        <v>44.3</v>
      </c>
      <c r="GW62">
        <v>32.6</v>
      </c>
      <c r="GX62">
        <v>24.2069</v>
      </c>
      <c r="GY62">
        <v>63.6979</v>
      </c>
      <c r="GZ62">
        <v>29.5873</v>
      </c>
      <c r="HA62">
        <v>1</v>
      </c>
      <c r="HB62">
        <v>0.166095</v>
      </c>
      <c r="HC62">
        <v>0.9897820000000001</v>
      </c>
      <c r="HD62">
        <v>20.3784</v>
      </c>
      <c r="HE62">
        <v>5.21564</v>
      </c>
      <c r="HF62">
        <v>12.0099</v>
      </c>
      <c r="HG62">
        <v>4.9875</v>
      </c>
      <c r="HH62">
        <v>3.28825</v>
      </c>
      <c r="HI62">
        <v>2709</v>
      </c>
      <c r="HJ62">
        <v>9999</v>
      </c>
      <c r="HK62">
        <v>9999</v>
      </c>
      <c r="HL62">
        <v>49.9</v>
      </c>
      <c r="HM62">
        <v>1.86721</v>
      </c>
      <c r="HN62">
        <v>1.86616</v>
      </c>
      <c r="HO62">
        <v>1.86574</v>
      </c>
      <c r="HP62">
        <v>1.86568</v>
      </c>
      <c r="HQ62">
        <v>1.86739</v>
      </c>
      <c r="HR62">
        <v>1.86996</v>
      </c>
      <c r="HS62">
        <v>1.8686</v>
      </c>
      <c r="HT62">
        <v>1.86996</v>
      </c>
      <c r="HU62">
        <v>0</v>
      </c>
      <c r="HV62">
        <v>0</v>
      </c>
      <c r="HW62">
        <v>0</v>
      </c>
      <c r="HX62">
        <v>0</v>
      </c>
      <c r="HY62" t="s">
        <v>421</v>
      </c>
      <c r="HZ62" t="s">
        <v>422</v>
      </c>
      <c r="IA62" t="s">
        <v>423</v>
      </c>
      <c r="IB62" t="s">
        <v>423</v>
      </c>
      <c r="IC62" t="s">
        <v>423</v>
      </c>
      <c r="ID62" t="s">
        <v>423</v>
      </c>
      <c r="IE62">
        <v>0</v>
      </c>
      <c r="IF62">
        <v>100</v>
      </c>
      <c r="IG62">
        <v>100</v>
      </c>
      <c r="IH62">
        <v>1.016</v>
      </c>
      <c r="II62">
        <v>0.0577</v>
      </c>
      <c r="IJ62">
        <v>1.257309091789605</v>
      </c>
      <c r="IK62">
        <v>-0.002185601614162945</v>
      </c>
      <c r="IL62">
        <v>-2.252308143750626E-07</v>
      </c>
      <c r="IM62">
        <v>5.915558436307541E-11</v>
      </c>
      <c r="IN62">
        <v>-0.118683452207699</v>
      </c>
      <c r="IO62">
        <v>-0.007570214193104963</v>
      </c>
      <c r="IP62">
        <v>0.0009214429922928372</v>
      </c>
      <c r="IQ62">
        <v>-1.392260276065805E-05</v>
      </c>
      <c r="IR62">
        <v>17</v>
      </c>
      <c r="IS62">
        <v>2272</v>
      </c>
      <c r="IT62">
        <v>1</v>
      </c>
      <c r="IU62">
        <v>31</v>
      </c>
      <c r="IV62">
        <v>6.5</v>
      </c>
      <c r="IW62">
        <v>6.8</v>
      </c>
      <c r="IX62">
        <v>0.316162</v>
      </c>
      <c r="IY62">
        <v>2.28638</v>
      </c>
      <c r="IZ62">
        <v>1.39648</v>
      </c>
      <c r="JA62">
        <v>2.35352</v>
      </c>
      <c r="JB62">
        <v>1.49536</v>
      </c>
      <c r="JC62">
        <v>2.35352</v>
      </c>
      <c r="JD62">
        <v>36.0347</v>
      </c>
      <c r="JE62">
        <v>15.3929</v>
      </c>
      <c r="JF62">
        <v>18</v>
      </c>
      <c r="JG62">
        <v>389.742</v>
      </c>
      <c r="JH62">
        <v>561.446</v>
      </c>
      <c r="JI62">
        <v>29.945</v>
      </c>
      <c r="JJ62">
        <v>30.4331</v>
      </c>
      <c r="JK62">
        <v>30.0005</v>
      </c>
      <c r="JL62">
        <v>30.3303</v>
      </c>
      <c r="JM62">
        <v>30.228</v>
      </c>
      <c r="JN62">
        <v>6.32879</v>
      </c>
      <c r="JO62">
        <v>50.0028</v>
      </c>
      <c r="JP62">
        <v>0</v>
      </c>
      <c r="JQ62">
        <v>29.8595</v>
      </c>
      <c r="JR62">
        <v>65.378</v>
      </c>
      <c r="JS62">
        <v>10.8585</v>
      </c>
      <c r="JT62">
        <v>100.015</v>
      </c>
      <c r="JU62">
        <v>100.127</v>
      </c>
    </row>
    <row r="63" spans="1:281">
      <c r="A63">
        <v>47</v>
      </c>
      <c r="B63">
        <v>1652371685.1</v>
      </c>
      <c r="C63">
        <v>3591.5</v>
      </c>
      <c r="D63" t="s">
        <v>561</v>
      </c>
      <c r="E63" t="s">
        <v>562</v>
      </c>
      <c r="F63">
        <v>5</v>
      </c>
      <c r="G63" t="s">
        <v>518</v>
      </c>
      <c r="H63" t="s">
        <v>414</v>
      </c>
      <c r="I63">
        <v>1652371677.314285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87.61975473808772</v>
      </c>
      <c r="AK63">
        <v>100.1650787878788</v>
      </c>
      <c r="AL63">
        <v>-2.944399640310507</v>
      </c>
      <c r="AM63">
        <v>65.95105977519088</v>
      </c>
      <c r="AN63">
        <f>(AP63 - AO63 + DI63*1E3/(8.314*(DK63+273.15)) * AR63/DH63 * AQ63) * DH63/(100*CV63) * 1000/(1000 - AP63)</f>
        <v>0</v>
      </c>
      <c r="AO63">
        <v>10.70125054922111</v>
      </c>
      <c r="AP63">
        <v>25.61837762237762</v>
      </c>
      <c r="AQ63">
        <v>-0.01216462420733366</v>
      </c>
      <c r="AR63">
        <v>81.26040297655408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417</v>
      </c>
      <c r="AY63" t="s">
        <v>417</v>
      </c>
      <c r="AZ63">
        <v>0</v>
      </c>
      <c r="BA63">
        <v>0</v>
      </c>
      <c r="BB63">
        <f>1-AZ63/BA63</f>
        <v>0</v>
      </c>
      <c r="BC63">
        <v>0</v>
      </c>
      <c r="BD63" t="s">
        <v>417</v>
      </c>
      <c r="BE63" t="s">
        <v>417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1393</v>
      </c>
      <c r="CA63">
        <v>300</v>
      </c>
      <c r="CB63">
        <v>300</v>
      </c>
      <c r="CC63">
        <v>300</v>
      </c>
      <c r="CD63">
        <v>10378</v>
      </c>
      <c r="CE63">
        <v>2050</v>
      </c>
      <c r="CF63">
        <v>-0.00730649</v>
      </c>
      <c r="CG63">
        <v>-4.53</v>
      </c>
      <c r="CH63" t="s">
        <v>417</v>
      </c>
      <c r="CI63" t="s">
        <v>417</v>
      </c>
      <c r="CJ63" t="s">
        <v>417</v>
      </c>
      <c r="CK63" t="s">
        <v>417</v>
      </c>
      <c r="CL63" t="s">
        <v>417</v>
      </c>
      <c r="CM63" t="s">
        <v>417</v>
      </c>
      <c r="CN63" t="s">
        <v>417</v>
      </c>
      <c r="CO63" t="s">
        <v>417</v>
      </c>
      <c r="CP63" t="s">
        <v>417</v>
      </c>
      <c r="CQ63" t="s">
        <v>417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418</v>
      </c>
      <c r="CY63">
        <v>2</v>
      </c>
      <c r="CZ63" t="b">
        <v>1</v>
      </c>
      <c r="DA63">
        <v>1652371677.314285</v>
      </c>
      <c r="DB63">
        <v>118.6220428571429</v>
      </c>
      <c r="DC63">
        <v>99.53051071428573</v>
      </c>
      <c r="DD63">
        <v>25.6617</v>
      </c>
      <c r="DE63">
        <v>10.68023571428571</v>
      </c>
      <c r="DF63">
        <v>117.6248642857143</v>
      </c>
      <c r="DG63">
        <v>25.60384285714286</v>
      </c>
      <c r="DH63">
        <v>400.0912857142857</v>
      </c>
      <c r="DI63">
        <v>90.40185357142857</v>
      </c>
      <c r="DJ63">
        <v>0.1000188678571429</v>
      </c>
      <c r="DK63">
        <v>31.721725</v>
      </c>
      <c r="DL63">
        <v>30.11495357142857</v>
      </c>
      <c r="DM63">
        <v>999.9000000000002</v>
      </c>
      <c r="DN63">
        <v>0</v>
      </c>
      <c r="DO63">
        <v>0</v>
      </c>
      <c r="DP63">
        <v>9989.50392857143</v>
      </c>
      <c r="DQ63">
        <v>0</v>
      </c>
      <c r="DR63">
        <v>395.3095</v>
      </c>
      <c r="DS63">
        <v>19.09145714285714</v>
      </c>
      <c r="DT63">
        <v>121.7464642857143</v>
      </c>
      <c r="DU63">
        <v>100.6041107142857</v>
      </c>
      <c r="DV63">
        <v>14.98144642857143</v>
      </c>
      <c r="DW63">
        <v>99.53051071428573</v>
      </c>
      <c r="DX63">
        <v>10.68023571428571</v>
      </c>
      <c r="DY63">
        <v>2.319865</v>
      </c>
      <c r="DZ63">
        <v>0.9655132142857142</v>
      </c>
      <c r="EA63">
        <v>19.81500357142858</v>
      </c>
      <c r="EB63">
        <v>6.405868571428572</v>
      </c>
      <c r="EC63">
        <v>1499.984285714286</v>
      </c>
      <c r="ED63">
        <v>0.9730034285714285</v>
      </c>
      <c r="EE63">
        <v>0.02699658571428572</v>
      </c>
      <c r="EF63">
        <v>0</v>
      </c>
      <c r="EG63">
        <v>997.9716428571428</v>
      </c>
      <c r="EH63">
        <v>5.00097</v>
      </c>
      <c r="EI63">
        <v>15830.20714285714</v>
      </c>
      <c r="EJ63">
        <v>12491.47857142857</v>
      </c>
      <c r="EK63">
        <v>39.56199999999999</v>
      </c>
      <c r="EL63">
        <v>41</v>
      </c>
      <c r="EM63">
        <v>39.78099999999999</v>
      </c>
      <c r="EN63">
        <v>40.85025</v>
      </c>
      <c r="EO63">
        <v>40.80757142857142</v>
      </c>
      <c r="EP63">
        <v>1454.623571428571</v>
      </c>
      <c r="EQ63">
        <v>40.36071428571428</v>
      </c>
      <c r="ER63">
        <v>0</v>
      </c>
      <c r="ES63">
        <v>518.7999999523163</v>
      </c>
      <c r="ET63">
        <v>0</v>
      </c>
      <c r="EU63">
        <v>997.0159200000001</v>
      </c>
      <c r="EV63">
        <v>-169.6781538370317</v>
      </c>
      <c r="EW63">
        <v>-2634.515384411162</v>
      </c>
      <c r="EX63">
        <v>15815.736</v>
      </c>
      <c r="EY63">
        <v>15</v>
      </c>
      <c r="EZ63">
        <v>1652371289.6</v>
      </c>
      <c r="FA63" t="s">
        <v>515</v>
      </c>
      <c r="FB63">
        <v>1652371289.6</v>
      </c>
      <c r="FC63">
        <v>1652371275.1</v>
      </c>
      <c r="FD63">
        <v>24</v>
      </c>
      <c r="FE63">
        <v>0.442</v>
      </c>
      <c r="FF63">
        <v>0.001</v>
      </c>
      <c r="FG63">
        <v>-2.63</v>
      </c>
      <c r="FH63">
        <v>0.007</v>
      </c>
      <c r="FI63">
        <v>1620</v>
      </c>
      <c r="FJ63">
        <v>22</v>
      </c>
      <c r="FK63">
        <v>0.08</v>
      </c>
      <c r="FL63">
        <v>0.04</v>
      </c>
      <c r="FM63">
        <v>17.7610875</v>
      </c>
      <c r="FN63">
        <v>26.81645515947465</v>
      </c>
      <c r="FO63">
        <v>2.584469393723546</v>
      </c>
      <c r="FP63">
        <v>-1</v>
      </c>
      <c r="FQ63">
        <v>15.0472675</v>
      </c>
      <c r="FR63">
        <v>-1.218919699812438</v>
      </c>
      <c r="FS63">
        <v>0.1202160001570089</v>
      </c>
      <c r="FT63">
        <v>0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1</v>
      </c>
      <c r="GA63" t="s">
        <v>432</v>
      </c>
      <c r="GB63">
        <v>2.69606</v>
      </c>
      <c r="GC63">
        <v>2.70507</v>
      </c>
      <c r="GD63">
        <v>0.0251181</v>
      </c>
      <c r="GE63">
        <v>0.0192382</v>
      </c>
      <c r="GF63">
        <v>0.111023</v>
      </c>
      <c r="GG63">
        <v>0.0587353</v>
      </c>
      <c r="GH63">
        <v>30666.6</v>
      </c>
      <c r="GI63">
        <v>30985.7</v>
      </c>
      <c r="GJ63">
        <v>29260.2</v>
      </c>
      <c r="GK63">
        <v>29234.1</v>
      </c>
      <c r="GL63">
        <v>34433.9</v>
      </c>
      <c r="GM63">
        <v>36633.2</v>
      </c>
      <c r="GN63">
        <v>41181.9</v>
      </c>
      <c r="GO63">
        <v>41710.6</v>
      </c>
      <c r="GP63">
        <v>1.73045</v>
      </c>
      <c r="GQ63">
        <v>2.02702</v>
      </c>
      <c r="GR63">
        <v>0.0637583</v>
      </c>
      <c r="GS63">
        <v>0</v>
      </c>
      <c r="GT63">
        <v>29.067</v>
      </c>
      <c r="GU63">
        <v>999.9</v>
      </c>
      <c r="GV63">
        <v>44.3</v>
      </c>
      <c r="GW63">
        <v>32.6</v>
      </c>
      <c r="GX63">
        <v>24.2075</v>
      </c>
      <c r="GY63">
        <v>63.6479</v>
      </c>
      <c r="GZ63">
        <v>29.7997</v>
      </c>
      <c r="HA63">
        <v>1</v>
      </c>
      <c r="HB63">
        <v>0.232477</v>
      </c>
      <c r="HC63">
        <v>0.962288</v>
      </c>
      <c r="HD63">
        <v>20.3781</v>
      </c>
      <c r="HE63">
        <v>5.21669</v>
      </c>
      <c r="HF63">
        <v>12.0099</v>
      </c>
      <c r="HG63">
        <v>4.9878</v>
      </c>
      <c r="HH63">
        <v>3.28833</v>
      </c>
      <c r="HI63">
        <v>2709</v>
      </c>
      <c r="HJ63">
        <v>9999</v>
      </c>
      <c r="HK63">
        <v>9999</v>
      </c>
      <c r="HL63">
        <v>49.9</v>
      </c>
      <c r="HM63">
        <v>1.86722</v>
      </c>
      <c r="HN63">
        <v>1.86616</v>
      </c>
      <c r="HO63">
        <v>1.86574</v>
      </c>
      <c r="HP63">
        <v>1.86567</v>
      </c>
      <c r="HQ63">
        <v>1.8674</v>
      </c>
      <c r="HR63">
        <v>1.86996</v>
      </c>
      <c r="HS63">
        <v>1.86859</v>
      </c>
      <c r="HT63">
        <v>1.86996</v>
      </c>
      <c r="HU63">
        <v>0</v>
      </c>
      <c r="HV63">
        <v>0</v>
      </c>
      <c r="HW63">
        <v>0</v>
      </c>
      <c r="HX63">
        <v>0</v>
      </c>
      <c r="HY63" t="s">
        <v>421</v>
      </c>
      <c r="HZ63" t="s">
        <v>422</v>
      </c>
      <c r="IA63" t="s">
        <v>423</v>
      </c>
      <c r="IB63" t="s">
        <v>423</v>
      </c>
      <c r="IC63" t="s">
        <v>423</v>
      </c>
      <c r="ID63" t="s">
        <v>423</v>
      </c>
      <c r="IE63">
        <v>0</v>
      </c>
      <c r="IF63">
        <v>100</v>
      </c>
      <c r="IG63">
        <v>100</v>
      </c>
      <c r="IH63">
        <v>1.047</v>
      </c>
      <c r="II63">
        <v>0.0574</v>
      </c>
      <c r="IJ63">
        <v>1.257309091789605</v>
      </c>
      <c r="IK63">
        <v>-0.002185601614162945</v>
      </c>
      <c r="IL63">
        <v>-2.252308143750626E-07</v>
      </c>
      <c r="IM63">
        <v>5.915558436307541E-11</v>
      </c>
      <c r="IN63">
        <v>-0.118683452207699</v>
      </c>
      <c r="IO63">
        <v>-0.007570214193104963</v>
      </c>
      <c r="IP63">
        <v>0.0009214429922928372</v>
      </c>
      <c r="IQ63">
        <v>-1.392260276065805E-05</v>
      </c>
      <c r="IR63">
        <v>17</v>
      </c>
      <c r="IS63">
        <v>2272</v>
      </c>
      <c r="IT63">
        <v>1</v>
      </c>
      <c r="IU63">
        <v>31</v>
      </c>
      <c r="IV63">
        <v>6.6</v>
      </c>
      <c r="IW63">
        <v>6.8</v>
      </c>
      <c r="IX63">
        <v>0.280762</v>
      </c>
      <c r="IY63">
        <v>2.29126</v>
      </c>
      <c r="IZ63">
        <v>1.39648</v>
      </c>
      <c r="JA63">
        <v>2.35352</v>
      </c>
      <c r="JB63">
        <v>1.49536</v>
      </c>
      <c r="JC63">
        <v>2.36328</v>
      </c>
      <c r="JD63">
        <v>36.0347</v>
      </c>
      <c r="JE63">
        <v>15.3929</v>
      </c>
      <c r="JF63">
        <v>18</v>
      </c>
      <c r="JG63">
        <v>389.815</v>
      </c>
      <c r="JH63">
        <v>561.557</v>
      </c>
      <c r="JI63">
        <v>29.8342</v>
      </c>
      <c r="JJ63">
        <v>30.4374</v>
      </c>
      <c r="JK63">
        <v>30.0005</v>
      </c>
      <c r="JL63">
        <v>30.3335</v>
      </c>
      <c r="JM63">
        <v>30.2319</v>
      </c>
      <c r="JN63">
        <v>5.62475</v>
      </c>
      <c r="JO63">
        <v>49.4348</v>
      </c>
      <c r="JP63">
        <v>0</v>
      </c>
      <c r="JQ63">
        <v>29.744</v>
      </c>
      <c r="JR63">
        <v>52.0147</v>
      </c>
      <c r="JS63">
        <v>10.9742</v>
      </c>
      <c r="JT63">
        <v>100.013</v>
      </c>
      <c r="JU63">
        <v>100.124</v>
      </c>
    </row>
    <row r="64" spans="1:281">
      <c r="A64">
        <v>48</v>
      </c>
      <c r="B64">
        <v>1652371690.1</v>
      </c>
      <c r="C64">
        <v>3596.5</v>
      </c>
      <c r="D64" t="s">
        <v>563</v>
      </c>
      <c r="E64" t="s">
        <v>564</v>
      </c>
      <c r="F64">
        <v>5</v>
      </c>
      <c r="G64" t="s">
        <v>518</v>
      </c>
      <c r="H64" t="s">
        <v>414</v>
      </c>
      <c r="I64">
        <v>1652371682.6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70.12091648834024</v>
      </c>
      <c r="AK64">
        <v>85.23463575757575</v>
      </c>
      <c r="AL64">
        <v>-2.987183049992147</v>
      </c>
      <c r="AM64">
        <v>65.95105977519088</v>
      </c>
      <c r="AN64">
        <f>(AP64 - AO64 + DI64*1E3/(8.314*(DK64+273.15)) * AR64/DH64 * AQ64) * DH64/(100*CV64) * 1000/(1000 - AP64)</f>
        <v>0</v>
      </c>
      <c r="AO64">
        <v>10.8123932821097</v>
      </c>
      <c r="AP64">
        <v>25.60964335664338</v>
      </c>
      <c r="AQ64">
        <v>-0.005144031167180853</v>
      </c>
      <c r="AR64">
        <v>81.26040297655408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417</v>
      </c>
      <c r="AY64" t="s">
        <v>417</v>
      </c>
      <c r="AZ64">
        <v>0</v>
      </c>
      <c r="BA64">
        <v>0</v>
      </c>
      <c r="BB64">
        <f>1-AZ64/BA64</f>
        <v>0</v>
      </c>
      <c r="BC64">
        <v>0</v>
      </c>
      <c r="BD64" t="s">
        <v>417</v>
      </c>
      <c r="BE64" t="s">
        <v>417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1393</v>
      </c>
      <c r="CA64">
        <v>300</v>
      </c>
      <c r="CB64">
        <v>300</v>
      </c>
      <c r="CC64">
        <v>300</v>
      </c>
      <c r="CD64">
        <v>10378</v>
      </c>
      <c r="CE64">
        <v>2050</v>
      </c>
      <c r="CF64">
        <v>-0.00730649</v>
      </c>
      <c r="CG64">
        <v>-4.53</v>
      </c>
      <c r="CH64" t="s">
        <v>417</v>
      </c>
      <c r="CI64" t="s">
        <v>417</v>
      </c>
      <c r="CJ64" t="s">
        <v>417</v>
      </c>
      <c r="CK64" t="s">
        <v>417</v>
      </c>
      <c r="CL64" t="s">
        <v>417</v>
      </c>
      <c r="CM64" t="s">
        <v>417</v>
      </c>
      <c r="CN64" t="s">
        <v>417</v>
      </c>
      <c r="CO64" t="s">
        <v>417</v>
      </c>
      <c r="CP64" t="s">
        <v>417</v>
      </c>
      <c r="CQ64" t="s">
        <v>417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418</v>
      </c>
      <c r="CY64">
        <v>2</v>
      </c>
      <c r="CZ64" t="b">
        <v>1</v>
      </c>
      <c r="DA64">
        <v>1652371682.6</v>
      </c>
      <c r="DB64">
        <v>103.342037037037</v>
      </c>
      <c r="DC64">
        <v>81.72031481481483</v>
      </c>
      <c r="DD64">
        <v>25.63792222222223</v>
      </c>
      <c r="DE64">
        <v>10.76497407407407</v>
      </c>
      <c r="DF64">
        <v>102.3106592592593</v>
      </c>
      <c r="DG64">
        <v>25.58035185185186</v>
      </c>
      <c r="DH64">
        <v>400.1032962962963</v>
      </c>
      <c r="DI64">
        <v>90.40255185185185</v>
      </c>
      <c r="DJ64">
        <v>0.1000071851851852</v>
      </c>
      <c r="DK64">
        <v>31.69462962962963</v>
      </c>
      <c r="DL64">
        <v>30.10931851851852</v>
      </c>
      <c r="DM64">
        <v>999.9000000000001</v>
      </c>
      <c r="DN64">
        <v>0</v>
      </c>
      <c r="DO64">
        <v>0</v>
      </c>
      <c r="DP64">
        <v>9986.528148148149</v>
      </c>
      <c r="DQ64">
        <v>0</v>
      </c>
      <c r="DR64">
        <v>390.3345185185185</v>
      </c>
      <c r="DS64">
        <v>21.62165925925926</v>
      </c>
      <c r="DT64">
        <v>106.0614925925926</v>
      </c>
      <c r="DU64">
        <v>82.60832962962965</v>
      </c>
      <c r="DV64">
        <v>14.87293703703704</v>
      </c>
      <c r="DW64">
        <v>81.72031481481483</v>
      </c>
      <c r="DX64">
        <v>10.76497407407407</v>
      </c>
      <c r="DY64">
        <v>2.317733703703703</v>
      </c>
      <c r="DZ64">
        <v>0.9731808148148147</v>
      </c>
      <c r="EA64">
        <v>19.80017777777778</v>
      </c>
      <c r="EB64">
        <v>6.520497407407407</v>
      </c>
      <c r="EC64">
        <v>1499.991481481482</v>
      </c>
      <c r="ED64">
        <v>0.973003851851852</v>
      </c>
      <c r="EE64">
        <v>0.02699613703703704</v>
      </c>
      <c r="EF64">
        <v>0</v>
      </c>
      <c r="EG64">
        <v>983.6105925925923</v>
      </c>
      <c r="EH64">
        <v>5.00097</v>
      </c>
      <c r="EI64">
        <v>15604.91481481482</v>
      </c>
      <c r="EJ64">
        <v>12491.53333333333</v>
      </c>
      <c r="EK64">
        <v>39.56199999999999</v>
      </c>
      <c r="EL64">
        <v>41.00688888888888</v>
      </c>
      <c r="EM64">
        <v>39.79362962962963</v>
      </c>
      <c r="EN64">
        <v>40.86333333333333</v>
      </c>
      <c r="EO64">
        <v>40.81199999999999</v>
      </c>
      <c r="EP64">
        <v>1454.63037037037</v>
      </c>
      <c r="EQ64">
        <v>40.36074074074074</v>
      </c>
      <c r="ER64">
        <v>0</v>
      </c>
      <c r="ES64">
        <v>524.1999998092651</v>
      </c>
      <c r="ET64">
        <v>0</v>
      </c>
      <c r="EU64">
        <v>983.256846153846</v>
      </c>
      <c r="EV64">
        <v>-155.1322393250684</v>
      </c>
      <c r="EW64">
        <v>-2492.68376058701</v>
      </c>
      <c r="EX64">
        <v>15598.85384615385</v>
      </c>
      <c r="EY64">
        <v>15</v>
      </c>
      <c r="EZ64">
        <v>1652371289.6</v>
      </c>
      <c r="FA64" t="s">
        <v>515</v>
      </c>
      <c r="FB64">
        <v>1652371289.6</v>
      </c>
      <c r="FC64">
        <v>1652371275.1</v>
      </c>
      <c r="FD64">
        <v>24</v>
      </c>
      <c r="FE64">
        <v>0.442</v>
      </c>
      <c r="FF64">
        <v>0.001</v>
      </c>
      <c r="FG64">
        <v>-2.63</v>
      </c>
      <c r="FH64">
        <v>0.007</v>
      </c>
      <c r="FI64">
        <v>1620</v>
      </c>
      <c r="FJ64">
        <v>22</v>
      </c>
      <c r="FK64">
        <v>0.08</v>
      </c>
      <c r="FL64">
        <v>0.04</v>
      </c>
      <c r="FM64">
        <v>20.0899525</v>
      </c>
      <c r="FN64">
        <v>28.51124015009378</v>
      </c>
      <c r="FO64">
        <v>2.748631929068305</v>
      </c>
      <c r="FP64">
        <v>-1</v>
      </c>
      <c r="FQ64">
        <v>14.9342125</v>
      </c>
      <c r="FR64">
        <v>-1.242912945591012</v>
      </c>
      <c r="FS64">
        <v>0.1225935442580481</v>
      </c>
      <c r="FT64">
        <v>0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1</v>
      </c>
      <c r="GA64" t="s">
        <v>432</v>
      </c>
      <c r="GB64">
        <v>2.6956</v>
      </c>
      <c r="GC64">
        <v>2.70502</v>
      </c>
      <c r="GD64">
        <v>0.0213356</v>
      </c>
      <c r="GE64">
        <v>0.0148872</v>
      </c>
      <c r="GF64">
        <v>0.111005</v>
      </c>
      <c r="GG64">
        <v>0.0592708</v>
      </c>
      <c r="GH64">
        <v>30785.2</v>
      </c>
      <c r="GI64">
        <v>31123.3</v>
      </c>
      <c r="GJ64">
        <v>29259.9</v>
      </c>
      <c r="GK64">
        <v>29234.4</v>
      </c>
      <c r="GL64">
        <v>34434.3</v>
      </c>
      <c r="GM64">
        <v>36612.3</v>
      </c>
      <c r="GN64">
        <v>41181.5</v>
      </c>
      <c r="GO64">
        <v>41710.7</v>
      </c>
      <c r="GP64">
        <v>1.73015</v>
      </c>
      <c r="GQ64">
        <v>2.0272</v>
      </c>
      <c r="GR64">
        <v>0.06357210000000001</v>
      </c>
      <c r="GS64">
        <v>0</v>
      </c>
      <c r="GT64">
        <v>29.0693</v>
      </c>
      <c r="GU64">
        <v>999.9</v>
      </c>
      <c r="GV64">
        <v>44.3</v>
      </c>
      <c r="GW64">
        <v>32.6</v>
      </c>
      <c r="GX64">
        <v>24.2062</v>
      </c>
      <c r="GY64">
        <v>63.5379</v>
      </c>
      <c r="GZ64">
        <v>30.2364</v>
      </c>
      <c r="HA64">
        <v>1</v>
      </c>
      <c r="HB64">
        <v>0.232927</v>
      </c>
      <c r="HC64">
        <v>1.01999</v>
      </c>
      <c r="HD64">
        <v>20.3773</v>
      </c>
      <c r="HE64">
        <v>5.214</v>
      </c>
      <c r="HF64">
        <v>12.0099</v>
      </c>
      <c r="HG64">
        <v>4.9868</v>
      </c>
      <c r="HH64">
        <v>3.28772</v>
      </c>
      <c r="HI64">
        <v>2709.2</v>
      </c>
      <c r="HJ64">
        <v>9999</v>
      </c>
      <c r="HK64">
        <v>9999</v>
      </c>
      <c r="HL64">
        <v>49.9</v>
      </c>
      <c r="HM64">
        <v>1.86722</v>
      </c>
      <c r="HN64">
        <v>1.86616</v>
      </c>
      <c r="HO64">
        <v>1.86572</v>
      </c>
      <c r="HP64">
        <v>1.86567</v>
      </c>
      <c r="HQ64">
        <v>1.86739</v>
      </c>
      <c r="HR64">
        <v>1.86996</v>
      </c>
      <c r="HS64">
        <v>1.86859</v>
      </c>
      <c r="HT64">
        <v>1.86996</v>
      </c>
      <c r="HU64">
        <v>0</v>
      </c>
      <c r="HV64">
        <v>0</v>
      </c>
      <c r="HW64">
        <v>0</v>
      </c>
      <c r="HX64">
        <v>0</v>
      </c>
      <c r="HY64" t="s">
        <v>421</v>
      </c>
      <c r="HZ64" t="s">
        <v>422</v>
      </c>
      <c r="IA64" t="s">
        <v>423</v>
      </c>
      <c r="IB64" t="s">
        <v>423</v>
      </c>
      <c r="IC64" t="s">
        <v>423</v>
      </c>
      <c r="ID64" t="s">
        <v>423</v>
      </c>
      <c r="IE64">
        <v>0</v>
      </c>
      <c r="IF64">
        <v>100</v>
      </c>
      <c r="IG64">
        <v>100</v>
      </c>
      <c r="IH64">
        <v>1.08</v>
      </c>
      <c r="II64">
        <v>0.0573</v>
      </c>
      <c r="IJ64">
        <v>1.257309091789605</v>
      </c>
      <c r="IK64">
        <v>-0.002185601614162945</v>
      </c>
      <c r="IL64">
        <v>-2.252308143750626E-07</v>
      </c>
      <c r="IM64">
        <v>5.915558436307541E-11</v>
      </c>
      <c r="IN64">
        <v>-0.118683452207699</v>
      </c>
      <c r="IO64">
        <v>-0.007570214193104963</v>
      </c>
      <c r="IP64">
        <v>0.0009214429922928372</v>
      </c>
      <c r="IQ64">
        <v>-1.392260276065805E-05</v>
      </c>
      <c r="IR64">
        <v>17</v>
      </c>
      <c r="IS64">
        <v>2272</v>
      </c>
      <c r="IT64">
        <v>1</v>
      </c>
      <c r="IU64">
        <v>31</v>
      </c>
      <c r="IV64">
        <v>6.7</v>
      </c>
      <c r="IW64">
        <v>6.9</v>
      </c>
      <c r="IX64">
        <v>0.252686</v>
      </c>
      <c r="IY64">
        <v>2.30713</v>
      </c>
      <c r="IZ64">
        <v>1.39648</v>
      </c>
      <c r="JA64">
        <v>2.35352</v>
      </c>
      <c r="JB64">
        <v>1.49536</v>
      </c>
      <c r="JC64">
        <v>2.30591</v>
      </c>
      <c r="JD64">
        <v>36.0347</v>
      </c>
      <c r="JE64">
        <v>15.3841</v>
      </c>
      <c r="JF64">
        <v>18</v>
      </c>
      <c r="JG64">
        <v>389.674</v>
      </c>
      <c r="JH64">
        <v>561.713</v>
      </c>
      <c r="JI64">
        <v>29.7216</v>
      </c>
      <c r="JJ64">
        <v>30.442</v>
      </c>
      <c r="JK64">
        <v>30.0004</v>
      </c>
      <c r="JL64">
        <v>30.3368</v>
      </c>
      <c r="JM64">
        <v>30.2345</v>
      </c>
      <c r="JN64">
        <v>4.87341</v>
      </c>
      <c r="JO64">
        <v>49.4348</v>
      </c>
      <c r="JP64">
        <v>0</v>
      </c>
      <c r="JQ64">
        <v>29.6391</v>
      </c>
      <c r="JR64">
        <v>31.9759</v>
      </c>
      <c r="JS64">
        <v>10.9669</v>
      </c>
      <c r="JT64">
        <v>100.012</v>
      </c>
      <c r="JU64">
        <v>100.124</v>
      </c>
    </row>
    <row r="65" spans="1:281">
      <c r="A65">
        <v>49</v>
      </c>
      <c r="B65">
        <v>1652371727.1</v>
      </c>
      <c r="C65">
        <v>3633.5</v>
      </c>
      <c r="D65" t="s">
        <v>565</v>
      </c>
      <c r="E65" t="s">
        <v>566</v>
      </c>
      <c r="F65">
        <v>5</v>
      </c>
      <c r="G65" t="s">
        <v>518</v>
      </c>
      <c r="H65" t="s">
        <v>414</v>
      </c>
      <c r="I65">
        <v>1652371719.099999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424.801827596313</v>
      </c>
      <c r="AK65">
        <v>374.5177454545455</v>
      </c>
      <c r="AL65">
        <v>2.836235720594677</v>
      </c>
      <c r="AM65">
        <v>65.95105977519088</v>
      </c>
      <c r="AN65">
        <f>(AP65 - AO65 + DI65*1E3/(8.314*(DK65+273.15)) * AR65/DH65 * AQ65) * DH65/(100*CV65) * 1000/(1000 - AP65)</f>
        <v>0</v>
      </c>
      <c r="AO65">
        <v>11.23530762938459</v>
      </c>
      <c r="AP65">
        <v>25.45238321678323</v>
      </c>
      <c r="AQ65">
        <v>-0.00889113718966315</v>
      </c>
      <c r="AR65">
        <v>81.26040297655408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417</v>
      </c>
      <c r="AY65" t="s">
        <v>417</v>
      </c>
      <c r="AZ65">
        <v>0</v>
      </c>
      <c r="BA65">
        <v>0</v>
      </c>
      <c r="BB65">
        <f>1-AZ65/BA65</f>
        <v>0</v>
      </c>
      <c r="BC65">
        <v>0</v>
      </c>
      <c r="BD65" t="s">
        <v>417</v>
      </c>
      <c r="BE65" t="s">
        <v>417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1393</v>
      </c>
      <c r="CA65">
        <v>300</v>
      </c>
      <c r="CB65">
        <v>300</v>
      </c>
      <c r="CC65">
        <v>300</v>
      </c>
      <c r="CD65">
        <v>10378</v>
      </c>
      <c r="CE65">
        <v>2050</v>
      </c>
      <c r="CF65">
        <v>-0.00730649</v>
      </c>
      <c r="CG65">
        <v>-4.53</v>
      </c>
      <c r="CH65" t="s">
        <v>417</v>
      </c>
      <c r="CI65" t="s">
        <v>417</v>
      </c>
      <c r="CJ65" t="s">
        <v>417</v>
      </c>
      <c r="CK65" t="s">
        <v>417</v>
      </c>
      <c r="CL65" t="s">
        <v>417</v>
      </c>
      <c r="CM65" t="s">
        <v>417</v>
      </c>
      <c r="CN65" t="s">
        <v>417</v>
      </c>
      <c r="CO65" t="s">
        <v>417</v>
      </c>
      <c r="CP65" t="s">
        <v>417</v>
      </c>
      <c r="CQ65" t="s">
        <v>417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418</v>
      </c>
      <c r="CY65">
        <v>2</v>
      </c>
      <c r="CZ65" t="b">
        <v>1</v>
      </c>
      <c r="DA65">
        <v>1652371719.099999</v>
      </c>
      <c r="DB65">
        <v>330.8357419354838</v>
      </c>
      <c r="DC65">
        <v>418.2773225806452</v>
      </c>
      <c r="DD65">
        <v>25.48878387096774</v>
      </c>
      <c r="DE65">
        <v>11.20530967741935</v>
      </c>
      <c r="DF65">
        <v>330.3229032258064</v>
      </c>
      <c r="DG65">
        <v>25.43301290322581</v>
      </c>
      <c r="DH65">
        <v>400.086870967742</v>
      </c>
      <c r="DI65">
        <v>90.40436451612904</v>
      </c>
      <c r="DJ65">
        <v>0.1000246548387097</v>
      </c>
      <c r="DK65">
        <v>31.47389999999999</v>
      </c>
      <c r="DL65">
        <v>29.98307419354839</v>
      </c>
      <c r="DM65">
        <v>999.9000000000003</v>
      </c>
      <c r="DN65">
        <v>0</v>
      </c>
      <c r="DO65">
        <v>0</v>
      </c>
      <c r="DP65">
        <v>9997.274516129033</v>
      </c>
      <c r="DQ65">
        <v>0</v>
      </c>
      <c r="DR65">
        <v>362.4930645161289</v>
      </c>
      <c r="DS65">
        <v>-87.44158387096773</v>
      </c>
      <c r="DT65">
        <v>339.4880967741936</v>
      </c>
      <c r="DU65">
        <v>423.0173870967741</v>
      </c>
      <c r="DV65">
        <v>14.28348064516129</v>
      </c>
      <c r="DW65">
        <v>418.2773225806452</v>
      </c>
      <c r="DX65">
        <v>11.20530967741935</v>
      </c>
      <c r="DY65">
        <v>2.304296451612903</v>
      </c>
      <c r="DZ65">
        <v>1.013008387096774</v>
      </c>
      <c r="EA65">
        <v>19.70646129032257</v>
      </c>
      <c r="EB65">
        <v>7.104785806451613</v>
      </c>
      <c r="EC65">
        <v>1499.998709677419</v>
      </c>
      <c r="ED65">
        <v>0.9730040967741936</v>
      </c>
      <c r="EE65">
        <v>0.02699587741935485</v>
      </c>
      <c r="EF65">
        <v>0</v>
      </c>
      <c r="EG65">
        <v>1021.066483870968</v>
      </c>
      <c r="EH65">
        <v>5.000969999999999</v>
      </c>
      <c r="EI65">
        <v>16109.25161290322</v>
      </c>
      <c r="EJ65">
        <v>12491.6064516129</v>
      </c>
      <c r="EK65">
        <v>39.625</v>
      </c>
      <c r="EL65">
        <v>41.06199999999998</v>
      </c>
      <c r="EM65">
        <v>39.81199999999998</v>
      </c>
      <c r="EN65">
        <v>40.89099999999999</v>
      </c>
      <c r="EO65">
        <v>40.81199999999998</v>
      </c>
      <c r="EP65">
        <v>1454.637419354839</v>
      </c>
      <c r="EQ65">
        <v>40.36096774193547</v>
      </c>
      <c r="ER65">
        <v>0</v>
      </c>
      <c r="ES65">
        <v>560.7999999523163</v>
      </c>
      <c r="ET65">
        <v>0</v>
      </c>
      <c r="EU65">
        <v>1024.76604</v>
      </c>
      <c r="EV65">
        <v>358.2353076855946</v>
      </c>
      <c r="EW65">
        <v>5367.907692456843</v>
      </c>
      <c r="EX65">
        <v>16165.98</v>
      </c>
      <c r="EY65">
        <v>15</v>
      </c>
      <c r="EZ65">
        <v>1652371289.6</v>
      </c>
      <c r="FA65" t="s">
        <v>515</v>
      </c>
      <c r="FB65">
        <v>1652371289.6</v>
      </c>
      <c r="FC65">
        <v>1652371275.1</v>
      </c>
      <c r="FD65">
        <v>24</v>
      </c>
      <c r="FE65">
        <v>0.442</v>
      </c>
      <c r="FF65">
        <v>0.001</v>
      </c>
      <c r="FG65">
        <v>-2.63</v>
      </c>
      <c r="FH65">
        <v>0.007</v>
      </c>
      <c r="FI65">
        <v>1620</v>
      </c>
      <c r="FJ65">
        <v>22</v>
      </c>
      <c r="FK65">
        <v>0.08</v>
      </c>
      <c r="FL65">
        <v>0.04</v>
      </c>
      <c r="FM65">
        <v>-116.8907219512195</v>
      </c>
      <c r="FN65">
        <v>484.4339414634144</v>
      </c>
      <c r="FO65">
        <v>48.89388029395165</v>
      </c>
      <c r="FP65">
        <v>-1</v>
      </c>
      <c r="FQ65">
        <v>14.32053902439024</v>
      </c>
      <c r="FR65">
        <v>-0.6986425087108243</v>
      </c>
      <c r="FS65">
        <v>0.07042373102677174</v>
      </c>
      <c r="FT65">
        <v>0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1</v>
      </c>
      <c r="GA65" t="s">
        <v>432</v>
      </c>
      <c r="GB65">
        <v>2.69573</v>
      </c>
      <c r="GC65">
        <v>2.70472</v>
      </c>
      <c r="GD65">
        <v>0.08398079999999999</v>
      </c>
      <c r="GE65">
        <v>0.09253989999999999</v>
      </c>
      <c r="GF65">
        <v>0.110529</v>
      </c>
      <c r="GG65">
        <v>0.0605393</v>
      </c>
      <c r="GH65">
        <v>28811.6</v>
      </c>
      <c r="GI65">
        <v>28667.4</v>
      </c>
      <c r="GJ65">
        <v>29257</v>
      </c>
      <c r="GK65">
        <v>29232</v>
      </c>
      <c r="GL65">
        <v>34451.3</v>
      </c>
      <c r="GM65">
        <v>36561.6</v>
      </c>
      <c r="GN65">
        <v>41178.1</v>
      </c>
      <c r="GO65">
        <v>41707.9</v>
      </c>
      <c r="GP65">
        <v>1.73022</v>
      </c>
      <c r="GQ65">
        <v>2.02833</v>
      </c>
      <c r="GR65">
        <v>0.0559539</v>
      </c>
      <c r="GS65">
        <v>0</v>
      </c>
      <c r="GT65">
        <v>29.0679</v>
      </c>
      <c r="GU65">
        <v>999.9</v>
      </c>
      <c r="GV65">
        <v>44.3</v>
      </c>
      <c r="GW65">
        <v>32.6</v>
      </c>
      <c r="GX65">
        <v>24.2033</v>
      </c>
      <c r="GY65">
        <v>63.7679</v>
      </c>
      <c r="GZ65">
        <v>29.8237</v>
      </c>
      <c r="HA65">
        <v>1</v>
      </c>
      <c r="HB65">
        <v>0.241672</v>
      </c>
      <c r="HC65">
        <v>-2.52894</v>
      </c>
      <c r="HD65">
        <v>20.3594</v>
      </c>
      <c r="HE65">
        <v>5.21939</v>
      </c>
      <c r="HF65">
        <v>12.0099</v>
      </c>
      <c r="HG65">
        <v>4.98825</v>
      </c>
      <c r="HH65">
        <v>3.28888</v>
      </c>
      <c r="HI65">
        <v>2709.9</v>
      </c>
      <c r="HJ65">
        <v>9999</v>
      </c>
      <c r="HK65">
        <v>9999</v>
      </c>
      <c r="HL65">
        <v>49.9</v>
      </c>
      <c r="HM65">
        <v>1.8672</v>
      </c>
      <c r="HN65">
        <v>1.86615</v>
      </c>
      <c r="HO65">
        <v>1.86571</v>
      </c>
      <c r="HP65">
        <v>1.86564</v>
      </c>
      <c r="HQ65">
        <v>1.86738</v>
      </c>
      <c r="HR65">
        <v>1.86996</v>
      </c>
      <c r="HS65">
        <v>1.86859</v>
      </c>
      <c r="HT65">
        <v>1.86996</v>
      </c>
      <c r="HU65">
        <v>0</v>
      </c>
      <c r="HV65">
        <v>0</v>
      </c>
      <c r="HW65">
        <v>0</v>
      </c>
      <c r="HX65">
        <v>0</v>
      </c>
      <c r="HY65" t="s">
        <v>421</v>
      </c>
      <c r="HZ65" t="s">
        <v>422</v>
      </c>
      <c r="IA65" t="s">
        <v>423</v>
      </c>
      <c r="IB65" t="s">
        <v>423</v>
      </c>
      <c r="IC65" t="s">
        <v>423</v>
      </c>
      <c r="ID65" t="s">
        <v>423</v>
      </c>
      <c r="IE65">
        <v>0</v>
      </c>
      <c r="IF65">
        <v>100</v>
      </c>
      <c r="IG65">
        <v>100</v>
      </c>
      <c r="IH65">
        <v>0.432</v>
      </c>
      <c r="II65">
        <v>0.0554</v>
      </c>
      <c r="IJ65">
        <v>1.257309091789605</v>
      </c>
      <c r="IK65">
        <v>-0.002185601614162945</v>
      </c>
      <c r="IL65">
        <v>-2.252308143750626E-07</v>
      </c>
      <c r="IM65">
        <v>5.915558436307541E-11</v>
      </c>
      <c r="IN65">
        <v>-0.118683452207699</v>
      </c>
      <c r="IO65">
        <v>-0.007570214193104963</v>
      </c>
      <c r="IP65">
        <v>0.0009214429922928372</v>
      </c>
      <c r="IQ65">
        <v>-1.392260276065805E-05</v>
      </c>
      <c r="IR65">
        <v>17</v>
      </c>
      <c r="IS65">
        <v>2272</v>
      </c>
      <c r="IT65">
        <v>1</v>
      </c>
      <c r="IU65">
        <v>31</v>
      </c>
      <c r="IV65">
        <v>7.3</v>
      </c>
      <c r="IW65">
        <v>7.5</v>
      </c>
      <c r="IX65">
        <v>1.04492</v>
      </c>
      <c r="IY65">
        <v>2.23389</v>
      </c>
      <c r="IZ65">
        <v>1.39648</v>
      </c>
      <c r="JA65">
        <v>2.35352</v>
      </c>
      <c r="JB65">
        <v>1.49536</v>
      </c>
      <c r="JC65">
        <v>2.37183</v>
      </c>
      <c r="JD65">
        <v>36.0582</v>
      </c>
      <c r="JE65">
        <v>15.3754</v>
      </c>
      <c r="JF65">
        <v>18</v>
      </c>
      <c r="JG65">
        <v>389.878</v>
      </c>
      <c r="JH65">
        <v>562.807</v>
      </c>
      <c r="JI65">
        <v>31.0526</v>
      </c>
      <c r="JJ65">
        <v>30.476</v>
      </c>
      <c r="JK65">
        <v>30.0013</v>
      </c>
      <c r="JL65">
        <v>30.3643</v>
      </c>
      <c r="JM65">
        <v>30.2611</v>
      </c>
      <c r="JN65">
        <v>21.0154</v>
      </c>
      <c r="JO65">
        <v>48.5484</v>
      </c>
      <c r="JP65">
        <v>0</v>
      </c>
      <c r="JQ65">
        <v>31.0148</v>
      </c>
      <c r="JR65">
        <v>426.684</v>
      </c>
      <c r="JS65">
        <v>11.2817</v>
      </c>
      <c r="JT65">
        <v>100.003</v>
      </c>
      <c r="JU65">
        <v>100.117</v>
      </c>
    </row>
    <row r="66" spans="1:281">
      <c r="A66">
        <v>50</v>
      </c>
      <c r="B66">
        <v>1652371732.1</v>
      </c>
      <c r="C66">
        <v>3638.5</v>
      </c>
      <c r="D66" t="s">
        <v>567</v>
      </c>
      <c r="E66" t="s">
        <v>568</v>
      </c>
      <c r="F66">
        <v>5</v>
      </c>
      <c r="G66" t="s">
        <v>518</v>
      </c>
      <c r="H66" t="s">
        <v>414</v>
      </c>
      <c r="I66">
        <v>1652371724.255172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424.8488900042283</v>
      </c>
      <c r="AK66">
        <v>381.6524606060605</v>
      </c>
      <c r="AL66">
        <v>1.357627074332151</v>
      </c>
      <c r="AM66">
        <v>65.95105977519088</v>
      </c>
      <c r="AN66">
        <f>(AP66 - AO66 + DI66*1E3/(8.314*(DK66+273.15)) * AR66/DH66 * AQ66) * DH66/(100*CV66) * 1000/(1000 - AP66)</f>
        <v>0</v>
      </c>
      <c r="AO66">
        <v>11.24998228366222</v>
      </c>
      <c r="AP66">
        <v>25.45120349650352</v>
      </c>
      <c r="AQ66">
        <v>0.0005067367203384705</v>
      </c>
      <c r="AR66">
        <v>81.26040297655408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417</v>
      </c>
      <c r="AY66" t="s">
        <v>417</v>
      </c>
      <c r="AZ66">
        <v>0</v>
      </c>
      <c r="BA66">
        <v>0</v>
      </c>
      <c r="BB66">
        <f>1-AZ66/BA66</f>
        <v>0</v>
      </c>
      <c r="BC66">
        <v>0</v>
      </c>
      <c r="BD66" t="s">
        <v>417</v>
      </c>
      <c r="BE66" t="s">
        <v>417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1393</v>
      </c>
      <c r="CA66">
        <v>300</v>
      </c>
      <c r="CB66">
        <v>300</v>
      </c>
      <c r="CC66">
        <v>300</v>
      </c>
      <c r="CD66">
        <v>10378</v>
      </c>
      <c r="CE66">
        <v>2050</v>
      </c>
      <c r="CF66">
        <v>-0.00730649</v>
      </c>
      <c r="CG66">
        <v>-4.53</v>
      </c>
      <c r="CH66" t="s">
        <v>417</v>
      </c>
      <c r="CI66" t="s">
        <v>417</v>
      </c>
      <c r="CJ66" t="s">
        <v>417</v>
      </c>
      <c r="CK66" t="s">
        <v>417</v>
      </c>
      <c r="CL66" t="s">
        <v>417</v>
      </c>
      <c r="CM66" t="s">
        <v>417</v>
      </c>
      <c r="CN66" t="s">
        <v>417</v>
      </c>
      <c r="CO66" t="s">
        <v>417</v>
      </c>
      <c r="CP66" t="s">
        <v>417</v>
      </c>
      <c r="CQ66" t="s">
        <v>417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418</v>
      </c>
      <c r="CY66">
        <v>2</v>
      </c>
      <c r="CZ66" t="b">
        <v>1</v>
      </c>
      <c r="DA66">
        <v>1652371724.255172</v>
      </c>
      <c r="DB66">
        <v>355.5832758620691</v>
      </c>
      <c r="DC66">
        <v>420.0364827586207</v>
      </c>
      <c r="DD66">
        <v>25.46481034482758</v>
      </c>
      <c r="DE66">
        <v>11.23037931034483</v>
      </c>
      <c r="DF66">
        <v>355.1279310344827</v>
      </c>
      <c r="DG66">
        <v>25.40933448275862</v>
      </c>
      <c r="DH66">
        <v>400.0657931034482</v>
      </c>
      <c r="DI66">
        <v>90.40517931034483</v>
      </c>
      <c r="DJ66">
        <v>0.09996176896551726</v>
      </c>
      <c r="DK66">
        <v>31.46985862068966</v>
      </c>
      <c r="DL66">
        <v>29.98416551724138</v>
      </c>
      <c r="DM66">
        <v>999.9000000000002</v>
      </c>
      <c r="DN66">
        <v>0</v>
      </c>
      <c r="DO66">
        <v>0</v>
      </c>
      <c r="DP66">
        <v>9998.555517241381</v>
      </c>
      <c r="DQ66">
        <v>0</v>
      </c>
      <c r="DR66">
        <v>359.5762068965518</v>
      </c>
      <c r="DS66">
        <v>-64.45319655172413</v>
      </c>
      <c r="DT66">
        <v>364.8745172413794</v>
      </c>
      <c r="DU66">
        <v>424.8072068965517</v>
      </c>
      <c r="DV66">
        <v>14.23444137931034</v>
      </c>
      <c r="DW66">
        <v>420.0364827586207</v>
      </c>
      <c r="DX66">
        <v>11.23037931034483</v>
      </c>
      <c r="DY66">
        <v>2.30215</v>
      </c>
      <c r="DZ66">
        <v>1.015284482758621</v>
      </c>
      <c r="EA66">
        <v>19.69144827586207</v>
      </c>
      <c r="EB66">
        <v>7.137545517241381</v>
      </c>
      <c r="EC66">
        <v>1500.018275862069</v>
      </c>
      <c r="ED66">
        <v>0.973003551724138</v>
      </c>
      <c r="EE66">
        <v>0.0269964551724138</v>
      </c>
      <c r="EF66">
        <v>0</v>
      </c>
      <c r="EG66">
        <v>1048.126896551724</v>
      </c>
      <c r="EH66">
        <v>5.000969999999999</v>
      </c>
      <c r="EI66">
        <v>16526.88275862069</v>
      </c>
      <c r="EJ66">
        <v>12491.76896551724</v>
      </c>
      <c r="EK66">
        <v>39.625</v>
      </c>
      <c r="EL66">
        <v>41.06199999999998</v>
      </c>
      <c r="EM66">
        <v>39.81199999999998</v>
      </c>
      <c r="EN66">
        <v>40.91134482758619</v>
      </c>
      <c r="EO66">
        <v>40.81199999999998</v>
      </c>
      <c r="EP66">
        <v>1454.656206896552</v>
      </c>
      <c r="EQ66">
        <v>40.36206896551723</v>
      </c>
      <c r="ER66">
        <v>0</v>
      </c>
      <c r="ES66">
        <v>566.1999998092651</v>
      </c>
      <c r="ET66">
        <v>0</v>
      </c>
      <c r="EU66">
        <v>1049.900769230769</v>
      </c>
      <c r="EV66">
        <v>235.0974359673253</v>
      </c>
      <c r="EW66">
        <v>3686.793163754358</v>
      </c>
      <c r="EX66">
        <v>16555.89615384615</v>
      </c>
      <c r="EY66">
        <v>15</v>
      </c>
      <c r="EZ66">
        <v>1652371289.6</v>
      </c>
      <c r="FA66" t="s">
        <v>515</v>
      </c>
      <c r="FB66">
        <v>1652371289.6</v>
      </c>
      <c r="FC66">
        <v>1652371275.1</v>
      </c>
      <c r="FD66">
        <v>24</v>
      </c>
      <c r="FE66">
        <v>0.442</v>
      </c>
      <c r="FF66">
        <v>0.001</v>
      </c>
      <c r="FG66">
        <v>-2.63</v>
      </c>
      <c r="FH66">
        <v>0.007</v>
      </c>
      <c r="FI66">
        <v>1620</v>
      </c>
      <c r="FJ66">
        <v>22</v>
      </c>
      <c r="FK66">
        <v>0.08</v>
      </c>
      <c r="FL66">
        <v>0.04</v>
      </c>
      <c r="FM66">
        <v>-78.6765</v>
      </c>
      <c r="FN66">
        <v>265.4073679442508</v>
      </c>
      <c r="FO66">
        <v>27.55806820766899</v>
      </c>
      <c r="FP66">
        <v>-1</v>
      </c>
      <c r="FQ66">
        <v>14.26385609756097</v>
      </c>
      <c r="FR66">
        <v>-0.6015324041811331</v>
      </c>
      <c r="FS66">
        <v>0.06255152821739784</v>
      </c>
      <c r="FT66">
        <v>0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1</v>
      </c>
      <c r="GA66" t="s">
        <v>432</v>
      </c>
      <c r="GB66">
        <v>2.69592</v>
      </c>
      <c r="GC66">
        <v>2.70519</v>
      </c>
      <c r="GD66">
        <v>0.08514910000000001</v>
      </c>
      <c r="GE66">
        <v>0.0930952</v>
      </c>
      <c r="GF66">
        <v>0.110521</v>
      </c>
      <c r="GG66">
        <v>0.0605601</v>
      </c>
      <c r="GH66">
        <v>28774</v>
      </c>
      <c r="GI66">
        <v>28649.4</v>
      </c>
      <c r="GJ66">
        <v>29256.2</v>
      </c>
      <c r="GK66">
        <v>29231.5</v>
      </c>
      <c r="GL66">
        <v>34450.6</v>
      </c>
      <c r="GM66">
        <v>36560.3</v>
      </c>
      <c r="GN66">
        <v>41176.9</v>
      </c>
      <c r="GO66">
        <v>41707.3</v>
      </c>
      <c r="GP66">
        <v>1.72978</v>
      </c>
      <c r="GQ66">
        <v>2.02798</v>
      </c>
      <c r="GR66">
        <v>0.0594184</v>
      </c>
      <c r="GS66">
        <v>0</v>
      </c>
      <c r="GT66">
        <v>29.0635</v>
      </c>
      <c r="GU66">
        <v>999.9</v>
      </c>
      <c r="GV66">
        <v>44.3</v>
      </c>
      <c r="GW66">
        <v>32.6</v>
      </c>
      <c r="GX66">
        <v>24.2046</v>
      </c>
      <c r="GY66">
        <v>63.3879</v>
      </c>
      <c r="GZ66">
        <v>29.9199</v>
      </c>
      <c r="HA66">
        <v>1</v>
      </c>
      <c r="HB66">
        <v>0.237513</v>
      </c>
      <c r="HC66">
        <v>-1.28187</v>
      </c>
      <c r="HD66">
        <v>20.3755</v>
      </c>
      <c r="HE66">
        <v>5.21639</v>
      </c>
      <c r="HF66">
        <v>12.0099</v>
      </c>
      <c r="HG66">
        <v>4.98745</v>
      </c>
      <c r="HH66">
        <v>3.2882</v>
      </c>
      <c r="HI66">
        <v>2710.1</v>
      </c>
      <c r="HJ66">
        <v>9999</v>
      </c>
      <c r="HK66">
        <v>9999</v>
      </c>
      <c r="HL66">
        <v>49.9</v>
      </c>
      <c r="HM66">
        <v>1.86719</v>
      </c>
      <c r="HN66">
        <v>1.86615</v>
      </c>
      <c r="HO66">
        <v>1.86574</v>
      </c>
      <c r="HP66">
        <v>1.86567</v>
      </c>
      <c r="HQ66">
        <v>1.86738</v>
      </c>
      <c r="HR66">
        <v>1.86996</v>
      </c>
      <c r="HS66">
        <v>1.86859</v>
      </c>
      <c r="HT66">
        <v>1.86996</v>
      </c>
      <c r="HU66">
        <v>0</v>
      </c>
      <c r="HV66">
        <v>0</v>
      </c>
      <c r="HW66">
        <v>0</v>
      </c>
      <c r="HX66">
        <v>0</v>
      </c>
      <c r="HY66" t="s">
        <v>421</v>
      </c>
      <c r="HZ66" t="s">
        <v>422</v>
      </c>
      <c r="IA66" t="s">
        <v>423</v>
      </c>
      <c r="IB66" t="s">
        <v>423</v>
      </c>
      <c r="IC66" t="s">
        <v>423</v>
      </c>
      <c r="ID66" t="s">
        <v>423</v>
      </c>
      <c r="IE66">
        <v>0</v>
      </c>
      <c r="IF66">
        <v>100</v>
      </c>
      <c r="IG66">
        <v>100</v>
      </c>
      <c r="IH66">
        <v>0.416</v>
      </c>
      <c r="II66">
        <v>0.0553</v>
      </c>
      <c r="IJ66">
        <v>1.257309091789605</v>
      </c>
      <c r="IK66">
        <v>-0.002185601614162945</v>
      </c>
      <c r="IL66">
        <v>-2.252308143750626E-07</v>
      </c>
      <c r="IM66">
        <v>5.915558436307541E-11</v>
      </c>
      <c r="IN66">
        <v>-0.118683452207699</v>
      </c>
      <c r="IO66">
        <v>-0.007570214193104963</v>
      </c>
      <c r="IP66">
        <v>0.0009214429922928372</v>
      </c>
      <c r="IQ66">
        <v>-1.392260276065805E-05</v>
      </c>
      <c r="IR66">
        <v>17</v>
      </c>
      <c r="IS66">
        <v>2272</v>
      </c>
      <c r="IT66">
        <v>1</v>
      </c>
      <c r="IU66">
        <v>31</v>
      </c>
      <c r="IV66">
        <v>7.4</v>
      </c>
      <c r="IW66">
        <v>7.6</v>
      </c>
      <c r="IX66">
        <v>1.07178</v>
      </c>
      <c r="IY66">
        <v>2.23877</v>
      </c>
      <c r="IZ66">
        <v>1.39648</v>
      </c>
      <c r="JA66">
        <v>2.35352</v>
      </c>
      <c r="JB66">
        <v>1.49536</v>
      </c>
      <c r="JC66">
        <v>2.28638</v>
      </c>
      <c r="JD66">
        <v>36.0582</v>
      </c>
      <c r="JE66">
        <v>15.3754</v>
      </c>
      <c r="JF66">
        <v>18</v>
      </c>
      <c r="JG66">
        <v>389.661</v>
      </c>
      <c r="JH66">
        <v>562.582</v>
      </c>
      <c r="JI66">
        <v>31.21</v>
      </c>
      <c r="JJ66">
        <v>30.4806</v>
      </c>
      <c r="JK66">
        <v>29.9983</v>
      </c>
      <c r="JL66">
        <v>30.3683</v>
      </c>
      <c r="JM66">
        <v>30.265</v>
      </c>
      <c r="JN66">
        <v>21.5013</v>
      </c>
      <c r="JO66">
        <v>48.5484</v>
      </c>
      <c r="JP66">
        <v>0</v>
      </c>
      <c r="JQ66">
        <v>31.0285</v>
      </c>
      <c r="JR66">
        <v>440.076</v>
      </c>
      <c r="JS66">
        <v>11.318</v>
      </c>
      <c r="JT66">
        <v>100</v>
      </c>
      <c r="JU66">
        <v>100.115</v>
      </c>
    </row>
    <row r="67" spans="1:281">
      <c r="A67">
        <v>51</v>
      </c>
      <c r="B67">
        <v>1652371737.1</v>
      </c>
      <c r="C67">
        <v>3643.5</v>
      </c>
      <c r="D67" t="s">
        <v>569</v>
      </c>
      <c r="E67" t="s">
        <v>570</v>
      </c>
      <c r="F67">
        <v>5</v>
      </c>
      <c r="G67" t="s">
        <v>518</v>
      </c>
      <c r="H67" t="s">
        <v>414</v>
      </c>
      <c r="I67">
        <v>1652371729.332142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430.960220696862</v>
      </c>
      <c r="AK67">
        <v>387.5059636363635</v>
      </c>
      <c r="AL67">
        <v>1.168230613812244</v>
      </c>
      <c r="AM67">
        <v>65.95105977519088</v>
      </c>
      <c r="AN67">
        <f>(AP67 - AO67 + DI67*1E3/(8.314*(DK67+273.15)) * AR67/DH67 * AQ67) * DH67/(100*CV67) * 1000/(1000 - AP67)</f>
        <v>0</v>
      </c>
      <c r="AO67">
        <v>11.25639489201694</v>
      </c>
      <c r="AP67">
        <v>25.45363286713289</v>
      </c>
      <c r="AQ67">
        <v>-4.655395464810867E-06</v>
      </c>
      <c r="AR67">
        <v>81.26040297655408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417</v>
      </c>
      <c r="AY67" t="s">
        <v>417</v>
      </c>
      <c r="AZ67">
        <v>0</v>
      </c>
      <c r="BA67">
        <v>0</v>
      </c>
      <c r="BB67">
        <f>1-AZ67/BA67</f>
        <v>0</v>
      </c>
      <c r="BC67">
        <v>0</v>
      </c>
      <c r="BD67" t="s">
        <v>417</v>
      </c>
      <c r="BE67" t="s">
        <v>417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1393</v>
      </c>
      <c r="CA67">
        <v>300</v>
      </c>
      <c r="CB67">
        <v>300</v>
      </c>
      <c r="CC67">
        <v>300</v>
      </c>
      <c r="CD67">
        <v>10378</v>
      </c>
      <c r="CE67">
        <v>2050</v>
      </c>
      <c r="CF67">
        <v>-0.00730649</v>
      </c>
      <c r="CG67">
        <v>-4.53</v>
      </c>
      <c r="CH67" t="s">
        <v>417</v>
      </c>
      <c r="CI67" t="s">
        <v>417</v>
      </c>
      <c r="CJ67" t="s">
        <v>417</v>
      </c>
      <c r="CK67" t="s">
        <v>417</v>
      </c>
      <c r="CL67" t="s">
        <v>417</v>
      </c>
      <c r="CM67" t="s">
        <v>417</v>
      </c>
      <c r="CN67" t="s">
        <v>417</v>
      </c>
      <c r="CO67" t="s">
        <v>417</v>
      </c>
      <c r="CP67" t="s">
        <v>417</v>
      </c>
      <c r="CQ67" t="s">
        <v>417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418</v>
      </c>
      <c r="CY67">
        <v>2</v>
      </c>
      <c r="CZ67" t="b">
        <v>1</v>
      </c>
      <c r="DA67">
        <v>1652371729.332142</v>
      </c>
      <c r="DB67">
        <v>367.7173928571429</v>
      </c>
      <c r="DC67">
        <v>423.46425</v>
      </c>
      <c r="DD67">
        <v>25.45317857142857</v>
      </c>
      <c r="DE67">
        <v>11.25095</v>
      </c>
      <c r="DF67">
        <v>367.29025</v>
      </c>
      <c r="DG67">
        <v>25.39784642857143</v>
      </c>
      <c r="DH67">
        <v>400.0591785714286</v>
      </c>
      <c r="DI67">
        <v>90.40451071428571</v>
      </c>
      <c r="DJ67">
        <v>0.09996854285714285</v>
      </c>
      <c r="DK67">
        <v>31.489225</v>
      </c>
      <c r="DL67">
        <v>30.00790357142857</v>
      </c>
      <c r="DM67">
        <v>999.9000000000002</v>
      </c>
      <c r="DN67">
        <v>0</v>
      </c>
      <c r="DO67">
        <v>0</v>
      </c>
      <c r="DP67">
        <v>9994.470714285713</v>
      </c>
      <c r="DQ67">
        <v>0</v>
      </c>
      <c r="DR67">
        <v>362.2615357142857</v>
      </c>
      <c r="DS67">
        <v>-55.746875</v>
      </c>
      <c r="DT67">
        <v>377.3213571428572</v>
      </c>
      <c r="DU67">
        <v>428.28275</v>
      </c>
      <c r="DV67">
        <v>14.20222857142857</v>
      </c>
      <c r="DW67">
        <v>423.46425</v>
      </c>
      <c r="DX67">
        <v>11.25095</v>
      </c>
      <c r="DY67">
        <v>2.301081428571428</v>
      </c>
      <c r="DZ67">
        <v>1.017137142857143</v>
      </c>
      <c r="EA67">
        <v>19.683975</v>
      </c>
      <c r="EB67">
        <v>7.164187857142857</v>
      </c>
      <c r="EC67">
        <v>1500.008214285714</v>
      </c>
      <c r="ED67">
        <v>0.9730034285714286</v>
      </c>
      <c r="EE67">
        <v>0.02699658571428572</v>
      </c>
      <c r="EF67">
        <v>0</v>
      </c>
      <c r="EG67">
        <v>1064.887142857143</v>
      </c>
      <c r="EH67">
        <v>5.00097</v>
      </c>
      <c r="EI67">
        <v>16790.63928571429</v>
      </c>
      <c r="EJ67">
        <v>12491.68214285714</v>
      </c>
      <c r="EK67">
        <v>39.625</v>
      </c>
      <c r="EL67">
        <v>41.07324999999999</v>
      </c>
      <c r="EM67">
        <v>39.81199999999999</v>
      </c>
      <c r="EN67">
        <v>40.92814285714285</v>
      </c>
      <c r="EO67">
        <v>40.81199999999999</v>
      </c>
      <c r="EP67">
        <v>1454.646785714285</v>
      </c>
      <c r="EQ67">
        <v>40.36142857142856</v>
      </c>
      <c r="ER67">
        <v>0</v>
      </c>
      <c r="ES67">
        <v>571</v>
      </c>
      <c r="ET67">
        <v>0</v>
      </c>
      <c r="EU67">
        <v>1065.335384615385</v>
      </c>
      <c r="EV67">
        <v>146.5353845423468</v>
      </c>
      <c r="EW67">
        <v>2471.552135859651</v>
      </c>
      <c r="EX67">
        <v>16798.87307692308</v>
      </c>
      <c r="EY67">
        <v>15</v>
      </c>
      <c r="EZ67">
        <v>1652371289.6</v>
      </c>
      <c r="FA67" t="s">
        <v>515</v>
      </c>
      <c r="FB67">
        <v>1652371289.6</v>
      </c>
      <c r="FC67">
        <v>1652371275.1</v>
      </c>
      <c r="FD67">
        <v>24</v>
      </c>
      <c r="FE67">
        <v>0.442</v>
      </c>
      <c r="FF67">
        <v>0.001</v>
      </c>
      <c r="FG67">
        <v>-2.63</v>
      </c>
      <c r="FH67">
        <v>0.007</v>
      </c>
      <c r="FI67">
        <v>1620</v>
      </c>
      <c r="FJ67">
        <v>22</v>
      </c>
      <c r="FK67">
        <v>0.08</v>
      </c>
      <c r="FL67">
        <v>0.04</v>
      </c>
      <c r="FM67">
        <v>-62.6503725</v>
      </c>
      <c r="FN67">
        <v>117.5751771106942</v>
      </c>
      <c r="FO67">
        <v>13.17275585126339</v>
      </c>
      <c r="FP67">
        <v>-1</v>
      </c>
      <c r="FQ67">
        <v>14.22708</v>
      </c>
      <c r="FR67">
        <v>-0.3833786116322768</v>
      </c>
      <c r="FS67">
        <v>0.04392068533162919</v>
      </c>
      <c r="FT67">
        <v>1</v>
      </c>
      <c r="FU67">
        <v>0</v>
      </c>
      <c r="FV67">
        <v>0</v>
      </c>
      <c r="FW67">
        <v>0</v>
      </c>
      <c r="FX67">
        <v>-1</v>
      </c>
      <c r="FY67">
        <v>1</v>
      </c>
      <c r="FZ67">
        <v>1</v>
      </c>
      <c r="GA67" t="s">
        <v>420</v>
      </c>
      <c r="GB67">
        <v>2.6962</v>
      </c>
      <c r="GC67">
        <v>2.70506</v>
      </c>
      <c r="GD67">
        <v>0.086216</v>
      </c>
      <c r="GE67">
        <v>0.0953449</v>
      </c>
      <c r="GF67">
        <v>0.110523</v>
      </c>
      <c r="GG67">
        <v>0.0605665</v>
      </c>
      <c r="GH67">
        <v>28741.2</v>
      </c>
      <c r="GI67">
        <v>28578.7</v>
      </c>
      <c r="GJ67">
        <v>29257</v>
      </c>
      <c r="GK67">
        <v>29231.9</v>
      </c>
      <c r="GL67">
        <v>34451.4</v>
      </c>
      <c r="GM67">
        <v>36560.7</v>
      </c>
      <c r="GN67">
        <v>41177.9</v>
      </c>
      <c r="GO67">
        <v>41708</v>
      </c>
      <c r="GP67">
        <v>1.72978</v>
      </c>
      <c r="GQ67">
        <v>2.02825</v>
      </c>
      <c r="GR67">
        <v>0.061933</v>
      </c>
      <c r="GS67">
        <v>0</v>
      </c>
      <c r="GT67">
        <v>29.061</v>
      </c>
      <c r="GU67">
        <v>999.9</v>
      </c>
      <c r="GV67">
        <v>44.3</v>
      </c>
      <c r="GW67">
        <v>32.6</v>
      </c>
      <c r="GX67">
        <v>24.2053</v>
      </c>
      <c r="GY67">
        <v>63.4579</v>
      </c>
      <c r="GZ67">
        <v>29.2869</v>
      </c>
      <c r="HA67">
        <v>1</v>
      </c>
      <c r="HB67">
        <v>0.235602</v>
      </c>
      <c r="HC67">
        <v>-0.835989</v>
      </c>
      <c r="HD67">
        <v>20.379</v>
      </c>
      <c r="HE67">
        <v>5.21639</v>
      </c>
      <c r="HF67">
        <v>12.0099</v>
      </c>
      <c r="HG67">
        <v>4.98765</v>
      </c>
      <c r="HH67">
        <v>3.28823</v>
      </c>
      <c r="HI67">
        <v>2710.1</v>
      </c>
      <c r="HJ67">
        <v>9999</v>
      </c>
      <c r="HK67">
        <v>9999</v>
      </c>
      <c r="HL67">
        <v>49.9</v>
      </c>
      <c r="HM67">
        <v>1.8672</v>
      </c>
      <c r="HN67">
        <v>1.86615</v>
      </c>
      <c r="HO67">
        <v>1.86575</v>
      </c>
      <c r="HP67">
        <v>1.86567</v>
      </c>
      <c r="HQ67">
        <v>1.86738</v>
      </c>
      <c r="HR67">
        <v>1.86996</v>
      </c>
      <c r="HS67">
        <v>1.86859</v>
      </c>
      <c r="HT67">
        <v>1.86996</v>
      </c>
      <c r="HU67">
        <v>0</v>
      </c>
      <c r="HV67">
        <v>0</v>
      </c>
      <c r="HW67">
        <v>0</v>
      </c>
      <c r="HX67">
        <v>0</v>
      </c>
      <c r="HY67" t="s">
        <v>421</v>
      </c>
      <c r="HZ67" t="s">
        <v>422</v>
      </c>
      <c r="IA67" t="s">
        <v>423</v>
      </c>
      <c r="IB67" t="s">
        <v>423</v>
      </c>
      <c r="IC67" t="s">
        <v>423</v>
      </c>
      <c r="ID67" t="s">
        <v>423</v>
      </c>
      <c r="IE67">
        <v>0</v>
      </c>
      <c r="IF67">
        <v>100</v>
      </c>
      <c r="IG67">
        <v>100</v>
      </c>
      <c r="IH67">
        <v>0.402</v>
      </c>
      <c r="II67">
        <v>0.0553</v>
      </c>
      <c r="IJ67">
        <v>1.257309091789605</v>
      </c>
      <c r="IK67">
        <v>-0.002185601614162945</v>
      </c>
      <c r="IL67">
        <v>-2.252308143750626E-07</v>
      </c>
      <c r="IM67">
        <v>5.915558436307541E-11</v>
      </c>
      <c r="IN67">
        <v>-0.118683452207699</v>
      </c>
      <c r="IO67">
        <v>-0.007570214193104963</v>
      </c>
      <c r="IP67">
        <v>0.0009214429922928372</v>
      </c>
      <c r="IQ67">
        <v>-1.392260276065805E-05</v>
      </c>
      <c r="IR67">
        <v>17</v>
      </c>
      <c r="IS67">
        <v>2272</v>
      </c>
      <c r="IT67">
        <v>1</v>
      </c>
      <c r="IU67">
        <v>31</v>
      </c>
      <c r="IV67">
        <v>7.5</v>
      </c>
      <c r="IW67">
        <v>7.7</v>
      </c>
      <c r="IX67">
        <v>1.10596</v>
      </c>
      <c r="IY67">
        <v>2.24487</v>
      </c>
      <c r="IZ67">
        <v>1.39648</v>
      </c>
      <c r="JA67">
        <v>2.35352</v>
      </c>
      <c r="JB67">
        <v>1.49536</v>
      </c>
      <c r="JC67">
        <v>2.25952</v>
      </c>
      <c r="JD67">
        <v>36.0582</v>
      </c>
      <c r="JE67">
        <v>15.3666</v>
      </c>
      <c r="JF67">
        <v>18</v>
      </c>
      <c r="JG67">
        <v>389.685</v>
      </c>
      <c r="JH67">
        <v>562.819</v>
      </c>
      <c r="JI67">
        <v>31.2049</v>
      </c>
      <c r="JJ67">
        <v>30.4849</v>
      </c>
      <c r="JK67">
        <v>29.9983</v>
      </c>
      <c r="JL67">
        <v>30.3722</v>
      </c>
      <c r="JM67">
        <v>30.2683</v>
      </c>
      <c r="JN67">
        <v>22.1518</v>
      </c>
      <c r="JO67">
        <v>48.5484</v>
      </c>
      <c r="JP67">
        <v>0</v>
      </c>
      <c r="JQ67">
        <v>31.1054</v>
      </c>
      <c r="JR67">
        <v>460.13</v>
      </c>
      <c r="JS67">
        <v>11.3449</v>
      </c>
      <c r="JT67">
        <v>100.003</v>
      </c>
      <c r="JU67">
        <v>100.117</v>
      </c>
    </row>
    <row r="68" spans="1:281">
      <c r="A68">
        <v>52</v>
      </c>
      <c r="B68">
        <v>1652371742.1</v>
      </c>
      <c r="C68">
        <v>3648.5</v>
      </c>
      <c r="D68" t="s">
        <v>571</v>
      </c>
      <c r="E68" t="s">
        <v>572</v>
      </c>
      <c r="F68">
        <v>5</v>
      </c>
      <c r="G68" t="s">
        <v>518</v>
      </c>
      <c r="H68" t="s">
        <v>414</v>
      </c>
      <c r="I68">
        <v>1652371734.6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445.6481989037782</v>
      </c>
      <c r="AK68">
        <v>396.8911454545455</v>
      </c>
      <c r="AL68">
        <v>1.907539139730702</v>
      </c>
      <c r="AM68">
        <v>65.95105977519088</v>
      </c>
      <c r="AN68">
        <f>(AP68 - AO68 + DI68*1E3/(8.314*(DK68+273.15)) * AR68/DH68 * AQ68) * DH68/(100*CV68) * 1000/(1000 - AP68)</f>
        <v>0</v>
      </c>
      <c r="AO68">
        <v>11.25895232521203</v>
      </c>
      <c r="AP68">
        <v>25.46379020979022</v>
      </c>
      <c r="AQ68">
        <v>0.0002300769471906023</v>
      </c>
      <c r="AR68">
        <v>81.26040297655408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417</v>
      </c>
      <c r="AY68" t="s">
        <v>417</v>
      </c>
      <c r="AZ68">
        <v>0</v>
      </c>
      <c r="BA68">
        <v>0</v>
      </c>
      <c r="BB68">
        <f>1-AZ68/BA68</f>
        <v>0</v>
      </c>
      <c r="BC68">
        <v>0</v>
      </c>
      <c r="BD68" t="s">
        <v>417</v>
      </c>
      <c r="BE68" t="s">
        <v>417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1393</v>
      </c>
      <c r="CA68">
        <v>300</v>
      </c>
      <c r="CB68">
        <v>300</v>
      </c>
      <c r="CC68">
        <v>300</v>
      </c>
      <c r="CD68">
        <v>10378</v>
      </c>
      <c r="CE68">
        <v>2050</v>
      </c>
      <c r="CF68">
        <v>-0.00730649</v>
      </c>
      <c r="CG68">
        <v>-4.53</v>
      </c>
      <c r="CH68" t="s">
        <v>417</v>
      </c>
      <c r="CI68" t="s">
        <v>417</v>
      </c>
      <c r="CJ68" t="s">
        <v>417</v>
      </c>
      <c r="CK68" t="s">
        <v>417</v>
      </c>
      <c r="CL68" t="s">
        <v>417</v>
      </c>
      <c r="CM68" t="s">
        <v>417</v>
      </c>
      <c r="CN68" t="s">
        <v>417</v>
      </c>
      <c r="CO68" t="s">
        <v>417</v>
      </c>
      <c r="CP68" t="s">
        <v>417</v>
      </c>
      <c r="CQ68" t="s">
        <v>417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418</v>
      </c>
      <c r="CY68">
        <v>2</v>
      </c>
      <c r="CZ68" t="b">
        <v>1</v>
      </c>
      <c r="DA68">
        <v>1652371734.6</v>
      </c>
      <c r="DB68">
        <v>375.8552592592593</v>
      </c>
      <c r="DC68">
        <v>431.8974814814814</v>
      </c>
      <c r="DD68">
        <v>25.45478888888888</v>
      </c>
      <c r="DE68">
        <v>11.25594074074074</v>
      </c>
      <c r="DF68">
        <v>375.4471481481482</v>
      </c>
      <c r="DG68">
        <v>25.39944074074074</v>
      </c>
      <c r="DH68">
        <v>400.0440370370371</v>
      </c>
      <c r="DI68">
        <v>90.40329259259262</v>
      </c>
      <c r="DJ68">
        <v>0.09990680000000002</v>
      </c>
      <c r="DK68">
        <v>31.52103333333334</v>
      </c>
      <c r="DL68">
        <v>30.04928148148148</v>
      </c>
      <c r="DM68">
        <v>999.9000000000001</v>
      </c>
      <c r="DN68">
        <v>0</v>
      </c>
      <c r="DO68">
        <v>0</v>
      </c>
      <c r="DP68">
        <v>10003.57222222222</v>
      </c>
      <c r="DQ68">
        <v>0</v>
      </c>
      <c r="DR68">
        <v>368.1995925925926</v>
      </c>
      <c r="DS68">
        <v>-56.04225185185184</v>
      </c>
      <c r="DT68">
        <v>385.6724814814814</v>
      </c>
      <c r="DU68">
        <v>436.8141851851852</v>
      </c>
      <c r="DV68">
        <v>14.19886296296296</v>
      </c>
      <c r="DW68">
        <v>431.8974814814814</v>
      </c>
      <c r="DX68">
        <v>11.25594074074074</v>
      </c>
      <c r="DY68">
        <v>2.301195925925926</v>
      </c>
      <c r="DZ68">
        <v>1.017573703703704</v>
      </c>
      <c r="EA68">
        <v>19.68478148148148</v>
      </c>
      <c r="EB68">
        <v>7.170457777777778</v>
      </c>
      <c r="EC68">
        <v>1500.011851851852</v>
      </c>
      <c r="ED68">
        <v>0.9730034814814815</v>
      </c>
      <c r="EE68">
        <v>0.02699652962962963</v>
      </c>
      <c r="EF68">
        <v>0</v>
      </c>
      <c r="EG68">
        <v>1075.358888888889</v>
      </c>
      <c r="EH68">
        <v>5.00097</v>
      </c>
      <c r="EI68">
        <v>16966.12592592593</v>
      </c>
      <c r="EJ68">
        <v>12491.72222222222</v>
      </c>
      <c r="EK68">
        <v>39.625</v>
      </c>
      <c r="EL68">
        <v>41.09466666666667</v>
      </c>
      <c r="EM68">
        <v>39.819</v>
      </c>
      <c r="EN68">
        <v>40.93699999999999</v>
      </c>
      <c r="EO68">
        <v>40.81199999999999</v>
      </c>
      <c r="EP68">
        <v>1454.650740740741</v>
      </c>
      <c r="EQ68">
        <v>40.3611111111111</v>
      </c>
      <c r="ER68">
        <v>0</v>
      </c>
      <c r="ES68">
        <v>575.7999999523163</v>
      </c>
      <c r="ET68">
        <v>0</v>
      </c>
      <c r="EU68">
        <v>1074.838846153846</v>
      </c>
      <c r="EV68">
        <v>85.72000003717544</v>
      </c>
      <c r="EW68">
        <v>1398.998291175701</v>
      </c>
      <c r="EX68">
        <v>16955.78846153846</v>
      </c>
      <c r="EY68">
        <v>15</v>
      </c>
      <c r="EZ68">
        <v>1652371289.6</v>
      </c>
      <c r="FA68" t="s">
        <v>515</v>
      </c>
      <c r="FB68">
        <v>1652371289.6</v>
      </c>
      <c r="FC68">
        <v>1652371275.1</v>
      </c>
      <c r="FD68">
        <v>24</v>
      </c>
      <c r="FE68">
        <v>0.442</v>
      </c>
      <c r="FF68">
        <v>0.001</v>
      </c>
      <c r="FG68">
        <v>-2.63</v>
      </c>
      <c r="FH68">
        <v>0.007</v>
      </c>
      <c r="FI68">
        <v>1620</v>
      </c>
      <c r="FJ68">
        <v>22</v>
      </c>
      <c r="FK68">
        <v>0.08</v>
      </c>
      <c r="FL68">
        <v>0.04</v>
      </c>
      <c r="FM68">
        <v>-57.22141000000001</v>
      </c>
      <c r="FN68">
        <v>2.494306941838627</v>
      </c>
      <c r="FO68">
        <v>5.207731002884079</v>
      </c>
      <c r="FP68">
        <v>-1</v>
      </c>
      <c r="FQ68">
        <v>14.20206</v>
      </c>
      <c r="FR68">
        <v>-0.06493058161351628</v>
      </c>
      <c r="FS68">
        <v>0.009497757630093601</v>
      </c>
      <c r="FT68">
        <v>1</v>
      </c>
      <c r="FU68">
        <v>0</v>
      </c>
      <c r="FV68">
        <v>0</v>
      </c>
      <c r="FW68">
        <v>0</v>
      </c>
      <c r="FX68">
        <v>-1</v>
      </c>
      <c r="FY68">
        <v>1</v>
      </c>
      <c r="FZ68">
        <v>1</v>
      </c>
      <c r="GA68" t="s">
        <v>420</v>
      </c>
      <c r="GB68">
        <v>2.69624</v>
      </c>
      <c r="GC68">
        <v>2.70524</v>
      </c>
      <c r="GD68">
        <v>0.0878924</v>
      </c>
      <c r="GE68">
        <v>0.0979411</v>
      </c>
      <c r="GF68">
        <v>0.110548</v>
      </c>
      <c r="GG68">
        <v>0.0605967</v>
      </c>
      <c r="GH68">
        <v>28689</v>
      </c>
      <c r="GI68">
        <v>28497</v>
      </c>
      <c r="GJ68">
        <v>29257.6</v>
      </c>
      <c r="GK68">
        <v>29232.3</v>
      </c>
      <c r="GL68">
        <v>34451.2</v>
      </c>
      <c r="GM68">
        <v>36560.1</v>
      </c>
      <c r="GN68">
        <v>41178.8</v>
      </c>
      <c r="GO68">
        <v>41708.6</v>
      </c>
      <c r="GP68">
        <v>1.72965</v>
      </c>
      <c r="GQ68">
        <v>2.02822</v>
      </c>
      <c r="GR68">
        <v>0.0640564</v>
      </c>
      <c r="GS68">
        <v>0</v>
      </c>
      <c r="GT68">
        <v>29.0593</v>
      </c>
      <c r="GU68">
        <v>999.9</v>
      </c>
      <c r="GV68">
        <v>44.3</v>
      </c>
      <c r="GW68">
        <v>32.7</v>
      </c>
      <c r="GX68">
        <v>24.3412</v>
      </c>
      <c r="GY68">
        <v>63.2579</v>
      </c>
      <c r="GZ68">
        <v>29.2468</v>
      </c>
      <c r="HA68">
        <v>1</v>
      </c>
      <c r="HB68">
        <v>0.235399</v>
      </c>
      <c r="HC68">
        <v>-0.272228</v>
      </c>
      <c r="HD68">
        <v>20.3812</v>
      </c>
      <c r="HE68">
        <v>5.21654</v>
      </c>
      <c r="HF68">
        <v>12.0099</v>
      </c>
      <c r="HG68">
        <v>4.9876</v>
      </c>
      <c r="HH68">
        <v>3.28828</v>
      </c>
      <c r="HI68">
        <v>2710.3</v>
      </c>
      <c r="HJ68">
        <v>9999</v>
      </c>
      <c r="HK68">
        <v>9999</v>
      </c>
      <c r="HL68">
        <v>49.9</v>
      </c>
      <c r="HM68">
        <v>1.86719</v>
      </c>
      <c r="HN68">
        <v>1.86615</v>
      </c>
      <c r="HO68">
        <v>1.86574</v>
      </c>
      <c r="HP68">
        <v>1.86567</v>
      </c>
      <c r="HQ68">
        <v>1.86737</v>
      </c>
      <c r="HR68">
        <v>1.86996</v>
      </c>
      <c r="HS68">
        <v>1.86859</v>
      </c>
      <c r="HT68">
        <v>1.86996</v>
      </c>
      <c r="HU68">
        <v>0</v>
      </c>
      <c r="HV68">
        <v>0</v>
      </c>
      <c r="HW68">
        <v>0</v>
      </c>
      <c r="HX68">
        <v>0</v>
      </c>
      <c r="HY68" t="s">
        <v>421</v>
      </c>
      <c r="HZ68" t="s">
        <v>422</v>
      </c>
      <c r="IA68" t="s">
        <v>423</v>
      </c>
      <c r="IB68" t="s">
        <v>423</v>
      </c>
      <c r="IC68" t="s">
        <v>423</v>
      </c>
      <c r="ID68" t="s">
        <v>423</v>
      </c>
      <c r="IE68">
        <v>0</v>
      </c>
      <c r="IF68">
        <v>100</v>
      </c>
      <c r="IG68">
        <v>100</v>
      </c>
      <c r="IH68">
        <v>0.38</v>
      </c>
      <c r="II68">
        <v>0.0554</v>
      </c>
      <c r="IJ68">
        <v>1.257309091789605</v>
      </c>
      <c r="IK68">
        <v>-0.002185601614162945</v>
      </c>
      <c r="IL68">
        <v>-2.252308143750626E-07</v>
      </c>
      <c r="IM68">
        <v>5.915558436307541E-11</v>
      </c>
      <c r="IN68">
        <v>-0.118683452207699</v>
      </c>
      <c r="IO68">
        <v>-0.007570214193104963</v>
      </c>
      <c r="IP68">
        <v>0.0009214429922928372</v>
      </c>
      <c r="IQ68">
        <v>-1.392260276065805E-05</v>
      </c>
      <c r="IR68">
        <v>17</v>
      </c>
      <c r="IS68">
        <v>2272</v>
      </c>
      <c r="IT68">
        <v>1</v>
      </c>
      <c r="IU68">
        <v>31</v>
      </c>
      <c r="IV68">
        <v>7.5</v>
      </c>
      <c r="IW68">
        <v>7.8</v>
      </c>
      <c r="IX68">
        <v>1.13647</v>
      </c>
      <c r="IY68">
        <v>2.23511</v>
      </c>
      <c r="IZ68">
        <v>1.39648</v>
      </c>
      <c r="JA68">
        <v>2.35352</v>
      </c>
      <c r="JB68">
        <v>1.49536</v>
      </c>
      <c r="JC68">
        <v>2.32788</v>
      </c>
      <c r="JD68">
        <v>36.0582</v>
      </c>
      <c r="JE68">
        <v>15.3754</v>
      </c>
      <c r="JF68">
        <v>18</v>
      </c>
      <c r="JG68">
        <v>389.637</v>
      </c>
      <c r="JH68">
        <v>562.824</v>
      </c>
      <c r="JI68">
        <v>31.1834</v>
      </c>
      <c r="JJ68">
        <v>30.4889</v>
      </c>
      <c r="JK68">
        <v>29.9994</v>
      </c>
      <c r="JL68">
        <v>30.3754</v>
      </c>
      <c r="JM68">
        <v>30.2709</v>
      </c>
      <c r="JN68">
        <v>22.7657</v>
      </c>
      <c r="JO68">
        <v>48.2772</v>
      </c>
      <c r="JP68">
        <v>0</v>
      </c>
      <c r="JQ68">
        <v>31.0368</v>
      </c>
      <c r="JR68">
        <v>473.489</v>
      </c>
      <c r="JS68">
        <v>11.3633</v>
      </c>
      <c r="JT68">
        <v>100.005</v>
      </c>
      <c r="JU68">
        <v>100.118</v>
      </c>
    </row>
    <row r="69" spans="1:281">
      <c r="A69">
        <v>53</v>
      </c>
      <c r="B69">
        <v>1652371747.1</v>
      </c>
      <c r="C69">
        <v>3653.5</v>
      </c>
      <c r="D69" t="s">
        <v>573</v>
      </c>
      <c r="E69" t="s">
        <v>574</v>
      </c>
      <c r="F69">
        <v>5</v>
      </c>
      <c r="G69" t="s">
        <v>518</v>
      </c>
      <c r="H69" t="s">
        <v>414</v>
      </c>
      <c r="I69">
        <v>1652371739.314285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461.9692969276097</v>
      </c>
      <c r="AK69">
        <v>409.1172787878786</v>
      </c>
      <c r="AL69">
        <v>2.464752150203809</v>
      </c>
      <c r="AM69">
        <v>65.95105977519088</v>
      </c>
      <c r="AN69">
        <f>(AP69 - AO69 + DI69*1E3/(8.314*(DK69+273.15)) * AR69/DH69 * AQ69) * DH69/(100*CV69) * 1000/(1000 - AP69)</f>
        <v>0</v>
      </c>
      <c r="AO69">
        <v>11.27347872381821</v>
      </c>
      <c r="AP69">
        <v>25.47123916083917</v>
      </c>
      <c r="AQ69">
        <v>-0.0002182530196893565</v>
      </c>
      <c r="AR69">
        <v>81.26040297655408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417</v>
      </c>
      <c r="AY69" t="s">
        <v>417</v>
      </c>
      <c r="AZ69">
        <v>0</v>
      </c>
      <c r="BA69">
        <v>0</v>
      </c>
      <c r="BB69">
        <f>1-AZ69/BA69</f>
        <v>0</v>
      </c>
      <c r="BC69">
        <v>0</v>
      </c>
      <c r="BD69" t="s">
        <v>417</v>
      </c>
      <c r="BE69" t="s">
        <v>417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1393</v>
      </c>
      <c r="CA69">
        <v>300</v>
      </c>
      <c r="CB69">
        <v>300</v>
      </c>
      <c r="CC69">
        <v>300</v>
      </c>
      <c r="CD69">
        <v>10378</v>
      </c>
      <c r="CE69">
        <v>2050</v>
      </c>
      <c r="CF69">
        <v>-0.00730649</v>
      </c>
      <c r="CG69">
        <v>-4.53</v>
      </c>
      <c r="CH69" t="s">
        <v>417</v>
      </c>
      <c r="CI69" t="s">
        <v>417</v>
      </c>
      <c r="CJ69" t="s">
        <v>417</v>
      </c>
      <c r="CK69" t="s">
        <v>417</v>
      </c>
      <c r="CL69" t="s">
        <v>417</v>
      </c>
      <c r="CM69" t="s">
        <v>417</v>
      </c>
      <c r="CN69" t="s">
        <v>417</v>
      </c>
      <c r="CO69" t="s">
        <v>417</v>
      </c>
      <c r="CP69" t="s">
        <v>417</v>
      </c>
      <c r="CQ69" t="s">
        <v>417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418</v>
      </c>
      <c r="CY69">
        <v>2</v>
      </c>
      <c r="CZ69" t="b">
        <v>1</v>
      </c>
      <c r="DA69">
        <v>1652371739.314285</v>
      </c>
      <c r="DB69">
        <v>383.4756428571429</v>
      </c>
      <c r="DC69">
        <v>444.55975</v>
      </c>
      <c r="DD69">
        <v>25.45811428571428</v>
      </c>
      <c r="DE69">
        <v>11.28033571428571</v>
      </c>
      <c r="DF69">
        <v>383.0852857142858</v>
      </c>
      <c r="DG69">
        <v>25.402725</v>
      </c>
      <c r="DH69">
        <v>400.0512142857142</v>
      </c>
      <c r="DI69">
        <v>90.402225</v>
      </c>
      <c r="DJ69">
        <v>0.09995899999999998</v>
      </c>
      <c r="DK69">
        <v>31.53928571428571</v>
      </c>
      <c r="DL69">
        <v>30.08025</v>
      </c>
      <c r="DM69">
        <v>999.9000000000002</v>
      </c>
      <c r="DN69">
        <v>0</v>
      </c>
      <c r="DO69">
        <v>0</v>
      </c>
      <c r="DP69">
        <v>10006.69821428571</v>
      </c>
      <c r="DQ69">
        <v>0</v>
      </c>
      <c r="DR69">
        <v>378.2727857142857</v>
      </c>
      <c r="DS69">
        <v>-61.08417857142858</v>
      </c>
      <c r="DT69">
        <v>393.4932857142857</v>
      </c>
      <c r="DU69">
        <v>449.6321785714287</v>
      </c>
      <c r="DV69">
        <v>14.17778928571428</v>
      </c>
      <c r="DW69">
        <v>444.55975</v>
      </c>
      <c r="DX69">
        <v>11.28033571428571</v>
      </c>
      <c r="DY69">
        <v>2.301469642857143</v>
      </c>
      <c r="DZ69">
        <v>1.019766785714286</v>
      </c>
      <c r="EA69">
        <v>19.68669642857143</v>
      </c>
      <c r="EB69">
        <v>7.201835357142857</v>
      </c>
      <c r="EC69">
        <v>1499.985714285714</v>
      </c>
      <c r="ED69">
        <v>0.9730034285714286</v>
      </c>
      <c r="EE69">
        <v>0.02699658571428572</v>
      </c>
      <c r="EF69">
        <v>0</v>
      </c>
      <c r="EG69">
        <v>1081.2975</v>
      </c>
      <c r="EH69">
        <v>5.00097</v>
      </c>
      <c r="EI69">
        <v>17071.77857142857</v>
      </c>
      <c r="EJ69">
        <v>12491.49642857143</v>
      </c>
      <c r="EK69">
        <v>39.625</v>
      </c>
      <c r="EL69">
        <v>41.11375</v>
      </c>
      <c r="EM69">
        <v>39.81874999999999</v>
      </c>
      <c r="EN69">
        <v>40.93699999999999</v>
      </c>
      <c r="EO69">
        <v>40.81424999999999</v>
      </c>
      <c r="EP69">
        <v>1454.625714285714</v>
      </c>
      <c r="EQ69">
        <v>40.35999999999999</v>
      </c>
      <c r="ER69">
        <v>0</v>
      </c>
      <c r="ES69">
        <v>581.1999998092651</v>
      </c>
      <c r="ET69">
        <v>0</v>
      </c>
      <c r="EU69">
        <v>1082.146</v>
      </c>
      <c r="EV69">
        <v>61.78307702719634</v>
      </c>
      <c r="EW69">
        <v>1169.592309828888</v>
      </c>
      <c r="EX69">
        <v>17085.392</v>
      </c>
      <c r="EY69">
        <v>15</v>
      </c>
      <c r="EZ69">
        <v>1652371289.6</v>
      </c>
      <c r="FA69" t="s">
        <v>515</v>
      </c>
      <c r="FB69">
        <v>1652371289.6</v>
      </c>
      <c r="FC69">
        <v>1652371275.1</v>
      </c>
      <c r="FD69">
        <v>24</v>
      </c>
      <c r="FE69">
        <v>0.442</v>
      </c>
      <c r="FF69">
        <v>0.001</v>
      </c>
      <c r="FG69">
        <v>-2.63</v>
      </c>
      <c r="FH69">
        <v>0.007</v>
      </c>
      <c r="FI69">
        <v>1620</v>
      </c>
      <c r="FJ69">
        <v>22</v>
      </c>
      <c r="FK69">
        <v>0.08</v>
      </c>
      <c r="FL69">
        <v>0.04</v>
      </c>
      <c r="FM69">
        <v>-58.65536585365854</v>
      </c>
      <c r="FN69">
        <v>-61.1438174216027</v>
      </c>
      <c r="FO69">
        <v>6.370097740667979</v>
      </c>
      <c r="FP69">
        <v>-1</v>
      </c>
      <c r="FQ69">
        <v>14.18527317073171</v>
      </c>
      <c r="FR69">
        <v>-0.2074724738676025</v>
      </c>
      <c r="FS69">
        <v>0.0287337909716938</v>
      </c>
      <c r="FT69">
        <v>1</v>
      </c>
      <c r="FU69">
        <v>0</v>
      </c>
      <c r="FV69">
        <v>0</v>
      </c>
      <c r="FW69">
        <v>0</v>
      </c>
      <c r="FX69">
        <v>-1</v>
      </c>
      <c r="FY69">
        <v>1</v>
      </c>
      <c r="FZ69">
        <v>1</v>
      </c>
      <c r="GA69" t="s">
        <v>420</v>
      </c>
      <c r="GB69">
        <v>2.69599</v>
      </c>
      <c r="GC69">
        <v>2.70536</v>
      </c>
      <c r="GD69">
        <v>0.0900138</v>
      </c>
      <c r="GE69">
        <v>0.10055</v>
      </c>
      <c r="GF69">
        <v>0.110584</v>
      </c>
      <c r="GG69">
        <v>0.0610286</v>
      </c>
      <c r="GH69">
        <v>28622.4</v>
      </c>
      <c r="GI69">
        <v>28414.6</v>
      </c>
      <c r="GJ69">
        <v>29257.7</v>
      </c>
      <c r="GK69">
        <v>29232.4</v>
      </c>
      <c r="GL69">
        <v>34449.8</v>
      </c>
      <c r="GM69">
        <v>36543.2</v>
      </c>
      <c r="GN69">
        <v>41178.7</v>
      </c>
      <c r="GO69">
        <v>41708.5</v>
      </c>
      <c r="GP69">
        <v>1.72965</v>
      </c>
      <c r="GQ69">
        <v>2.02828</v>
      </c>
      <c r="GR69">
        <v>0.064224</v>
      </c>
      <c r="GS69">
        <v>0</v>
      </c>
      <c r="GT69">
        <v>29.0593</v>
      </c>
      <c r="GU69">
        <v>999.9</v>
      </c>
      <c r="GV69">
        <v>44.3</v>
      </c>
      <c r="GW69">
        <v>32.7</v>
      </c>
      <c r="GX69">
        <v>24.3417</v>
      </c>
      <c r="GY69">
        <v>63.3879</v>
      </c>
      <c r="GZ69">
        <v>29.5954</v>
      </c>
      <c r="HA69">
        <v>1</v>
      </c>
      <c r="HB69">
        <v>0.235379</v>
      </c>
      <c r="HC69">
        <v>0.0864842</v>
      </c>
      <c r="HD69">
        <v>20.3814</v>
      </c>
      <c r="HE69">
        <v>5.21564</v>
      </c>
      <c r="HF69">
        <v>12.0099</v>
      </c>
      <c r="HG69">
        <v>4.9873</v>
      </c>
      <c r="HH69">
        <v>3.28825</v>
      </c>
      <c r="HI69">
        <v>2710.3</v>
      </c>
      <c r="HJ69">
        <v>9999</v>
      </c>
      <c r="HK69">
        <v>9999</v>
      </c>
      <c r="HL69">
        <v>49.9</v>
      </c>
      <c r="HM69">
        <v>1.86721</v>
      </c>
      <c r="HN69">
        <v>1.86616</v>
      </c>
      <c r="HO69">
        <v>1.86572</v>
      </c>
      <c r="HP69">
        <v>1.86566</v>
      </c>
      <c r="HQ69">
        <v>1.86737</v>
      </c>
      <c r="HR69">
        <v>1.86996</v>
      </c>
      <c r="HS69">
        <v>1.86859</v>
      </c>
      <c r="HT69">
        <v>1.86996</v>
      </c>
      <c r="HU69">
        <v>0</v>
      </c>
      <c r="HV69">
        <v>0</v>
      </c>
      <c r="HW69">
        <v>0</v>
      </c>
      <c r="HX69">
        <v>0</v>
      </c>
      <c r="HY69" t="s">
        <v>421</v>
      </c>
      <c r="HZ69" t="s">
        <v>422</v>
      </c>
      <c r="IA69" t="s">
        <v>423</v>
      </c>
      <c r="IB69" t="s">
        <v>423</v>
      </c>
      <c r="IC69" t="s">
        <v>423</v>
      </c>
      <c r="ID69" t="s">
        <v>423</v>
      </c>
      <c r="IE69">
        <v>0</v>
      </c>
      <c r="IF69">
        <v>100</v>
      </c>
      <c r="IG69">
        <v>100</v>
      </c>
      <c r="IH69">
        <v>0.352</v>
      </c>
      <c r="II69">
        <v>0.0556</v>
      </c>
      <c r="IJ69">
        <v>1.257309091789605</v>
      </c>
      <c r="IK69">
        <v>-0.002185601614162945</v>
      </c>
      <c r="IL69">
        <v>-2.252308143750626E-07</v>
      </c>
      <c r="IM69">
        <v>5.915558436307541E-11</v>
      </c>
      <c r="IN69">
        <v>-0.118683452207699</v>
      </c>
      <c r="IO69">
        <v>-0.007570214193104963</v>
      </c>
      <c r="IP69">
        <v>0.0009214429922928372</v>
      </c>
      <c r="IQ69">
        <v>-1.392260276065805E-05</v>
      </c>
      <c r="IR69">
        <v>17</v>
      </c>
      <c r="IS69">
        <v>2272</v>
      </c>
      <c r="IT69">
        <v>1</v>
      </c>
      <c r="IU69">
        <v>31</v>
      </c>
      <c r="IV69">
        <v>7.6</v>
      </c>
      <c r="IW69">
        <v>7.9</v>
      </c>
      <c r="IX69">
        <v>1.16455</v>
      </c>
      <c r="IY69">
        <v>2.23145</v>
      </c>
      <c r="IZ69">
        <v>1.39648</v>
      </c>
      <c r="JA69">
        <v>2.35352</v>
      </c>
      <c r="JB69">
        <v>1.49536</v>
      </c>
      <c r="JC69">
        <v>2.37427</v>
      </c>
      <c r="JD69">
        <v>36.0816</v>
      </c>
      <c r="JE69">
        <v>15.3841</v>
      </c>
      <c r="JF69">
        <v>18</v>
      </c>
      <c r="JG69">
        <v>389.657</v>
      </c>
      <c r="JH69">
        <v>562.891</v>
      </c>
      <c r="JI69">
        <v>31.0633</v>
      </c>
      <c r="JJ69">
        <v>30.4922</v>
      </c>
      <c r="JK69">
        <v>29.9999</v>
      </c>
      <c r="JL69">
        <v>30.3787</v>
      </c>
      <c r="JM69">
        <v>30.2739</v>
      </c>
      <c r="JN69">
        <v>23.4336</v>
      </c>
      <c r="JO69">
        <v>47.9838</v>
      </c>
      <c r="JP69">
        <v>0</v>
      </c>
      <c r="JQ69">
        <v>30.9366</v>
      </c>
      <c r="JR69">
        <v>493.54</v>
      </c>
      <c r="JS69">
        <v>11.4875</v>
      </c>
      <c r="JT69">
        <v>100.005</v>
      </c>
      <c r="JU69">
        <v>100.118</v>
      </c>
    </row>
    <row r="70" spans="1:281">
      <c r="A70">
        <v>54</v>
      </c>
      <c r="B70">
        <v>1652371752.1</v>
      </c>
      <c r="C70">
        <v>3658.5</v>
      </c>
      <c r="D70" t="s">
        <v>575</v>
      </c>
      <c r="E70" t="s">
        <v>576</v>
      </c>
      <c r="F70">
        <v>5</v>
      </c>
      <c r="G70" t="s">
        <v>518</v>
      </c>
      <c r="H70" t="s">
        <v>414</v>
      </c>
      <c r="I70">
        <v>1652371744.6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478.4213441454833</v>
      </c>
      <c r="AK70">
        <v>422.8915212121212</v>
      </c>
      <c r="AL70">
        <v>2.771004737614983</v>
      </c>
      <c r="AM70">
        <v>65.95105977519088</v>
      </c>
      <c r="AN70">
        <f>(AP70 - AO70 + DI70*1E3/(8.314*(DK70+273.15)) * AR70/DH70 * AQ70) * DH70/(100*CV70) * 1000/(1000 - AP70)</f>
        <v>0</v>
      </c>
      <c r="AO70">
        <v>11.37420598178685</v>
      </c>
      <c r="AP70">
        <v>25.49779160839163</v>
      </c>
      <c r="AQ70">
        <v>0.006441399273615018</v>
      </c>
      <c r="AR70">
        <v>81.26040297655408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417</v>
      </c>
      <c r="AY70" t="s">
        <v>417</v>
      </c>
      <c r="AZ70">
        <v>0</v>
      </c>
      <c r="BA70">
        <v>0</v>
      </c>
      <c r="BB70">
        <f>1-AZ70/BA70</f>
        <v>0</v>
      </c>
      <c r="BC70">
        <v>0</v>
      </c>
      <c r="BD70" t="s">
        <v>417</v>
      </c>
      <c r="BE70" t="s">
        <v>417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1393</v>
      </c>
      <c r="CA70">
        <v>300</v>
      </c>
      <c r="CB70">
        <v>300</v>
      </c>
      <c r="CC70">
        <v>300</v>
      </c>
      <c r="CD70">
        <v>10378</v>
      </c>
      <c r="CE70">
        <v>2050</v>
      </c>
      <c r="CF70">
        <v>-0.00730649</v>
      </c>
      <c r="CG70">
        <v>-4.53</v>
      </c>
      <c r="CH70" t="s">
        <v>417</v>
      </c>
      <c r="CI70" t="s">
        <v>417</v>
      </c>
      <c r="CJ70" t="s">
        <v>417</v>
      </c>
      <c r="CK70" t="s">
        <v>417</v>
      </c>
      <c r="CL70" t="s">
        <v>417</v>
      </c>
      <c r="CM70" t="s">
        <v>417</v>
      </c>
      <c r="CN70" t="s">
        <v>417</v>
      </c>
      <c r="CO70" t="s">
        <v>417</v>
      </c>
      <c r="CP70" t="s">
        <v>417</v>
      </c>
      <c r="CQ70" t="s">
        <v>417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418</v>
      </c>
      <c r="CY70">
        <v>2</v>
      </c>
      <c r="CZ70" t="b">
        <v>1</v>
      </c>
      <c r="DA70">
        <v>1652371744.6</v>
      </c>
      <c r="DB70">
        <v>394.4072222222222</v>
      </c>
      <c r="DC70">
        <v>461.3141481481481</v>
      </c>
      <c r="DD70">
        <v>25.4702962962963</v>
      </c>
      <c r="DE70">
        <v>11.32817407407407</v>
      </c>
      <c r="DF70">
        <v>394.0424444444445</v>
      </c>
      <c r="DG70">
        <v>25.41475925925926</v>
      </c>
      <c r="DH70">
        <v>400.0588148148148</v>
      </c>
      <c r="DI70">
        <v>90.4021</v>
      </c>
      <c r="DJ70">
        <v>0.09992115185185185</v>
      </c>
      <c r="DK70">
        <v>31.54800740740741</v>
      </c>
      <c r="DL70">
        <v>30.10156296296296</v>
      </c>
      <c r="DM70">
        <v>999.9000000000001</v>
      </c>
      <c r="DN70">
        <v>0</v>
      </c>
      <c r="DO70">
        <v>0</v>
      </c>
      <c r="DP70">
        <v>10014.4</v>
      </c>
      <c r="DQ70">
        <v>0</v>
      </c>
      <c r="DR70">
        <v>384.0726296296296</v>
      </c>
      <c r="DS70">
        <v>-66.90697777777778</v>
      </c>
      <c r="DT70">
        <v>404.7155925925925</v>
      </c>
      <c r="DU70">
        <v>466.6007777777778</v>
      </c>
      <c r="DV70">
        <v>14.14214074074074</v>
      </c>
      <c r="DW70">
        <v>461.3141481481481</v>
      </c>
      <c r="DX70">
        <v>11.32817407407407</v>
      </c>
      <c r="DY70">
        <v>2.302567777777778</v>
      </c>
      <c r="DZ70">
        <v>1.02408962962963</v>
      </c>
      <c r="EA70">
        <v>19.69437407407408</v>
      </c>
      <c r="EB70">
        <v>7.263513703703704</v>
      </c>
      <c r="EC70">
        <v>1499.992962962963</v>
      </c>
      <c r="ED70">
        <v>0.9730031111111113</v>
      </c>
      <c r="EE70">
        <v>0.02699692222222223</v>
      </c>
      <c r="EF70">
        <v>0</v>
      </c>
      <c r="EG70">
        <v>1087.315925925926</v>
      </c>
      <c r="EH70">
        <v>5.00097</v>
      </c>
      <c r="EI70">
        <v>17186.17777777778</v>
      </c>
      <c r="EJ70">
        <v>12491.54814814815</v>
      </c>
      <c r="EK70">
        <v>39.625</v>
      </c>
      <c r="EL70">
        <v>41.125</v>
      </c>
      <c r="EM70">
        <v>39.82366666666667</v>
      </c>
      <c r="EN70">
        <v>40.93699999999999</v>
      </c>
      <c r="EO70">
        <v>40.81433333333333</v>
      </c>
      <c r="EP70">
        <v>1454.632592592593</v>
      </c>
      <c r="EQ70">
        <v>40.36037037037037</v>
      </c>
      <c r="ER70">
        <v>0</v>
      </c>
      <c r="ES70">
        <v>586</v>
      </c>
      <c r="ET70">
        <v>0</v>
      </c>
      <c r="EU70">
        <v>1087.6484</v>
      </c>
      <c r="EV70">
        <v>74.4038460554752</v>
      </c>
      <c r="EW70">
        <v>1596.976920947778</v>
      </c>
      <c r="EX70">
        <v>17193.524</v>
      </c>
      <c r="EY70">
        <v>15</v>
      </c>
      <c r="EZ70">
        <v>1652371289.6</v>
      </c>
      <c r="FA70" t="s">
        <v>515</v>
      </c>
      <c r="FB70">
        <v>1652371289.6</v>
      </c>
      <c r="FC70">
        <v>1652371275.1</v>
      </c>
      <c r="FD70">
        <v>24</v>
      </c>
      <c r="FE70">
        <v>0.442</v>
      </c>
      <c r="FF70">
        <v>0.001</v>
      </c>
      <c r="FG70">
        <v>-2.63</v>
      </c>
      <c r="FH70">
        <v>0.007</v>
      </c>
      <c r="FI70">
        <v>1620</v>
      </c>
      <c r="FJ70">
        <v>22</v>
      </c>
      <c r="FK70">
        <v>0.08</v>
      </c>
      <c r="FL70">
        <v>0.04</v>
      </c>
      <c r="FM70">
        <v>-63.0433925</v>
      </c>
      <c r="FN70">
        <v>-67.59602814258903</v>
      </c>
      <c r="FO70">
        <v>6.586334730879821</v>
      </c>
      <c r="FP70">
        <v>-1</v>
      </c>
      <c r="FQ70">
        <v>14.1599775</v>
      </c>
      <c r="FR70">
        <v>-0.4147013133208161</v>
      </c>
      <c r="FS70">
        <v>0.04529791103075271</v>
      </c>
      <c r="FT70">
        <v>1</v>
      </c>
      <c r="FU70">
        <v>0</v>
      </c>
      <c r="FV70">
        <v>0</v>
      </c>
      <c r="FW70">
        <v>0</v>
      </c>
      <c r="FX70">
        <v>-1</v>
      </c>
      <c r="FY70">
        <v>1</v>
      </c>
      <c r="FZ70">
        <v>1</v>
      </c>
      <c r="GA70" t="s">
        <v>420</v>
      </c>
      <c r="GB70">
        <v>2.69591</v>
      </c>
      <c r="GC70">
        <v>2.70516</v>
      </c>
      <c r="GD70">
        <v>0.0923588</v>
      </c>
      <c r="GE70">
        <v>0.103232</v>
      </c>
      <c r="GF70">
        <v>0.110659</v>
      </c>
      <c r="GG70">
        <v>0.0612724</v>
      </c>
      <c r="GH70">
        <v>28548.4</v>
      </c>
      <c r="GI70">
        <v>28329.4</v>
      </c>
      <c r="GJ70">
        <v>29257.5</v>
      </c>
      <c r="GK70">
        <v>29232</v>
      </c>
      <c r="GL70">
        <v>34446.8</v>
      </c>
      <c r="GM70">
        <v>36533.2</v>
      </c>
      <c r="GN70">
        <v>41178.6</v>
      </c>
      <c r="GO70">
        <v>41707.9</v>
      </c>
      <c r="GP70">
        <v>1.72955</v>
      </c>
      <c r="GQ70">
        <v>2.0284</v>
      </c>
      <c r="GR70">
        <v>0.06508079999999999</v>
      </c>
      <c r="GS70">
        <v>0</v>
      </c>
      <c r="GT70">
        <v>29.0607</v>
      </c>
      <c r="GU70">
        <v>999.9</v>
      </c>
      <c r="GV70">
        <v>44.3</v>
      </c>
      <c r="GW70">
        <v>32.7</v>
      </c>
      <c r="GX70">
        <v>24.3407</v>
      </c>
      <c r="GY70">
        <v>63.3679</v>
      </c>
      <c r="GZ70">
        <v>30.012</v>
      </c>
      <c r="HA70">
        <v>1</v>
      </c>
      <c r="HB70">
        <v>0.235938</v>
      </c>
      <c r="HC70">
        <v>0.257342</v>
      </c>
      <c r="HD70">
        <v>20.3814</v>
      </c>
      <c r="HE70">
        <v>5.21684</v>
      </c>
      <c r="HF70">
        <v>12.0099</v>
      </c>
      <c r="HG70">
        <v>4.9876</v>
      </c>
      <c r="HH70">
        <v>3.28838</v>
      </c>
      <c r="HI70">
        <v>2710.5</v>
      </c>
      <c r="HJ70">
        <v>9999</v>
      </c>
      <c r="HK70">
        <v>9999</v>
      </c>
      <c r="HL70">
        <v>49.9</v>
      </c>
      <c r="HM70">
        <v>1.86721</v>
      </c>
      <c r="HN70">
        <v>1.86616</v>
      </c>
      <c r="HO70">
        <v>1.86573</v>
      </c>
      <c r="HP70">
        <v>1.86567</v>
      </c>
      <c r="HQ70">
        <v>1.86738</v>
      </c>
      <c r="HR70">
        <v>1.86996</v>
      </c>
      <c r="HS70">
        <v>1.86859</v>
      </c>
      <c r="HT70">
        <v>1.86996</v>
      </c>
      <c r="HU70">
        <v>0</v>
      </c>
      <c r="HV70">
        <v>0</v>
      </c>
      <c r="HW70">
        <v>0</v>
      </c>
      <c r="HX70">
        <v>0</v>
      </c>
      <c r="HY70" t="s">
        <v>421</v>
      </c>
      <c r="HZ70" t="s">
        <v>422</v>
      </c>
      <c r="IA70" t="s">
        <v>423</v>
      </c>
      <c r="IB70" t="s">
        <v>423</v>
      </c>
      <c r="IC70" t="s">
        <v>423</v>
      </c>
      <c r="ID70" t="s">
        <v>423</v>
      </c>
      <c r="IE70">
        <v>0</v>
      </c>
      <c r="IF70">
        <v>100</v>
      </c>
      <c r="IG70">
        <v>100</v>
      </c>
      <c r="IH70">
        <v>0.32</v>
      </c>
      <c r="II70">
        <v>0.0559</v>
      </c>
      <c r="IJ70">
        <v>1.257309091789605</v>
      </c>
      <c r="IK70">
        <v>-0.002185601614162945</v>
      </c>
      <c r="IL70">
        <v>-2.252308143750626E-07</v>
      </c>
      <c r="IM70">
        <v>5.915558436307541E-11</v>
      </c>
      <c r="IN70">
        <v>-0.118683452207699</v>
      </c>
      <c r="IO70">
        <v>-0.007570214193104963</v>
      </c>
      <c r="IP70">
        <v>0.0009214429922928372</v>
      </c>
      <c r="IQ70">
        <v>-1.392260276065805E-05</v>
      </c>
      <c r="IR70">
        <v>17</v>
      </c>
      <c r="IS70">
        <v>2272</v>
      </c>
      <c r="IT70">
        <v>1</v>
      </c>
      <c r="IU70">
        <v>31</v>
      </c>
      <c r="IV70">
        <v>7.7</v>
      </c>
      <c r="IW70">
        <v>8</v>
      </c>
      <c r="IX70">
        <v>1.20117</v>
      </c>
      <c r="IY70">
        <v>2.22534</v>
      </c>
      <c r="IZ70">
        <v>1.39648</v>
      </c>
      <c r="JA70">
        <v>2.35352</v>
      </c>
      <c r="JB70">
        <v>1.49536</v>
      </c>
      <c r="JC70">
        <v>2.35962</v>
      </c>
      <c r="JD70">
        <v>36.0816</v>
      </c>
      <c r="JE70">
        <v>15.3841</v>
      </c>
      <c r="JF70">
        <v>18</v>
      </c>
      <c r="JG70">
        <v>389.623</v>
      </c>
      <c r="JH70">
        <v>563.01</v>
      </c>
      <c r="JI70">
        <v>30.9221</v>
      </c>
      <c r="JJ70">
        <v>30.4962</v>
      </c>
      <c r="JK70">
        <v>30.0004</v>
      </c>
      <c r="JL70">
        <v>30.382</v>
      </c>
      <c r="JM70">
        <v>30.2765</v>
      </c>
      <c r="JN70">
        <v>24.0523</v>
      </c>
      <c r="JO70">
        <v>47.9838</v>
      </c>
      <c r="JP70">
        <v>0</v>
      </c>
      <c r="JQ70">
        <v>30.8305</v>
      </c>
      <c r="JR70">
        <v>506.898</v>
      </c>
      <c r="JS70">
        <v>11.5291</v>
      </c>
      <c r="JT70">
        <v>100.004</v>
      </c>
      <c r="JU70">
        <v>100.117</v>
      </c>
    </row>
    <row r="71" spans="1:281">
      <c r="A71">
        <v>55</v>
      </c>
      <c r="B71">
        <v>1652371757.1</v>
      </c>
      <c r="C71">
        <v>3663.5</v>
      </c>
      <c r="D71" t="s">
        <v>577</v>
      </c>
      <c r="E71" t="s">
        <v>578</v>
      </c>
      <c r="F71">
        <v>5</v>
      </c>
      <c r="G71" t="s">
        <v>518</v>
      </c>
      <c r="H71" t="s">
        <v>414</v>
      </c>
      <c r="I71">
        <v>1652371749.314285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495.7467412338589</v>
      </c>
      <c r="AK71">
        <v>437.7679636363636</v>
      </c>
      <c r="AL71">
        <v>2.978418339861588</v>
      </c>
      <c r="AM71">
        <v>65.95105977519088</v>
      </c>
      <c r="AN71">
        <f>(AP71 - AO71 + DI71*1E3/(8.314*(DK71+273.15)) * AR71/DH71 * AQ71) * DH71/(100*CV71) * 1000/(1000 - AP71)</f>
        <v>0</v>
      </c>
      <c r="AO71">
        <v>11.4350330327442</v>
      </c>
      <c r="AP71">
        <v>25.52046433566434</v>
      </c>
      <c r="AQ71">
        <v>0.001763814201696917</v>
      </c>
      <c r="AR71">
        <v>81.26040297655408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417</v>
      </c>
      <c r="AY71" t="s">
        <v>417</v>
      </c>
      <c r="AZ71">
        <v>0</v>
      </c>
      <c r="BA71">
        <v>0</v>
      </c>
      <c r="BB71">
        <f>1-AZ71/BA71</f>
        <v>0</v>
      </c>
      <c r="BC71">
        <v>0</v>
      </c>
      <c r="BD71" t="s">
        <v>417</v>
      </c>
      <c r="BE71" t="s">
        <v>417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1393</v>
      </c>
      <c r="CA71">
        <v>300</v>
      </c>
      <c r="CB71">
        <v>300</v>
      </c>
      <c r="CC71">
        <v>300</v>
      </c>
      <c r="CD71">
        <v>10378</v>
      </c>
      <c r="CE71">
        <v>2050</v>
      </c>
      <c r="CF71">
        <v>-0.00730649</v>
      </c>
      <c r="CG71">
        <v>-4.53</v>
      </c>
      <c r="CH71" t="s">
        <v>417</v>
      </c>
      <c r="CI71" t="s">
        <v>417</v>
      </c>
      <c r="CJ71" t="s">
        <v>417</v>
      </c>
      <c r="CK71" t="s">
        <v>417</v>
      </c>
      <c r="CL71" t="s">
        <v>417</v>
      </c>
      <c r="CM71" t="s">
        <v>417</v>
      </c>
      <c r="CN71" t="s">
        <v>417</v>
      </c>
      <c r="CO71" t="s">
        <v>417</v>
      </c>
      <c r="CP71" t="s">
        <v>417</v>
      </c>
      <c r="CQ71" t="s">
        <v>417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418</v>
      </c>
      <c r="CY71">
        <v>2</v>
      </c>
      <c r="CZ71" t="b">
        <v>1</v>
      </c>
      <c r="DA71">
        <v>1652371749.314285</v>
      </c>
      <c r="DB71">
        <v>406.3219285714286</v>
      </c>
      <c r="DC71">
        <v>476.94925</v>
      </c>
      <c r="DD71">
        <v>25.48653571428571</v>
      </c>
      <c r="DE71">
        <v>11.38561071428571</v>
      </c>
      <c r="DF71">
        <v>405.9851785714286</v>
      </c>
      <c r="DG71">
        <v>25.43079285714285</v>
      </c>
      <c r="DH71">
        <v>400.0845357142857</v>
      </c>
      <c r="DI71">
        <v>90.40299999999999</v>
      </c>
      <c r="DJ71">
        <v>0.1000124964285714</v>
      </c>
      <c r="DK71">
        <v>31.54767857142857</v>
      </c>
      <c r="DL71">
        <v>30.11273571428572</v>
      </c>
      <c r="DM71">
        <v>999.9000000000002</v>
      </c>
      <c r="DN71">
        <v>0</v>
      </c>
      <c r="DO71">
        <v>0</v>
      </c>
      <c r="DP71">
        <v>10004.50785714286</v>
      </c>
      <c r="DQ71">
        <v>0</v>
      </c>
      <c r="DR71">
        <v>394.3956071428572</v>
      </c>
      <c r="DS71">
        <v>-70.62726428571429</v>
      </c>
      <c r="DT71">
        <v>416.9489285714286</v>
      </c>
      <c r="DU71">
        <v>482.4430357142857</v>
      </c>
      <c r="DV71">
        <v>14.10093214285714</v>
      </c>
      <c r="DW71">
        <v>476.94925</v>
      </c>
      <c r="DX71">
        <v>11.38561071428571</v>
      </c>
      <c r="DY71">
        <v>2.304058928571429</v>
      </c>
      <c r="DZ71">
        <v>1.029292857142857</v>
      </c>
      <c r="EA71">
        <v>19.7048</v>
      </c>
      <c r="EB71">
        <v>7.3375975</v>
      </c>
      <c r="EC71">
        <v>1499.985</v>
      </c>
      <c r="ED71">
        <v>0.9730027142857145</v>
      </c>
      <c r="EE71">
        <v>0.02699734285714286</v>
      </c>
      <c r="EF71">
        <v>0</v>
      </c>
      <c r="EG71">
        <v>1093.781428571429</v>
      </c>
      <c r="EH71">
        <v>5.00097</v>
      </c>
      <c r="EI71">
        <v>17323.44285714286</v>
      </c>
      <c r="EJ71">
        <v>12491.475</v>
      </c>
      <c r="EK71">
        <v>39.625</v>
      </c>
      <c r="EL71">
        <v>41.125</v>
      </c>
      <c r="EM71">
        <v>39.82774999999999</v>
      </c>
      <c r="EN71">
        <v>40.93699999999999</v>
      </c>
      <c r="EO71">
        <v>40.81424999999999</v>
      </c>
      <c r="EP71">
        <v>1454.624642857143</v>
      </c>
      <c r="EQ71">
        <v>40.36035714285713</v>
      </c>
      <c r="ER71">
        <v>0</v>
      </c>
      <c r="ES71">
        <v>591.3999998569489</v>
      </c>
      <c r="ET71">
        <v>0</v>
      </c>
      <c r="EU71">
        <v>1094.722307692308</v>
      </c>
      <c r="EV71">
        <v>91.49743595756905</v>
      </c>
      <c r="EW71">
        <v>1894.717950255803</v>
      </c>
      <c r="EX71">
        <v>17343.12692307692</v>
      </c>
      <c r="EY71">
        <v>15</v>
      </c>
      <c r="EZ71">
        <v>1652371289.6</v>
      </c>
      <c r="FA71" t="s">
        <v>515</v>
      </c>
      <c r="FB71">
        <v>1652371289.6</v>
      </c>
      <c r="FC71">
        <v>1652371275.1</v>
      </c>
      <c r="FD71">
        <v>24</v>
      </c>
      <c r="FE71">
        <v>0.442</v>
      </c>
      <c r="FF71">
        <v>0.001</v>
      </c>
      <c r="FG71">
        <v>-2.63</v>
      </c>
      <c r="FH71">
        <v>0.007</v>
      </c>
      <c r="FI71">
        <v>1620</v>
      </c>
      <c r="FJ71">
        <v>22</v>
      </c>
      <c r="FK71">
        <v>0.08</v>
      </c>
      <c r="FL71">
        <v>0.04</v>
      </c>
      <c r="FM71">
        <v>-68.19883414634147</v>
      </c>
      <c r="FN71">
        <v>-48.91728292682936</v>
      </c>
      <c r="FO71">
        <v>4.896258746879603</v>
      </c>
      <c r="FP71">
        <v>-1</v>
      </c>
      <c r="FQ71">
        <v>14.12595365853658</v>
      </c>
      <c r="FR71">
        <v>-0.5282006968640616</v>
      </c>
      <c r="FS71">
        <v>0.05467024917769888</v>
      </c>
      <c r="FT71">
        <v>0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1</v>
      </c>
      <c r="GA71" t="s">
        <v>432</v>
      </c>
      <c r="GB71">
        <v>2.69597</v>
      </c>
      <c r="GC71">
        <v>2.7051</v>
      </c>
      <c r="GD71">
        <v>0.094822</v>
      </c>
      <c r="GE71">
        <v>0.10586</v>
      </c>
      <c r="GF71">
        <v>0.110725</v>
      </c>
      <c r="GG71">
        <v>0.0613474</v>
      </c>
      <c r="GH71">
        <v>28471.3</v>
      </c>
      <c r="GI71">
        <v>28245.7</v>
      </c>
      <c r="GJ71">
        <v>29258</v>
      </c>
      <c r="GK71">
        <v>29231.4</v>
      </c>
      <c r="GL71">
        <v>34445</v>
      </c>
      <c r="GM71">
        <v>36529.3</v>
      </c>
      <c r="GN71">
        <v>41179.4</v>
      </c>
      <c r="GO71">
        <v>41706.8</v>
      </c>
      <c r="GP71">
        <v>1.7294</v>
      </c>
      <c r="GQ71">
        <v>2.0289</v>
      </c>
      <c r="GR71">
        <v>0.0649691</v>
      </c>
      <c r="GS71">
        <v>0</v>
      </c>
      <c r="GT71">
        <v>29.063</v>
      </c>
      <c r="GU71">
        <v>999.9</v>
      </c>
      <c r="GV71">
        <v>44.3</v>
      </c>
      <c r="GW71">
        <v>32.7</v>
      </c>
      <c r="GX71">
        <v>24.3434</v>
      </c>
      <c r="GY71">
        <v>63.1679</v>
      </c>
      <c r="GZ71">
        <v>29.6154</v>
      </c>
      <c r="HA71">
        <v>1</v>
      </c>
      <c r="HB71">
        <v>0.236293</v>
      </c>
      <c r="HC71">
        <v>0.355983</v>
      </c>
      <c r="HD71">
        <v>20.381</v>
      </c>
      <c r="HE71">
        <v>5.21714</v>
      </c>
      <c r="HF71">
        <v>12.0099</v>
      </c>
      <c r="HG71">
        <v>4.98785</v>
      </c>
      <c r="HH71">
        <v>3.28825</v>
      </c>
      <c r="HI71">
        <v>2710.5</v>
      </c>
      <c r="HJ71">
        <v>9999</v>
      </c>
      <c r="HK71">
        <v>9999</v>
      </c>
      <c r="HL71">
        <v>49.9</v>
      </c>
      <c r="HM71">
        <v>1.86721</v>
      </c>
      <c r="HN71">
        <v>1.86616</v>
      </c>
      <c r="HO71">
        <v>1.86572</v>
      </c>
      <c r="HP71">
        <v>1.86568</v>
      </c>
      <c r="HQ71">
        <v>1.86737</v>
      </c>
      <c r="HR71">
        <v>1.86998</v>
      </c>
      <c r="HS71">
        <v>1.86859</v>
      </c>
      <c r="HT71">
        <v>1.87</v>
      </c>
      <c r="HU71">
        <v>0</v>
      </c>
      <c r="HV71">
        <v>0</v>
      </c>
      <c r="HW71">
        <v>0</v>
      </c>
      <c r="HX71">
        <v>0</v>
      </c>
      <c r="HY71" t="s">
        <v>421</v>
      </c>
      <c r="HZ71" t="s">
        <v>422</v>
      </c>
      <c r="IA71" t="s">
        <v>423</v>
      </c>
      <c r="IB71" t="s">
        <v>423</v>
      </c>
      <c r="IC71" t="s">
        <v>423</v>
      </c>
      <c r="ID71" t="s">
        <v>423</v>
      </c>
      <c r="IE71">
        <v>0</v>
      </c>
      <c r="IF71">
        <v>100</v>
      </c>
      <c r="IG71">
        <v>100</v>
      </c>
      <c r="IH71">
        <v>0.286</v>
      </c>
      <c r="II71">
        <v>0.0562</v>
      </c>
      <c r="IJ71">
        <v>1.257309091789605</v>
      </c>
      <c r="IK71">
        <v>-0.002185601614162945</v>
      </c>
      <c r="IL71">
        <v>-2.252308143750626E-07</v>
      </c>
      <c r="IM71">
        <v>5.915558436307541E-11</v>
      </c>
      <c r="IN71">
        <v>-0.118683452207699</v>
      </c>
      <c r="IO71">
        <v>-0.007570214193104963</v>
      </c>
      <c r="IP71">
        <v>0.0009214429922928372</v>
      </c>
      <c r="IQ71">
        <v>-1.392260276065805E-05</v>
      </c>
      <c r="IR71">
        <v>17</v>
      </c>
      <c r="IS71">
        <v>2272</v>
      </c>
      <c r="IT71">
        <v>1</v>
      </c>
      <c r="IU71">
        <v>31</v>
      </c>
      <c r="IV71">
        <v>7.8</v>
      </c>
      <c r="IW71">
        <v>8</v>
      </c>
      <c r="IX71">
        <v>1.22925</v>
      </c>
      <c r="IY71">
        <v>2.229</v>
      </c>
      <c r="IZ71">
        <v>1.39648</v>
      </c>
      <c r="JA71">
        <v>2.35229</v>
      </c>
      <c r="JB71">
        <v>1.49536</v>
      </c>
      <c r="JC71">
        <v>2.2876</v>
      </c>
      <c r="JD71">
        <v>36.0816</v>
      </c>
      <c r="JE71">
        <v>15.3754</v>
      </c>
      <c r="JF71">
        <v>18</v>
      </c>
      <c r="JG71">
        <v>389.561</v>
      </c>
      <c r="JH71">
        <v>563.409</v>
      </c>
      <c r="JI71">
        <v>30.7936</v>
      </c>
      <c r="JJ71">
        <v>30.4992</v>
      </c>
      <c r="JK71">
        <v>30.0003</v>
      </c>
      <c r="JL71">
        <v>30.3851</v>
      </c>
      <c r="JM71">
        <v>30.2791</v>
      </c>
      <c r="JN71">
        <v>24.7201</v>
      </c>
      <c r="JO71">
        <v>47.7039</v>
      </c>
      <c r="JP71">
        <v>0</v>
      </c>
      <c r="JQ71">
        <v>30.7124</v>
      </c>
      <c r="JR71">
        <v>526.944</v>
      </c>
      <c r="JS71">
        <v>11.5579</v>
      </c>
      <c r="JT71">
        <v>100.006</v>
      </c>
      <c r="JU71">
        <v>100.114</v>
      </c>
    </row>
    <row r="72" spans="1:281">
      <c r="A72">
        <v>56</v>
      </c>
      <c r="B72">
        <v>1652371762.1</v>
      </c>
      <c r="C72">
        <v>3668.5</v>
      </c>
      <c r="D72" t="s">
        <v>579</v>
      </c>
      <c r="E72" t="s">
        <v>580</v>
      </c>
      <c r="F72">
        <v>5</v>
      </c>
      <c r="G72" t="s">
        <v>518</v>
      </c>
      <c r="H72" t="s">
        <v>414</v>
      </c>
      <c r="I72">
        <v>1652371754.6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512.929949520475</v>
      </c>
      <c r="AK72">
        <v>453.2305454545453</v>
      </c>
      <c r="AL72">
        <v>3.100244442158612</v>
      </c>
      <c r="AM72">
        <v>65.95105977519088</v>
      </c>
      <c r="AN72">
        <f>(AP72 - AO72 + DI72*1E3/(8.314*(DK72+273.15)) * AR72/DH72 * AQ72) * DH72/(100*CV72) * 1000/(1000 - AP72)</f>
        <v>0</v>
      </c>
      <c r="AO72">
        <v>11.45518141148755</v>
      </c>
      <c r="AP72">
        <v>25.52375454545457</v>
      </c>
      <c r="AQ72">
        <v>0.000891644760437787</v>
      </c>
      <c r="AR72">
        <v>81.26040297655408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417</v>
      </c>
      <c r="AY72" t="s">
        <v>417</v>
      </c>
      <c r="AZ72">
        <v>0</v>
      </c>
      <c r="BA72">
        <v>0</v>
      </c>
      <c r="BB72">
        <f>1-AZ72/BA72</f>
        <v>0</v>
      </c>
      <c r="BC72">
        <v>0</v>
      </c>
      <c r="BD72" t="s">
        <v>417</v>
      </c>
      <c r="BE72" t="s">
        <v>417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1393</v>
      </c>
      <c r="CA72">
        <v>300</v>
      </c>
      <c r="CB72">
        <v>300</v>
      </c>
      <c r="CC72">
        <v>300</v>
      </c>
      <c r="CD72">
        <v>10378</v>
      </c>
      <c r="CE72">
        <v>2050</v>
      </c>
      <c r="CF72">
        <v>-0.00730649</v>
      </c>
      <c r="CG72">
        <v>-4.53</v>
      </c>
      <c r="CH72" t="s">
        <v>417</v>
      </c>
      <c r="CI72" t="s">
        <v>417</v>
      </c>
      <c r="CJ72" t="s">
        <v>417</v>
      </c>
      <c r="CK72" t="s">
        <v>417</v>
      </c>
      <c r="CL72" t="s">
        <v>417</v>
      </c>
      <c r="CM72" t="s">
        <v>417</v>
      </c>
      <c r="CN72" t="s">
        <v>417</v>
      </c>
      <c r="CO72" t="s">
        <v>417</v>
      </c>
      <c r="CP72" t="s">
        <v>417</v>
      </c>
      <c r="CQ72" t="s">
        <v>417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418</v>
      </c>
      <c r="CY72">
        <v>2</v>
      </c>
      <c r="CZ72" t="b">
        <v>1</v>
      </c>
      <c r="DA72">
        <v>1652371754.6</v>
      </c>
      <c r="DB72">
        <v>420.9940370370371</v>
      </c>
      <c r="DC72">
        <v>494.7007037037037</v>
      </c>
      <c r="DD72">
        <v>25.50732962962963</v>
      </c>
      <c r="DE72">
        <v>11.44850740740741</v>
      </c>
      <c r="DF72">
        <v>420.6917407407408</v>
      </c>
      <c r="DG72">
        <v>25.45133703703703</v>
      </c>
      <c r="DH72">
        <v>400.0965185185186</v>
      </c>
      <c r="DI72">
        <v>90.4037851851852</v>
      </c>
      <c r="DJ72">
        <v>0.1000234037037037</v>
      </c>
      <c r="DK72">
        <v>31.54116296296296</v>
      </c>
      <c r="DL72">
        <v>30.11915555555556</v>
      </c>
      <c r="DM72">
        <v>999.9000000000001</v>
      </c>
      <c r="DN72">
        <v>0</v>
      </c>
      <c r="DO72">
        <v>0</v>
      </c>
      <c r="DP72">
        <v>10003.13037037037</v>
      </c>
      <c r="DQ72">
        <v>0</v>
      </c>
      <c r="DR72">
        <v>404.9800740740741</v>
      </c>
      <c r="DS72">
        <v>-73.70656296296296</v>
      </c>
      <c r="DT72">
        <v>432.0138888888889</v>
      </c>
      <c r="DU72">
        <v>500.4304444444443</v>
      </c>
      <c r="DV72">
        <v>14.05883333333333</v>
      </c>
      <c r="DW72">
        <v>494.7007037037037</v>
      </c>
      <c r="DX72">
        <v>11.44850740740741</v>
      </c>
      <c r="DY72">
        <v>2.305958888888889</v>
      </c>
      <c r="DZ72">
        <v>1.034987037037037</v>
      </c>
      <c r="EA72">
        <v>19.71808148148148</v>
      </c>
      <c r="EB72">
        <v>7.418337037037038</v>
      </c>
      <c r="EC72">
        <v>1499.990740740741</v>
      </c>
      <c r="ED72">
        <v>0.9730025555555557</v>
      </c>
      <c r="EE72">
        <v>0.02699751111111111</v>
      </c>
      <c r="EF72">
        <v>0</v>
      </c>
      <c r="EG72">
        <v>1102.042222222222</v>
      </c>
      <c r="EH72">
        <v>5.00097</v>
      </c>
      <c r="EI72">
        <v>17484.8</v>
      </c>
      <c r="EJ72">
        <v>12491.52962962963</v>
      </c>
      <c r="EK72">
        <v>39.625</v>
      </c>
      <c r="EL72">
        <v>41.125</v>
      </c>
      <c r="EM72">
        <v>39.833</v>
      </c>
      <c r="EN72">
        <v>40.93699999999999</v>
      </c>
      <c r="EO72">
        <v>40.819</v>
      </c>
      <c r="EP72">
        <v>1454.63037037037</v>
      </c>
      <c r="EQ72">
        <v>40.36037037037036</v>
      </c>
      <c r="ER72">
        <v>0</v>
      </c>
      <c r="ES72">
        <v>596.1999998092651</v>
      </c>
      <c r="ET72">
        <v>0</v>
      </c>
      <c r="EU72">
        <v>1102.299230769231</v>
      </c>
      <c r="EV72">
        <v>99.79760683085865</v>
      </c>
      <c r="EW72">
        <v>1866.006837740335</v>
      </c>
      <c r="EX72">
        <v>17488.83461538461</v>
      </c>
      <c r="EY72">
        <v>15</v>
      </c>
      <c r="EZ72">
        <v>1652371289.6</v>
      </c>
      <c r="FA72" t="s">
        <v>515</v>
      </c>
      <c r="FB72">
        <v>1652371289.6</v>
      </c>
      <c r="FC72">
        <v>1652371275.1</v>
      </c>
      <c r="FD72">
        <v>24</v>
      </c>
      <c r="FE72">
        <v>0.442</v>
      </c>
      <c r="FF72">
        <v>0.001</v>
      </c>
      <c r="FG72">
        <v>-2.63</v>
      </c>
      <c r="FH72">
        <v>0.007</v>
      </c>
      <c r="FI72">
        <v>1620</v>
      </c>
      <c r="FJ72">
        <v>22</v>
      </c>
      <c r="FK72">
        <v>0.08</v>
      </c>
      <c r="FL72">
        <v>0.04</v>
      </c>
      <c r="FM72">
        <v>-71.19578536585365</v>
      </c>
      <c r="FN72">
        <v>-37.86898954703842</v>
      </c>
      <c r="FO72">
        <v>3.774419151085175</v>
      </c>
      <c r="FP72">
        <v>-1</v>
      </c>
      <c r="FQ72">
        <v>14.09537804878049</v>
      </c>
      <c r="FR72">
        <v>-0.485339372822274</v>
      </c>
      <c r="FS72">
        <v>0.05138849407233104</v>
      </c>
      <c r="FT72">
        <v>1</v>
      </c>
      <c r="FU72">
        <v>0</v>
      </c>
      <c r="FV72">
        <v>0</v>
      </c>
      <c r="FW72">
        <v>0</v>
      </c>
      <c r="FX72">
        <v>-1</v>
      </c>
      <c r="FY72">
        <v>1</v>
      </c>
      <c r="FZ72">
        <v>1</v>
      </c>
      <c r="GA72" t="s">
        <v>420</v>
      </c>
      <c r="GB72">
        <v>2.6963</v>
      </c>
      <c r="GC72">
        <v>2.70518</v>
      </c>
      <c r="GD72">
        <v>0.0973498</v>
      </c>
      <c r="GE72">
        <v>0.108412</v>
      </c>
      <c r="GF72">
        <v>0.110737</v>
      </c>
      <c r="GG72">
        <v>0.0617984</v>
      </c>
      <c r="GH72">
        <v>28391.1</v>
      </c>
      <c r="GI72">
        <v>28165.2</v>
      </c>
      <c r="GJ72">
        <v>29257.3</v>
      </c>
      <c r="GK72">
        <v>29231.5</v>
      </c>
      <c r="GL72">
        <v>34443.8</v>
      </c>
      <c r="GM72">
        <v>36512</v>
      </c>
      <c r="GN72">
        <v>41178.5</v>
      </c>
      <c r="GO72">
        <v>41707.1</v>
      </c>
      <c r="GP72">
        <v>1.72922</v>
      </c>
      <c r="GQ72">
        <v>2.02868</v>
      </c>
      <c r="GR72">
        <v>0.0643171</v>
      </c>
      <c r="GS72">
        <v>0</v>
      </c>
      <c r="GT72">
        <v>29.0645</v>
      </c>
      <c r="GU72">
        <v>999.9</v>
      </c>
      <c r="GV72">
        <v>44.3</v>
      </c>
      <c r="GW72">
        <v>32.7</v>
      </c>
      <c r="GX72">
        <v>24.3418</v>
      </c>
      <c r="GY72">
        <v>63.4779</v>
      </c>
      <c r="GZ72">
        <v>29.2027</v>
      </c>
      <c r="HA72">
        <v>1</v>
      </c>
      <c r="HB72">
        <v>0.236855</v>
      </c>
      <c r="HC72">
        <v>0.459564</v>
      </c>
      <c r="HD72">
        <v>20.3808</v>
      </c>
      <c r="HE72">
        <v>5.21609</v>
      </c>
      <c r="HF72">
        <v>12.0099</v>
      </c>
      <c r="HG72">
        <v>4.9878</v>
      </c>
      <c r="HH72">
        <v>3.2882</v>
      </c>
      <c r="HI72">
        <v>2710.8</v>
      </c>
      <c r="HJ72">
        <v>9999</v>
      </c>
      <c r="HK72">
        <v>9999</v>
      </c>
      <c r="HL72">
        <v>49.9</v>
      </c>
      <c r="HM72">
        <v>1.86721</v>
      </c>
      <c r="HN72">
        <v>1.86618</v>
      </c>
      <c r="HO72">
        <v>1.86573</v>
      </c>
      <c r="HP72">
        <v>1.86567</v>
      </c>
      <c r="HQ72">
        <v>1.86741</v>
      </c>
      <c r="HR72">
        <v>1.86997</v>
      </c>
      <c r="HS72">
        <v>1.86859</v>
      </c>
      <c r="HT72">
        <v>1.86998</v>
      </c>
      <c r="HU72">
        <v>0</v>
      </c>
      <c r="HV72">
        <v>0</v>
      </c>
      <c r="HW72">
        <v>0</v>
      </c>
      <c r="HX72">
        <v>0</v>
      </c>
      <c r="HY72" t="s">
        <v>421</v>
      </c>
      <c r="HZ72" t="s">
        <v>422</v>
      </c>
      <c r="IA72" t="s">
        <v>423</v>
      </c>
      <c r="IB72" t="s">
        <v>423</v>
      </c>
      <c r="IC72" t="s">
        <v>423</v>
      </c>
      <c r="ID72" t="s">
        <v>423</v>
      </c>
      <c r="IE72">
        <v>0</v>
      </c>
      <c r="IF72">
        <v>100</v>
      </c>
      <c r="IG72">
        <v>100</v>
      </c>
      <c r="IH72">
        <v>0.25</v>
      </c>
      <c r="II72">
        <v>0.0562</v>
      </c>
      <c r="IJ72">
        <v>1.257309091789605</v>
      </c>
      <c r="IK72">
        <v>-0.002185601614162945</v>
      </c>
      <c r="IL72">
        <v>-2.252308143750626E-07</v>
      </c>
      <c r="IM72">
        <v>5.915558436307541E-11</v>
      </c>
      <c r="IN72">
        <v>-0.118683452207699</v>
      </c>
      <c r="IO72">
        <v>-0.007570214193104963</v>
      </c>
      <c r="IP72">
        <v>0.0009214429922928372</v>
      </c>
      <c r="IQ72">
        <v>-1.392260276065805E-05</v>
      </c>
      <c r="IR72">
        <v>17</v>
      </c>
      <c r="IS72">
        <v>2272</v>
      </c>
      <c r="IT72">
        <v>1</v>
      </c>
      <c r="IU72">
        <v>31</v>
      </c>
      <c r="IV72">
        <v>7.9</v>
      </c>
      <c r="IW72">
        <v>8.1</v>
      </c>
      <c r="IX72">
        <v>1.26343</v>
      </c>
      <c r="IY72">
        <v>2.23267</v>
      </c>
      <c r="IZ72">
        <v>1.39648</v>
      </c>
      <c r="JA72">
        <v>2.35352</v>
      </c>
      <c r="JB72">
        <v>1.49536</v>
      </c>
      <c r="JC72">
        <v>2.30347</v>
      </c>
      <c r="JD72">
        <v>36.0816</v>
      </c>
      <c r="JE72">
        <v>15.3666</v>
      </c>
      <c r="JF72">
        <v>18</v>
      </c>
      <c r="JG72">
        <v>389.484</v>
      </c>
      <c r="JH72">
        <v>563.2670000000001</v>
      </c>
      <c r="JI72">
        <v>30.6559</v>
      </c>
      <c r="JJ72">
        <v>30.5021</v>
      </c>
      <c r="JK72">
        <v>30.0003</v>
      </c>
      <c r="JL72">
        <v>30.3879</v>
      </c>
      <c r="JM72">
        <v>30.2819</v>
      </c>
      <c r="JN72">
        <v>25.3305</v>
      </c>
      <c r="JO72">
        <v>47.7039</v>
      </c>
      <c r="JP72">
        <v>0</v>
      </c>
      <c r="JQ72">
        <v>30.5885</v>
      </c>
      <c r="JR72">
        <v>540.401</v>
      </c>
      <c r="JS72">
        <v>11.5974</v>
      </c>
      <c r="JT72">
        <v>100.004</v>
      </c>
      <c r="JU72">
        <v>100.115</v>
      </c>
    </row>
    <row r="73" spans="1:281">
      <c r="A73">
        <v>57</v>
      </c>
      <c r="B73">
        <v>1652371767.1</v>
      </c>
      <c r="C73">
        <v>3673.5</v>
      </c>
      <c r="D73" t="s">
        <v>581</v>
      </c>
      <c r="E73" t="s">
        <v>582</v>
      </c>
      <c r="F73">
        <v>5</v>
      </c>
      <c r="G73" t="s">
        <v>518</v>
      </c>
      <c r="H73" t="s">
        <v>414</v>
      </c>
      <c r="I73">
        <v>1652371759.314285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529.9406285884871</v>
      </c>
      <c r="AK73">
        <v>468.8867090909094</v>
      </c>
      <c r="AL73">
        <v>3.133871067719809</v>
      </c>
      <c r="AM73">
        <v>65.95105977519088</v>
      </c>
      <c r="AN73">
        <f>(AP73 - AO73 + DI73*1E3/(8.314*(DK73+273.15)) * AR73/DH73 * AQ73) * DH73/(100*CV73) * 1000/(1000 - AP73)</f>
        <v>0</v>
      </c>
      <c r="AO73">
        <v>11.5669064986053</v>
      </c>
      <c r="AP73">
        <v>25.55439160839162</v>
      </c>
      <c r="AQ73">
        <v>0.006518384500862418</v>
      </c>
      <c r="AR73">
        <v>81.26040297655408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417</v>
      </c>
      <c r="AY73" t="s">
        <v>417</v>
      </c>
      <c r="AZ73">
        <v>0</v>
      </c>
      <c r="BA73">
        <v>0</v>
      </c>
      <c r="BB73">
        <f>1-AZ73/BA73</f>
        <v>0</v>
      </c>
      <c r="BC73">
        <v>0</v>
      </c>
      <c r="BD73" t="s">
        <v>417</v>
      </c>
      <c r="BE73" t="s">
        <v>417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1393</v>
      </c>
      <c r="CA73">
        <v>300</v>
      </c>
      <c r="CB73">
        <v>300</v>
      </c>
      <c r="CC73">
        <v>300</v>
      </c>
      <c r="CD73">
        <v>10378</v>
      </c>
      <c r="CE73">
        <v>2050</v>
      </c>
      <c r="CF73">
        <v>-0.00730649</v>
      </c>
      <c r="CG73">
        <v>-4.53</v>
      </c>
      <c r="CH73" t="s">
        <v>417</v>
      </c>
      <c r="CI73" t="s">
        <v>417</v>
      </c>
      <c r="CJ73" t="s">
        <v>417</v>
      </c>
      <c r="CK73" t="s">
        <v>417</v>
      </c>
      <c r="CL73" t="s">
        <v>417</v>
      </c>
      <c r="CM73" t="s">
        <v>417</v>
      </c>
      <c r="CN73" t="s">
        <v>417</v>
      </c>
      <c r="CO73" t="s">
        <v>417</v>
      </c>
      <c r="CP73" t="s">
        <v>417</v>
      </c>
      <c r="CQ73" t="s">
        <v>417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418</v>
      </c>
      <c r="CY73">
        <v>2</v>
      </c>
      <c r="CZ73" t="b">
        <v>1</v>
      </c>
      <c r="DA73">
        <v>1652371759.314285</v>
      </c>
      <c r="DB73">
        <v>434.8727857142858</v>
      </c>
      <c r="DC73">
        <v>510.6755714285714</v>
      </c>
      <c r="DD73">
        <v>25.52431071428571</v>
      </c>
      <c r="DE73">
        <v>11.50702142857143</v>
      </c>
      <c r="DF73">
        <v>434.6032500000001</v>
      </c>
      <c r="DG73">
        <v>25.46810714285714</v>
      </c>
      <c r="DH73">
        <v>400.0724642857143</v>
      </c>
      <c r="DI73">
        <v>90.40413928571431</v>
      </c>
      <c r="DJ73">
        <v>0.1000514428571428</v>
      </c>
      <c r="DK73">
        <v>31.53135</v>
      </c>
      <c r="DL73">
        <v>30.11854642857142</v>
      </c>
      <c r="DM73">
        <v>999.9000000000002</v>
      </c>
      <c r="DN73">
        <v>0</v>
      </c>
      <c r="DO73">
        <v>0</v>
      </c>
      <c r="DP73">
        <v>9992.1675</v>
      </c>
      <c r="DQ73">
        <v>0</v>
      </c>
      <c r="DR73">
        <v>413.1391785714285</v>
      </c>
      <c r="DS73">
        <v>-75.80262142857143</v>
      </c>
      <c r="DT73">
        <v>446.2637142857143</v>
      </c>
      <c r="DU73">
        <v>516.6210714285714</v>
      </c>
      <c r="DV73">
        <v>14.01729285714286</v>
      </c>
      <c r="DW73">
        <v>510.6755714285714</v>
      </c>
      <c r="DX73">
        <v>11.50702142857143</v>
      </c>
      <c r="DY73">
        <v>2.307503214285714</v>
      </c>
      <c r="DZ73">
        <v>1.040281428571429</v>
      </c>
      <c r="EA73">
        <v>19.728875</v>
      </c>
      <c r="EB73">
        <v>7.49292892857143</v>
      </c>
      <c r="EC73">
        <v>1500.001071428571</v>
      </c>
      <c r="ED73">
        <v>0.9730025357142859</v>
      </c>
      <c r="EE73">
        <v>0.02699753214285714</v>
      </c>
      <c r="EF73">
        <v>0</v>
      </c>
      <c r="EG73">
        <v>1109.693928571429</v>
      </c>
      <c r="EH73">
        <v>5.00097</v>
      </c>
      <c r="EI73">
        <v>17619.26428571428</v>
      </c>
      <c r="EJ73">
        <v>12491.61428571428</v>
      </c>
      <c r="EK73">
        <v>39.625</v>
      </c>
      <c r="EL73">
        <v>41.125</v>
      </c>
      <c r="EM73">
        <v>39.83674999999999</v>
      </c>
      <c r="EN73">
        <v>40.93699999999999</v>
      </c>
      <c r="EO73">
        <v>40.83224999999999</v>
      </c>
      <c r="EP73">
        <v>1454.640714285714</v>
      </c>
      <c r="EQ73">
        <v>40.36035714285714</v>
      </c>
      <c r="ER73">
        <v>0</v>
      </c>
      <c r="ES73">
        <v>601</v>
      </c>
      <c r="ET73">
        <v>0</v>
      </c>
      <c r="EU73">
        <v>1110.059230769231</v>
      </c>
      <c r="EV73">
        <v>96.16273502073335</v>
      </c>
      <c r="EW73">
        <v>1538.632478321331</v>
      </c>
      <c r="EX73">
        <v>17625.78461538461</v>
      </c>
      <c r="EY73">
        <v>15</v>
      </c>
      <c r="EZ73">
        <v>1652371289.6</v>
      </c>
      <c r="FA73" t="s">
        <v>515</v>
      </c>
      <c r="FB73">
        <v>1652371289.6</v>
      </c>
      <c r="FC73">
        <v>1652371275.1</v>
      </c>
      <c r="FD73">
        <v>24</v>
      </c>
      <c r="FE73">
        <v>0.442</v>
      </c>
      <c r="FF73">
        <v>0.001</v>
      </c>
      <c r="FG73">
        <v>-2.63</v>
      </c>
      <c r="FH73">
        <v>0.007</v>
      </c>
      <c r="FI73">
        <v>1620</v>
      </c>
      <c r="FJ73">
        <v>22</v>
      </c>
      <c r="FK73">
        <v>0.08</v>
      </c>
      <c r="FL73">
        <v>0.04</v>
      </c>
      <c r="FM73">
        <v>-74.45800975609757</v>
      </c>
      <c r="FN73">
        <v>-27.34497491289204</v>
      </c>
      <c r="FO73">
        <v>2.728773931667612</v>
      </c>
      <c r="FP73">
        <v>-1</v>
      </c>
      <c r="FQ73">
        <v>14.03692682926829</v>
      </c>
      <c r="FR73">
        <v>-0.502950522648088</v>
      </c>
      <c r="FS73">
        <v>0.05297367051654275</v>
      </c>
      <c r="FT73">
        <v>0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1</v>
      </c>
      <c r="GA73" t="s">
        <v>432</v>
      </c>
      <c r="GB73">
        <v>2.69576</v>
      </c>
      <c r="GC73">
        <v>2.70517</v>
      </c>
      <c r="GD73">
        <v>0.09985910000000001</v>
      </c>
      <c r="GE73">
        <v>0.110977</v>
      </c>
      <c r="GF73">
        <v>0.110819</v>
      </c>
      <c r="GG73">
        <v>0.0619083</v>
      </c>
      <c r="GH73">
        <v>28311.3</v>
      </c>
      <c r="GI73">
        <v>28084.1</v>
      </c>
      <c r="GJ73">
        <v>29256.5</v>
      </c>
      <c r="GK73">
        <v>29231.5</v>
      </c>
      <c r="GL73">
        <v>34439.4</v>
      </c>
      <c r="GM73">
        <v>36507.6</v>
      </c>
      <c r="GN73">
        <v>41177</v>
      </c>
      <c r="GO73">
        <v>41706.9</v>
      </c>
      <c r="GP73">
        <v>1.72925</v>
      </c>
      <c r="GQ73">
        <v>2.0286</v>
      </c>
      <c r="GR73">
        <v>0.06372849999999999</v>
      </c>
      <c r="GS73">
        <v>0</v>
      </c>
      <c r="GT73">
        <v>29.0668</v>
      </c>
      <c r="GU73">
        <v>999.9</v>
      </c>
      <c r="GV73">
        <v>44.3</v>
      </c>
      <c r="GW73">
        <v>32.7</v>
      </c>
      <c r="GX73">
        <v>24.3443</v>
      </c>
      <c r="GY73">
        <v>63.3379</v>
      </c>
      <c r="GZ73">
        <v>29.7756</v>
      </c>
      <c r="HA73">
        <v>1</v>
      </c>
      <c r="HB73">
        <v>0.237335</v>
      </c>
      <c r="HC73">
        <v>0.506585</v>
      </c>
      <c r="HD73">
        <v>20.3806</v>
      </c>
      <c r="HE73">
        <v>5.21639</v>
      </c>
      <c r="HF73">
        <v>12.0099</v>
      </c>
      <c r="HG73">
        <v>4.98805</v>
      </c>
      <c r="HH73">
        <v>3.28833</v>
      </c>
      <c r="HI73">
        <v>2710.8</v>
      </c>
      <c r="HJ73">
        <v>9999</v>
      </c>
      <c r="HK73">
        <v>9999</v>
      </c>
      <c r="HL73">
        <v>49.9</v>
      </c>
      <c r="HM73">
        <v>1.86721</v>
      </c>
      <c r="HN73">
        <v>1.86615</v>
      </c>
      <c r="HO73">
        <v>1.86574</v>
      </c>
      <c r="HP73">
        <v>1.86566</v>
      </c>
      <c r="HQ73">
        <v>1.8674</v>
      </c>
      <c r="HR73">
        <v>1.86996</v>
      </c>
      <c r="HS73">
        <v>1.86859</v>
      </c>
      <c r="HT73">
        <v>1.86997</v>
      </c>
      <c r="HU73">
        <v>0</v>
      </c>
      <c r="HV73">
        <v>0</v>
      </c>
      <c r="HW73">
        <v>0</v>
      </c>
      <c r="HX73">
        <v>0</v>
      </c>
      <c r="HY73" t="s">
        <v>421</v>
      </c>
      <c r="HZ73" t="s">
        <v>422</v>
      </c>
      <c r="IA73" t="s">
        <v>423</v>
      </c>
      <c r="IB73" t="s">
        <v>423</v>
      </c>
      <c r="IC73" t="s">
        <v>423</v>
      </c>
      <c r="ID73" t="s">
        <v>423</v>
      </c>
      <c r="IE73">
        <v>0</v>
      </c>
      <c r="IF73">
        <v>100</v>
      </c>
      <c r="IG73">
        <v>100</v>
      </c>
      <c r="IH73">
        <v>0.215</v>
      </c>
      <c r="II73">
        <v>0.0566</v>
      </c>
      <c r="IJ73">
        <v>1.257309091789605</v>
      </c>
      <c r="IK73">
        <v>-0.002185601614162945</v>
      </c>
      <c r="IL73">
        <v>-2.252308143750626E-07</v>
      </c>
      <c r="IM73">
        <v>5.915558436307541E-11</v>
      </c>
      <c r="IN73">
        <v>-0.118683452207699</v>
      </c>
      <c r="IO73">
        <v>-0.007570214193104963</v>
      </c>
      <c r="IP73">
        <v>0.0009214429922928372</v>
      </c>
      <c r="IQ73">
        <v>-1.392260276065805E-05</v>
      </c>
      <c r="IR73">
        <v>17</v>
      </c>
      <c r="IS73">
        <v>2272</v>
      </c>
      <c r="IT73">
        <v>1</v>
      </c>
      <c r="IU73">
        <v>31</v>
      </c>
      <c r="IV73">
        <v>8</v>
      </c>
      <c r="IW73">
        <v>8.199999999999999</v>
      </c>
      <c r="IX73">
        <v>1.29272</v>
      </c>
      <c r="IY73">
        <v>2.229</v>
      </c>
      <c r="IZ73">
        <v>1.39648</v>
      </c>
      <c r="JA73">
        <v>2.35352</v>
      </c>
      <c r="JB73">
        <v>1.49536</v>
      </c>
      <c r="JC73">
        <v>2.33276</v>
      </c>
      <c r="JD73">
        <v>36.0816</v>
      </c>
      <c r="JE73">
        <v>15.3754</v>
      </c>
      <c r="JF73">
        <v>18</v>
      </c>
      <c r="JG73">
        <v>389.519</v>
      </c>
      <c r="JH73">
        <v>563.2329999999999</v>
      </c>
      <c r="JI73">
        <v>30.5324</v>
      </c>
      <c r="JJ73">
        <v>30.5047</v>
      </c>
      <c r="JK73">
        <v>30.0006</v>
      </c>
      <c r="JL73">
        <v>30.3915</v>
      </c>
      <c r="JM73">
        <v>30.2843</v>
      </c>
      <c r="JN73">
        <v>25.9875</v>
      </c>
      <c r="JO73">
        <v>47.7039</v>
      </c>
      <c r="JP73">
        <v>0</v>
      </c>
      <c r="JQ73">
        <v>30.4732</v>
      </c>
      <c r="JR73">
        <v>560.4349999999999</v>
      </c>
      <c r="JS73">
        <v>11.617</v>
      </c>
      <c r="JT73">
        <v>100.001</v>
      </c>
      <c r="JU73">
        <v>100.115</v>
      </c>
    </row>
    <row r="74" spans="1:281">
      <c r="A74">
        <v>58</v>
      </c>
      <c r="B74">
        <v>1652371772.1</v>
      </c>
      <c r="C74">
        <v>3678.5</v>
      </c>
      <c r="D74" t="s">
        <v>583</v>
      </c>
      <c r="E74" t="s">
        <v>584</v>
      </c>
      <c r="F74">
        <v>5</v>
      </c>
      <c r="G74" t="s">
        <v>518</v>
      </c>
      <c r="H74" t="s">
        <v>414</v>
      </c>
      <c r="I74">
        <v>1652371764.6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547.2955580960976</v>
      </c>
      <c r="AK74">
        <v>484.8606848484847</v>
      </c>
      <c r="AL74">
        <v>3.20037743550128</v>
      </c>
      <c r="AM74">
        <v>65.95105977519088</v>
      </c>
      <c r="AN74">
        <f>(AP74 - AO74 + DI74*1E3/(8.314*(DK74+273.15)) * AR74/DH74 * AQ74) * DH74/(100*CV74) * 1000/(1000 - AP74)</f>
        <v>0</v>
      </c>
      <c r="AO74">
        <v>11.59419728857108</v>
      </c>
      <c r="AP74">
        <v>25.55276853146854</v>
      </c>
      <c r="AQ74">
        <v>0.001044403766958234</v>
      </c>
      <c r="AR74">
        <v>81.26040297655408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417</v>
      </c>
      <c r="AY74" t="s">
        <v>417</v>
      </c>
      <c r="AZ74">
        <v>0</v>
      </c>
      <c r="BA74">
        <v>0</v>
      </c>
      <c r="BB74">
        <f>1-AZ74/BA74</f>
        <v>0</v>
      </c>
      <c r="BC74">
        <v>0</v>
      </c>
      <c r="BD74" t="s">
        <v>417</v>
      </c>
      <c r="BE74" t="s">
        <v>417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1393</v>
      </c>
      <c r="CA74">
        <v>300</v>
      </c>
      <c r="CB74">
        <v>300</v>
      </c>
      <c r="CC74">
        <v>300</v>
      </c>
      <c r="CD74">
        <v>10378</v>
      </c>
      <c r="CE74">
        <v>2050</v>
      </c>
      <c r="CF74">
        <v>-0.00730649</v>
      </c>
      <c r="CG74">
        <v>-4.53</v>
      </c>
      <c r="CH74" t="s">
        <v>417</v>
      </c>
      <c r="CI74" t="s">
        <v>417</v>
      </c>
      <c r="CJ74" t="s">
        <v>417</v>
      </c>
      <c r="CK74" t="s">
        <v>417</v>
      </c>
      <c r="CL74" t="s">
        <v>417</v>
      </c>
      <c r="CM74" t="s">
        <v>417</v>
      </c>
      <c r="CN74" t="s">
        <v>417</v>
      </c>
      <c r="CO74" t="s">
        <v>417</v>
      </c>
      <c r="CP74" t="s">
        <v>417</v>
      </c>
      <c r="CQ74" t="s">
        <v>417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418</v>
      </c>
      <c r="CY74">
        <v>2</v>
      </c>
      <c r="CZ74" t="b">
        <v>1</v>
      </c>
      <c r="DA74">
        <v>1652371764.6</v>
      </c>
      <c r="DB74">
        <v>450.8670370370371</v>
      </c>
      <c r="DC74">
        <v>528.5762592592591</v>
      </c>
      <c r="DD74">
        <v>25.54021851851851</v>
      </c>
      <c r="DE74">
        <v>11.56130740740741</v>
      </c>
      <c r="DF74">
        <v>450.6351111111111</v>
      </c>
      <c r="DG74">
        <v>25.48383333333333</v>
      </c>
      <c r="DH74">
        <v>400.0728148148148</v>
      </c>
      <c r="DI74">
        <v>90.4040185185185</v>
      </c>
      <c r="DJ74">
        <v>0.1000044740740741</v>
      </c>
      <c r="DK74">
        <v>31.51581111111111</v>
      </c>
      <c r="DL74">
        <v>30.10806666666667</v>
      </c>
      <c r="DM74">
        <v>999.9000000000001</v>
      </c>
      <c r="DN74">
        <v>0</v>
      </c>
      <c r="DO74">
        <v>0</v>
      </c>
      <c r="DP74">
        <v>10001.04333333333</v>
      </c>
      <c r="DQ74">
        <v>0</v>
      </c>
      <c r="DR74">
        <v>419.2550740740742</v>
      </c>
      <c r="DS74">
        <v>-77.70916666666666</v>
      </c>
      <c r="DT74">
        <v>462.6842962962963</v>
      </c>
      <c r="DU74">
        <v>534.7592962962963</v>
      </c>
      <c r="DV74">
        <v>13.97892222222222</v>
      </c>
      <c r="DW74">
        <v>528.5762592592591</v>
      </c>
      <c r="DX74">
        <v>11.56130740740741</v>
      </c>
      <c r="DY74">
        <v>2.308938888888889</v>
      </c>
      <c r="DZ74">
        <v>1.045187777777778</v>
      </c>
      <c r="EA74">
        <v>19.73890740740741</v>
      </c>
      <c r="EB74">
        <v>7.561889259259258</v>
      </c>
      <c r="EC74">
        <v>1500.010740740741</v>
      </c>
      <c r="ED74">
        <v>0.9730023703703705</v>
      </c>
      <c r="EE74">
        <v>0.02699770740740741</v>
      </c>
      <c r="EF74">
        <v>0</v>
      </c>
      <c r="EG74">
        <v>1117.806296296296</v>
      </c>
      <c r="EH74">
        <v>5.00097</v>
      </c>
      <c r="EI74">
        <v>17756.08518518518</v>
      </c>
      <c r="EJ74">
        <v>12491.69259259259</v>
      </c>
      <c r="EK74">
        <v>39.625</v>
      </c>
      <c r="EL74">
        <v>41.125</v>
      </c>
      <c r="EM74">
        <v>39.83299999999999</v>
      </c>
      <c r="EN74">
        <v>40.93699999999999</v>
      </c>
      <c r="EO74">
        <v>40.83533333333333</v>
      </c>
      <c r="EP74">
        <v>1454.650370370371</v>
      </c>
      <c r="EQ74">
        <v>40.36037037037036</v>
      </c>
      <c r="ER74">
        <v>0</v>
      </c>
      <c r="ES74">
        <v>605.7999999523163</v>
      </c>
      <c r="ET74">
        <v>0</v>
      </c>
      <c r="EU74">
        <v>1117.401923076923</v>
      </c>
      <c r="EV74">
        <v>87.35623936496492</v>
      </c>
      <c r="EW74">
        <v>1489.4666674351</v>
      </c>
      <c r="EX74">
        <v>17748.85769230769</v>
      </c>
      <c r="EY74">
        <v>15</v>
      </c>
      <c r="EZ74">
        <v>1652371289.6</v>
      </c>
      <c r="FA74" t="s">
        <v>515</v>
      </c>
      <c r="FB74">
        <v>1652371289.6</v>
      </c>
      <c r="FC74">
        <v>1652371275.1</v>
      </c>
      <c r="FD74">
        <v>24</v>
      </c>
      <c r="FE74">
        <v>0.442</v>
      </c>
      <c r="FF74">
        <v>0.001</v>
      </c>
      <c r="FG74">
        <v>-2.63</v>
      </c>
      <c r="FH74">
        <v>0.007</v>
      </c>
      <c r="FI74">
        <v>1620</v>
      </c>
      <c r="FJ74">
        <v>22</v>
      </c>
      <c r="FK74">
        <v>0.08</v>
      </c>
      <c r="FL74">
        <v>0.04</v>
      </c>
      <c r="FM74">
        <v>-76.58378292682927</v>
      </c>
      <c r="FN74">
        <v>-21.67591777003492</v>
      </c>
      <c r="FO74">
        <v>2.147188183887378</v>
      </c>
      <c r="FP74">
        <v>-1</v>
      </c>
      <c r="FQ74">
        <v>14.0031756097561</v>
      </c>
      <c r="FR74">
        <v>-0.4612243902438768</v>
      </c>
      <c r="FS74">
        <v>0.04983355114528899</v>
      </c>
      <c r="FT74">
        <v>1</v>
      </c>
      <c r="FU74">
        <v>0</v>
      </c>
      <c r="FV74">
        <v>0</v>
      </c>
      <c r="FW74">
        <v>0</v>
      </c>
      <c r="FX74">
        <v>-1</v>
      </c>
      <c r="FY74">
        <v>1</v>
      </c>
      <c r="FZ74">
        <v>1</v>
      </c>
      <c r="GA74" t="s">
        <v>420</v>
      </c>
      <c r="GB74">
        <v>2.69586</v>
      </c>
      <c r="GC74">
        <v>2.70514</v>
      </c>
      <c r="GD74">
        <v>0.102379</v>
      </c>
      <c r="GE74">
        <v>0.113449</v>
      </c>
      <c r="GF74">
        <v>0.110821</v>
      </c>
      <c r="GG74">
        <v>0.0619481</v>
      </c>
      <c r="GH74">
        <v>28231.5</v>
      </c>
      <c r="GI74">
        <v>28005.6</v>
      </c>
      <c r="GJ74">
        <v>29256</v>
      </c>
      <c r="GK74">
        <v>29231.1</v>
      </c>
      <c r="GL74">
        <v>34438.9</v>
      </c>
      <c r="GM74">
        <v>36505.7</v>
      </c>
      <c r="GN74">
        <v>41176.4</v>
      </c>
      <c r="GO74">
        <v>41706.5</v>
      </c>
      <c r="GP74">
        <v>1.72913</v>
      </c>
      <c r="GQ74">
        <v>2.02873</v>
      </c>
      <c r="GR74">
        <v>0.0624359</v>
      </c>
      <c r="GS74">
        <v>0</v>
      </c>
      <c r="GT74">
        <v>29.0668</v>
      </c>
      <c r="GU74">
        <v>999.9</v>
      </c>
      <c r="GV74">
        <v>44.3</v>
      </c>
      <c r="GW74">
        <v>32.7</v>
      </c>
      <c r="GX74">
        <v>24.34</v>
      </c>
      <c r="GY74">
        <v>63.3479</v>
      </c>
      <c r="GZ74">
        <v>29.8317</v>
      </c>
      <c r="HA74">
        <v>1</v>
      </c>
      <c r="HB74">
        <v>0.237617</v>
      </c>
      <c r="HC74">
        <v>0.515196</v>
      </c>
      <c r="HD74">
        <v>20.3803</v>
      </c>
      <c r="HE74">
        <v>5.21669</v>
      </c>
      <c r="HF74">
        <v>12.0099</v>
      </c>
      <c r="HG74">
        <v>4.9881</v>
      </c>
      <c r="HH74">
        <v>3.28813</v>
      </c>
      <c r="HI74">
        <v>2711</v>
      </c>
      <c r="HJ74">
        <v>9999</v>
      </c>
      <c r="HK74">
        <v>9999</v>
      </c>
      <c r="HL74">
        <v>49.9</v>
      </c>
      <c r="HM74">
        <v>1.86718</v>
      </c>
      <c r="HN74">
        <v>1.86615</v>
      </c>
      <c r="HO74">
        <v>1.86576</v>
      </c>
      <c r="HP74">
        <v>1.86567</v>
      </c>
      <c r="HQ74">
        <v>1.8674</v>
      </c>
      <c r="HR74">
        <v>1.86996</v>
      </c>
      <c r="HS74">
        <v>1.86859</v>
      </c>
      <c r="HT74">
        <v>1.86998</v>
      </c>
      <c r="HU74">
        <v>0</v>
      </c>
      <c r="HV74">
        <v>0</v>
      </c>
      <c r="HW74">
        <v>0</v>
      </c>
      <c r="HX74">
        <v>0</v>
      </c>
      <c r="HY74" t="s">
        <v>421</v>
      </c>
      <c r="HZ74" t="s">
        <v>422</v>
      </c>
      <c r="IA74" t="s">
        <v>423</v>
      </c>
      <c r="IB74" t="s">
        <v>423</v>
      </c>
      <c r="IC74" t="s">
        <v>423</v>
      </c>
      <c r="ID74" t="s">
        <v>423</v>
      </c>
      <c r="IE74">
        <v>0</v>
      </c>
      <c r="IF74">
        <v>100</v>
      </c>
      <c r="IG74">
        <v>100</v>
      </c>
      <c r="IH74">
        <v>0.177</v>
      </c>
      <c r="II74">
        <v>0.0565</v>
      </c>
      <c r="IJ74">
        <v>1.257309091789605</v>
      </c>
      <c r="IK74">
        <v>-0.002185601614162945</v>
      </c>
      <c r="IL74">
        <v>-2.252308143750626E-07</v>
      </c>
      <c r="IM74">
        <v>5.915558436307541E-11</v>
      </c>
      <c r="IN74">
        <v>-0.118683452207699</v>
      </c>
      <c r="IO74">
        <v>-0.007570214193104963</v>
      </c>
      <c r="IP74">
        <v>0.0009214429922928372</v>
      </c>
      <c r="IQ74">
        <v>-1.392260276065805E-05</v>
      </c>
      <c r="IR74">
        <v>17</v>
      </c>
      <c r="IS74">
        <v>2272</v>
      </c>
      <c r="IT74">
        <v>1</v>
      </c>
      <c r="IU74">
        <v>31</v>
      </c>
      <c r="IV74">
        <v>8</v>
      </c>
      <c r="IW74">
        <v>8.300000000000001</v>
      </c>
      <c r="IX74">
        <v>1.3269</v>
      </c>
      <c r="IY74">
        <v>2.22168</v>
      </c>
      <c r="IZ74">
        <v>1.39648</v>
      </c>
      <c r="JA74">
        <v>2.35352</v>
      </c>
      <c r="JB74">
        <v>1.49536</v>
      </c>
      <c r="JC74">
        <v>2.37183</v>
      </c>
      <c r="JD74">
        <v>36.0816</v>
      </c>
      <c r="JE74">
        <v>15.3754</v>
      </c>
      <c r="JF74">
        <v>18</v>
      </c>
      <c r="JG74">
        <v>389.468</v>
      </c>
      <c r="JH74">
        <v>563.352</v>
      </c>
      <c r="JI74">
        <v>30.4108</v>
      </c>
      <c r="JJ74">
        <v>30.5081</v>
      </c>
      <c r="JK74">
        <v>30.0004</v>
      </c>
      <c r="JL74">
        <v>30.3941</v>
      </c>
      <c r="JM74">
        <v>30.2869</v>
      </c>
      <c r="JN74">
        <v>26.5528</v>
      </c>
      <c r="JO74">
        <v>47.7039</v>
      </c>
      <c r="JP74">
        <v>0</v>
      </c>
      <c r="JQ74">
        <v>30.3702</v>
      </c>
      <c r="JR74">
        <v>573.7910000000001</v>
      </c>
      <c r="JS74">
        <v>11.6464</v>
      </c>
      <c r="JT74">
        <v>99.9992</v>
      </c>
      <c r="JU74">
        <v>100.114</v>
      </c>
    </row>
    <row r="75" spans="1:281">
      <c r="A75">
        <v>59</v>
      </c>
      <c r="B75">
        <v>1652371777.1</v>
      </c>
      <c r="C75">
        <v>3683.5</v>
      </c>
      <c r="D75" t="s">
        <v>585</v>
      </c>
      <c r="E75" t="s">
        <v>586</v>
      </c>
      <c r="F75">
        <v>5</v>
      </c>
      <c r="G75" t="s">
        <v>518</v>
      </c>
      <c r="H75" t="s">
        <v>414</v>
      </c>
      <c r="I75">
        <v>1652371769.314285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564.0852887324326</v>
      </c>
      <c r="AK75">
        <v>500.6882424242426</v>
      </c>
      <c r="AL75">
        <v>3.156548495086069</v>
      </c>
      <c r="AM75">
        <v>65.95105977519088</v>
      </c>
      <c r="AN75">
        <f>(AP75 - AO75 + DI75*1E3/(8.314*(DK75+273.15)) * AR75/DH75 * AQ75) * DH75/(100*CV75) * 1000/(1000 - AP75)</f>
        <v>0</v>
      </c>
      <c r="AO75">
        <v>11.60297984020491</v>
      </c>
      <c r="AP75">
        <v>25.5476237762238</v>
      </c>
      <c r="AQ75">
        <v>0.0003332977014050295</v>
      </c>
      <c r="AR75">
        <v>81.26040297655408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417</v>
      </c>
      <c r="AY75" t="s">
        <v>417</v>
      </c>
      <c r="AZ75">
        <v>0</v>
      </c>
      <c r="BA75">
        <v>0</v>
      </c>
      <c r="BB75">
        <f>1-AZ75/BA75</f>
        <v>0</v>
      </c>
      <c r="BC75">
        <v>0</v>
      </c>
      <c r="BD75" t="s">
        <v>417</v>
      </c>
      <c r="BE75" t="s">
        <v>417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1393</v>
      </c>
      <c r="CA75">
        <v>300</v>
      </c>
      <c r="CB75">
        <v>300</v>
      </c>
      <c r="CC75">
        <v>300</v>
      </c>
      <c r="CD75">
        <v>10378</v>
      </c>
      <c r="CE75">
        <v>2050</v>
      </c>
      <c r="CF75">
        <v>-0.00730649</v>
      </c>
      <c r="CG75">
        <v>-4.53</v>
      </c>
      <c r="CH75" t="s">
        <v>417</v>
      </c>
      <c r="CI75" t="s">
        <v>417</v>
      </c>
      <c r="CJ75" t="s">
        <v>417</v>
      </c>
      <c r="CK75" t="s">
        <v>417</v>
      </c>
      <c r="CL75" t="s">
        <v>417</v>
      </c>
      <c r="CM75" t="s">
        <v>417</v>
      </c>
      <c r="CN75" t="s">
        <v>417</v>
      </c>
      <c r="CO75" t="s">
        <v>417</v>
      </c>
      <c r="CP75" t="s">
        <v>417</v>
      </c>
      <c r="CQ75" t="s">
        <v>417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418</v>
      </c>
      <c r="CY75">
        <v>2</v>
      </c>
      <c r="CZ75" t="b">
        <v>1</v>
      </c>
      <c r="DA75">
        <v>1652371769.314285</v>
      </c>
      <c r="DB75">
        <v>465.373</v>
      </c>
      <c r="DC75">
        <v>544.3605357142857</v>
      </c>
      <c r="DD75">
        <v>25.54865357142858</v>
      </c>
      <c r="DE75">
        <v>11.59409642857142</v>
      </c>
      <c r="DF75">
        <v>465.1753214285714</v>
      </c>
      <c r="DG75">
        <v>25.49216785714286</v>
      </c>
      <c r="DH75">
        <v>400.0767857142858</v>
      </c>
      <c r="DI75">
        <v>90.40463928571428</v>
      </c>
      <c r="DJ75">
        <v>0.100008275</v>
      </c>
      <c r="DK75">
        <v>31.49901071428571</v>
      </c>
      <c r="DL75">
        <v>30.08953571428571</v>
      </c>
      <c r="DM75">
        <v>999.9000000000002</v>
      </c>
      <c r="DN75">
        <v>0</v>
      </c>
      <c r="DO75">
        <v>0</v>
      </c>
      <c r="DP75">
        <v>9997.989642857141</v>
      </c>
      <c r="DQ75">
        <v>0</v>
      </c>
      <c r="DR75">
        <v>424.4662142857143</v>
      </c>
      <c r="DS75">
        <v>-78.98750357142856</v>
      </c>
      <c r="DT75">
        <v>477.5744285714287</v>
      </c>
      <c r="DU75">
        <v>550.746</v>
      </c>
      <c r="DV75">
        <v>13.95456785714286</v>
      </c>
      <c r="DW75">
        <v>544.3605357142857</v>
      </c>
      <c r="DX75">
        <v>11.59409642857142</v>
      </c>
      <c r="DY75">
        <v>2.309717142857143</v>
      </c>
      <c r="DZ75">
        <v>1.04816</v>
      </c>
      <c r="EA75">
        <v>19.74433928571429</v>
      </c>
      <c r="EB75">
        <v>7.603576428571429</v>
      </c>
      <c r="EC75">
        <v>1500.013214285714</v>
      </c>
      <c r="ED75">
        <v>0.9730021785714287</v>
      </c>
      <c r="EE75">
        <v>0.02699791071428572</v>
      </c>
      <c r="EF75">
        <v>0</v>
      </c>
      <c r="EG75">
        <v>1124.327857142857</v>
      </c>
      <c r="EH75">
        <v>5.00097</v>
      </c>
      <c r="EI75">
        <v>17853.67142857143</v>
      </c>
      <c r="EJ75">
        <v>12491.71428571429</v>
      </c>
      <c r="EK75">
        <v>39.625</v>
      </c>
      <c r="EL75">
        <v>41.125</v>
      </c>
      <c r="EM75">
        <v>39.83674999999999</v>
      </c>
      <c r="EN75">
        <v>40.93699999999999</v>
      </c>
      <c r="EO75">
        <v>40.83899999999999</v>
      </c>
      <c r="EP75">
        <v>1454.652857142857</v>
      </c>
      <c r="EQ75">
        <v>40.36035714285713</v>
      </c>
      <c r="ER75">
        <v>0</v>
      </c>
      <c r="ES75">
        <v>611.1999998092651</v>
      </c>
      <c r="ET75">
        <v>0</v>
      </c>
      <c r="EU75">
        <v>1125.3036</v>
      </c>
      <c r="EV75">
        <v>78.7015385724406</v>
      </c>
      <c r="EW75">
        <v>1149.315386288281</v>
      </c>
      <c r="EX75">
        <v>17868.184</v>
      </c>
      <c r="EY75">
        <v>15</v>
      </c>
      <c r="EZ75">
        <v>1652371289.6</v>
      </c>
      <c r="FA75" t="s">
        <v>515</v>
      </c>
      <c r="FB75">
        <v>1652371289.6</v>
      </c>
      <c r="FC75">
        <v>1652371275.1</v>
      </c>
      <c r="FD75">
        <v>24</v>
      </c>
      <c r="FE75">
        <v>0.442</v>
      </c>
      <c r="FF75">
        <v>0.001</v>
      </c>
      <c r="FG75">
        <v>-2.63</v>
      </c>
      <c r="FH75">
        <v>0.007</v>
      </c>
      <c r="FI75">
        <v>1620</v>
      </c>
      <c r="FJ75">
        <v>22</v>
      </c>
      <c r="FK75">
        <v>0.08</v>
      </c>
      <c r="FL75">
        <v>0.04</v>
      </c>
      <c r="FM75">
        <v>-78.1208075</v>
      </c>
      <c r="FN75">
        <v>-17.30114183864901</v>
      </c>
      <c r="FO75">
        <v>1.682630189968594</v>
      </c>
      <c r="FP75">
        <v>-1</v>
      </c>
      <c r="FQ75">
        <v>13.9756675</v>
      </c>
      <c r="FR75">
        <v>-0.3236499061913837</v>
      </c>
      <c r="FS75">
        <v>0.03891147252096729</v>
      </c>
      <c r="FT75">
        <v>1</v>
      </c>
      <c r="FU75">
        <v>0</v>
      </c>
      <c r="FV75">
        <v>0</v>
      </c>
      <c r="FW75">
        <v>0</v>
      </c>
      <c r="FX75">
        <v>-1</v>
      </c>
      <c r="FY75">
        <v>1</v>
      </c>
      <c r="FZ75">
        <v>1</v>
      </c>
      <c r="GA75" t="s">
        <v>420</v>
      </c>
      <c r="GB75">
        <v>2.69577</v>
      </c>
      <c r="GC75">
        <v>2.70515</v>
      </c>
      <c r="GD75">
        <v>0.104837</v>
      </c>
      <c r="GE75">
        <v>0.11577</v>
      </c>
      <c r="GF75">
        <v>0.110791</v>
      </c>
      <c r="GG75">
        <v>0.0619602</v>
      </c>
      <c r="GH75">
        <v>28154.5</v>
      </c>
      <c r="GI75">
        <v>27931.7</v>
      </c>
      <c r="GJ75">
        <v>29256.4</v>
      </c>
      <c r="GK75">
        <v>29230.6</v>
      </c>
      <c r="GL75">
        <v>34440.5</v>
      </c>
      <c r="GM75">
        <v>36504.7</v>
      </c>
      <c r="GN75">
        <v>41177</v>
      </c>
      <c r="GO75">
        <v>41705.8</v>
      </c>
      <c r="GP75">
        <v>1.72905</v>
      </c>
      <c r="GQ75">
        <v>2.0289</v>
      </c>
      <c r="GR75">
        <v>0.0606105</v>
      </c>
      <c r="GS75">
        <v>0</v>
      </c>
      <c r="GT75">
        <v>29.0668</v>
      </c>
      <c r="GU75">
        <v>999.9</v>
      </c>
      <c r="GV75">
        <v>44.3</v>
      </c>
      <c r="GW75">
        <v>32.7</v>
      </c>
      <c r="GX75">
        <v>24.3412</v>
      </c>
      <c r="GY75">
        <v>63.4479</v>
      </c>
      <c r="GZ75">
        <v>29.8558</v>
      </c>
      <c r="HA75">
        <v>1</v>
      </c>
      <c r="HB75">
        <v>0.237683</v>
      </c>
      <c r="HC75">
        <v>0.484654</v>
      </c>
      <c r="HD75">
        <v>20.3805</v>
      </c>
      <c r="HE75">
        <v>5.21639</v>
      </c>
      <c r="HF75">
        <v>12.0099</v>
      </c>
      <c r="HG75">
        <v>4.9879</v>
      </c>
      <c r="HH75">
        <v>3.28828</v>
      </c>
      <c r="HI75">
        <v>2711</v>
      </c>
      <c r="HJ75">
        <v>9999</v>
      </c>
      <c r="HK75">
        <v>9999</v>
      </c>
      <c r="HL75">
        <v>49.9</v>
      </c>
      <c r="HM75">
        <v>1.86719</v>
      </c>
      <c r="HN75">
        <v>1.86616</v>
      </c>
      <c r="HO75">
        <v>1.86578</v>
      </c>
      <c r="HP75">
        <v>1.86566</v>
      </c>
      <c r="HQ75">
        <v>1.86739</v>
      </c>
      <c r="HR75">
        <v>1.86998</v>
      </c>
      <c r="HS75">
        <v>1.8686</v>
      </c>
      <c r="HT75">
        <v>1.86998</v>
      </c>
      <c r="HU75">
        <v>0</v>
      </c>
      <c r="HV75">
        <v>0</v>
      </c>
      <c r="HW75">
        <v>0</v>
      </c>
      <c r="HX75">
        <v>0</v>
      </c>
      <c r="HY75" t="s">
        <v>421</v>
      </c>
      <c r="HZ75" t="s">
        <v>422</v>
      </c>
      <c r="IA75" t="s">
        <v>423</v>
      </c>
      <c r="IB75" t="s">
        <v>423</v>
      </c>
      <c r="IC75" t="s">
        <v>423</v>
      </c>
      <c r="ID75" t="s">
        <v>423</v>
      </c>
      <c r="IE75">
        <v>0</v>
      </c>
      <c r="IF75">
        <v>100</v>
      </c>
      <c r="IG75">
        <v>100</v>
      </c>
      <c r="IH75">
        <v>0.141</v>
      </c>
      <c r="II75">
        <v>0.0564</v>
      </c>
      <c r="IJ75">
        <v>1.257309091789605</v>
      </c>
      <c r="IK75">
        <v>-0.002185601614162945</v>
      </c>
      <c r="IL75">
        <v>-2.252308143750626E-07</v>
      </c>
      <c r="IM75">
        <v>5.915558436307541E-11</v>
      </c>
      <c r="IN75">
        <v>-0.118683452207699</v>
      </c>
      <c r="IO75">
        <v>-0.007570214193104963</v>
      </c>
      <c r="IP75">
        <v>0.0009214429922928372</v>
      </c>
      <c r="IQ75">
        <v>-1.392260276065805E-05</v>
      </c>
      <c r="IR75">
        <v>17</v>
      </c>
      <c r="IS75">
        <v>2272</v>
      </c>
      <c r="IT75">
        <v>1</v>
      </c>
      <c r="IU75">
        <v>31</v>
      </c>
      <c r="IV75">
        <v>8.1</v>
      </c>
      <c r="IW75">
        <v>8.4</v>
      </c>
      <c r="IX75">
        <v>1.35376</v>
      </c>
      <c r="IY75">
        <v>2.22534</v>
      </c>
      <c r="IZ75">
        <v>1.39648</v>
      </c>
      <c r="JA75">
        <v>2.35352</v>
      </c>
      <c r="JB75">
        <v>1.49536</v>
      </c>
      <c r="JC75">
        <v>2.31689</v>
      </c>
      <c r="JD75">
        <v>36.105</v>
      </c>
      <c r="JE75">
        <v>15.3754</v>
      </c>
      <c r="JF75">
        <v>18</v>
      </c>
      <c r="JG75">
        <v>389.444</v>
      </c>
      <c r="JH75">
        <v>563.502</v>
      </c>
      <c r="JI75">
        <v>30.3148</v>
      </c>
      <c r="JJ75">
        <v>30.5106</v>
      </c>
      <c r="JK75">
        <v>30.0003</v>
      </c>
      <c r="JL75">
        <v>30.3967</v>
      </c>
      <c r="JM75">
        <v>30.2889</v>
      </c>
      <c r="JN75">
        <v>27.1055</v>
      </c>
      <c r="JO75">
        <v>47.7039</v>
      </c>
      <c r="JP75">
        <v>0</v>
      </c>
      <c r="JQ75">
        <v>30.2865</v>
      </c>
      <c r="JR75">
        <v>593.825</v>
      </c>
      <c r="JS75">
        <v>11.7036</v>
      </c>
      <c r="JT75">
        <v>100.001</v>
      </c>
      <c r="JU75">
        <v>100.112</v>
      </c>
    </row>
    <row r="76" spans="1:281">
      <c r="A76">
        <v>60</v>
      </c>
      <c r="B76">
        <v>1652371782.1</v>
      </c>
      <c r="C76">
        <v>3688.5</v>
      </c>
      <c r="D76" t="s">
        <v>587</v>
      </c>
      <c r="E76" t="s">
        <v>588</v>
      </c>
      <c r="F76">
        <v>5</v>
      </c>
      <c r="G76" t="s">
        <v>518</v>
      </c>
      <c r="H76" t="s">
        <v>414</v>
      </c>
      <c r="I76">
        <v>1652371774.6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580.1540363620317</v>
      </c>
      <c r="AK76">
        <v>516.190684848485</v>
      </c>
      <c r="AL76">
        <v>3.094826933011581</v>
      </c>
      <c r="AM76">
        <v>65.95105977519088</v>
      </c>
      <c r="AN76">
        <f>(AP76 - AO76 + DI76*1E3/(8.314*(DK76+273.15)) * AR76/DH76 * AQ76) * DH76/(100*CV76) * 1000/(1000 - AP76)</f>
        <v>0</v>
      </c>
      <c r="AO76">
        <v>11.60707114813171</v>
      </c>
      <c r="AP76">
        <v>25.52902867132867</v>
      </c>
      <c r="AQ76">
        <v>-0.006994486836930697</v>
      </c>
      <c r="AR76">
        <v>81.26040297655408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417</v>
      </c>
      <c r="AY76" t="s">
        <v>417</v>
      </c>
      <c r="AZ76">
        <v>0</v>
      </c>
      <c r="BA76">
        <v>0</v>
      </c>
      <c r="BB76">
        <f>1-AZ76/BA76</f>
        <v>0</v>
      </c>
      <c r="BC76">
        <v>0</v>
      </c>
      <c r="BD76" t="s">
        <v>417</v>
      </c>
      <c r="BE76" t="s">
        <v>417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1393</v>
      </c>
      <c r="CA76">
        <v>300</v>
      </c>
      <c r="CB76">
        <v>300</v>
      </c>
      <c r="CC76">
        <v>300</v>
      </c>
      <c r="CD76">
        <v>10378</v>
      </c>
      <c r="CE76">
        <v>2050</v>
      </c>
      <c r="CF76">
        <v>-0.00730649</v>
      </c>
      <c r="CG76">
        <v>-4.53</v>
      </c>
      <c r="CH76" t="s">
        <v>417</v>
      </c>
      <c r="CI76" t="s">
        <v>417</v>
      </c>
      <c r="CJ76" t="s">
        <v>417</v>
      </c>
      <c r="CK76" t="s">
        <v>417</v>
      </c>
      <c r="CL76" t="s">
        <v>417</v>
      </c>
      <c r="CM76" t="s">
        <v>417</v>
      </c>
      <c r="CN76" t="s">
        <v>417</v>
      </c>
      <c r="CO76" t="s">
        <v>417</v>
      </c>
      <c r="CP76" t="s">
        <v>417</v>
      </c>
      <c r="CQ76" t="s">
        <v>417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418</v>
      </c>
      <c r="CY76">
        <v>2</v>
      </c>
      <c r="CZ76" t="b">
        <v>1</v>
      </c>
      <c r="DA76">
        <v>1652371774.6</v>
      </c>
      <c r="DB76">
        <v>481.6658518518519</v>
      </c>
      <c r="DC76">
        <v>561.752</v>
      </c>
      <c r="DD76">
        <v>25.54660370370371</v>
      </c>
      <c r="DE76">
        <v>11.60512962962963</v>
      </c>
      <c r="DF76">
        <v>481.5065925925927</v>
      </c>
      <c r="DG76">
        <v>25.49014074074074</v>
      </c>
      <c r="DH76">
        <v>400.0787037037036</v>
      </c>
      <c r="DI76">
        <v>90.40530370370368</v>
      </c>
      <c r="DJ76">
        <v>0.09996902222222223</v>
      </c>
      <c r="DK76">
        <v>31.47813703703704</v>
      </c>
      <c r="DL76">
        <v>30.07031851851852</v>
      </c>
      <c r="DM76">
        <v>999.9000000000001</v>
      </c>
      <c r="DN76">
        <v>0</v>
      </c>
      <c r="DO76">
        <v>0</v>
      </c>
      <c r="DP76">
        <v>10005.09481481481</v>
      </c>
      <c r="DQ76">
        <v>0</v>
      </c>
      <c r="DR76">
        <v>423.2273703703704</v>
      </c>
      <c r="DS76">
        <v>-80.0861037037037</v>
      </c>
      <c r="DT76">
        <v>494.2932592592592</v>
      </c>
      <c r="DU76">
        <v>568.3477777777778</v>
      </c>
      <c r="DV76">
        <v>13.94148518518519</v>
      </c>
      <c r="DW76">
        <v>561.752</v>
      </c>
      <c r="DX76">
        <v>11.60512962962963</v>
      </c>
      <c r="DY76">
        <v>2.309548518518519</v>
      </c>
      <c r="DZ76">
        <v>1.049164444444445</v>
      </c>
      <c r="EA76">
        <v>19.74315185185185</v>
      </c>
      <c r="EB76">
        <v>7.617622962962963</v>
      </c>
      <c r="EC76">
        <v>1500.001851851852</v>
      </c>
      <c r="ED76">
        <v>0.9730020000000001</v>
      </c>
      <c r="EE76">
        <v>0.0269981</v>
      </c>
      <c r="EF76">
        <v>0</v>
      </c>
      <c r="EG76">
        <v>1130.872962962963</v>
      </c>
      <c r="EH76">
        <v>5.00097</v>
      </c>
      <c r="EI76">
        <v>17937.0037037037</v>
      </c>
      <c r="EJ76">
        <v>12491.61851851852</v>
      </c>
      <c r="EK76">
        <v>39.625</v>
      </c>
      <c r="EL76">
        <v>41.125</v>
      </c>
      <c r="EM76">
        <v>39.84233333333333</v>
      </c>
      <c r="EN76">
        <v>40.93699999999999</v>
      </c>
      <c r="EO76">
        <v>40.82599999999999</v>
      </c>
      <c r="EP76">
        <v>1454.641851851852</v>
      </c>
      <c r="EQ76">
        <v>40.35999999999999</v>
      </c>
      <c r="ER76">
        <v>0</v>
      </c>
      <c r="ES76">
        <v>616</v>
      </c>
      <c r="ET76">
        <v>0</v>
      </c>
      <c r="EU76">
        <v>1131.1604</v>
      </c>
      <c r="EV76">
        <v>69.63769219864092</v>
      </c>
      <c r="EW76">
        <v>598.9615384323799</v>
      </c>
      <c r="EX76">
        <v>17940.608</v>
      </c>
      <c r="EY76">
        <v>15</v>
      </c>
      <c r="EZ76">
        <v>1652371289.6</v>
      </c>
      <c r="FA76" t="s">
        <v>515</v>
      </c>
      <c r="FB76">
        <v>1652371289.6</v>
      </c>
      <c r="FC76">
        <v>1652371275.1</v>
      </c>
      <c r="FD76">
        <v>24</v>
      </c>
      <c r="FE76">
        <v>0.442</v>
      </c>
      <c r="FF76">
        <v>0.001</v>
      </c>
      <c r="FG76">
        <v>-2.63</v>
      </c>
      <c r="FH76">
        <v>0.007</v>
      </c>
      <c r="FI76">
        <v>1620</v>
      </c>
      <c r="FJ76">
        <v>22</v>
      </c>
      <c r="FK76">
        <v>0.08</v>
      </c>
      <c r="FL76">
        <v>0.04</v>
      </c>
      <c r="FM76">
        <v>-79.32667499999999</v>
      </c>
      <c r="FN76">
        <v>-12.6461313320825</v>
      </c>
      <c r="FO76">
        <v>1.257432869530219</v>
      </c>
      <c r="FP76">
        <v>-1</v>
      </c>
      <c r="FQ76">
        <v>13.947875</v>
      </c>
      <c r="FR76">
        <v>-0.1323759849906615</v>
      </c>
      <c r="FS76">
        <v>0.01424520533372545</v>
      </c>
      <c r="FT76">
        <v>1</v>
      </c>
      <c r="FU76">
        <v>0</v>
      </c>
      <c r="FV76">
        <v>0</v>
      </c>
      <c r="FW76">
        <v>0</v>
      </c>
      <c r="FX76">
        <v>-1</v>
      </c>
      <c r="FY76">
        <v>1</v>
      </c>
      <c r="FZ76">
        <v>1</v>
      </c>
      <c r="GA76" t="s">
        <v>420</v>
      </c>
      <c r="GB76">
        <v>2.69611</v>
      </c>
      <c r="GC76">
        <v>2.70517</v>
      </c>
      <c r="GD76">
        <v>0.107201</v>
      </c>
      <c r="GE76">
        <v>0.118065</v>
      </c>
      <c r="GF76">
        <v>0.11074</v>
      </c>
      <c r="GG76">
        <v>0.061997</v>
      </c>
      <c r="GH76">
        <v>28080.6</v>
      </c>
      <c r="GI76">
        <v>27859.3</v>
      </c>
      <c r="GJ76">
        <v>29256.9</v>
      </c>
      <c r="GK76">
        <v>29230.7</v>
      </c>
      <c r="GL76">
        <v>34443</v>
      </c>
      <c r="GM76">
        <v>36503.4</v>
      </c>
      <c r="GN76">
        <v>41177.5</v>
      </c>
      <c r="GO76">
        <v>41705.9</v>
      </c>
      <c r="GP76">
        <v>1.72892</v>
      </c>
      <c r="GQ76">
        <v>2.02895</v>
      </c>
      <c r="GR76">
        <v>0.0602007</v>
      </c>
      <c r="GS76">
        <v>0</v>
      </c>
      <c r="GT76">
        <v>29.0653</v>
      </c>
      <c r="GU76">
        <v>999.9</v>
      </c>
      <c r="GV76">
        <v>44.4</v>
      </c>
      <c r="GW76">
        <v>32.7</v>
      </c>
      <c r="GX76">
        <v>24.394</v>
      </c>
      <c r="GY76">
        <v>63.4279</v>
      </c>
      <c r="GZ76">
        <v>29.4952</v>
      </c>
      <c r="HA76">
        <v>1</v>
      </c>
      <c r="HB76">
        <v>0.238018</v>
      </c>
      <c r="HC76">
        <v>0.390071</v>
      </c>
      <c r="HD76">
        <v>20.3807</v>
      </c>
      <c r="HE76">
        <v>5.21564</v>
      </c>
      <c r="HF76">
        <v>12.0099</v>
      </c>
      <c r="HG76">
        <v>4.9881</v>
      </c>
      <c r="HH76">
        <v>3.28808</v>
      </c>
      <c r="HI76">
        <v>2711.2</v>
      </c>
      <c r="HJ76">
        <v>9999</v>
      </c>
      <c r="HK76">
        <v>9999</v>
      </c>
      <c r="HL76">
        <v>49.9</v>
      </c>
      <c r="HM76">
        <v>1.86721</v>
      </c>
      <c r="HN76">
        <v>1.86616</v>
      </c>
      <c r="HO76">
        <v>1.86574</v>
      </c>
      <c r="HP76">
        <v>1.86567</v>
      </c>
      <c r="HQ76">
        <v>1.86739</v>
      </c>
      <c r="HR76">
        <v>1.86998</v>
      </c>
      <c r="HS76">
        <v>1.8686</v>
      </c>
      <c r="HT76">
        <v>1.86997</v>
      </c>
      <c r="HU76">
        <v>0</v>
      </c>
      <c r="HV76">
        <v>0</v>
      </c>
      <c r="HW76">
        <v>0</v>
      </c>
      <c r="HX76">
        <v>0</v>
      </c>
      <c r="HY76" t="s">
        <v>421</v>
      </c>
      <c r="HZ76" t="s">
        <v>422</v>
      </c>
      <c r="IA76" t="s">
        <v>423</v>
      </c>
      <c r="IB76" t="s">
        <v>423</v>
      </c>
      <c r="IC76" t="s">
        <v>423</v>
      </c>
      <c r="ID76" t="s">
        <v>423</v>
      </c>
      <c r="IE76">
        <v>0</v>
      </c>
      <c r="IF76">
        <v>100</v>
      </c>
      <c r="IG76">
        <v>100</v>
      </c>
      <c r="IH76">
        <v>0.105</v>
      </c>
      <c r="II76">
        <v>0.0563</v>
      </c>
      <c r="IJ76">
        <v>1.257309091789605</v>
      </c>
      <c r="IK76">
        <v>-0.002185601614162945</v>
      </c>
      <c r="IL76">
        <v>-2.252308143750626E-07</v>
      </c>
      <c r="IM76">
        <v>5.915558436307541E-11</v>
      </c>
      <c r="IN76">
        <v>-0.118683452207699</v>
      </c>
      <c r="IO76">
        <v>-0.007570214193104963</v>
      </c>
      <c r="IP76">
        <v>0.0009214429922928372</v>
      </c>
      <c r="IQ76">
        <v>-1.392260276065805E-05</v>
      </c>
      <c r="IR76">
        <v>17</v>
      </c>
      <c r="IS76">
        <v>2272</v>
      </c>
      <c r="IT76">
        <v>1</v>
      </c>
      <c r="IU76">
        <v>31</v>
      </c>
      <c r="IV76">
        <v>8.199999999999999</v>
      </c>
      <c r="IW76">
        <v>8.4</v>
      </c>
      <c r="IX76">
        <v>1.38672</v>
      </c>
      <c r="IY76">
        <v>2.22534</v>
      </c>
      <c r="IZ76">
        <v>1.39648</v>
      </c>
      <c r="JA76">
        <v>2.35352</v>
      </c>
      <c r="JB76">
        <v>1.49536</v>
      </c>
      <c r="JC76">
        <v>2.26929</v>
      </c>
      <c r="JD76">
        <v>36.0816</v>
      </c>
      <c r="JE76">
        <v>15.3666</v>
      </c>
      <c r="JF76">
        <v>18</v>
      </c>
      <c r="JG76">
        <v>389.39</v>
      </c>
      <c r="JH76">
        <v>563.559</v>
      </c>
      <c r="JI76">
        <v>30.2369</v>
      </c>
      <c r="JJ76">
        <v>30.5127</v>
      </c>
      <c r="JK76">
        <v>30.0002</v>
      </c>
      <c r="JL76">
        <v>30.3991</v>
      </c>
      <c r="JM76">
        <v>30.291</v>
      </c>
      <c r="JN76">
        <v>27.7564</v>
      </c>
      <c r="JO76">
        <v>47.7039</v>
      </c>
      <c r="JP76">
        <v>0</v>
      </c>
      <c r="JQ76">
        <v>30.2309</v>
      </c>
      <c r="JR76">
        <v>607.205</v>
      </c>
      <c r="JS76">
        <v>11.6412</v>
      </c>
      <c r="JT76">
        <v>100.002</v>
      </c>
      <c r="JU76">
        <v>100.112</v>
      </c>
    </row>
    <row r="77" spans="1:281">
      <c r="A77">
        <v>61</v>
      </c>
      <c r="B77">
        <v>1652371787.1</v>
      </c>
      <c r="C77">
        <v>3693.5</v>
      </c>
      <c r="D77" t="s">
        <v>589</v>
      </c>
      <c r="E77" t="s">
        <v>590</v>
      </c>
      <c r="F77">
        <v>5</v>
      </c>
      <c r="G77" t="s">
        <v>518</v>
      </c>
      <c r="H77" t="s">
        <v>414</v>
      </c>
      <c r="I77">
        <v>1652371779.314285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596.5094199098144</v>
      </c>
      <c r="AK77">
        <v>531.6483878787881</v>
      </c>
      <c r="AL77">
        <v>3.090211045022555</v>
      </c>
      <c r="AM77">
        <v>65.95105977519088</v>
      </c>
      <c r="AN77">
        <f>(AP77 - AO77 + DI77*1E3/(8.314*(DK77+273.15)) * AR77/DH77 * AQ77) * DH77/(100*CV77) * 1000/(1000 - AP77)</f>
        <v>0</v>
      </c>
      <c r="AO77">
        <v>11.61633239032834</v>
      </c>
      <c r="AP77">
        <v>25.5056146853147</v>
      </c>
      <c r="AQ77">
        <v>-0.006761543389830113</v>
      </c>
      <c r="AR77">
        <v>81.26040297655408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417</v>
      </c>
      <c r="AY77" t="s">
        <v>417</v>
      </c>
      <c r="AZ77">
        <v>0</v>
      </c>
      <c r="BA77">
        <v>0</v>
      </c>
      <c r="BB77">
        <f>1-AZ77/BA77</f>
        <v>0</v>
      </c>
      <c r="BC77">
        <v>0</v>
      </c>
      <c r="BD77" t="s">
        <v>417</v>
      </c>
      <c r="BE77" t="s">
        <v>417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1393</v>
      </c>
      <c r="CA77">
        <v>300</v>
      </c>
      <c r="CB77">
        <v>300</v>
      </c>
      <c r="CC77">
        <v>300</v>
      </c>
      <c r="CD77">
        <v>10378</v>
      </c>
      <c r="CE77">
        <v>2050</v>
      </c>
      <c r="CF77">
        <v>-0.00730649</v>
      </c>
      <c r="CG77">
        <v>-4.53</v>
      </c>
      <c r="CH77" t="s">
        <v>417</v>
      </c>
      <c r="CI77" t="s">
        <v>417</v>
      </c>
      <c r="CJ77" t="s">
        <v>417</v>
      </c>
      <c r="CK77" t="s">
        <v>417</v>
      </c>
      <c r="CL77" t="s">
        <v>417</v>
      </c>
      <c r="CM77" t="s">
        <v>417</v>
      </c>
      <c r="CN77" t="s">
        <v>417</v>
      </c>
      <c r="CO77" t="s">
        <v>417</v>
      </c>
      <c r="CP77" t="s">
        <v>417</v>
      </c>
      <c r="CQ77" t="s">
        <v>417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418</v>
      </c>
      <c r="CY77">
        <v>2</v>
      </c>
      <c r="CZ77" t="b">
        <v>1</v>
      </c>
      <c r="DA77">
        <v>1652371779.314285</v>
      </c>
      <c r="DB77">
        <v>496.0565</v>
      </c>
      <c r="DC77">
        <v>577.0539285714286</v>
      </c>
      <c r="DD77">
        <v>25.53353214285714</v>
      </c>
      <c r="DE77">
        <v>11.61190714285714</v>
      </c>
      <c r="DF77">
        <v>495.9313571428572</v>
      </c>
      <c r="DG77">
        <v>25.47722142857143</v>
      </c>
      <c r="DH77">
        <v>400.0648571428571</v>
      </c>
      <c r="DI77">
        <v>90.40622500000002</v>
      </c>
      <c r="DJ77">
        <v>0.09997176785714287</v>
      </c>
      <c r="DK77">
        <v>31.45955357142858</v>
      </c>
      <c r="DL77">
        <v>30.05336785714286</v>
      </c>
      <c r="DM77">
        <v>999.9000000000002</v>
      </c>
      <c r="DN77">
        <v>0</v>
      </c>
      <c r="DO77">
        <v>0</v>
      </c>
      <c r="DP77">
        <v>10005.11642857143</v>
      </c>
      <c r="DQ77">
        <v>0</v>
      </c>
      <c r="DR77">
        <v>421.1740357142857</v>
      </c>
      <c r="DS77">
        <v>-80.99728571428571</v>
      </c>
      <c r="DT77">
        <v>509.0542857142858</v>
      </c>
      <c r="DU77">
        <v>583.8333571428572</v>
      </c>
      <c r="DV77">
        <v>13.92161785714285</v>
      </c>
      <c r="DW77">
        <v>577.0539285714286</v>
      </c>
      <c r="DX77">
        <v>11.61190714285714</v>
      </c>
      <c r="DY77">
        <v>2.308389285714286</v>
      </c>
      <c r="DZ77">
        <v>1.049788928571429</v>
      </c>
      <c r="EA77">
        <v>19.73506071428571</v>
      </c>
      <c r="EB77">
        <v>7.626333571428572</v>
      </c>
      <c r="EC77">
        <v>1500.000357142857</v>
      </c>
      <c r="ED77">
        <v>0.9730020000000001</v>
      </c>
      <c r="EE77">
        <v>0.0269981</v>
      </c>
      <c r="EF77">
        <v>0</v>
      </c>
      <c r="EG77">
        <v>1135.933214285714</v>
      </c>
      <c r="EH77">
        <v>5.00097</v>
      </c>
      <c r="EI77">
        <v>18000.01428571429</v>
      </c>
      <c r="EJ77">
        <v>12491.60714285714</v>
      </c>
      <c r="EK77">
        <v>39.625</v>
      </c>
      <c r="EL77">
        <v>41.125</v>
      </c>
      <c r="EM77">
        <v>39.85475</v>
      </c>
      <c r="EN77">
        <v>40.93699999999999</v>
      </c>
      <c r="EO77">
        <v>40.82549999999999</v>
      </c>
      <c r="EP77">
        <v>1454.640357142857</v>
      </c>
      <c r="EQ77">
        <v>40.35999999999999</v>
      </c>
      <c r="ER77">
        <v>0</v>
      </c>
      <c r="ES77">
        <v>621.3999998569489</v>
      </c>
      <c r="ET77">
        <v>0</v>
      </c>
      <c r="EU77">
        <v>1136.557692307692</v>
      </c>
      <c r="EV77">
        <v>58.23794875058943</v>
      </c>
      <c r="EW77">
        <v>779.7743598609321</v>
      </c>
      <c r="EX77">
        <v>18008.01538461538</v>
      </c>
      <c r="EY77">
        <v>15</v>
      </c>
      <c r="EZ77">
        <v>1652371289.6</v>
      </c>
      <c r="FA77" t="s">
        <v>515</v>
      </c>
      <c r="FB77">
        <v>1652371289.6</v>
      </c>
      <c r="FC77">
        <v>1652371275.1</v>
      </c>
      <c r="FD77">
        <v>24</v>
      </c>
      <c r="FE77">
        <v>0.442</v>
      </c>
      <c r="FF77">
        <v>0.001</v>
      </c>
      <c r="FG77">
        <v>-2.63</v>
      </c>
      <c r="FH77">
        <v>0.007</v>
      </c>
      <c r="FI77">
        <v>1620</v>
      </c>
      <c r="FJ77">
        <v>22</v>
      </c>
      <c r="FK77">
        <v>0.08</v>
      </c>
      <c r="FL77">
        <v>0.04</v>
      </c>
      <c r="FM77">
        <v>-80.50761463414634</v>
      </c>
      <c r="FN77">
        <v>-11.16058954703847</v>
      </c>
      <c r="FO77">
        <v>1.124547256229439</v>
      </c>
      <c r="FP77">
        <v>-1</v>
      </c>
      <c r="FQ77">
        <v>13.9309487804878</v>
      </c>
      <c r="FR77">
        <v>-0.246234146341456</v>
      </c>
      <c r="FS77">
        <v>0.02519399969167276</v>
      </c>
      <c r="FT77">
        <v>1</v>
      </c>
      <c r="FU77">
        <v>0</v>
      </c>
      <c r="FV77">
        <v>0</v>
      </c>
      <c r="FW77">
        <v>0</v>
      </c>
      <c r="FX77">
        <v>-1</v>
      </c>
      <c r="FY77">
        <v>1</v>
      </c>
      <c r="FZ77">
        <v>1</v>
      </c>
      <c r="GA77" t="s">
        <v>420</v>
      </c>
      <c r="GB77">
        <v>2.69584</v>
      </c>
      <c r="GC77">
        <v>2.70524</v>
      </c>
      <c r="GD77">
        <v>0.109537</v>
      </c>
      <c r="GE77">
        <v>0.12045</v>
      </c>
      <c r="GF77">
        <v>0.110678</v>
      </c>
      <c r="GG77">
        <v>0.0620452</v>
      </c>
      <c r="GH77">
        <v>28006.5</v>
      </c>
      <c r="GI77">
        <v>27783.9</v>
      </c>
      <c r="GJ77">
        <v>29256.3</v>
      </c>
      <c r="GK77">
        <v>29230.7</v>
      </c>
      <c r="GL77">
        <v>34444.9</v>
      </c>
      <c r="GM77">
        <v>36501.5</v>
      </c>
      <c r="GN77">
        <v>41176.8</v>
      </c>
      <c r="GO77">
        <v>41705.9</v>
      </c>
      <c r="GP77">
        <v>1.72903</v>
      </c>
      <c r="GQ77">
        <v>2.02892</v>
      </c>
      <c r="GR77">
        <v>0.0593849</v>
      </c>
      <c r="GS77">
        <v>0</v>
      </c>
      <c r="GT77">
        <v>29.0604</v>
      </c>
      <c r="GU77">
        <v>999.9</v>
      </c>
      <c r="GV77">
        <v>44.4</v>
      </c>
      <c r="GW77">
        <v>32.7</v>
      </c>
      <c r="GX77">
        <v>24.397</v>
      </c>
      <c r="GY77">
        <v>63.5279</v>
      </c>
      <c r="GZ77">
        <v>29.9359</v>
      </c>
      <c r="HA77">
        <v>1</v>
      </c>
      <c r="HB77">
        <v>0.238023</v>
      </c>
      <c r="HC77">
        <v>0.34195</v>
      </c>
      <c r="HD77">
        <v>20.3812</v>
      </c>
      <c r="HE77">
        <v>5.21699</v>
      </c>
      <c r="HF77">
        <v>12.0099</v>
      </c>
      <c r="HG77">
        <v>4.9885</v>
      </c>
      <c r="HH77">
        <v>3.28833</v>
      </c>
      <c r="HI77">
        <v>2711.2</v>
      </c>
      <c r="HJ77">
        <v>9999</v>
      </c>
      <c r="HK77">
        <v>9999</v>
      </c>
      <c r="HL77">
        <v>49.9</v>
      </c>
      <c r="HM77">
        <v>1.86719</v>
      </c>
      <c r="HN77">
        <v>1.86615</v>
      </c>
      <c r="HO77">
        <v>1.86571</v>
      </c>
      <c r="HP77">
        <v>1.86566</v>
      </c>
      <c r="HQ77">
        <v>1.86737</v>
      </c>
      <c r="HR77">
        <v>1.86996</v>
      </c>
      <c r="HS77">
        <v>1.86859</v>
      </c>
      <c r="HT77">
        <v>1.86998</v>
      </c>
      <c r="HU77">
        <v>0</v>
      </c>
      <c r="HV77">
        <v>0</v>
      </c>
      <c r="HW77">
        <v>0</v>
      </c>
      <c r="HX77">
        <v>0</v>
      </c>
      <c r="HY77" t="s">
        <v>421</v>
      </c>
      <c r="HZ77" t="s">
        <v>422</v>
      </c>
      <c r="IA77" t="s">
        <v>423</v>
      </c>
      <c r="IB77" t="s">
        <v>423</v>
      </c>
      <c r="IC77" t="s">
        <v>423</v>
      </c>
      <c r="ID77" t="s">
        <v>423</v>
      </c>
      <c r="IE77">
        <v>0</v>
      </c>
      <c r="IF77">
        <v>100</v>
      </c>
      <c r="IG77">
        <v>100</v>
      </c>
      <c r="IH77">
        <v>0.06900000000000001</v>
      </c>
      <c r="II77">
        <v>0.056</v>
      </c>
      <c r="IJ77">
        <v>1.257309091789605</v>
      </c>
      <c r="IK77">
        <v>-0.002185601614162945</v>
      </c>
      <c r="IL77">
        <v>-2.252308143750626E-07</v>
      </c>
      <c r="IM77">
        <v>5.915558436307541E-11</v>
      </c>
      <c r="IN77">
        <v>-0.118683452207699</v>
      </c>
      <c r="IO77">
        <v>-0.007570214193104963</v>
      </c>
      <c r="IP77">
        <v>0.0009214429922928372</v>
      </c>
      <c r="IQ77">
        <v>-1.392260276065805E-05</v>
      </c>
      <c r="IR77">
        <v>17</v>
      </c>
      <c r="IS77">
        <v>2272</v>
      </c>
      <c r="IT77">
        <v>1</v>
      </c>
      <c r="IU77">
        <v>31</v>
      </c>
      <c r="IV77">
        <v>8.300000000000001</v>
      </c>
      <c r="IW77">
        <v>8.5</v>
      </c>
      <c r="IX77">
        <v>1.41602</v>
      </c>
      <c r="IY77">
        <v>2.22534</v>
      </c>
      <c r="IZ77">
        <v>1.39648</v>
      </c>
      <c r="JA77">
        <v>2.35229</v>
      </c>
      <c r="JB77">
        <v>1.49536</v>
      </c>
      <c r="JC77">
        <v>2.28394</v>
      </c>
      <c r="JD77">
        <v>36.105</v>
      </c>
      <c r="JE77">
        <v>15.3666</v>
      </c>
      <c r="JF77">
        <v>18</v>
      </c>
      <c r="JG77">
        <v>389.458</v>
      </c>
      <c r="JH77">
        <v>563.564</v>
      </c>
      <c r="JI77">
        <v>30.1878</v>
      </c>
      <c r="JJ77">
        <v>30.5152</v>
      </c>
      <c r="JK77">
        <v>30.0002</v>
      </c>
      <c r="JL77">
        <v>30.4016</v>
      </c>
      <c r="JM77">
        <v>30.2935</v>
      </c>
      <c r="JN77">
        <v>28.3321</v>
      </c>
      <c r="JO77">
        <v>47.7039</v>
      </c>
      <c r="JP77">
        <v>0</v>
      </c>
      <c r="JQ77">
        <v>30.1827</v>
      </c>
      <c r="JR77">
        <v>627.3440000000001</v>
      </c>
      <c r="JS77">
        <v>11.6701</v>
      </c>
      <c r="JT77">
        <v>100</v>
      </c>
      <c r="JU77">
        <v>100.112</v>
      </c>
    </row>
    <row r="78" spans="1:281">
      <c r="A78">
        <v>62</v>
      </c>
      <c r="B78">
        <v>1652371792.1</v>
      </c>
      <c r="C78">
        <v>3698.5</v>
      </c>
      <c r="D78" t="s">
        <v>591</v>
      </c>
      <c r="E78" t="s">
        <v>592</v>
      </c>
      <c r="F78">
        <v>5</v>
      </c>
      <c r="G78" t="s">
        <v>518</v>
      </c>
      <c r="H78" t="s">
        <v>414</v>
      </c>
      <c r="I78">
        <v>1652371784.6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613.4199072294466</v>
      </c>
      <c r="AK78">
        <v>547.3382303030302</v>
      </c>
      <c r="AL78">
        <v>3.131084486692836</v>
      </c>
      <c r="AM78">
        <v>65.95105977519088</v>
      </c>
      <c r="AN78">
        <f>(AP78 - AO78 + DI78*1E3/(8.314*(DK78+273.15)) * AR78/DH78 * AQ78) * DH78/(100*CV78) * 1000/(1000 - AP78)</f>
        <v>0</v>
      </c>
      <c r="AO78">
        <v>11.62760897353843</v>
      </c>
      <c r="AP78">
        <v>25.49436293706295</v>
      </c>
      <c r="AQ78">
        <v>-0.0001118922408065582</v>
      </c>
      <c r="AR78">
        <v>81.26040297655408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417</v>
      </c>
      <c r="AY78" t="s">
        <v>417</v>
      </c>
      <c r="AZ78">
        <v>0</v>
      </c>
      <c r="BA78">
        <v>0</v>
      </c>
      <c r="BB78">
        <f>1-AZ78/BA78</f>
        <v>0</v>
      </c>
      <c r="BC78">
        <v>0</v>
      </c>
      <c r="BD78" t="s">
        <v>417</v>
      </c>
      <c r="BE78" t="s">
        <v>417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1393</v>
      </c>
      <c r="CA78">
        <v>300</v>
      </c>
      <c r="CB78">
        <v>300</v>
      </c>
      <c r="CC78">
        <v>300</v>
      </c>
      <c r="CD78">
        <v>10378</v>
      </c>
      <c r="CE78">
        <v>2050</v>
      </c>
      <c r="CF78">
        <v>-0.00730649</v>
      </c>
      <c r="CG78">
        <v>-4.53</v>
      </c>
      <c r="CH78" t="s">
        <v>417</v>
      </c>
      <c r="CI78" t="s">
        <v>417</v>
      </c>
      <c r="CJ78" t="s">
        <v>417</v>
      </c>
      <c r="CK78" t="s">
        <v>417</v>
      </c>
      <c r="CL78" t="s">
        <v>417</v>
      </c>
      <c r="CM78" t="s">
        <v>417</v>
      </c>
      <c r="CN78" t="s">
        <v>417</v>
      </c>
      <c r="CO78" t="s">
        <v>417</v>
      </c>
      <c r="CP78" t="s">
        <v>417</v>
      </c>
      <c r="CQ78" t="s">
        <v>417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418</v>
      </c>
      <c r="CY78">
        <v>2</v>
      </c>
      <c r="CZ78" t="b">
        <v>1</v>
      </c>
      <c r="DA78">
        <v>1652371784.6</v>
      </c>
      <c r="DB78">
        <v>512.1061481481481</v>
      </c>
      <c r="DC78">
        <v>594.3094814814815</v>
      </c>
      <c r="DD78">
        <v>25.51573703703704</v>
      </c>
      <c r="DE78">
        <v>11.62196296296296</v>
      </c>
      <c r="DF78">
        <v>512.019</v>
      </c>
      <c r="DG78">
        <v>25.45964444444444</v>
      </c>
      <c r="DH78">
        <v>400.0691481481481</v>
      </c>
      <c r="DI78">
        <v>90.40771851851852</v>
      </c>
      <c r="DJ78">
        <v>0.09997847407407408</v>
      </c>
      <c r="DK78">
        <v>31.43967407407407</v>
      </c>
      <c r="DL78">
        <v>30.03695185185185</v>
      </c>
      <c r="DM78">
        <v>999.9000000000001</v>
      </c>
      <c r="DN78">
        <v>0</v>
      </c>
      <c r="DO78">
        <v>0</v>
      </c>
      <c r="DP78">
        <v>10010.67851851852</v>
      </c>
      <c r="DQ78">
        <v>0</v>
      </c>
      <c r="DR78">
        <v>421.3326666666666</v>
      </c>
      <c r="DS78">
        <v>-82.20324814814813</v>
      </c>
      <c r="DT78">
        <v>525.5149259259259</v>
      </c>
      <c r="DU78">
        <v>601.2978888888889</v>
      </c>
      <c r="DV78">
        <v>13.89376296296297</v>
      </c>
      <c r="DW78">
        <v>594.3094814814815</v>
      </c>
      <c r="DX78">
        <v>11.62196296296296</v>
      </c>
      <c r="DY78">
        <v>2.306818518518519</v>
      </c>
      <c r="DZ78">
        <v>1.050715185185185</v>
      </c>
      <c r="EA78">
        <v>19.72409259259259</v>
      </c>
      <c r="EB78">
        <v>7.639264074074073</v>
      </c>
      <c r="EC78">
        <v>1500.002592592593</v>
      </c>
      <c r="ED78">
        <v>0.9730020000000001</v>
      </c>
      <c r="EE78">
        <v>0.0269981</v>
      </c>
      <c r="EF78">
        <v>0</v>
      </c>
      <c r="EG78">
        <v>1140.745925925926</v>
      </c>
      <c r="EH78">
        <v>5.00097</v>
      </c>
      <c r="EI78">
        <v>18065.59259259259</v>
      </c>
      <c r="EJ78">
        <v>12491.61481481481</v>
      </c>
      <c r="EK78">
        <v>39.625</v>
      </c>
      <c r="EL78">
        <v>41.125</v>
      </c>
      <c r="EM78">
        <v>39.868</v>
      </c>
      <c r="EN78">
        <v>40.93699999999999</v>
      </c>
      <c r="EO78">
        <v>40.82366666666667</v>
      </c>
      <c r="EP78">
        <v>1454.642592592593</v>
      </c>
      <c r="EQ78">
        <v>40.35999999999999</v>
      </c>
      <c r="ER78">
        <v>0</v>
      </c>
      <c r="ES78">
        <v>626.1999998092651</v>
      </c>
      <c r="ET78">
        <v>0</v>
      </c>
      <c r="EU78">
        <v>1140.825</v>
      </c>
      <c r="EV78">
        <v>49.3562393145008</v>
      </c>
      <c r="EW78">
        <v>865.4700861754188</v>
      </c>
      <c r="EX78">
        <v>18066.85384615384</v>
      </c>
      <c r="EY78">
        <v>15</v>
      </c>
      <c r="EZ78">
        <v>1652371289.6</v>
      </c>
      <c r="FA78" t="s">
        <v>515</v>
      </c>
      <c r="FB78">
        <v>1652371289.6</v>
      </c>
      <c r="FC78">
        <v>1652371275.1</v>
      </c>
      <c r="FD78">
        <v>24</v>
      </c>
      <c r="FE78">
        <v>0.442</v>
      </c>
      <c r="FF78">
        <v>0.001</v>
      </c>
      <c r="FG78">
        <v>-2.63</v>
      </c>
      <c r="FH78">
        <v>0.007</v>
      </c>
      <c r="FI78">
        <v>1620</v>
      </c>
      <c r="FJ78">
        <v>22</v>
      </c>
      <c r="FK78">
        <v>0.08</v>
      </c>
      <c r="FL78">
        <v>0.04</v>
      </c>
      <c r="FM78">
        <v>-81.58687560975609</v>
      </c>
      <c r="FN78">
        <v>-13.85880209059239</v>
      </c>
      <c r="FO78">
        <v>1.394990996173493</v>
      </c>
      <c r="FP78">
        <v>-1</v>
      </c>
      <c r="FQ78">
        <v>13.9095243902439</v>
      </c>
      <c r="FR78">
        <v>-0.313369337979059</v>
      </c>
      <c r="FS78">
        <v>0.03112927240135807</v>
      </c>
      <c r="FT78">
        <v>1</v>
      </c>
      <c r="FU78">
        <v>0</v>
      </c>
      <c r="FV78">
        <v>0</v>
      </c>
      <c r="FW78">
        <v>0</v>
      </c>
      <c r="FX78">
        <v>-1</v>
      </c>
      <c r="FY78">
        <v>1</v>
      </c>
      <c r="FZ78">
        <v>1</v>
      </c>
      <c r="GA78" t="s">
        <v>420</v>
      </c>
      <c r="GB78">
        <v>2.69602</v>
      </c>
      <c r="GC78">
        <v>2.70521</v>
      </c>
      <c r="GD78">
        <v>0.111877</v>
      </c>
      <c r="GE78">
        <v>0.122791</v>
      </c>
      <c r="GF78">
        <v>0.11063</v>
      </c>
      <c r="GG78">
        <v>0.0620929</v>
      </c>
      <c r="GH78">
        <v>27932.6</v>
      </c>
      <c r="GI78">
        <v>27709.6</v>
      </c>
      <c r="GJ78">
        <v>29256</v>
      </c>
      <c r="GK78">
        <v>29230.5</v>
      </c>
      <c r="GL78">
        <v>34446.7</v>
      </c>
      <c r="GM78">
        <v>36499.4</v>
      </c>
      <c r="GN78">
        <v>41176.6</v>
      </c>
      <c r="GO78">
        <v>41705.6</v>
      </c>
      <c r="GP78">
        <v>1.729</v>
      </c>
      <c r="GQ78">
        <v>2.02903</v>
      </c>
      <c r="GR78">
        <v>0.0587106</v>
      </c>
      <c r="GS78">
        <v>0</v>
      </c>
      <c r="GT78">
        <v>29.0539</v>
      </c>
      <c r="GU78">
        <v>999.9</v>
      </c>
      <c r="GV78">
        <v>44.4</v>
      </c>
      <c r="GW78">
        <v>32.7</v>
      </c>
      <c r="GX78">
        <v>24.3961</v>
      </c>
      <c r="GY78">
        <v>63.2979</v>
      </c>
      <c r="GZ78">
        <v>29.5072</v>
      </c>
      <c r="HA78">
        <v>1</v>
      </c>
      <c r="HB78">
        <v>0.238089</v>
      </c>
      <c r="HC78">
        <v>0.267138</v>
      </c>
      <c r="HD78">
        <v>20.3816</v>
      </c>
      <c r="HE78">
        <v>5.21759</v>
      </c>
      <c r="HF78">
        <v>12.0099</v>
      </c>
      <c r="HG78">
        <v>4.9882</v>
      </c>
      <c r="HH78">
        <v>3.28835</v>
      </c>
      <c r="HI78">
        <v>2711.2</v>
      </c>
      <c r="HJ78">
        <v>9999</v>
      </c>
      <c r="HK78">
        <v>9999</v>
      </c>
      <c r="HL78">
        <v>49.9</v>
      </c>
      <c r="HM78">
        <v>1.86721</v>
      </c>
      <c r="HN78">
        <v>1.86616</v>
      </c>
      <c r="HO78">
        <v>1.86575</v>
      </c>
      <c r="HP78">
        <v>1.86566</v>
      </c>
      <c r="HQ78">
        <v>1.86738</v>
      </c>
      <c r="HR78">
        <v>1.86997</v>
      </c>
      <c r="HS78">
        <v>1.86859</v>
      </c>
      <c r="HT78">
        <v>1.86998</v>
      </c>
      <c r="HU78">
        <v>0</v>
      </c>
      <c r="HV78">
        <v>0</v>
      </c>
      <c r="HW78">
        <v>0</v>
      </c>
      <c r="HX78">
        <v>0</v>
      </c>
      <c r="HY78" t="s">
        <v>421</v>
      </c>
      <c r="HZ78" t="s">
        <v>422</v>
      </c>
      <c r="IA78" t="s">
        <v>423</v>
      </c>
      <c r="IB78" t="s">
        <v>423</v>
      </c>
      <c r="IC78" t="s">
        <v>423</v>
      </c>
      <c r="ID78" t="s">
        <v>423</v>
      </c>
      <c r="IE78">
        <v>0</v>
      </c>
      <c r="IF78">
        <v>100</v>
      </c>
      <c r="IG78">
        <v>100</v>
      </c>
      <c r="IH78">
        <v>0.033</v>
      </c>
      <c r="II78">
        <v>0.0557</v>
      </c>
      <c r="IJ78">
        <v>1.257309091789605</v>
      </c>
      <c r="IK78">
        <v>-0.002185601614162945</v>
      </c>
      <c r="IL78">
        <v>-2.252308143750626E-07</v>
      </c>
      <c r="IM78">
        <v>5.915558436307541E-11</v>
      </c>
      <c r="IN78">
        <v>-0.118683452207699</v>
      </c>
      <c r="IO78">
        <v>-0.007570214193104963</v>
      </c>
      <c r="IP78">
        <v>0.0009214429922928372</v>
      </c>
      <c r="IQ78">
        <v>-1.392260276065805E-05</v>
      </c>
      <c r="IR78">
        <v>17</v>
      </c>
      <c r="IS78">
        <v>2272</v>
      </c>
      <c r="IT78">
        <v>1</v>
      </c>
      <c r="IU78">
        <v>31</v>
      </c>
      <c r="IV78">
        <v>8.4</v>
      </c>
      <c r="IW78">
        <v>8.6</v>
      </c>
      <c r="IX78">
        <v>1.44531</v>
      </c>
      <c r="IY78">
        <v>2.21924</v>
      </c>
      <c r="IZ78">
        <v>1.39648</v>
      </c>
      <c r="JA78">
        <v>2.35352</v>
      </c>
      <c r="JB78">
        <v>1.49536</v>
      </c>
      <c r="JC78">
        <v>2.37427</v>
      </c>
      <c r="JD78">
        <v>36.105</v>
      </c>
      <c r="JE78">
        <v>15.3754</v>
      </c>
      <c r="JF78">
        <v>18</v>
      </c>
      <c r="JG78">
        <v>389.462</v>
      </c>
      <c r="JH78">
        <v>563.665</v>
      </c>
      <c r="JI78">
        <v>30.1496</v>
      </c>
      <c r="JJ78">
        <v>30.5177</v>
      </c>
      <c r="JK78">
        <v>30.0002</v>
      </c>
      <c r="JL78">
        <v>30.4043</v>
      </c>
      <c r="JM78">
        <v>30.2962</v>
      </c>
      <c r="JN78">
        <v>28.9862</v>
      </c>
      <c r="JO78">
        <v>47.7039</v>
      </c>
      <c r="JP78">
        <v>0</v>
      </c>
      <c r="JQ78">
        <v>30.1542</v>
      </c>
      <c r="JR78">
        <v>640.754</v>
      </c>
      <c r="JS78">
        <v>11.7091</v>
      </c>
      <c r="JT78">
        <v>99.9995</v>
      </c>
      <c r="JU78">
        <v>100.112</v>
      </c>
    </row>
    <row r="79" spans="1:281">
      <c r="A79">
        <v>63</v>
      </c>
      <c r="B79">
        <v>1652371797.1</v>
      </c>
      <c r="C79">
        <v>3703.5</v>
      </c>
      <c r="D79" t="s">
        <v>593</v>
      </c>
      <c r="E79" t="s">
        <v>594</v>
      </c>
      <c r="F79">
        <v>5</v>
      </c>
      <c r="G79" t="s">
        <v>518</v>
      </c>
      <c r="H79" t="s">
        <v>414</v>
      </c>
      <c r="I79">
        <v>1652371789.314285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630.5674252243542</v>
      </c>
      <c r="AK79">
        <v>563.4547757575759</v>
      </c>
      <c r="AL79">
        <v>3.219991018049095</v>
      </c>
      <c r="AM79">
        <v>65.95105977519088</v>
      </c>
      <c r="AN79">
        <f>(AP79 - AO79 + DI79*1E3/(8.314*(DK79+273.15)) * AR79/DH79 * AQ79) * DH79/(100*CV79) * 1000/(1000 - AP79)</f>
        <v>0</v>
      </c>
      <c r="AO79">
        <v>11.63987243964641</v>
      </c>
      <c r="AP79">
        <v>25.45598881118882</v>
      </c>
      <c r="AQ79">
        <v>-0.01123198551671394</v>
      </c>
      <c r="AR79">
        <v>81.26040297655408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417</v>
      </c>
      <c r="AY79" t="s">
        <v>417</v>
      </c>
      <c r="AZ79">
        <v>0</v>
      </c>
      <c r="BA79">
        <v>0</v>
      </c>
      <c r="BB79">
        <f>1-AZ79/BA79</f>
        <v>0</v>
      </c>
      <c r="BC79">
        <v>0</v>
      </c>
      <c r="BD79" t="s">
        <v>417</v>
      </c>
      <c r="BE79" t="s">
        <v>417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1393</v>
      </c>
      <c r="CA79">
        <v>300</v>
      </c>
      <c r="CB79">
        <v>300</v>
      </c>
      <c r="CC79">
        <v>300</v>
      </c>
      <c r="CD79">
        <v>10378</v>
      </c>
      <c r="CE79">
        <v>2050</v>
      </c>
      <c r="CF79">
        <v>-0.00730649</v>
      </c>
      <c r="CG79">
        <v>-4.53</v>
      </c>
      <c r="CH79" t="s">
        <v>417</v>
      </c>
      <c r="CI79" t="s">
        <v>417</v>
      </c>
      <c r="CJ79" t="s">
        <v>417</v>
      </c>
      <c r="CK79" t="s">
        <v>417</v>
      </c>
      <c r="CL79" t="s">
        <v>417</v>
      </c>
      <c r="CM79" t="s">
        <v>417</v>
      </c>
      <c r="CN79" t="s">
        <v>417</v>
      </c>
      <c r="CO79" t="s">
        <v>417</v>
      </c>
      <c r="CP79" t="s">
        <v>417</v>
      </c>
      <c r="CQ79" t="s">
        <v>417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418</v>
      </c>
      <c r="CY79">
        <v>2</v>
      </c>
      <c r="CZ79" t="b">
        <v>1</v>
      </c>
      <c r="DA79">
        <v>1652371789.314285</v>
      </c>
      <c r="DB79">
        <v>526.5006428571429</v>
      </c>
      <c r="DC79">
        <v>610.0216785714285</v>
      </c>
      <c r="DD79">
        <v>25.49509642857143</v>
      </c>
      <c r="DE79">
        <v>11.63296071428572</v>
      </c>
      <c r="DF79">
        <v>526.4477857142857</v>
      </c>
      <c r="DG79">
        <v>25.43925714285715</v>
      </c>
      <c r="DH79">
        <v>400.0828571428571</v>
      </c>
      <c r="DI79">
        <v>90.40872857142857</v>
      </c>
      <c r="DJ79">
        <v>0.1000116785714286</v>
      </c>
      <c r="DK79">
        <v>31.42325714285715</v>
      </c>
      <c r="DL79">
        <v>30.02135</v>
      </c>
      <c r="DM79">
        <v>999.9000000000002</v>
      </c>
      <c r="DN79">
        <v>0</v>
      </c>
      <c r="DO79">
        <v>0</v>
      </c>
      <c r="DP79">
        <v>10008.28571428571</v>
      </c>
      <c r="DQ79">
        <v>0</v>
      </c>
      <c r="DR79">
        <v>424.1630357142857</v>
      </c>
      <c r="DS79">
        <v>-83.52097857142857</v>
      </c>
      <c r="DT79">
        <v>540.2747857142857</v>
      </c>
      <c r="DU79">
        <v>617.2017499999999</v>
      </c>
      <c r="DV79">
        <v>13.86212857142857</v>
      </c>
      <c r="DW79">
        <v>610.0216785714285</v>
      </c>
      <c r="DX79">
        <v>11.63296071428572</v>
      </c>
      <c r="DY79">
        <v>2.304978571428571</v>
      </c>
      <c r="DZ79">
        <v>1.051721785714286</v>
      </c>
      <c r="EA79">
        <v>19.71123928571429</v>
      </c>
      <c r="EB79">
        <v>7.653289285714286</v>
      </c>
      <c r="EC79">
        <v>1500.002857142857</v>
      </c>
      <c r="ED79">
        <v>0.9730020000000001</v>
      </c>
      <c r="EE79">
        <v>0.0269981</v>
      </c>
      <c r="EF79">
        <v>0</v>
      </c>
      <c r="EG79">
        <v>1144.37</v>
      </c>
      <c r="EH79">
        <v>5.00097</v>
      </c>
      <c r="EI79">
        <v>18122.69642857143</v>
      </c>
      <c r="EJ79">
        <v>12491.62142857143</v>
      </c>
      <c r="EK79">
        <v>39.625</v>
      </c>
      <c r="EL79">
        <v>41.125</v>
      </c>
      <c r="EM79">
        <v>39.87275</v>
      </c>
      <c r="EN79">
        <v>40.93699999999999</v>
      </c>
      <c r="EO79">
        <v>40.83899999999999</v>
      </c>
      <c r="EP79">
        <v>1454.642857142857</v>
      </c>
      <c r="EQ79">
        <v>40.35999999999999</v>
      </c>
      <c r="ER79">
        <v>0</v>
      </c>
      <c r="ES79">
        <v>631</v>
      </c>
      <c r="ET79">
        <v>0</v>
      </c>
      <c r="EU79">
        <v>1144.531538461539</v>
      </c>
      <c r="EV79">
        <v>42.57094016673969</v>
      </c>
      <c r="EW79">
        <v>546.1025640062421</v>
      </c>
      <c r="EX79">
        <v>18125.46538461538</v>
      </c>
      <c r="EY79">
        <v>15</v>
      </c>
      <c r="EZ79">
        <v>1652371289.6</v>
      </c>
      <c r="FA79" t="s">
        <v>515</v>
      </c>
      <c r="FB79">
        <v>1652371289.6</v>
      </c>
      <c r="FC79">
        <v>1652371275.1</v>
      </c>
      <c r="FD79">
        <v>24</v>
      </c>
      <c r="FE79">
        <v>0.442</v>
      </c>
      <c r="FF79">
        <v>0.001</v>
      </c>
      <c r="FG79">
        <v>-2.63</v>
      </c>
      <c r="FH79">
        <v>0.007</v>
      </c>
      <c r="FI79">
        <v>1620</v>
      </c>
      <c r="FJ79">
        <v>22</v>
      </c>
      <c r="FK79">
        <v>0.08</v>
      </c>
      <c r="FL79">
        <v>0.04</v>
      </c>
      <c r="FM79">
        <v>-82.52339024390244</v>
      </c>
      <c r="FN79">
        <v>-16.40081811846695</v>
      </c>
      <c r="FO79">
        <v>1.624527509365509</v>
      </c>
      <c r="FP79">
        <v>-1</v>
      </c>
      <c r="FQ79">
        <v>13.88579756097561</v>
      </c>
      <c r="FR79">
        <v>-0.3761414634146591</v>
      </c>
      <c r="FS79">
        <v>0.03743931341749088</v>
      </c>
      <c r="FT79">
        <v>1</v>
      </c>
      <c r="FU79">
        <v>0</v>
      </c>
      <c r="FV79">
        <v>0</v>
      </c>
      <c r="FW79">
        <v>0</v>
      </c>
      <c r="FX79">
        <v>-1</v>
      </c>
      <c r="FY79">
        <v>1</v>
      </c>
      <c r="FZ79">
        <v>1</v>
      </c>
      <c r="GA79" t="s">
        <v>420</v>
      </c>
      <c r="GB79">
        <v>2.69598</v>
      </c>
      <c r="GC79">
        <v>2.70519</v>
      </c>
      <c r="GD79">
        <v>0.114234</v>
      </c>
      <c r="GE79">
        <v>0.125099</v>
      </c>
      <c r="GF79">
        <v>0.110526</v>
      </c>
      <c r="GG79">
        <v>0.0621505</v>
      </c>
      <c r="GH79">
        <v>27858</v>
      </c>
      <c r="GI79">
        <v>27636.4</v>
      </c>
      <c r="GJ79">
        <v>29255.7</v>
      </c>
      <c r="GK79">
        <v>29230.3</v>
      </c>
      <c r="GL79">
        <v>34450</v>
      </c>
      <c r="GM79">
        <v>36497</v>
      </c>
      <c r="GN79">
        <v>41175.7</v>
      </c>
      <c r="GO79">
        <v>41705.4</v>
      </c>
      <c r="GP79">
        <v>1.7288</v>
      </c>
      <c r="GQ79">
        <v>2.02933</v>
      </c>
      <c r="GR79">
        <v>0.0585765</v>
      </c>
      <c r="GS79">
        <v>0</v>
      </c>
      <c r="GT79">
        <v>29.0479</v>
      </c>
      <c r="GU79">
        <v>999.9</v>
      </c>
      <c r="GV79">
        <v>44.4</v>
      </c>
      <c r="GW79">
        <v>32.7</v>
      </c>
      <c r="GX79">
        <v>24.3959</v>
      </c>
      <c r="GY79">
        <v>63.4879</v>
      </c>
      <c r="GZ79">
        <v>29.1506</v>
      </c>
      <c r="HA79">
        <v>1</v>
      </c>
      <c r="HB79">
        <v>0.237957</v>
      </c>
      <c r="HC79">
        <v>0.184733</v>
      </c>
      <c r="HD79">
        <v>20.3814</v>
      </c>
      <c r="HE79">
        <v>5.21684</v>
      </c>
      <c r="HF79">
        <v>12.0099</v>
      </c>
      <c r="HG79">
        <v>4.98805</v>
      </c>
      <c r="HH79">
        <v>3.28808</v>
      </c>
      <c r="HI79">
        <v>2711.4</v>
      </c>
      <c r="HJ79">
        <v>9999</v>
      </c>
      <c r="HK79">
        <v>9999</v>
      </c>
      <c r="HL79">
        <v>49.9</v>
      </c>
      <c r="HM79">
        <v>1.86719</v>
      </c>
      <c r="HN79">
        <v>1.86615</v>
      </c>
      <c r="HO79">
        <v>1.86571</v>
      </c>
      <c r="HP79">
        <v>1.86567</v>
      </c>
      <c r="HQ79">
        <v>1.86738</v>
      </c>
      <c r="HR79">
        <v>1.86996</v>
      </c>
      <c r="HS79">
        <v>1.86859</v>
      </c>
      <c r="HT79">
        <v>1.86998</v>
      </c>
      <c r="HU79">
        <v>0</v>
      </c>
      <c r="HV79">
        <v>0</v>
      </c>
      <c r="HW79">
        <v>0</v>
      </c>
      <c r="HX79">
        <v>0</v>
      </c>
      <c r="HY79" t="s">
        <v>421</v>
      </c>
      <c r="HZ79" t="s">
        <v>422</v>
      </c>
      <c r="IA79" t="s">
        <v>423</v>
      </c>
      <c r="IB79" t="s">
        <v>423</v>
      </c>
      <c r="IC79" t="s">
        <v>423</v>
      </c>
      <c r="ID79" t="s">
        <v>423</v>
      </c>
      <c r="IE79">
        <v>0</v>
      </c>
      <c r="IF79">
        <v>100</v>
      </c>
      <c r="IG79">
        <v>100</v>
      </c>
      <c r="IH79">
        <v>-0.005</v>
      </c>
      <c r="II79">
        <v>0.0554</v>
      </c>
      <c r="IJ79">
        <v>1.257309091789605</v>
      </c>
      <c r="IK79">
        <v>-0.002185601614162945</v>
      </c>
      <c r="IL79">
        <v>-2.252308143750626E-07</v>
      </c>
      <c r="IM79">
        <v>5.915558436307541E-11</v>
      </c>
      <c r="IN79">
        <v>-0.118683452207699</v>
      </c>
      <c r="IO79">
        <v>-0.007570214193104963</v>
      </c>
      <c r="IP79">
        <v>0.0009214429922928372</v>
      </c>
      <c r="IQ79">
        <v>-1.392260276065805E-05</v>
      </c>
      <c r="IR79">
        <v>17</v>
      </c>
      <c r="IS79">
        <v>2272</v>
      </c>
      <c r="IT79">
        <v>1</v>
      </c>
      <c r="IU79">
        <v>31</v>
      </c>
      <c r="IV79">
        <v>8.5</v>
      </c>
      <c r="IW79">
        <v>8.699999999999999</v>
      </c>
      <c r="IX79">
        <v>1.47705</v>
      </c>
      <c r="IY79">
        <v>2.2229</v>
      </c>
      <c r="IZ79">
        <v>1.39648</v>
      </c>
      <c r="JA79">
        <v>2.35474</v>
      </c>
      <c r="JB79">
        <v>1.49536</v>
      </c>
      <c r="JC79">
        <v>2.37183</v>
      </c>
      <c r="JD79">
        <v>36.105</v>
      </c>
      <c r="JE79">
        <v>15.3754</v>
      </c>
      <c r="JF79">
        <v>18</v>
      </c>
      <c r="JG79">
        <v>389.37</v>
      </c>
      <c r="JH79">
        <v>563.926</v>
      </c>
      <c r="JI79">
        <v>30.1295</v>
      </c>
      <c r="JJ79">
        <v>30.5204</v>
      </c>
      <c r="JK79">
        <v>30</v>
      </c>
      <c r="JL79">
        <v>30.4068</v>
      </c>
      <c r="JM79">
        <v>30.2999</v>
      </c>
      <c r="JN79">
        <v>29.5604</v>
      </c>
      <c r="JO79">
        <v>47.4334</v>
      </c>
      <c r="JP79">
        <v>0</v>
      </c>
      <c r="JQ79">
        <v>30.1428</v>
      </c>
      <c r="JR79">
        <v>660.879</v>
      </c>
      <c r="JS79">
        <v>11.7445</v>
      </c>
      <c r="JT79">
        <v>99.99769999999999</v>
      </c>
      <c r="JU79">
        <v>100.111</v>
      </c>
    </row>
    <row r="80" spans="1:281">
      <c r="A80">
        <v>64</v>
      </c>
      <c r="B80">
        <v>1652371802.1</v>
      </c>
      <c r="C80">
        <v>3708.5</v>
      </c>
      <c r="D80" t="s">
        <v>595</v>
      </c>
      <c r="E80" t="s">
        <v>596</v>
      </c>
      <c r="F80">
        <v>5</v>
      </c>
      <c r="G80" t="s">
        <v>518</v>
      </c>
      <c r="H80" t="s">
        <v>414</v>
      </c>
      <c r="I80">
        <v>1652371794.6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647.5027610648673</v>
      </c>
      <c r="AK80">
        <v>579.5816121212121</v>
      </c>
      <c r="AL80">
        <v>3.225092752693579</v>
      </c>
      <c r="AM80">
        <v>65.95105977519088</v>
      </c>
      <c r="AN80">
        <f>(AP80 - AO80 + DI80*1E3/(8.314*(DK80+273.15)) * AR80/DH80 * AQ80) * DH80/(100*CV80) * 1000/(1000 - AP80)</f>
        <v>0</v>
      </c>
      <c r="AO80">
        <v>11.65731620467376</v>
      </c>
      <c r="AP80">
        <v>25.43607972027974</v>
      </c>
      <c r="AQ80">
        <v>-0.007743712867808701</v>
      </c>
      <c r="AR80">
        <v>81.26040297655408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417</v>
      </c>
      <c r="AY80" t="s">
        <v>417</v>
      </c>
      <c r="AZ80">
        <v>0</v>
      </c>
      <c r="BA80">
        <v>0</v>
      </c>
      <c r="BB80">
        <f>1-AZ80/BA80</f>
        <v>0</v>
      </c>
      <c r="BC80">
        <v>0</v>
      </c>
      <c r="BD80" t="s">
        <v>417</v>
      </c>
      <c r="BE80" t="s">
        <v>417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1393</v>
      </c>
      <c r="CA80">
        <v>300</v>
      </c>
      <c r="CB80">
        <v>300</v>
      </c>
      <c r="CC80">
        <v>300</v>
      </c>
      <c r="CD80">
        <v>10378</v>
      </c>
      <c r="CE80">
        <v>2050</v>
      </c>
      <c r="CF80">
        <v>-0.00730649</v>
      </c>
      <c r="CG80">
        <v>-4.53</v>
      </c>
      <c r="CH80" t="s">
        <v>417</v>
      </c>
      <c r="CI80" t="s">
        <v>417</v>
      </c>
      <c r="CJ80" t="s">
        <v>417</v>
      </c>
      <c r="CK80" t="s">
        <v>417</v>
      </c>
      <c r="CL80" t="s">
        <v>417</v>
      </c>
      <c r="CM80" t="s">
        <v>417</v>
      </c>
      <c r="CN80" t="s">
        <v>417</v>
      </c>
      <c r="CO80" t="s">
        <v>417</v>
      </c>
      <c r="CP80" t="s">
        <v>417</v>
      </c>
      <c r="CQ80" t="s">
        <v>417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418</v>
      </c>
      <c r="CY80">
        <v>2</v>
      </c>
      <c r="CZ80" t="b">
        <v>1</v>
      </c>
      <c r="DA80">
        <v>1652371794.6</v>
      </c>
      <c r="DB80">
        <v>542.8905555555556</v>
      </c>
      <c r="DC80">
        <v>627.7703333333333</v>
      </c>
      <c r="DD80">
        <v>25.4697962962963</v>
      </c>
      <c r="DE80">
        <v>11.65594814814815</v>
      </c>
      <c r="DF80">
        <v>542.8766666666667</v>
      </c>
      <c r="DG80">
        <v>25.41427407407407</v>
      </c>
      <c r="DH80">
        <v>400.0854814814815</v>
      </c>
      <c r="DI80">
        <v>90.40880000000003</v>
      </c>
      <c r="DJ80">
        <v>0.1000300037037037</v>
      </c>
      <c r="DK80">
        <v>31.40487037037037</v>
      </c>
      <c r="DL80">
        <v>30.00493703703704</v>
      </c>
      <c r="DM80">
        <v>999.9000000000001</v>
      </c>
      <c r="DN80">
        <v>0</v>
      </c>
      <c r="DO80">
        <v>0</v>
      </c>
      <c r="DP80">
        <v>10000.8837037037</v>
      </c>
      <c r="DQ80">
        <v>0</v>
      </c>
      <c r="DR80">
        <v>428.235962962963</v>
      </c>
      <c r="DS80">
        <v>-84.87983333333332</v>
      </c>
      <c r="DT80">
        <v>557.078888888889</v>
      </c>
      <c r="DU80">
        <v>635.1743333333334</v>
      </c>
      <c r="DV80">
        <v>13.81386666666666</v>
      </c>
      <c r="DW80">
        <v>627.7703333333333</v>
      </c>
      <c r="DX80">
        <v>11.65594814814815</v>
      </c>
      <c r="DY80">
        <v>2.302694444444445</v>
      </c>
      <c r="DZ80">
        <v>1.0538</v>
      </c>
      <c r="EA80">
        <v>19.69525555555555</v>
      </c>
      <c r="EB80">
        <v>7.682203333333335</v>
      </c>
      <c r="EC80">
        <v>1500.006666666667</v>
      </c>
      <c r="ED80">
        <v>0.9730020000000001</v>
      </c>
      <c r="EE80">
        <v>0.0269981</v>
      </c>
      <c r="EF80">
        <v>0</v>
      </c>
      <c r="EG80">
        <v>1147.878148148148</v>
      </c>
      <c r="EH80">
        <v>5.00097</v>
      </c>
      <c r="EI80">
        <v>18172.09259259259</v>
      </c>
      <c r="EJ80">
        <v>12491.64814814815</v>
      </c>
      <c r="EK80">
        <v>39.625</v>
      </c>
      <c r="EL80">
        <v>41.125</v>
      </c>
      <c r="EM80">
        <v>39.875</v>
      </c>
      <c r="EN80">
        <v>40.93699999999999</v>
      </c>
      <c r="EO80">
        <v>40.85166666666666</v>
      </c>
      <c r="EP80">
        <v>1454.646666666667</v>
      </c>
      <c r="EQ80">
        <v>40.35999999999999</v>
      </c>
      <c r="ER80">
        <v>0</v>
      </c>
      <c r="ES80">
        <v>635.7999999523163</v>
      </c>
      <c r="ET80">
        <v>0</v>
      </c>
      <c r="EU80">
        <v>1147.653461538462</v>
      </c>
      <c r="EV80">
        <v>35.81367524377878</v>
      </c>
      <c r="EW80">
        <v>434.4102569204726</v>
      </c>
      <c r="EX80">
        <v>18169.81153846154</v>
      </c>
      <c r="EY80">
        <v>15</v>
      </c>
      <c r="EZ80">
        <v>1652371289.6</v>
      </c>
      <c r="FA80" t="s">
        <v>515</v>
      </c>
      <c r="FB80">
        <v>1652371289.6</v>
      </c>
      <c r="FC80">
        <v>1652371275.1</v>
      </c>
      <c r="FD80">
        <v>24</v>
      </c>
      <c r="FE80">
        <v>0.442</v>
      </c>
      <c r="FF80">
        <v>0.001</v>
      </c>
      <c r="FG80">
        <v>-2.63</v>
      </c>
      <c r="FH80">
        <v>0.007</v>
      </c>
      <c r="FI80">
        <v>1620</v>
      </c>
      <c r="FJ80">
        <v>22</v>
      </c>
      <c r="FK80">
        <v>0.08</v>
      </c>
      <c r="FL80">
        <v>0.04</v>
      </c>
      <c r="FM80">
        <v>-84.00862750000002</v>
      </c>
      <c r="FN80">
        <v>-15.76395534709162</v>
      </c>
      <c r="FO80">
        <v>1.523709259666604</v>
      </c>
      <c r="FP80">
        <v>-1</v>
      </c>
      <c r="FQ80">
        <v>13.8409375</v>
      </c>
      <c r="FR80">
        <v>-0.5277039399625164</v>
      </c>
      <c r="FS80">
        <v>0.05220741177026494</v>
      </c>
      <c r="FT80">
        <v>0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1</v>
      </c>
      <c r="GA80" t="s">
        <v>432</v>
      </c>
      <c r="GB80">
        <v>2.69591</v>
      </c>
      <c r="GC80">
        <v>2.70502</v>
      </c>
      <c r="GD80">
        <v>0.116561</v>
      </c>
      <c r="GE80">
        <v>0.127398</v>
      </c>
      <c r="GF80">
        <v>0.110465</v>
      </c>
      <c r="GG80">
        <v>0.0624198</v>
      </c>
      <c r="GH80">
        <v>27785.1</v>
      </c>
      <c r="GI80">
        <v>27563.7</v>
      </c>
      <c r="GJ80">
        <v>29256</v>
      </c>
      <c r="GK80">
        <v>29230.2</v>
      </c>
      <c r="GL80">
        <v>34453.2</v>
      </c>
      <c r="GM80">
        <v>36486.6</v>
      </c>
      <c r="GN80">
        <v>41176.6</v>
      </c>
      <c r="GO80">
        <v>41705.5</v>
      </c>
      <c r="GP80">
        <v>1.72865</v>
      </c>
      <c r="GQ80">
        <v>2.0292</v>
      </c>
      <c r="GR80">
        <v>0.0576489</v>
      </c>
      <c r="GS80">
        <v>0</v>
      </c>
      <c r="GT80">
        <v>29.0415</v>
      </c>
      <c r="GU80">
        <v>999.9</v>
      </c>
      <c r="GV80">
        <v>44.4</v>
      </c>
      <c r="GW80">
        <v>32.7</v>
      </c>
      <c r="GX80">
        <v>24.397</v>
      </c>
      <c r="GY80">
        <v>63.3179</v>
      </c>
      <c r="GZ80">
        <v>29.8958</v>
      </c>
      <c r="HA80">
        <v>1</v>
      </c>
      <c r="HB80">
        <v>0.237868</v>
      </c>
      <c r="HC80">
        <v>0.109703</v>
      </c>
      <c r="HD80">
        <v>20.3817</v>
      </c>
      <c r="HE80">
        <v>5.21699</v>
      </c>
      <c r="HF80">
        <v>12.0099</v>
      </c>
      <c r="HG80">
        <v>4.988</v>
      </c>
      <c r="HH80">
        <v>3.28835</v>
      </c>
      <c r="HI80">
        <v>2711.4</v>
      </c>
      <c r="HJ80">
        <v>9999</v>
      </c>
      <c r="HK80">
        <v>9999</v>
      </c>
      <c r="HL80">
        <v>49.9</v>
      </c>
      <c r="HM80">
        <v>1.86721</v>
      </c>
      <c r="HN80">
        <v>1.86615</v>
      </c>
      <c r="HO80">
        <v>1.86572</v>
      </c>
      <c r="HP80">
        <v>1.86565</v>
      </c>
      <c r="HQ80">
        <v>1.86738</v>
      </c>
      <c r="HR80">
        <v>1.86996</v>
      </c>
      <c r="HS80">
        <v>1.86861</v>
      </c>
      <c r="HT80">
        <v>1.86997</v>
      </c>
      <c r="HU80">
        <v>0</v>
      </c>
      <c r="HV80">
        <v>0</v>
      </c>
      <c r="HW80">
        <v>0</v>
      </c>
      <c r="HX80">
        <v>0</v>
      </c>
      <c r="HY80" t="s">
        <v>421</v>
      </c>
      <c r="HZ80" t="s">
        <v>422</v>
      </c>
      <c r="IA80" t="s">
        <v>423</v>
      </c>
      <c r="IB80" t="s">
        <v>423</v>
      </c>
      <c r="IC80" t="s">
        <v>423</v>
      </c>
      <c r="ID80" t="s">
        <v>423</v>
      </c>
      <c r="IE80">
        <v>0</v>
      </c>
      <c r="IF80">
        <v>100</v>
      </c>
      <c r="IG80">
        <v>100</v>
      </c>
      <c r="IH80">
        <v>-0.042</v>
      </c>
      <c r="II80">
        <v>0.0551</v>
      </c>
      <c r="IJ80">
        <v>1.257309091789605</v>
      </c>
      <c r="IK80">
        <v>-0.002185601614162945</v>
      </c>
      <c r="IL80">
        <v>-2.252308143750626E-07</v>
      </c>
      <c r="IM80">
        <v>5.915558436307541E-11</v>
      </c>
      <c r="IN80">
        <v>-0.118683452207699</v>
      </c>
      <c r="IO80">
        <v>-0.007570214193104963</v>
      </c>
      <c r="IP80">
        <v>0.0009214429922928372</v>
      </c>
      <c r="IQ80">
        <v>-1.392260276065805E-05</v>
      </c>
      <c r="IR80">
        <v>17</v>
      </c>
      <c r="IS80">
        <v>2272</v>
      </c>
      <c r="IT80">
        <v>1</v>
      </c>
      <c r="IU80">
        <v>31</v>
      </c>
      <c r="IV80">
        <v>8.5</v>
      </c>
      <c r="IW80">
        <v>8.800000000000001</v>
      </c>
      <c r="IX80">
        <v>1.50879</v>
      </c>
      <c r="IY80">
        <v>2.21558</v>
      </c>
      <c r="IZ80">
        <v>1.39648</v>
      </c>
      <c r="JA80">
        <v>2.35352</v>
      </c>
      <c r="JB80">
        <v>1.49536</v>
      </c>
      <c r="JC80">
        <v>2.33643</v>
      </c>
      <c r="JD80">
        <v>36.1285</v>
      </c>
      <c r="JE80">
        <v>15.3754</v>
      </c>
      <c r="JF80">
        <v>18</v>
      </c>
      <c r="JG80">
        <v>389.307</v>
      </c>
      <c r="JH80">
        <v>563.8579999999999</v>
      </c>
      <c r="JI80">
        <v>30.1258</v>
      </c>
      <c r="JJ80">
        <v>30.523</v>
      </c>
      <c r="JK80">
        <v>30</v>
      </c>
      <c r="JL80">
        <v>30.4099</v>
      </c>
      <c r="JM80">
        <v>30.3027</v>
      </c>
      <c r="JN80">
        <v>30.2034</v>
      </c>
      <c r="JO80">
        <v>47.4334</v>
      </c>
      <c r="JP80">
        <v>0</v>
      </c>
      <c r="JQ80">
        <v>30.1417</v>
      </c>
      <c r="JR80">
        <v>674.237</v>
      </c>
      <c r="JS80">
        <v>11.7907</v>
      </c>
      <c r="JT80">
        <v>99.99939999999999</v>
      </c>
      <c r="JU80">
        <v>100.111</v>
      </c>
    </row>
    <row r="81" spans="1:281">
      <c r="A81">
        <v>65</v>
      </c>
      <c r="B81">
        <v>1652371807.1</v>
      </c>
      <c r="C81">
        <v>3713.5</v>
      </c>
      <c r="D81" t="s">
        <v>597</v>
      </c>
      <c r="E81" t="s">
        <v>598</v>
      </c>
      <c r="F81">
        <v>5</v>
      </c>
      <c r="G81" t="s">
        <v>518</v>
      </c>
      <c r="H81" t="s">
        <v>414</v>
      </c>
      <c r="I81">
        <v>1652371799.314285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664.6448506781613</v>
      </c>
      <c r="AK81">
        <v>595.7841939393938</v>
      </c>
      <c r="AL81">
        <v>3.245029084291127</v>
      </c>
      <c r="AM81">
        <v>65.95105977519088</v>
      </c>
      <c r="AN81">
        <f>(AP81 - AO81 + DI81*1E3/(8.314*(DK81+273.15)) * AR81/DH81 * AQ81) * DH81/(100*CV81) * 1000/(1000 - AP81)</f>
        <v>0</v>
      </c>
      <c r="AO81">
        <v>11.72295954027157</v>
      </c>
      <c r="AP81">
        <v>25.42532517482518</v>
      </c>
      <c r="AQ81">
        <v>-0.0009069198979184669</v>
      </c>
      <c r="AR81">
        <v>81.26040297655408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417</v>
      </c>
      <c r="AY81" t="s">
        <v>417</v>
      </c>
      <c r="AZ81">
        <v>0</v>
      </c>
      <c r="BA81">
        <v>0</v>
      </c>
      <c r="BB81">
        <f>1-AZ81/BA81</f>
        <v>0</v>
      </c>
      <c r="BC81">
        <v>0</v>
      </c>
      <c r="BD81" t="s">
        <v>417</v>
      </c>
      <c r="BE81" t="s">
        <v>417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1393</v>
      </c>
      <c r="CA81">
        <v>300</v>
      </c>
      <c r="CB81">
        <v>300</v>
      </c>
      <c r="CC81">
        <v>300</v>
      </c>
      <c r="CD81">
        <v>10378</v>
      </c>
      <c r="CE81">
        <v>2050</v>
      </c>
      <c r="CF81">
        <v>-0.00730649</v>
      </c>
      <c r="CG81">
        <v>-4.53</v>
      </c>
      <c r="CH81" t="s">
        <v>417</v>
      </c>
      <c r="CI81" t="s">
        <v>417</v>
      </c>
      <c r="CJ81" t="s">
        <v>417</v>
      </c>
      <c r="CK81" t="s">
        <v>417</v>
      </c>
      <c r="CL81" t="s">
        <v>417</v>
      </c>
      <c r="CM81" t="s">
        <v>417</v>
      </c>
      <c r="CN81" t="s">
        <v>417</v>
      </c>
      <c r="CO81" t="s">
        <v>417</v>
      </c>
      <c r="CP81" t="s">
        <v>417</v>
      </c>
      <c r="CQ81" t="s">
        <v>417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418</v>
      </c>
      <c r="CY81">
        <v>2</v>
      </c>
      <c r="CZ81" t="b">
        <v>1</v>
      </c>
      <c r="DA81">
        <v>1652371799.314285</v>
      </c>
      <c r="DB81">
        <v>557.6706071428572</v>
      </c>
      <c r="DC81">
        <v>643.6651785714286</v>
      </c>
      <c r="DD81">
        <v>25.44775714285714</v>
      </c>
      <c r="DE81">
        <v>11.68761071428571</v>
      </c>
      <c r="DF81">
        <v>557.6920000000001</v>
      </c>
      <c r="DG81">
        <v>25.39249642857143</v>
      </c>
      <c r="DH81">
        <v>400.063</v>
      </c>
      <c r="DI81">
        <v>90.40801071428574</v>
      </c>
      <c r="DJ81">
        <v>0.09999397857142855</v>
      </c>
      <c r="DK81">
        <v>31.38967857142857</v>
      </c>
      <c r="DL81">
        <v>29.99064642857143</v>
      </c>
      <c r="DM81">
        <v>999.9000000000002</v>
      </c>
      <c r="DN81">
        <v>0</v>
      </c>
      <c r="DO81">
        <v>0</v>
      </c>
      <c r="DP81">
        <v>9997.855714285713</v>
      </c>
      <c r="DQ81">
        <v>0</v>
      </c>
      <c r="DR81">
        <v>425.7353214285714</v>
      </c>
      <c r="DS81">
        <v>-85.99463214285713</v>
      </c>
      <c r="DT81">
        <v>572.2323571428572</v>
      </c>
      <c r="DU81">
        <v>651.277642857143</v>
      </c>
      <c r="DV81">
        <v>13.76017857142857</v>
      </c>
      <c r="DW81">
        <v>643.6651785714286</v>
      </c>
      <c r="DX81">
        <v>11.68761071428571</v>
      </c>
      <c r="DY81">
        <v>2.300681785714286</v>
      </c>
      <c r="DZ81">
        <v>1.056653214285714</v>
      </c>
      <c r="EA81">
        <v>19.681175</v>
      </c>
      <c r="EB81">
        <v>7.721802857142857</v>
      </c>
      <c r="EC81">
        <v>1500.000714285714</v>
      </c>
      <c r="ED81">
        <v>0.9730020000000001</v>
      </c>
      <c r="EE81">
        <v>0.0269981</v>
      </c>
      <c r="EF81">
        <v>0</v>
      </c>
      <c r="EG81">
        <v>1150.349285714286</v>
      </c>
      <c r="EH81">
        <v>5.00097</v>
      </c>
      <c r="EI81">
        <v>18185.06071428571</v>
      </c>
      <c r="EJ81">
        <v>12491.60357142857</v>
      </c>
      <c r="EK81">
        <v>39.625</v>
      </c>
      <c r="EL81">
        <v>41.125</v>
      </c>
      <c r="EM81">
        <v>39.875</v>
      </c>
      <c r="EN81">
        <v>40.93699999999999</v>
      </c>
      <c r="EO81">
        <v>40.84349999999999</v>
      </c>
      <c r="EP81">
        <v>1454.640714285714</v>
      </c>
      <c r="EQ81">
        <v>40.35999999999999</v>
      </c>
      <c r="ER81">
        <v>0</v>
      </c>
      <c r="ES81">
        <v>641.1999998092651</v>
      </c>
      <c r="ET81">
        <v>0</v>
      </c>
      <c r="EU81">
        <v>1150.6684</v>
      </c>
      <c r="EV81">
        <v>26.25846159610621</v>
      </c>
      <c r="EW81">
        <v>120.0461542271687</v>
      </c>
      <c r="EX81">
        <v>18188.9</v>
      </c>
      <c r="EY81">
        <v>15</v>
      </c>
      <c r="EZ81">
        <v>1652371289.6</v>
      </c>
      <c r="FA81" t="s">
        <v>515</v>
      </c>
      <c r="FB81">
        <v>1652371289.6</v>
      </c>
      <c r="FC81">
        <v>1652371275.1</v>
      </c>
      <c r="FD81">
        <v>24</v>
      </c>
      <c r="FE81">
        <v>0.442</v>
      </c>
      <c r="FF81">
        <v>0.001</v>
      </c>
      <c r="FG81">
        <v>-2.63</v>
      </c>
      <c r="FH81">
        <v>0.007</v>
      </c>
      <c r="FI81">
        <v>1620</v>
      </c>
      <c r="FJ81">
        <v>22</v>
      </c>
      <c r="FK81">
        <v>0.08</v>
      </c>
      <c r="FL81">
        <v>0.04</v>
      </c>
      <c r="FM81">
        <v>-85.33211707317072</v>
      </c>
      <c r="FN81">
        <v>-14.09013031358871</v>
      </c>
      <c r="FO81">
        <v>1.392405770845595</v>
      </c>
      <c r="FP81">
        <v>-1</v>
      </c>
      <c r="FQ81">
        <v>13.78926097560976</v>
      </c>
      <c r="FR81">
        <v>-0.6786668989546941</v>
      </c>
      <c r="FS81">
        <v>0.06767359926937976</v>
      </c>
      <c r="FT81">
        <v>0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1</v>
      </c>
      <c r="GA81" t="s">
        <v>432</v>
      </c>
      <c r="GB81">
        <v>2.69594</v>
      </c>
      <c r="GC81">
        <v>2.70519</v>
      </c>
      <c r="GD81">
        <v>0.118873</v>
      </c>
      <c r="GE81">
        <v>0.129657</v>
      </c>
      <c r="GF81">
        <v>0.110431</v>
      </c>
      <c r="GG81">
        <v>0.0625038</v>
      </c>
      <c r="GH81">
        <v>27711.9</v>
      </c>
      <c r="GI81">
        <v>27492</v>
      </c>
      <c r="GJ81">
        <v>29255.5</v>
      </c>
      <c r="GK81">
        <v>29229.9</v>
      </c>
      <c r="GL81">
        <v>34454.3</v>
      </c>
      <c r="GM81">
        <v>36482.9</v>
      </c>
      <c r="GN81">
        <v>41176.2</v>
      </c>
      <c r="GO81">
        <v>41705</v>
      </c>
      <c r="GP81">
        <v>1.72878</v>
      </c>
      <c r="GQ81">
        <v>2.02935</v>
      </c>
      <c r="GR81">
        <v>0.057444</v>
      </c>
      <c r="GS81">
        <v>0</v>
      </c>
      <c r="GT81">
        <v>29.0353</v>
      </c>
      <c r="GU81">
        <v>999.9</v>
      </c>
      <c r="GV81">
        <v>44.4</v>
      </c>
      <c r="GW81">
        <v>32.7</v>
      </c>
      <c r="GX81">
        <v>24.397</v>
      </c>
      <c r="GY81">
        <v>63.3579</v>
      </c>
      <c r="GZ81">
        <v>29.1867</v>
      </c>
      <c r="HA81">
        <v>1</v>
      </c>
      <c r="HB81">
        <v>0.238504</v>
      </c>
      <c r="HC81">
        <v>-1.47406</v>
      </c>
      <c r="HD81">
        <v>20.3714</v>
      </c>
      <c r="HE81">
        <v>5.214</v>
      </c>
      <c r="HF81">
        <v>12.0099</v>
      </c>
      <c r="HG81">
        <v>4.9871</v>
      </c>
      <c r="HH81">
        <v>3.2877</v>
      </c>
      <c r="HI81">
        <v>2711.7</v>
      </c>
      <c r="HJ81">
        <v>9999</v>
      </c>
      <c r="HK81">
        <v>9999</v>
      </c>
      <c r="HL81">
        <v>49.9</v>
      </c>
      <c r="HM81">
        <v>1.8672</v>
      </c>
      <c r="HN81">
        <v>1.86615</v>
      </c>
      <c r="HO81">
        <v>1.86572</v>
      </c>
      <c r="HP81">
        <v>1.86566</v>
      </c>
      <c r="HQ81">
        <v>1.86737</v>
      </c>
      <c r="HR81">
        <v>1.86996</v>
      </c>
      <c r="HS81">
        <v>1.86859</v>
      </c>
      <c r="HT81">
        <v>1.86996</v>
      </c>
      <c r="HU81">
        <v>0</v>
      </c>
      <c r="HV81">
        <v>0</v>
      </c>
      <c r="HW81">
        <v>0</v>
      </c>
      <c r="HX81">
        <v>0</v>
      </c>
      <c r="HY81" t="s">
        <v>421</v>
      </c>
      <c r="HZ81" t="s">
        <v>422</v>
      </c>
      <c r="IA81" t="s">
        <v>423</v>
      </c>
      <c r="IB81" t="s">
        <v>423</v>
      </c>
      <c r="IC81" t="s">
        <v>423</v>
      </c>
      <c r="ID81" t="s">
        <v>423</v>
      </c>
      <c r="IE81">
        <v>0</v>
      </c>
      <c r="IF81">
        <v>100</v>
      </c>
      <c r="IG81">
        <v>100</v>
      </c>
      <c r="IH81">
        <v>-0.081</v>
      </c>
      <c r="II81">
        <v>0.055</v>
      </c>
      <c r="IJ81">
        <v>1.257309091789605</v>
      </c>
      <c r="IK81">
        <v>-0.002185601614162945</v>
      </c>
      <c r="IL81">
        <v>-2.252308143750626E-07</v>
      </c>
      <c r="IM81">
        <v>5.915558436307541E-11</v>
      </c>
      <c r="IN81">
        <v>-0.118683452207699</v>
      </c>
      <c r="IO81">
        <v>-0.007570214193104963</v>
      </c>
      <c r="IP81">
        <v>0.0009214429922928372</v>
      </c>
      <c r="IQ81">
        <v>-1.392260276065805E-05</v>
      </c>
      <c r="IR81">
        <v>17</v>
      </c>
      <c r="IS81">
        <v>2272</v>
      </c>
      <c r="IT81">
        <v>1</v>
      </c>
      <c r="IU81">
        <v>31</v>
      </c>
      <c r="IV81">
        <v>8.6</v>
      </c>
      <c r="IW81">
        <v>8.9</v>
      </c>
      <c r="IX81">
        <v>1.53687</v>
      </c>
      <c r="IY81">
        <v>2.22168</v>
      </c>
      <c r="IZ81">
        <v>1.39648</v>
      </c>
      <c r="JA81">
        <v>2.35352</v>
      </c>
      <c r="JB81">
        <v>1.49536</v>
      </c>
      <c r="JC81">
        <v>2.27051</v>
      </c>
      <c r="JD81">
        <v>36.1285</v>
      </c>
      <c r="JE81">
        <v>15.3666</v>
      </c>
      <c r="JF81">
        <v>18</v>
      </c>
      <c r="JG81">
        <v>389.392</v>
      </c>
      <c r="JH81">
        <v>564.001</v>
      </c>
      <c r="JI81">
        <v>30.2231</v>
      </c>
      <c r="JJ81">
        <v>30.5259</v>
      </c>
      <c r="JK81">
        <v>30.0005</v>
      </c>
      <c r="JL81">
        <v>30.4128</v>
      </c>
      <c r="JM81">
        <v>30.3059</v>
      </c>
      <c r="JN81">
        <v>30.768</v>
      </c>
      <c r="JO81">
        <v>47.4334</v>
      </c>
      <c r="JP81">
        <v>0</v>
      </c>
      <c r="JQ81">
        <v>30.6165</v>
      </c>
      <c r="JR81">
        <v>694.279</v>
      </c>
      <c r="JS81">
        <v>11.7304</v>
      </c>
      <c r="JT81">
        <v>99.9982</v>
      </c>
      <c r="JU81">
        <v>100.11</v>
      </c>
    </row>
    <row r="82" spans="1:281">
      <c r="A82">
        <v>66</v>
      </c>
      <c r="B82">
        <v>1652371812.1</v>
      </c>
      <c r="C82">
        <v>3718.5</v>
      </c>
      <c r="D82" t="s">
        <v>599</v>
      </c>
      <c r="E82" t="s">
        <v>600</v>
      </c>
      <c r="F82">
        <v>5</v>
      </c>
      <c r="G82" t="s">
        <v>518</v>
      </c>
      <c r="H82" t="s">
        <v>414</v>
      </c>
      <c r="I82">
        <v>1652371804.6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681.6436380992625</v>
      </c>
      <c r="AK82">
        <v>612.0590363636364</v>
      </c>
      <c r="AL82">
        <v>3.247779162010884</v>
      </c>
      <c r="AM82">
        <v>65.95105977519088</v>
      </c>
      <c r="AN82">
        <f>(AP82 - AO82 + DI82*1E3/(8.314*(DK82+273.15)) * AR82/DH82 * AQ82) * DH82/(100*CV82) * 1000/(1000 - AP82)</f>
        <v>0</v>
      </c>
      <c r="AO82">
        <v>11.74249258435511</v>
      </c>
      <c r="AP82">
        <v>25.40259790209791</v>
      </c>
      <c r="AQ82">
        <v>-0.0006583972027912631</v>
      </c>
      <c r="AR82">
        <v>81.26040297655408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417</v>
      </c>
      <c r="AY82" t="s">
        <v>417</v>
      </c>
      <c r="AZ82">
        <v>0</v>
      </c>
      <c r="BA82">
        <v>0</v>
      </c>
      <c r="BB82">
        <f>1-AZ82/BA82</f>
        <v>0</v>
      </c>
      <c r="BC82">
        <v>0</v>
      </c>
      <c r="BD82" t="s">
        <v>417</v>
      </c>
      <c r="BE82" t="s">
        <v>417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1393</v>
      </c>
      <c r="CA82">
        <v>300</v>
      </c>
      <c r="CB82">
        <v>300</v>
      </c>
      <c r="CC82">
        <v>300</v>
      </c>
      <c r="CD82">
        <v>10378</v>
      </c>
      <c r="CE82">
        <v>2050</v>
      </c>
      <c r="CF82">
        <v>-0.00730649</v>
      </c>
      <c r="CG82">
        <v>-4.53</v>
      </c>
      <c r="CH82" t="s">
        <v>417</v>
      </c>
      <c r="CI82" t="s">
        <v>417</v>
      </c>
      <c r="CJ82" t="s">
        <v>417</v>
      </c>
      <c r="CK82" t="s">
        <v>417</v>
      </c>
      <c r="CL82" t="s">
        <v>417</v>
      </c>
      <c r="CM82" t="s">
        <v>417</v>
      </c>
      <c r="CN82" t="s">
        <v>417</v>
      </c>
      <c r="CO82" t="s">
        <v>417</v>
      </c>
      <c r="CP82" t="s">
        <v>417</v>
      </c>
      <c r="CQ82" t="s">
        <v>417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418</v>
      </c>
      <c r="CY82">
        <v>2</v>
      </c>
      <c r="CZ82" t="b">
        <v>1</v>
      </c>
      <c r="DA82">
        <v>1652371804.6</v>
      </c>
      <c r="DB82">
        <v>574.3547037037036</v>
      </c>
      <c r="DC82">
        <v>661.4437407407409</v>
      </c>
      <c r="DD82">
        <v>25.42782592592593</v>
      </c>
      <c r="DE82">
        <v>11.72357407407408</v>
      </c>
      <c r="DF82">
        <v>574.4159629629629</v>
      </c>
      <c r="DG82">
        <v>25.37281111111111</v>
      </c>
      <c r="DH82">
        <v>400.0740000000001</v>
      </c>
      <c r="DI82">
        <v>90.40687037037036</v>
      </c>
      <c r="DJ82">
        <v>0.1000185851851852</v>
      </c>
      <c r="DK82">
        <v>31.37554814814814</v>
      </c>
      <c r="DL82">
        <v>29.98007777777778</v>
      </c>
      <c r="DM82">
        <v>999.9000000000001</v>
      </c>
      <c r="DN82">
        <v>0</v>
      </c>
      <c r="DO82">
        <v>0</v>
      </c>
      <c r="DP82">
        <v>9998.194814814815</v>
      </c>
      <c r="DQ82">
        <v>0</v>
      </c>
      <c r="DR82">
        <v>421.3514814814814</v>
      </c>
      <c r="DS82">
        <v>-87.08908888888888</v>
      </c>
      <c r="DT82">
        <v>589.3401111111111</v>
      </c>
      <c r="DU82">
        <v>669.2905925925926</v>
      </c>
      <c r="DV82">
        <v>13.70428888888889</v>
      </c>
      <c r="DW82">
        <v>661.4437407407409</v>
      </c>
      <c r="DX82">
        <v>11.72357407407408</v>
      </c>
      <c r="DY82">
        <v>2.298850740740741</v>
      </c>
      <c r="DZ82">
        <v>1.059890740740741</v>
      </c>
      <c r="EA82">
        <v>19.66835185185185</v>
      </c>
      <c r="EB82">
        <v>7.766707407407408</v>
      </c>
      <c r="EC82">
        <v>1499.998518518518</v>
      </c>
      <c r="ED82">
        <v>0.9730020000000001</v>
      </c>
      <c r="EE82">
        <v>0.0269981</v>
      </c>
      <c r="EF82">
        <v>0</v>
      </c>
      <c r="EG82">
        <v>1152.51962962963</v>
      </c>
      <c r="EH82">
        <v>5.00097</v>
      </c>
      <c r="EI82">
        <v>18204.47777777778</v>
      </c>
      <c r="EJ82">
        <v>12491.58148148148</v>
      </c>
      <c r="EK82">
        <v>39.625</v>
      </c>
      <c r="EL82">
        <v>41.125</v>
      </c>
      <c r="EM82">
        <v>39.875</v>
      </c>
      <c r="EN82">
        <v>40.93699999999999</v>
      </c>
      <c r="EO82">
        <v>40.82366666666666</v>
      </c>
      <c r="EP82">
        <v>1454.638518518518</v>
      </c>
      <c r="EQ82">
        <v>40.35999999999999</v>
      </c>
      <c r="ER82">
        <v>0</v>
      </c>
      <c r="ES82">
        <v>646</v>
      </c>
      <c r="ET82">
        <v>0</v>
      </c>
      <c r="EU82">
        <v>1152.5692</v>
      </c>
      <c r="EV82">
        <v>20.00461536510301</v>
      </c>
      <c r="EW82">
        <v>89.87692395640876</v>
      </c>
      <c r="EX82">
        <v>18207.144</v>
      </c>
      <c r="EY82">
        <v>15</v>
      </c>
      <c r="EZ82">
        <v>1652371289.6</v>
      </c>
      <c r="FA82" t="s">
        <v>515</v>
      </c>
      <c r="FB82">
        <v>1652371289.6</v>
      </c>
      <c r="FC82">
        <v>1652371275.1</v>
      </c>
      <c r="FD82">
        <v>24</v>
      </c>
      <c r="FE82">
        <v>0.442</v>
      </c>
      <c r="FF82">
        <v>0.001</v>
      </c>
      <c r="FG82">
        <v>-2.63</v>
      </c>
      <c r="FH82">
        <v>0.007</v>
      </c>
      <c r="FI82">
        <v>1620</v>
      </c>
      <c r="FJ82">
        <v>22</v>
      </c>
      <c r="FK82">
        <v>0.08</v>
      </c>
      <c r="FL82">
        <v>0.04</v>
      </c>
      <c r="FM82">
        <v>-86.24036097560976</v>
      </c>
      <c r="FN82">
        <v>-12.81897282229974</v>
      </c>
      <c r="FO82">
        <v>1.265793958087475</v>
      </c>
      <c r="FP82">
        <v>-1</v>
      </c>
      <c r="FQ82">
        <v>13.74956097560976</v>
      </c>
      <c r="FR82">
        <v>-0.6657198606271666</v>
      </c>
      <c r="FS82">
        <v>0.06650545137402517</v>
      </c>
      <c r="FT82">
        <v>0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1</v>
      </c>
      <c r="GA82" t="s">
        <v>432</v>
      </c>
      <c r="GB82">
        <v>2.69623</v>
      </c>
      <c r="GC82">
        <v>2.70522</v>
      </c>
      <c r="GD82">
        <v>0.121159</v>
      </c>
      <c r="GE82">
        <v>0.131875</v>
      </c>
      <c r="GF82">
        <v>0.110359</v>
      </c>
      <c r="GG82">
        <v>0.0625656</v>
      </c>
      <c r="GH82">
        <v>27640.1</v>
      </c>
      <c r="GI82">
        <v>27421.8</v>
      </c>
      <c r="GJ82">
        <v>29255.7</v>
      </c>
      <c r="GK82">
        <v>29229.8</v>
      </c>
      <c r="GL82">
        <v>34457.3</v>
      </c>
      <c r="GM82">
        <v>36480.3</v>
      </c>
      <c r="GN82">
        <v>41176.4</v>
      </c>
      <c r="GO82">
        <v>41704.7</v>
      </c>
      <c r="GP82">
        <v>1.7292</v>
      </c>
      <c r="GQ82">
        <v>2.02938</v>
      </c>
      <c r="GR82">
        <v>0.0587292</v>
      </c>
      <c r="GS82">
        <v>0</v>
      </c>
      <c r="GT82">
        <v>29.0303</v>
      </c>
      <c r="GU82">
        <v>999.9</v>
      </c>
      <c r="GV82">
        <v>44.5</v>
      </c>
      <c r="GW82">
        <v>32.7</v>
      </c>
      <c r="GX82">
        <v>24.4539</v>
      </c>
      <c r="GY82">
        <v>63.3679</v>
      </c>
      <c r="GZ82">
        <v>29.2989</v>
      </c>
      <c r="HA82">
        <v>1</v>
      </c>
      <c r="HB82">
        <v>0.238895</v>
      </c>
      <c r="HC82">
        <v>-0.992233</v>
      </c>
      <c r="HD82">
        <v>20.3782</v>
      </c>
      <c r="HE82">
        <v>5.21744</v>
      </c>
      <c r="HF82">
        <v>12.0099</v>
      </c>
      <c r="HG82">
        <v>4.9885</v>
      </c>
      <c r="HH82">
        <v>3.28853</v>
      </c>
      <c r="HI82">
        <v>2711.7</v>
      </c>
      <c r="HJ82">
        <v>9999</v>
      </c>
      <c r="HK82">
        <v>9999</v>
      </c>
      <c r="HL82">
        <v>49.9</v>
      </c>
      <c r="HM82">
        <v>1.86721</v>
      </c>
      <c r="HN82">
        <v>1.86615</v>
      </c>
      <c r="HO82">
        <v>1.86571</v>
      </c>
      <c r="HP82">
        <v>1.86566</v>
      </c>
      <c r="HQ82">
        <v>1.86738</v>
      </c>
      <c r="HR82">
        <v>1.86997</v>
      </c>
      <c r="HS82">
        <v>1.8686</v>
      </c>
      <c r="HT82">
        <v>1.86998</v>
      </c>
      <c r="HU82">
        <v>0</v>
      </c>
      <c r="HV82">
        <v>0</v>
      </c>
      <c r="HW82">
        <v>0</v>
      </c>
      <c r="HX82">
        <v>0</v>
      </c>
      <c r="HY82" t="s">
        <v>421</v>
      </c>
      <c r="HZ82" t="s">
        <v>422</v>
      </c>
      <c r="IA82" t="s">
        <v>423</v>
      </c>
      <c r="IB82" t="s">
        <v>423</v>
      </c>
      <c r="IC82" t="s">
        <v>423</v>
      </c>
      <c r="ID82" t="s">
        <v>423</v>
      </c>
      <c r="IE82">
        <v>0</v>
      </c>
      <c r="IF82">
        <v>100</v>
      </c>
      <c r="IG82">
        <v>100</v>
      </c>
      <c r="IH82">
        <v>-0.118</v>
      </c>
      <c r="II82">
        <v>0.0547</v>
      </c>
      <c r="IJ82">
        <v>1.257309091789605</v>
      </c>
      <c r="IK82">
        <v>-0.002185601614162945</v>
      </c>
      <c r="IL82">
        <v>-2.252308143750626E-07</v>
      </c>
      <c r="IM82">
        <v>5.915558436307541E-11</v>
      </c>
      <c r="IN82">
        <v>-0.118683452207699</v>
      </c>
      <c r="IO82">
        <v>-0.007570214193104963</v>
      </c>
      <c r="IP82">
        <v>0.0009214429922928372</v>
      </c>
      <c r="IQ82">
        <v>-1.392260276065805E-05</v>
      </c>
      <c r="IR82">
        <v>17</v>
      </c>
      <c r="IS82">
        <v>2272</v>
      </c>
      <c r="IT82">
        <v>1</v>
      </c>
      <c r="IU82">
        <v>31</v>
      </c>
      <c r="IV82">
        <v>8.699999999999999</v>
      </c>
      <c r="IW82">
        <v>8.9</v>
      </c>
      <c r="IX82">
        <v>1.56982</v>
      </c>
      <c r="IY82">
        <v>2.22534</v>
      </c>
      <c r="IZ82">
        <v>1.39648</v>
      </c>
      <c r="JA82">
        <v>2.35352</v>
      </c>
      <c r="JB82">
        <v>1.49536</v>
      </c>
      <c r="JC82">
        <v>2.26685</v>
      </c>
      <c r="JD82">
        <v>36.1285</v>
      </c>
      <c r="JE82">
        <v>15.3579</v>
      </c>
      <c r="JF82">
        <v>18</v>
      </c>
      <c r="JG82">
        <v>389.635</v>
      </c>
      <c r="JH82">
        <v>564.045</v>
      </c>
      <c r="JI82">
        <v>30.6219</v>
      </c>
      <c r="JJ82">
        <v>30.5286</v>
      </c>
      <c r="JK82">
        <v>30.0003</v>
      </c>
      <c r="JL82">
        <v>30.4155</v>
      </c>
      <c r="JM82">
        <v>30.3085</v>
      </c>
      <c r="JN82">
        <v>31.4066</v>
      </c>
      <c r="JO82">
        <v>47.4334</v>
      </c>
      <c r="JP82">
        <v>0</v>
      </c>
      <c r="JQ82">
        <v>30.6367</v>
      </c>
      <c r="JR82">
        <v>707.635</v>
      </c>
      <c r="JS82">
        <v>11.755</v>
      </c>
      <c r="JT82">
        <v>99.9986</v>
      </c>
      <c r="JU82">
        <v>100.109</v>
      </c>
    </row>
    <row r="83" spans="1:281">
      <c r="A83">
        <v>67</v>
      </c>
      <c r="B83">
        <v>1652371817.1</v>
      </c>
      <c r="C83">
        <v>3723.5</v>
      </c>
      <c r="D83" t="s">
        <v>601</v>
      </c>
      <c r="E83" t="s">
        <v>602</v>
      </c>
      <c r="F83">
        <v>5</v>
      </c>
      <c r="G83" t="s">
        <v>518</v>
      </c>
      <c r="H83" t="s">
        <v>414</v>
      </c>
      <c r="I83">
        <v>1652371809.314285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698.5910953012245</v>
      </c>
      <c r="AK83">
        <v>628.5144181818179</v>
      </c>
      <c r="AL83">
        <v>3.289229012353101</v>
      </c>
      <c r="AM83">
        <v>65.95105977519088</v>
      </c>
      <c r="AN83">
        <f>(AP83 - AO83 + DI83*1E3/(8.314*(DK83+273.15)) * AR83/DH83 * AQ83) * DH83/(100*CV83) * 1000/(1000 - AP83)</f>
        <v>0</v>
      </c>
      <c r="AO83">
        <v>11.7592975322788</v>
      </c>
      <c r="AP83">
        <v>25.36981678321678</v>
      </c>
      <c r="AQ83">
        <v>-0.001614214505763382</v>
      </c>
      <c r="AR83">
        <v>81.26040297655408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417</v>
      </c>
      <c r="AY83" t="s">
        <v>417</v>
      </c>
      <c r="AZ83">
        <v>0</v>
      </c>
      <c r="BA83">
        <v>0</v>
      </c>
      <c r="BB83">
        <f>1-AZ83/BA83</f>
        <v>0</v>
      </c>
      <c r="BC83">
        <v>0</v>
      </c>
      <c r="BD83" t="s">
        <v>417</v>
      </c>
      <c r="BE83" t="s">
        <v>417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1393</v>
      </c>
      <c r="CA83">
        <v>300</v>
      </c>
      <c r="CB83">
        <v>300</v>
      </c>
      <c r="CC83">
        <v>300</v>
      </c>
      <c r="CD83">
        <v>10378</v>
      </c>
      <c r="CE83">
        <v>2050</v>
      </c>
      <c r="CF83">
        <v>-0.00730649</v>
      </c>
      <c r="CG83">
        <v>-4.53</v>
      </c>
      <c r="CH83" t="s">
        <v>417</v>
      </c>
      <c r="CI83" t="s">
        <v>417</v>
      </c>
      <c r="CJ83" t="s">
        <v>417</v>
      </c>
      <c r="CK83" t="s">
        <v>417</v>
      </c>
      <c r="CL83" t="s">
        <v>417</v>
      </c>
      <c r="CM83" t="s">
        <v>417</v>
      </c>
      <c r="CN83" t="s">
        <v>417</v>
      </c>
      <c r="CO83" t="s">
        <v>417</v>
      </c>
      <c r="CP83" t="s">
        <v>417</v>
      </c>
      <c r="CQ83" t="s">
        <v>417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418</v>
      </c>
      <c r="CY83">
        <v>2</v>
      </c>
      <c r="CZ83" t="b">
        <v>1</v>
      </c>
      <c r="DA83">
        <v>1652371809.314285</v>
      </c>
      <c r="DB83">
        <v>589.3045357142857</v>
      </c>
      <c r="DC83">
        <v>677.2802142857144</v>
      </c>
      <c r="DD83">
        <v>25.410175</v>
      </c>
      <c r="DE83">
        <v>11.74815714285714</v>
      </c>
      <c r="DF83">
        <v>589.4016071428572</v>
      </c>
      <c r="DG83">
        <v>25.35537142857143</v>
      </c>
      <c r="DH83">
        <v>400.0665357142857</v>
      </c>
      <c r="DI83">
        <v>90.40587500000001</v>
      </c>
      <c r="DJ83">
        <v>0.0999875107142857</v>
      </c>
      <c r="DK83">
        <v>31.372175</v>
      </c>
      <c r="DL83">
        <v>29.98022500000001</v>
      </c>
      <c r="DM83">
        <v>999.9000000000002</v>
      </c>
      <c r="DN83">
        <v>0</v>
      </c>
      <c r="DO83">
        <v>0</v>
      </c>
      <c r="DP83">
        <v>10001.73821428571</v>
      </c>
      <c r="DQ83">
        <v>0</v>
      </c>
      <c r="DR83">
        <v>417.8109642857142</v>
      </c>
      <c r="DS83">
        <v>-87.97568928571431</v>
      </c>
      <c r="DT83">
        <v>604.669</v>
      </c>
      <c r="DU83">
        <v>685.3317857142857</v>
      </c>
      <c r="DV83">
        <v>13.66203928571428</v>
      </c>
      <c r="DW83">
        <v>677.2802142857144</v>
      </c>
      <c r="DX83">
        <v>11.74815714285714</v>
      </c>
      <c r="DY83">
        <v>2.297229285714285</v>
      </c>
      <c r="DZ83">
        <v>1.062101785714286</v>
      </c>
      <c r="EA83">
        <v>19.65698571428572</v>
      </c>
      <c r="EB83">
        <v>7.797313928571428</v>
      </c>
      <c r="EC83">
        <v>1500.001428571428</v>
      </c>
      <c r="ED83">
        <v>0.9730020000000001</v>
      </c>
      <c r="EE83">
        <v>0.0269981</v>
      </c>
      <c r="EF83">
        <v>0</v>
      </c>
      <c r="EG83">
        <v>1153.905</v>
      </c>
      <c r="EH83">
        <v>5.00097</v>
      </c>
      <c r="EI83">
        <v>18239.84285714286</v>
      </c>
      <c r="EJ83">
        <v>12491.60714285714</v>
      </c>
      <c r="EK83">
        <v>39.625</v>
      </c>
      <c r="EL83">
        <v>41.125</v>
      </c>
      <c r="EM83">
        <v>39.875</v>
      </c>
      <c r="EN83">
        <v>40.93699999999999</v>
      </c>
      <c r="EO83">
        <v>40.8165</v>
      </c>
      <c r="EP83">
        <v>1454.641428571429</v>
      </c>
      <c r="EQ83">
        <v>40.35999999999999</v>
      </c>
      <c r="ER83">
        <v>0</v>
      </c>
      <c r="ES83">
        <v>651.3999998569489</v>
      </c>
      <c r="ET83">
        <v>0</v>
      </c>
      <c r="EU83">
        <v>1154.031538461539</v>
      </c>
      <c r="EV83">
        <v>14.36786326603056</v>
      </c>
      <c r="EW83">
        <v>838.5435904671531</v>
      </c>
      <c r="EX83">
        <v>18247.92307692308</v>
      </c>
      <c r="EY83">
        <v>15</v>
      </c>
      <c r="EZ83">
        <v>1652371289.6</v>
      </c>
      <c r="FA83" t="s">
        <v>515</v>
      </c>
      <c r="FB83">
        <v>1652371289.6</v>
      </c>
      <c r="FC83">
        <v>1652371275.1</v>
      </c>
      <c r="FD83">
        <v>24</v>
      </c>
      <c r="FE83">
        <v>0.442</v>
      </c>
      <c r="FF83">
        <v>0.001</v>
      </c>
      <c r="FG83">
        <v>-2.63</v>
      </c>
      <c r="FH83">
        <v>0.007</v>
      </c>
      <c r="FI83">
        <v>1620</v>
      </c>
      <c r="FJ83">
        <v>22</v>
      </c>
      <c r="FK83">
        <v>0.08</v>
      </c>
      <c r="FL83">
        <v>0.04</v>
      </c>
      <c r="FM83">
        <v>-87.386185</v>
      </c>
      <c r="FN83">
        <v>-11.49516923076901</v>
      </c>
      <c r="FO83">
        <v>1.111033559022858</v>
      </c>
      <c r="FP83">
        <v>-1</v>
      </c>
      <c r="FQ83">
        <v>13.6909575</v>
      </c>
      <c r="FR83">
        <v>-0.5458232645404055</v>
      </c>
      <c r="FS83">
        <v>0.05354165148508223</v>
      </c>
      <c r="FT83">
        <v>0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1</v>
      </c>
      <c r="GA83" t="s">
        <v>432</v>
      </c>
      <c r="GB83">
        <v>2.69599</v>
      </c>
      <c r="GC83">
        <v>2.7051</v>
      </c>
      <c r="GD83">
        <v>0.12344</v>
      </c>
      <c r="GE83">
        <v>0.134065</v>
      </c>
      <c r="GF83">
        <v>0.110251</v>
      </c>
      <c r="GG83">
        <v>0.06261369999999999</v>
      </c>
      <c r="GH83">
        <v>27567.4</v>
      </c>
      <c r="GI83">
        <v>27352.2</v>
      </c>
      <c r="GJ83">
        <v>29254.8</v>
      </c>
      <c r="GK83">
        <v>29229.5</v>
      </c>
      <c r="GL83">
        <v>34460.5</v>
      </c>
      <c r="GM83">
        <v>36478.2</v>
      </c>
      <c r="GN83">
        <v>41175.1</v>
      </c>
      <c r="GO83">
        <v>41704.4</v>
      </c>
      <c r="GP83">
        <v>1.7285</v>
      </c>
      <c r="GQ83">
        <v>2.02925</v>
      </c>
      <c r="GR83">
        <v>0.0595152</v>
      </c>
      <c r="GS83">
        <v>0</v>
      </c>
      <c r="GT83">
        <v>29.024</v>
      </c>
      <c r="GU83">
        <v>999.9</v>
      </c>
      <c r="GV83">
        <v>44.5</v>
      </c>
      <c r="GW83">
        <v>32.7</v>
      </c>
      <c r="GX83">
        <v>24.4516</v>
      </c>
      <c r="GY83">
        <v>63.4679</v>
      </c>
      <c r="GZ83">
        <v>29.0986</v>
      </c>
      <c r="HA83">
        <v>1</v>
      </c>
      <c r="HB83">
        <v>0.238582</v>
      </c>
      <c r="HC83">
        <v>-0.593502</v>
      </c>
      <c r="HD83">
        <v>20.3805</v>
      </c>
      <c r="HE83">
        <v>5.21729</v>
      </c>
      <c r="HF83">
        <v>12.0099</v>
      </c>
      <c r="HG83">
        <v>4.98835</v>
      </c>
      <c r="HH83">
        <v>3.28835</v>
      </c>
      <c r="HI83">
        <v>2711.9</v>
      </c>
      <c r="HJ83">
        <v>9999</v>
      </c>
      <c r="HK83">
        <v>9999</v>
      </c>
      <c r="HL83">
        <v>49.9</v>
      </c>
      <c r="HM83">
        <v>1.86722</v>
      </c>
      <c r="HN83">
        <v>1.86615</v>
      </c>
      <c r="HO83">
        <v>1.86575</v>
      </c>
      <c r="HP83">
        <v>1.86563</v>
      </c>
      <c r="HQ83">
        <v>1.86738</v>
      </c>
      <c r="HR83">
        <v>1.86997</v>
      </c>
      <c r="HS83">
        <v>1.8686</v>
      </c>
      <c r="HT83">
        <v>1.86997</v>
      </c>
      <c r="HU83">
        <v>0</v>
      </c>
      <c r="HV83">
        <v>0</v>
      </c>
      <c r="HW83">
        <v>0</v>
      </c>
      <c r="HX83">
        <v>0</v>
      </c>
      <c r="HY83" t="s">
        <v>421</v>
      </c>
      <c r="HZ83" t="s">
        <v>422</v>
      </c>
      <c r="IA83" t="s">
        <v>423</v>
      </c>
      <c r="IB83" t="s">
        <v>423</v>
      </c>
      <c r="IC83" t="s">
        <v>423</v>
      </c>
      <c r="ID83" t="s">
        <v>423</v>
      </c>
      <c r="IE83">
        <v>0</v>
      </c>
      <c r="IF83">
        <v>100</v>
      </c>
      <c r="IG83">
        <v>100</v>
      </c>
      <c r="IH83">
        <v>-0.157</v>
      </c>
      <c r="II83">
        <v>0.0543</v>
      </c>
      <c r="IJ83">
        <v>1.257309091789605</v>
      </c>
      <c r="IK83">
        <v>-0.002185601614162945</v>
      </c>
      <c r="IL83">
        <v>-2.252308143750626E-07</v>
      </c>
      <c r="IM83">
        <v>5.915558436307541E-11</v>
      </c>
      <c r="IN83">
        <v>-0.118683452207699</v>
      </c>
      <c r="IO83">
        <v>-0.007570214193104963</v>
      </c>
      <c r="IP83">
        <v>0.0009214429922928372</v>
      </c>
      <c r="IQ83">
        <v>-1.392260276065805E-05</v>
      </c>
      <c r="IR83">
        <v>17</v>
      </c>
      <c r="IS83">
        <v>2272</v>
      </c>
      <c r="IT83">
        <v>1</v>
      </c>
      <c r="IU83">
        <v>31</v>
      </c>
      <c r="IV83">
        <v>8.800000000000001</v>
      </c>
      <c r="IW83">
        <v>9</v>
      </c>
      <c r="IX83">
        <v>1.5979</v>
      </c>
      <c r="IY83">
        <v>2.2229</v>
      </c>
      <c r="IZ83">
        <v>1.39648</v>
      </c>
      <c r="JA83">
        <v>2.35352</v>
      </c>
      <c r="JB83">
        <v>1.49536</v>
      </c>
      <c r="JC83">
        <v>2.31445</v>
      </c>
      <c r="JD83">
        <v>36.1285</v>
      </c>
      <c r="JE83">
        <v>15.3666</v>
      </c>
      <c r="JF83">
        <v>18</v>
      </c>
      <c r="JG83">
        <v>389.279</v>
      </c>
      <c r="JH83">
        <v>563.981</v>
      </c>
      <c r="JI83">
        <v>30.6958</v>
      </c>
      <c r="JJ83">
        <v>30.5309</v>
      </c>
      <c r="JK83">
        <v>30</v>
      </c>
      <c r="JL83">
        <v>30.4187</v>
      </c>
      <c r="JM83">
        <v>30.3118</v>
      </c>
      <c r="JN83">
        <v>31.9679</v>
      </c>
      <c r="JO83">
        <v>47.4334</v>
      </c>
      <c r="JP83">
        <v>0</v>
      </c>
      <c r="JQ83">
        <v>30.6477</v>
      </c>
      <c r="JR83">
        <v>727.668</v>
      </c>
      <c r="JS83">
        <v>11.7986</v>
      </c>
      <c r="JT83">
        <v>99.9956</v>
      </c>
      <c r="JU83">
        <v>100.108</v>
      </c>
    </row>
    <row r="84" spans="1:281">
      <c r="A84">
        <v>68</v>
      </c>
      <c r="B84">
        <v>1652371821.6</v>
      </c>
      <c r="C84">
        <v>3728</v>
      </c>
      <c r="D84" t="s">
        <v>603</v>
      </c>
      <c r="E84" t="s">
        <v>604</v>
      </c>
      <c r="F84">
        <v>5</v>
      </c>
      <c r="G84" t="s">
        <v>518</v>
      </c>
      <c r="H84" t="s">
        <v>414</v>
      </c>
      <c r="I84">
        <v>1652371813.760714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713.9019018416581</v>
      </c>
      <c r="AK84">
        <v>643.3349999999996</v>
      </c>
      <c r="AL84">
        <v>3.289752628086467</v>
      </c>
      <c r="AM84">
        <v>65.95105977519088</v>
      </c>
      <c r="AN84">
        <f>(AP84 - AO84 + DI84*1E3/(8.314*(DK84+273.15)) * AR84/DH84 * AQ84) * DH84/(100*CV84) * 1000/(1000 - AP84)</f>
        <v>0</v>
      </c>
      <c r="AO84">
        <v>11.77120691098751</v>
      </c>
      <c r="AP84">
        <v>25.33583286713288</v>
      </c>
      <c r="AQ84">
        <v>-0.009756588805195584</v>
      </c>
      <c r="AR84">
        <v>81.26040297655408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417</v>
      </c>
      <c r="AY84" t="s">
        <v>417</v>
      </c>
      <c r="AZ84">
        <v>0</v>
      </c>
      <c r="BA84">
        <v>0</v>
      </c>
      <c r="BB84">
        <f>1-AZ84/BA84</f>
        <v>0</v>
      </c>
      <c r="BC84">
        <v>0</v>
      </c>
      <c r="BD84" t="s">
        <v>417</v>
      </c>
      <c r="BE84" t="s">
        <v>417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1393</v>
      </c>
      <c r="CA84">
        <v>300</v>
      </c>
      <c r="CB84">
        <v>300</v>
      </c>
      <c r="CC84">
        <v>300</v>
      </c>
      <c r="CD84">
        <v>10378</v>
      </c>
      <c r="CE84">
        <v>2050</v>
      </c>
      <c r="CF84">
        <v>-0.00730649</v>
      </c>
      <c r="CG84">
        <v>-4.53</v>
      </c>
      <c r="CH84" t="s">
        <v>417</v>
      </c>
      <c r="CI84" t="s">
        <v>417</v>
      </c>
      <c r="CJ84" t="s">
        <v>417</v>
      </c>
      <c r="CK84" t="s">
        <v>417</v>
      </c>
      <c r="CL84" t="s">
        <v>417</v>
      </c>
      <c r="CM84" t="s">
        <v>417</v>
      </c>
      <c r="CN84" t="s">
        <v>417</v>
      </c>
      <c r="CO84" t="s">
        <v>417</v>
      </c>
      <c r="CP84" t="s">
        <v>417</v>
      </c>
      <c r="CQ84" t="s">
        <v>417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418</v>
      </c>
      <c r="CY84">
        <v>2</v>
      </c>
      <c r="CZ84" t="b">
        <v>1</v>
      </c>
      <c r="DA84">
        <v>1652371813.760714</v>
      </c>
      <c r="DB84">
        <v>603.5032142857143</v>
      </c>
      <c r="DC84">
        <v>692.2031071428573</v>
      </c>
      <c r="DD84">
        <v>25.3862</v>
      </c>
      <c r="DE84">
        <v>11.76152142857143</v>
      </c>
      <c r="DF84">
        <v>603.6342142857144</v>
      </c>
      <c r="DG84">
        <v>25.33169285714286</v>
      </c>
      <c r="DH84">
        <v>400.0823928571428</v>
      </c>
      <c r="DI84">
        <v>90.40526785714285</v>
      </c>
      <c r="DJ84">
        <v>0.10002465</v>
      </c>
      <c r="DK84">
        <v>31.37382142857142</v>
      </c>
      <c r="DL84">
        <v>29.98596428571429</v>
      </c>
      <c r="DM84">
        <v>999.9000000000002</v>
      </c>
      <c r="DN84">
        <v>0</v>
      </c>
      <c r="DO84">
        <v>0</v>
      </c>
      <c r="DP84">
        <v>10001.07535714286</v>
      </c>
      <c r="DQ84">
        <v>0</v>
      </c>
      <c r="DR84">
        <v>422.7249642857142</v>
      </c>
      <c r="DS84">
        <v>-88.69992142857144</v>
      </c>
      <c r="DT84">
        <v>619.2225357142858</v>
      </c>
      <c r="DU84">
        <v>700.4415714285713</v>
      </c>
      <c r="DV84">
        <v>13.62469285714286</v>
      </c>
      <c r="DW84">
        <v>692.2031071428573</v>
      </c>
      <c r="DX84">
        <v>11.76152142857143</v>
      </c>
      <c r="DY84">
        <v>2.295047142857143</v>
      </c>
      <c r="DZ84">
        <v>1.063303571428571</v>
      </c>
      <c r="EA84">
        <v>19.64166785714286</v>
      </c>
      <c r="EB84">
        <v>7.813913571428571</v>
      </c>
      <c r="EC84">
        <v>1500.010714285714</v>
      </c>
      <c r="ED84">
        <v>0.9730020000000001</v>
      </c>
      <c r="EE84">
        <v>0.0269981</v>
      </c>
      <c r="EF84">
        <v>0</v>
      </c>
      <c r="EG84">
        <v>1154.783571428572</v>
      </c>
      <c r="EH84">
        <v>5.00097</v>
      </c>
      <c r="EI84">
        <v>18291.53571428571</v>
      </c>
      <c r="EJ84">
        <v>12491.68214285714</v>
      </c>
      <c r="EK84">
        <v>39.625</v>
      </c>
      <c r="EL84">
        <v>41.12942857142856</v>
      </c>
      <c r="EM84">
        <v>39.875</v>
      </c>
      <c r="EN84">
        <v>40.93699999999999</v>
      </c>
      <c r="EO84">
        <v>40.8165</v>
      </c>
      <c r="EP84">
        <v>1454.650714285714</v>
      </c>
      <c r="EQ84">
        <v>40.35999999999999</v>
      </c>
      <c r="ER84">
        <v>0</v>
      </c>
      <c r="ES84">
        <v>655.5999999046326</v>
      </c>
      <c r="ET84">
        <v>0</v>
      </c>
      <c r="EU84">
        <v>1154.9064</v>
      </c>
      <c r="EV84">
        <v>9.019999982024039</v>
      </c>
      <c r="EW84">
        <v>789.0307676808479</v>
      </c>
      <c r="EX84">
        <v>18299.608</v>
      </c>
      <c r="EY84">
        <v>15</v>
      </c>
      <c r="EZ84">
        <v>1652371289.6</v>
      </c>
      <c r="FA84" t="s">
        <v>515</v>
      </c>
      <c r="FB84">
        <v>1652371289.6</v>
      </c>
      <c r="FC84">
        <v>1652371275.1</v>
      </c>
      <c r="FD84">
        <v>24</v>
      </c>
      <c r="FE84">
        <v>0.442</v>
      </c>
      <c r="FF84">
        <v>0.001</v>
      </c>
      <c r="FG84">
        <v>-2.63</v>
      </c>
      <c r="FH84">
        <v>0.007</v>
      </c>
      <c r="FI84">
        <v>1620</v>
      </c>
      <c r="FJ84">
        <v>22</v>
      </c>
      <c r="FK84">
        <v>0.08</v>
      </c>
      <c r="FL84">
        <v>0.04</v>
      </c>
      <c r="FM84">
        <v>-88.29033000000001</v>
      </c>
      <c r="FN84">
        <v>-9.805960975609594</v>
      </c>
      <c r="FO84">
        <v>0.9459996250527798</v>
      </c>
      <c r="FP84">
        <v>-1</v>
      </c>
      <c r="FQ84">
        <v>13.643315</v>
      </c>
      <c r="FR84">
        <v>-0.5015819887429729</v>
      </c>
      <c r="FS84">
        <v>0.04853728231988259</v>
      </c>
      <c r="FT84">
        <v>0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1</v>
      </c>
      <c r="GA84" t="s">
        <v>432</v>
      </c>
      <c r="GB84">
        <v>2.69587</v>
      </c>
      <c r="GC84">
        <v>2.70516</v>
      </c>
      <c r="GD84">
        <v>0.12547</v>
      </c>
      <c r="GE84">
        <v>0.136023</v>
      </c>
      <c r="GF84">
        <v>0.110154</v>
      </c>
      <c r="GG84">
        <v>0.0626512</v>
      </c>
      <c r="GH84">
        <v>27503.4</v>
      </c>
      <c r="GI84">
        <v>27290.4</v>
      </c>
      <c r="GJ84">
        <v>29254.7</v>
      </c>
      <c r="GK84">
        <v>29229.5</v>
      </c>
      <c r="GL84">
        <v>34464.5</v>
      </c>
      <c r="GM84">
        <v>36476.9</v>
      </c>
      <c r="GN84">
        <v>41175.3</v>
      </c>
      <c r="GO84">
        <v>41704.6</v>
      </c>
      <c r="GP84">
        <v>1.7284</v>
      </c>
      <c r="GQ84">
        <v>2.0292</v>
      </c>
      <c r="GR84">
        <v>0.060387</v>
      </c>
      <c r="GS84">
        <v>0</v>
      </c>
      <c r="GT84">
        <v>29.0165</v>
      </c>
      <c r="GU84">
        <v>999.9</v>
      </c>
      <c r="GV84">
        <v>44.5</v>
      </c>
      <c r="GW84">
        <v>32.7</v>
      </c>
      <c r="GX84">
        <v>24.4521</v>
      </c>
      <c r="GY84">
        <v>63.3679</v>
      </c>
      <c r="GZ84">
        <v>29.6114</v>
      </c>
      <c r="HA84">
        <v>1</v>
      </c>
      <c r="HB84">
        <v>0.238562</v>
      </c>
      <c r="HC84">
        <v>-0.372399</v>
      </c>
      <c r="HD84">
        <v>20.3811</v>
      </c>
      <c r="HE84">
        <v>5.21759</v>
      </c>
      <c r="HF84">
        <v>12.0099</v>
      </c>
      <c r="HG84">
        <v>4.98805</v>
      </c>
      <c r="HH84">
        <v>3.28848</v>
      </c>
      <c r="HI84">
        <v>2711.9</v>
      </c>
      <c r="HJ84">
        <v>9999</v>
      </c>
      <c r="HK84">
        <v>9999</v>
      </c>
      <c r="HL84">
        <v>49.9</v>
      </c>
      <c r="HM84">
        <v>1.8672</v>
      </c>
      <c r="HN84">
        <v>1.86616</v>
      </c>
      <c r="HO84">
        <v>1.86576</v>
      </c>
      <c r="HP84">
        <v>1.86566</v>
      </c>
      <c r="HQ84">
        <v>1.86739</v>
      </c>
      <c r="HR84">
        <v>1.86998</v>
      </c>
      <c r="HS84">
        <v>1.8686</v>
      </c>
      <c r="HT84">
        <v>1.86998</v>
      </c>
      <c r="HU84">
        <v>0</v>
      </c>
      <c r="HV84">
        <v>0</v>
      </c>
      <c r="HW84">
        <v>0</v>
      </c>
      <c r="HX84">
        <v>0</v>
      </c>
      <c r="HY84" t="s">
        <v>421</v>
      </c>
      <c r="HZ84" t="s">
        <v>422</v>
      </c>
      <c r="IA84" t="s">
        <v>423</v>
      </c>
      <c r="IB84" t="s">
        <v>423</v>
      </c>
      <c r="IC84" t="s">
        <v>423</v>
      </c>
      <c r="ID84" t="s">
        <v>423</v>
      </c>
      <c r="IE84">
        <v>0</v>
      </c>
      <c r="IF84">
        <v>100</v>
      </c>
      <c r="IG84">
        <v>100</v>
      </c>
      <c r="IH84">
        <v>-0.191</v>
      </c>
      <c r="II84">
        <v>0.0539</v>
      </c>
      <c r="IJ84">
        <v>1.257309091789605</v>
      </c>
      <c r="IK84">
        <v>-0.002185601614162945</v>
      </c>
      <c r="IL84">
        <v>-2.252308143750626E-07</v>
      </c>
      <c r="IM84">
        <v>5.915558436307541E-11</v>
      </c>
      <c r="IN84">
        <v>-0.118683452207699</v>
      </c>
      <c r="IO84">
        <v>-0.007570214193104963</v>
      </c>
      <c r="IP84">
        <v>0.0009214429922928372</v>
      </c>
      <c r="IQ84">
        <v>-1.392260276065805E-05</v>
      </c>
      <c r="IR84">
        <v>17</v>
      </c>
      <c r="IS84">
        <v>2272</v>
      </c>
      <c r="IT84">
        <v>1</v>
      </c>
      <c r="IU84">
        <v>31</v>
      </c>
      <c r="IV84">
        <v>8.9</v>
      </c>
      <c r="IW84">
        <v>9.1</v>
      </c>
      <c r="IX84">
        <v>1.62598</v>
      </c>
      <c r="IY84">
        <v>2.21313</v>
      </c>
      <c r="IZ84">
        <v>1.39648</v>
      </c>
      <c r="JA84">
        <v>2.35352</v>
      </c>
      <c r="JB84">
        <v>1.49536</v>
      </c>
      <c r="JC84">
        <v>2.37915</v>
      </c>
      <c r="JD84">
        <v>36.1285</v>
      </c>
      <c r="JE84">
        <v>15.3666</v>
      </c>
      <c r="JF84">
        <v>18</v>
      </c>
      <c r="JG84">
        <v>389.236</v>
      </c>
      <c r="JH84">
        <v>563.96</v>
      </c>
      <c r="JI84">
        <v>30.7017</v>
      </c>
      <c r="JJ84">
        <v>30.5336</v>
      </c>
      <c r="JK84">
        <v>30</v>
      </c>
      <c r="JL84">
        <v>30.4204</v>
      </c>
      <c r="JM84">
        <v>30.3135</v>
      </c>
      <c r="JN84">
        <v>32.5515</v>
      </c>
      <c r="JO84">
        <v>47.4334</v>
      </c>
      <c r="JP84">
        <v>0</v>
      </c>
      <c r="JQ84">
        <v>30.6523</v>
      </c>
      <c r="JR84">
        <v>741.026</v>
      </c>
      <c r="JS84">
        <v>11.8401</v>
      </c>
      <c r="JT84">
        <v>99.9957</v>
      </c>
      <c r="JU84">
        <v>100.109</v>
      </c>
    </row>
    <row r="85" spans="1:281">
      <c r="A85">
        <v>69</v>
      </c>
      <c r="B85">
        <v>1652371826.6</v>
      </c>
      <c r="C85">
        <v>3733</v>
      </c>
      <c r="D85" t="s">
        <v>605</v>
      </c>
      <c r="E85" t="s">
        <v>606</v>
      </c>
      <c r="F85">
        <v>5</v>
      </c>
      <c r="G85" t="s">
        <v>518</v>
      </c>
      <c r="H85" t="s">
        <v>414</v>
      </c>
      <c r="I85">
        <v>1652371819.062963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730.7864486546351</v>
      </c>
      <c r="AK85">
        <v>659.6928666666666</v>
      </c>
      <c r="AL85">
        <v>3.272325070761283</v>
      </c>
      <c r="AM85">
        <v>65.95105977519088</v>
      </c>
      <c r="AN85">
        <f>(AP85 - AO85 + DI85*1E3/(8.314*(DK85+273.15)) * AR85/DH85 * AQ85) * DH85/(100*CV85) * 1000/(1000 - AP85)</f>
        <v>0</v>
      </c>
      <c r="AO85">
        <v>11.78071788603571</v>
      </c>
      <c r="AP85">
        <v>25.2949048951049</v>
      </c>
      <c r="AQ85">
        <v>-0.006227172169574989</v>
      </c>
      <c r="AR85">
        <v>81.26040297655408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417</v>
      </c>
      <c r="AY85" t="s">
        <v>417</v>
      </c>
      <c r="AZ85">
        <v>0</v>
      </c>
      <c r="BA85">
        <v>0</v>
      </c>
      <c r="BB85">
        <f>1-AZ85/BA85</f>
        <v>0</v>
      </c>
      <c r="BC85">
        <v>0</v>
      </c>
      <c r="BD85" t="s">
        <v>417</v>
      </c>
      <c r="BE85" t="s">
        <v>417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1393</v>
      </c>
      <c r="CA85">
        <v>300</v>
      </c>
      <c r="CB85">
        <v>300</v>
      </c>
      <c r="CC85">
        <v>300</v>
      </c>
      <c r="CD85">
        <v>10378</v>
      </c>
      <c r="CE85">
        <v>2050</v>
      </c>
      <c r="CF85">
        <v>-0.00730649</v>
      </c>
      <c r="CG85">
        <v>-4.53</v>
      </c>
      <c r="CH85" t="s">
        <v>417</v>
      </c>
      <c r="CI85" t="s">
        <v>417</v>
      </c>
      <c r="CJ85" t="s">
        <v>417</v>
      </c>
      <c r="CK85" t="s">
        <v>417</v>
      </c>
      <c r="CL85" t="s">
        <v>417</v>
      </c>
      <c r="CM85" t="s">
        <v>417</v>
      </c>
      <c r="CN85" t="s">
        <v>417</v>
      </c>
      <c r="CO85" t="s">
        <v>417</v>
      </c>
      <c r="CP85" t="s">
        <v>417</v>
      </c>
      <c r="CQ85" t="s">
        <v>417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418</v>
      </c>
      <c r="CY85">
        <v>2</v>
      </c>
      <c r="CZ85" t="b">
        <v>1</v>
      </c>
      <c r="DA85">
        <v>1652371819.062963</v>
      </c>
      <c r="DB85">
        <v>620.4783703703704</v>
      </c>
      <c r="DC85">
        <v>709.9667407407406</v>
      </c>
      <c r="DD85">
        <v>25.35051851851852</v>
      </c>
      <c r="DE85">
        <v>11.77450740740741</v>
      </c>
      <c r="DF85">
        <v>620.6500000000001</v>
      </c>
      <c r="DG85">
        <v>25.29643703703703</v>
      </c>
      <c r="DH85">
        <v>400.056</v>
      </c>
      <c r="DI85">
        <v>90.40541111111112</v>
      </c>
      <c r="DJ85">
        <v>0.09996059999999998</v>
      </c>
      <c r="DK85">
        <v>31.37832962962964</v>
      </c>
      <c r="DL85">
        <v>29.99568518518518</v>
      </c>
      <c r="DM85">
        <v>999.9000000000001</v>
      </c>
      <c r="DN85">
        <v>0</v>
      </c>
      <c r="DO85">
        <v>0</v>
      </c>
      <c r="DP85">
        <v>10001.34185185185</v>
      </c>
      <c r="DQ85">
        <v>0</v>
      </c>
      <c r="DR85">
        <v>432.2865925925926</v>
      </c>
      <c r="DS85">
        <v>-89.48841481481483</v>
      </c>
      <c r="DT85">
        <v>636.6164074074075</v>
      </c>
      <c r="DU85">
        <v>718.4258888888888</v>
      </c>
      <c r="DV85">
        <v>13.57602222222222</v>
      </c>
      <c r="DW85">
        <v>709.9667407407406</v>
      </c>
      <c r="DX85">
        <v>11.77450740740741</v>
      </c>
      <c r="DY85">
        <v>2.291825185185185</v>
      </c>
      <c r="DZ85">
        <v>1.064479259259259</v>
      </c>
      <c r="EA85">
        <v>19.61904074074074</v>
      </c>
      <c r="EB85">
        <v>7.830132222222221</v>
      </c>
      <c r="EC85">
        <v>1500.001851851851</v>
      </c>
      <c r="ED85">
        <v>0.9730016296296297</v>
      </c>
      <c r="EE85">
        <v>0.0269985</v>
      </c>
      <c r="EF85">
        <v>0</v>
      </c>
      <c r="EG85">
        <v>1155.346296296296</v>
      </c>
      <c r="EH85">
        <v>5.00097</v>
      </c>
      <c r="EI85">
        <v>18335.97777777778</v>
      </c>
      <c r="EJ85">
        <v>12491.60740740741</v>
      </c>
      <c r="EK85">
        <v>39.625</v>
      </c>
      <c r="EL85">
        <v>41.13188888888889</v>
      </c>
      <c r="EM85">
        <v>39.875</v>
      </c>
      <c r="EN85">
        <v>40.944</v>
      </c>
      <c r="EO85">
        <v>40.819</v>
      </c>
      <c r="EP85">
        <v>1454.641851851852</v>
      </c>
      <c r="EQ85">
        <v>40.35999999999999</v>
      </c>
      <c r="ER85">
        <v>0</v>
      </c>
      <c r="ES85">
        <v>660.3999998569489</v>
      </c>
      <c r="ET85">
        <v>0</v>
      </c>
      <c r="EU85">
        <v>1155.3328</v>
      </c>
      <c r="EV85">
        <v>1.636153838744078</v>
      </c>
      <c r="EW85">
        <v>119.7076919589485</v>
      </c>
      <c r="EX85">
        <v>18339.14</v>
      </c>
      <c r="EY85">
        <v>15</v>
      </c>
      <c r="EZ85">
        <v>1652371289.6</v>
      </c>
      <c r="FA85" t="s">
        <v>515</v>
      </c>
      <c r="FB85">
        <v>1652371289.6</v>
      </c>
      <c r="FC85">
        <v>1652371275.1</v>
      </c>
      <c r="FD85">
        <v>24</v>
      </c>
      <c r="FE85">
        <v>0.442</v>
      </c>
      <c r="FF85">
        <v>0.001</v>
      </c>
      <c r="FG85">
        <v>-2.63</v>
      </c>
      <c r="FH85">
        <v>0.007</v>
      </c>
      <c r="FI85">
        <v>1620</v>
      </c>
      <c r="FJ85">
        <v>22</v>
      </c>
      <c r="FK85">
        <v>0.08</v>
      </c>
      <c r="FL85">
        <v>0.04</v>
      </c>
      <c r="FM85">
        <v>-88.92133</v>
      </c>
      <c r="FN85">
        <v>-8.967928705440634</v>
      </c>
      <c r="FO85">
        <v>0.8647957071470699</v>
      </c>
      <c r="FP85">
        <v>-1</v>
      </c>
      <c r="FQ85">
        <v>13.60976</v>
      </c>
      <c r="FR85">
        <v>-0.5463196998123805</v>
      </c>
      <c r="FS85">
        <v>0.0526540207391611</v>
      </c>
      <c r="FT85">
        <v>0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1</v>
      </c>
      <c r="GA85" t="s">
        <v>432</v>
      </c>
      <c r="GB85">
        <v>2.69609</v>
      </c>
      <c r="GC85">
        <v>2.70537</v>
      </c>
      <c r="GD85">
        <v>0.127684</v>
      </c>
      <c r="GE85">
        <v>0.138174</v>
      </c>
      <c r="GF85">
        <v>0.110033</v>
      </c>
      <c r="GG85">
        <v>0.0626815</v>
      </c>
      <c r="GH85">
        <v>27433.8</v>
      </c>
      <c r="GI85">
        <v>27222.2</v>
      </c>
      <c r="GJ85">
        <v>29254.8</v>
      </c>
      <c r="GK85">
        <v>29229.4</v>
      </c>
      <c r="GL85">
        <v>34469.4</v>
      </c>
      <c r="GM85">
        <v>36475.1</v>
      </c>
      <c r="GN85">
        <v>41175.4</v>
      </c>
      <c r="GO85">
        <v>41703.8</v>
      </c>
      <c r="GP85">
        <v>1.72892</v>
      </c>
      <c r="GQ85">
        <v>2.02915</v>
      </c>
      <c r="GR85">
        <v>0.0610575</v>
      </c>
      <c r="GS85">
        <v>0</v>
      </c>
      <c r="GT85">
        <v>29.0073</v>
      </c>
      <c r="GU85">
        <v>999.9</v>
      </c>
      <c r="GV85">
        <v>44.5</v>
      </c>
      <c r="GW85">
        <v>32.7</v>
      </c>
      <c r="GX85">
        <v>24.452</v>
      </c>
      <c r="GY85">
        <v>63.4079</v>
      </c>
      <c r="GZ85">
        <v>29.9119</v>
      </c>
      <c r="HA85">
        <v>1</v>
      </c>
      <c r="HB85">
        <v>0.23872</v>
      </c>
      <c r="HC85">
        <v>-0.273848</v>
      </c>
      <c r="HD85">
        <v>20.3815</v>
      </c>
      <c r="HE85">
        <v>5.21744</v>
      </c>
      <c r="HF85">
        <v>12.0099</v>
      </c>
      <c r="HG85">
        <v>4.9879</v>
      </c>
      <c r="HH85">
        <v>3.2883</v>
      </c>
      <c r="HI85">
        <v>2712.1</v>
      </c>
      <c r="HJ85">
        <v>9999</v>
      </c>
      <c r="HK85">
        <v>9999</v>
      </c>
      <c r="HL85">
        <v>49.9</v>
      </c>
      <c r="HM85">
        <v>1.86722</v>
      </c>
      <c r="HN85">
        <v>1.86615</v>
      </c>
      <c r="HO85">
        <v>1.86573</v>
      </c>
      <c r="HP85">
        <v>1.86568</v>
      </c>
      <c r="HQ85">
        <v>1.86738</v>
      </c>
      <c r="HR85">
        <v>1.86997</v>
      </c>
      <c r="HS85">
        <v>1.8686</v>
      </c>
      <c r="HT85">
        <v>1.86998</v>
      </c>
      <c r="HU85">
        <v>0</v>
      </c>
      <c r="HV85">
        <v>0</v>
      </c>
      <c r="HW85">
        <v>0</v>
      </c>
      <c r="HX85">
        <v>0</v>
      </c>
      <c r="HY85" t="s">
        <v>421</v>
      </c>
      <c r="HZ85" t="s">
        <v>422</v>
      </c>
      <c r="IA85" t="s">
        <v>423</v>
      </c>
      <c r="IB85" t="s">
        <v>423</v>
      </c>
      <c r="IC85" t="s">
        <v>423</v>
      </c>
      <c r="ID85" t="s">
        <v>423</v>
      </c>
      <c r="IE85">
        <v>0</v>
      </c>
      <c r="IF85">
        <v>100</v>
      </c>
      <c r="IG85">
        <v>100</v>
      </c>
      <c r="IH85">
        <v>-0.23</v>
      </c>
      <c r="II85">
        <v>0.0534</v>
      </c>
      <c r="IJ85">
        <v>1.257309091789605</v>
      </c>
      <c r="IK85">
        <v>-0.002185601614162945</v>
      </c>
      <c r="IL85">
        <v>-2.252308143750626E-07</v>
      </c>
      <c r="IM85">
        <v>5.915558436307541E-11</v>
      </c>
      <c r="IN85">
        <v>-0.118683452207699</v>
      </c>
      <c r="IO85">
        <v>-0.007570214193104963</v>
      </c>
      <c r="IP85">
        <v>0.0009214429922928372</v>
      </c>
      <c r="IQ85">
        <v>-1.392260276065805E-05</v>
      </c>
      <c r="IR85">
        <v>17</v>
      </c>
      <c r="IS85">
        <v>2272</v>
      </c>
      <c r="IT85">
        <v>1</v>
      </c>
      <c r="IU85">
        <v>31</v>
      </c>
      <c r="IV85">
        <v>8.9</v>
      </c>
      <c r="IW85">
        <v>9.199999999999999</v>
      </c>
      <c r="IX85">
        <v>1.65283</v>
      </c>
      <c r="IY85">
        <v>2.21558</v>
      </c>
      <c r="IZ85">
        <v>1.39648</v>
      </c>
      <c r="JA85">
        <v>2.35352</v>
      </c>
      <c r="JB85">
        <v>1.49536</v>
      </c>
      <c r="JC85">
        <v>2.35107</v>
      </c>
      <c r="JD85">
        <v>36.1285</v>
      </c>
      <c r="JE85">
        <v>15.3666</v>
      </c>
      <c r="JF85">
        <v>18</v>
      </c>
      <c r="JG85">
        <v>389.533</v>
      </c>
      <c r="JH85">
        <v>563.943</v>
      </c>
      <c r="JI85">
        <v>30.6846</v>
      </c>
      <c r="JJ85">
        <v>30.5363</v>
      </c>
      <c r="JK85">
        <v>30.0001</v>
      </c>
      <c r="JL85">
        <v>30.423</v>
      </c>
      <c r="JM85">
        <v>30.3155</v>
      </c>
      <c r="JN85">
        <v>33.1131</v>
      </c>
      <c r="JO85">
        <v>47.1468</v>
      </c>
      <c r="JP85">
        <v>0</v>
      </c>
      <c r="JQ85">
        <v>30.6532</v>
      </c>
      <c r="JR85">
        <v>754.3819999999999</v>
      </c>
      <c r="JS85">
        <v>11.8975</v>
      </c>
      <c r="JT85">
        <v>99.9961</v>
      </c>
      <c r="JU85">
        <v>100.108</v>
      </c>
    </row>
    <row r="86" spans="1:281">
      <c r="A86">
        <v>70</v>
      </c>
      <c r="B86">
        <v>1652371831.6</v>
      </c>
      <c r="C86">
        <v>3738</v>
      </c>
      <c r="D86" t="s">
        <v>607</v>
      </c>
      <c r="E86" t="s">
        <v>608</v>
      </c>
      <c r="F86">
        <v>5</v>
      </c>
      <c r="G86" t="s">
        <v>518</v>
      </c>
      <c r="H86" t="s">
        <v>414</v>
      </c>
      <c r="I86">
        <v>1652371824.081481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747.8592936871427</v>
      </c>
      <c r="AK86">
        <v>676.1994545454546</v>
      </c>
      <c r="AL86">
        <v>3.303689930845373</v>
      </c>
      <c r="AM86">
        <v>65.95105977519088</v>
      </c>
      <c r="AN86">
        <f>(AP86 - AO86 + DI86*1E3/(8.314*(DK86+273.15)) * AR86/DH86 * AQ86) * DH86/(100*CV86) * 1000/(1000 - AP86)</f>
        <v>0</v>
      </c>
      <c r="AO86">
        <v>11.78964527575211</v>
      </c>
      <c r="AP86">
        <v>25.23964685314688</v>
      </c>
      <c r="AQ86">
        <v>-0.01145283687603918</v>
      </c>
      <c r="AR86">
        <v>81.26040297655408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417</v>
      </c>
      <c r="AY86" t="s">
        <v>417</v>
      </c>
      <c r="AZ86">
        <v>0</v>
      </c>
      <c r="BA86">
        <v>0</v>
      </c>
      <c r="BB86">
        <f>1-AZ86/BA86</f>
        <v>0</v>
      </c>
      <c r="BC86">
        <v>0</v>
      </c>
      <c r="BD86" t="s">
        <v>417</v>
      </c>
      <c r="BE86" t="s">
        <v>417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1393</v>
      </c>
      <c r="CA86">
        <v>300</v>
      </c>
      <c r="CB86">
        <v>300</v>
      </c>
      <c r="CC86">
        <v>300</v>
      </c>
      <c r="CD86">
        <v>10378</v>
      </c>
      <c r="CE86">
        <v>2050</v>
      </c>
      <c r="CF86">
        <v>-0.00730649</v>
      </c>
      <c r="CG86">
        <v>-4.53</v>
      </c>
      <c r="CH86" t="s">
        <v>417</v>
      </c>
      <c r="CI86" t="s">
        <v>417</v>
      </c>
      <c r="CJ86" t="s">
        <v>417</v>
      </c>
      <c r="CK86" t="s">
        <v>417</v>
      </c>
      <c r="CL86" t="s">
        <v>417</v>
      </c>
      <c r="CM86" t="s">
        <v>417</v>
      </c>
      <c r="CN86" t="s">
        <v>417</v>
      </c>
      <c r="CO86" t="s">
        <v>417</v>
      </c>
      <c r="CP86" t="s">
        <v>417</v>
      </c>
      <c r="CQ86" t="s">
        <v>417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418</v>
      </c>
      <c r="CY86">
        <v>2</v>
      </c>
      <c r="CZ86" t="b">
        <v>1</v>
      </c>
      <c r="DA86">
        <v>1652371824.081481</v>
      </c>
      <c r="DB86">
        <v>636.5848148148149</v>
      </c>
      <c r="DC86">
        <v>726.803</v>
      </c>
      <c r="DD86">
        <v>25.30854074074074</v>
      </c>
      <c r="DE86">
        <v>11.79211481481481</v>
      </c>
      <c r="DF86">
        <v>636.7951481481482</v>
      </c>
      <c r="DG86">
        <v>25.25495555555555</v>
      </c>
      <c r="DH86">
        <v>400.077962962963</v>
      </c>
      <c r="DI86">
        <v>90.40608518518518</v>
      </c>
      <c r="DJ86">
        <v>0.1000179185185185</v>
      </c>
      <c r="DK86">
        <v>31.37824444444445</v>
      </c>
      <c r="DL86">
        <v>30.00096296296297</v>
      </c>
      <c r="DM86">
        <v>999.9000000000001</v>
      </c>
      <c r="DN86">
        <v>0</v>
      </c>
      <c r="DO86">
        <v>0</v>
      </c>
      <c r="DP86">
        <v>9997.569259259259</v>
      </c>
      <c r="DQ86">
        <v>0</v>
      </c>
      <c r="DR86">
        <v>439.6998148148148</v>
      </c>
      <c r="DS86">
        <v>-90.2182851851852</v>
      </c>
      <c r="DT86">
        <v>653.1135555555555</v>
      </c>
      <c r="DU86">
        <v>735.476</v>
      </c>
      <c r="DV86">
        <v>13.51642222222223</v>
      </c>
      <c r="DW86">
        <v>726.803</v>
      </c>
      <c r="DX86">
        <v>11.79211481481481</v>
      </c>
      <c r="DY86">
        <v>2.288045925925926</v>
      </c>
      <c r="DZ86">
        <v>1.066078518518519</v>
      </c>
      <c r="EA86">
        <v>19.59247037037037</v>
      </c>
      <c r="EB86">
        <v>7.852155555555554</v>
      </c>
      <c r="EC86">
        <v>1500.008888888889</v>
      </c>
      <c r="ED86">
        <v>0.9730016296296298</v>
      </c>
      <c r="EE86">
        <v>0.02699850000000001</v>
      </c>
      <c r="EF86">
        <v>0</v>
      </c>
      <c r="EG86">
        <v>1155.333703703704</v>
      </c>
      <c r="EH86">
        <v>5.00097</v>
      </c>
      <c r="EI86">
        <v>18345.88518518519</v>
      </c>
      <c r="EJ86">
        <v>12491.67037037037</v>
      </c>
      <c r="EK86">
        <v>39.625</v>
      </c>
      <c r="EL86">
        <v>41.14337037037036</v>
      </c>
      <c r="EM86">
        <v>39.875</v>
      </c>
      <c r="EN86">
        <v>40.944</v>
      </c>
      <c r="EO86">
        <v>40.81666666666666</v>
      </c>
      <c r="EP86">
        <v>1454.648888888889</v>
      </c>
      <c r="EQ86">
        <v>40.35999999999999</v>
      </c>
      <c r="ER86">
        <v>0</v>
      </c>
      <c r="ES86">
        <v>665.7999999523163</v>
      </c>
      <c r="ET86">
        <v>0</v>
      </c>
      <c r="EU86">
        <v>1155.275</v>
      </c>
      <c r="EV86">
        <v>-3.691965810378408</v>
      </c>
      <c r="EW86">
        <v>-102.2188033857188</v>
      </c>
      <c r="EX86">
        <v>18345.65</v>
      </c>
      <c r="EY86">
        <v>15</v>
      </c>
      <c r="EZ86">
        <v>1652371289.6</v>
      </c>
      <c r="FA86" t="s">
        <v>515</v>
      </c>
      <c r="FB86">
        <v>1652371289.6</v>
      </c>
      <c r="FC86">
        <v>1652371275.1</v>
      </c>
      <c r="FD86">
        <v>24</v>
      </c>
      <c r="FE86">
        <v>0.442</v>
      </c>
      <c r="FF86">
        <v>0.001</v>
      </c>
      <c r="FG86">
        <v>-2.63</v>
      </c>
      <c r="FH86">
        <v>0.007</v>
      </c>
      <c r="FI86">
        <v>1620</v>
      </c>
      <c r="FJ86">
        <v>22</v>
      </c>
      <c r="FK86">
        <v>0.08</v>
      </c>
      <c r="FL86">
        <v>0.04</v>
      </c>
      <c r="FM86">
        <v>-89.71701219512195</v>
      </c>
      <c r="FN86">
        <v>-8.70719372822307</v>
      </c>
      <c r="FO86">
        <v>0.860456585034554</v>
      </c>
      <c r="FP86">
        <v>-1</v>
      </c>
      <c r="FQ86">
        <v>13.55557804878048</v>
      </c>
      <c r="FR86">
        <v>-0.6608655052264569</v>
      </c>
      <c r="FS86">
        <v>0.06622268608483281</v>
      </c>
      <c r="FT86">
        <v>0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1</v>
      </c>
      <c r="GA86" t="s">
        <v>432</v>
      </c>
      <c r="GB86">
        <v>2.69612</v>
      </c>
      <c r="GC86">
        <v>2.70503</v>
      </c>
      <c r="GD86">
        <v>0.129896</v>
      </c>
      <c r="GE86">
        <v>0.140302</v>
      </c>
      <c r="GF86">
        <v>0.109869</v>
      </c>
      <c r="GG86">
        <v>0.06295009999999999</v>
      </c>
      <c r="GH86">
        <v>27364</v>
      </c>
      <c r="GI86">
        <v>27155.2</v>
      </c>
      <c r="GJ86">
        <v>29254.6</v>
      </c>
      <c r="GK86">
        <v>29229.7</v>
      </c>
      <c r="GL86">
        <v>34475.4</v>
      </c>
      <c r="GM86">
        <v>36465.1</v>
      </c>
      <c r="GN86">
        <v>41174.9</v>
      </c>
      <c r="GO86">
        <v>41704.3</v>
      </c>
      <c r="GP86">
        <v>1.72875</v>
      </c>
      <c r="GQ86">
        <v>2.02927</v>
      </c>
      <c r="GR86">
        <v>0.0622123</v>
      </c>
      <c r="GS86">
        <v>0</v>
      </c>
      <c r="GT86">
        <v>28.9985</v>
      </c>
      <c r="GU86">
        <v>999.9</v>
      </c>
      <c r="GV86">
        <v>44.5</v>
      </c>
      <c r="GW86">
        <v>32.7</v>
      </c>
      <c r="GX86">
        <v>24.4522</v>
      </c>
      <c r="GY86">
        <v>63.5679</v>
      </c>
      <c r="GZ86">
        <v>29.7716</v>
      </c>
      <c r="HA86">
        <v>1</v>
      </c>
      <c r="HB86">
        <v>0.238796</v>
      </c>
      <c r="HC86">
        <v>-0.232764</v>
      </c>
      <c r="HD86">
        <v>20.3816</v>
      </c>
      <c r="HE86">
        <v>5.21714</v>
      </c>
      <c r="HF86">
        <v>12.0099</v>
      </c>
      <c r="HG86">
        <v>4.9881</v>
      </c>
      <c r="HH86">
        <v>3.28828</v>
      </c>
      <c r="HI86">
        <v>2712.1</v>
      </c>
      <c r="HJ86">
        <v>9999</v>
      </c>
      <c r="HK86">
        <v>9999</v>
      </c>
      <c r="HL86">
        <v>49.9</v>
      </c>
      <c r="HM86">
        <v>1.86722</v>
      </c>
      <c r="HN86">
        <v>1.86617</v>
      </c>
      <c r="HO86">
        <v>1.86572</v>
      </c>
      <c r="HP86">
        <v>1.86568</v>
      </c>
      <c r="HQ86">
        <v>1.86739</v>
      </c>
      <c r="HR86">
        <v>1.86997</v>
      </c>
      <c r="HS86">
        <v>1.86862</v>
      </c>
      <c r="HT86">
        <v>1.86998</v>
      </c>
      <c r="HU86">
        <v>0</v>
      </c>
      <c r="HV86">
        <v>0</v>
      </c>
      <c r="HW86">
        <v>0</v>
      </c>
      <c r="HX86">
        <v>0</v>
      </c>
      <c r="HY86" t="s">
        <v>421</v>
      </c>
      <c r="HZ86" t="s">
        <v>422</v>
      </c>
      <c r="IA86" t="s">
        <v>423</v>
      </c>
      <c r="IB86" t="s">
        <v>423</v>
      </c>
      <c r="IC86" t="s">
        <v>423</v>
      </c>
      <c r="ID86" t="s">
        <v>423</v>
      </c>
      <c r="IE86">
        <v>0</v>
      </c>
      <c r="IF86">
        <v>100</v>
      </c>
      <c r="IG86">
        <v>100</v>
      </c>
      <c r="IH86">
        <v>-0.269</v>
      </c>
      <c r="II86">
        <v>0.0527</v>
      </c>
      <c r="IJ86">
        <v>1.257309091789605</v>
      </c>
      <c r="IK86">
        <v>-0.002185601614162945</v>
      </c>
      <c r="IL86">
        <v>-2.252308143750626E-07</v>
      </c>
      <c r="IM86">
        <v>5.915558436307541E-11</v>
      </c>
      <c r="IN86">
        <v>-0.118683452207699</v>
      </c>
      <c r="IO86">
        <v>-0.007570214193104963</v>
      </c>
      <c r="IP86">
        <v>0.0009214429922928372</v>
      </c>
      <c r="IQ86">
        <v>-1.392260276065805E-05</v>
      </c>
      <c r="IR86">
        <v>17</v>
      </c>
      <c r="IS86">
        <v>2272</v>
      </c>
      <c r="IT86">
        <v>1</v>
      </c>
      <c r="IU86">
        <v>31</v>
      </c>
      <c r="IV86">
        <v>9</v>
      </c>
      <c r="IW86">
        <v>9.300000000000001</v>
      </c>
      <c r="IX86">
        <v>1.68457</v>
      </c>
      <c r="IY86">
        <v>2.21191</v>
      </c>
      <c r="IZ86">
        <v>1.39648</v>
      </c>
      <c r="JA86">
        <v>2.35352</v>
      </c>
      <c r="JB86">
        <v>1.49536</v>
      </c>
      <c r="JC86">
        <v>2.34131</v>
      </c>
      <c r="JD86">
        <v>36.1285</v>
      </c>
      <c r="JE86">
        <v>15.3666</v>
      </c>
      <c r="JF86">
        <v>18</v>
      </c>
      <c r="JG86">
        <v>389.451</v>
      </c>
      <c r="JH86">
        <v>564.0410000000001</v>
      </c>
      <c r="JI86">
        <v>30.6667</v>
      </c>
      <c r="JJ86">
        <v>30.5363</v>
      </c>
      <c r="JK86">
        <v>30.0002</v>
      </c>
      <c r="JL86">
        <v>30.425</v>
      </c>
      <c r="JM86">
        <v>30.316</v>
      </c>
      <c r="JN86">
        <v>33.7279</v>
      </c>
      <c r="JO86">
        <v>46.8677</v>
      </c>
      <c r="JP86">
        <v>0</v>
      </c>
      <c r="JQ86">
        <v>30.6462</v>
      </c>
      <c r="JR86">
        <v>774.417</v>
      </c>
      <c r="JS86">
        <v>11.984</v>
      </c>
      <c r="JT86">
        <v>99.99509999999999</v>
      </c>
      <c r="JU86">
        <v>100.109</v>
      </c>
    </row>
    <row r="87" spans="1:281">
      <c r="A87">
        <v>71</v>
      </c>
      <c r="B87">
        <v>1652371836.6</v>
      </c>
      <c r="C87">
        <v>3743</v>
      </c>
      <c r="D87" t="s">
        <v>609</v>
      </c>
      <c r="E87" t="s">
        <v>610</v>
      </c>
      <c r="F87">
        <v>5</v>
      </c>
      <c r="G87" t="s">
        <v>518</v>
      </c>
      <c r="H87" t="s">
        <v>414</v>
      </c>
      <c r="I87">
        <v>1652371829.1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764.9534501353706</v>
      </c>
      <c r="AK87">
        <v>692.8146727272724</v>
      </c>
      <c r="AL87">
        <v>3.325811731861224</v>
      </c>
      <c r="AM87">
        <v>65.95105977519088</v>
      </c>
      <c r="AN87">
        <f>(AP87 - AO87 + DI87*1E3/(8.314*(DK87+273.15)) * AR87/DH87 * AQ87) * DH87/(100*CV87) * 1000/(1000 - AP87)</f>
        <v>0</v>
      </c>
      <c r="AO87">
        <v>11.85620385610899</v>
      </c>
      <c r="AP87">
        <v>25.21719790209789</v>
      </c>
      <c r="AQ87">
        <v>-8.134443308423519E-05</v>
      </c>
      <c r="AR87">
        <v>81.26040297655408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417</v>
      </c>
      <c r="AY87" t="s">
        <v>417</v>
      </c>
      <c r="AZ87">
        <v>0</v>
      </c>
      <c r="BA87">
        <v>0</v>
      </c>
      <c r="BB87">
        <f>1-AZ87/BA87</f>
        <v>0</v>
      </c>
      <c r="BC87">
        <v>0</v>
      </c>
      <c r="BD87" t="s">
        <v>417</v>
      </c>
      <c r="BE87" t="s">
        <v>417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1393</v>
      </c>
      <c r="CA87">
        <v>300</v>
      </c>
      <c r="CB87">
        <v>300</v>
      </c>
      <c r="CC87">
        <v>300</v>
      </c>
      <c r="CD87">
        <v>10378</v>
      </c>
      <c r="CE87">
        <v>2050</v>
      </c>
      <c r="CF87">
        <v>-0.00730649</v>
      </c>
      <c r="CG87">
        <v>-4.53</v>
      </c>
      <c r="CH87" t="s">
        <v>417</v>
      </c>
      <c r="CI87" t="s">
        <v>417</v>
      </c>
      <c r="CJ87" t="s">
        <v>417</v>
      </c>
      <c r="CK87" t="s">
        <v>417</v>
      </c>
      <c r="CL87" t="s">
        <v>417</v>
      </c>
      <c r="CM87" t="s">
        <v>417</v>
      </c>
      <c r="CN87" t="s">
        <v>417</v>
      </c>
      <c r="CO87" t="s">
        <v>417</v>
      </c>
      <c r="CP87" t="s">
        <v>417</v>
      </c>
      <c r="CQ87" t="s">
        <v>417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418</v>
      </c>
      <c r="CY87">
        <v>2</v>
      </c>
      <c r="CZ87" t="b">
        <v>1</v>
      </c>
      <c r="DA87">
        <v>1652371829.1</v>
      </c>
      <c r="DB87">
        <v>652.7253333333334</v>
      </c>
      <c r="DC87">
        <v>743.6355925925926</v>
      </c>
      <c r="DD87">
        <v>25.26868518518518</v>
      </c>
      <c r="DE87">
        <v>11.83477037037037</v>
      </c>
      <c r="DF87">
        <v>652.9746666666666</v>
      </c>
      <c r="DG87">
        <v>25.21558888888889</v>
      </c>
      <c r="DH87">
        <v>400.0693703703703</v>
      </c>
      <c r="DI87">
        <v>90.40548518518517</v>
      </c>
      <c r="DJ87">
        <v>0.0999826148148148</v>
      </c>
      <c r="DK87">
        <v>31.37551851851852</v>
      </c>
      <c r="DL87">
        <v>30.00973703703703</v>
      </c>
      <c r="DM87">
        <v>999.9000000000001</v>
      </c>
      <c r="DN87">
        <v>0</v>
      </c>
      <c r="DO87">
        <v>0</v>
      </c>
      <c r="DP87">
        <v>10000.80407407407</v>
      </c>
      <c r="DQ87">
        <v>0</v>
      </c>
      <c r="DR87">
        <v>439.3221111111111</v>
      </c>
      <c r="DS87">
        <v>-90.91030740740742</v>
      </c>
      <c r="DT87">
        <v>669.6457777777777</v>
      </c>
      <c r="DU87">
        <v>752.5424074074073</v>
      </c>
      <c r="DV87">
        <v>13.43390740740741</v>
      </c>
      <c r="DW87">
        <v>743.6355925925926</v>
      </c>
      <c r="DX87">
        <v>11.83477037037037</v>
      </c>
      <c r="DY87">
        <v>2.284427407407407</v>
      </c>
      <c r="DZ87">
        <v>1.069927407407407</v>
      </c>
      <c r="EA87">
        <v>19.56699259259259</v>
      </c>
      <c r="EB87">
        <v>7.904955555555554</v>
      </c>
      <c r="EC87">
        <v>1499.997777777778</v>
      </c>
      <c r="ED87">
        <v>0.9730014444444445</v>
      </c>
      <c r="EE87">
        <v>0.0269987</v>
      </c>
      <c r="EF87">
        <v>0</v>
      </c>
      <c r="EG87">
        <v>1154.892592592592</v>
      </c>
      <c r="EH87">
        <v>5.00097</v>
      </c>
      <c r="EI87">
        <v>18329.95925925926</v>
      </c>
      <c r="EJ87">
        <v>12491.58148148148</v>
      </c>
      <c r="EK87">
        <v>39.625</v>
      </c>
      <c r="EL87">
        <v>41.14107407407408</v>
      </c>
      <c r="EM87">
        <v>39.875</v>
      </c>
      <c r="EN87">
        <v>40.944</v>
      </c>
      <c r="EO87">
        <v>40.819</v>
      </c>
      <c r="EP87">
        <v>1454.637777777778</v>
      </c>
      <c r="EQ87">
        <v>40.35999999999999</v>
      </c>
      <c r="ER87">
        <v>0</v>
      </c>
      <c r="ES87">
        <v>670.5999999046326</v>
      </c>
      <c r="ET87">
        <v>0</v>
      </c>
      <c r="EU87">
        <v>1154.853076923077</v>
      </c>
      <c r="EV87">
        <v>-7.827008526877845</v>
      </c>
      <c r="EW87">
        <v>-181.6820508986628</v>
      </c>
      <c r="EX87">
        <v>18329.82307692308</v>
      </c>
      <c r="EY87">
        <v>15</v>
      </c>
      <c r="EZ87">
        <v>1652371289.6</v>
      </c>
      <c r="FA87" t="s">
        <v>515</v>
      </c>
      <c r="FB87">
        <v>1652371289.6</v>
      </c>
      <c r="FC87">
        <v>1652371275.1</v>
      </c>
      <c r="FD87">
        <v>24</v>
      </c>
      <c r="FE87">
        <v>0.442</v>
      </c>
      <c r="FF87">
        <v>0.001</v>
      </c>
      <c r="FG87">
        <v>-2.63</v>
      </c>
      <c r="FH87">
        <v>0.007</v>
      </c>
      <c r="FI87">
        <v>1620</v>
      </c>
      <c r="FJ87">
        <v>22</v>
      </c>
      <c r="FK87">
        <v>0.08</v>
      </c>
      <c r="FL87">
        <v>0.04</v>
      </c>
      <c r="FM87">
        <v>-90.42354390243901</v>
      </c>
      <c r="FN87">
        <v>-8.486425087108023</v>
      </c>
      <c r="FO87">
        <v>0.8399429597499752</v>
      </c>
      <c r="FP87">
        <v>-1</v>
      </c>
      <c r="FQ87">
        <v>13.4846487804878</v>
      </c>
      <c r="FR87">
        <v>-0.926864111498205</v>
      </c>
      <c r="FS87">
        <v>0.0941112759163872</v>
      </c>
      <c r="FT87">
        <v>0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1</v>
      </c>
      <c r="GA87" t="s">
        <v>432</v>
      </c>
      <c r="GB87">
        <v>2.69615</v>
      </c>
      <c r="GC87">
        <v>2.70532</v>
      </c>
      <c r="GD87">
        <v>0.132081</v>
      </c>
      <c r="GE87">
        <v>0.142389</v>
      </c>
      <c r="GF87">
        <v>0.109792</v>
      </c>
      <c r="GG87">
        <v>0.0634247</v>
      </c>
      <c r="GH87">
        <v>27295.4</v>
      </c>
      <c r="GI87">
        <v>27088.9</v>
      </c>
      <c r="GJ87">
        <v>29254.8</v>
      </c>
      <c r="GK87">
        <v>29229.3</v>
      </c>
      <c r="GL87">
        <v>34478.4</v>
      </c>
      <c r="GM87">
        <v>36446.2</v>
      </c>
      <c r="GN87">
        <v>41174.8</v>
      </c>
      <c r="GO87">
        <v>41703.8</v>
      </c>
      <c r="GP87">
        <v>1.7283</v>
      </c>
      <c r="GQ87">
        <v>2.0293</v>
      </c>
      <c r="GR87">
        <v>0.06351619999999999</v>
      </c>
      <c r="GS87">
        <v>0</v>
      </c>
      <c r="GT87">
        <v>28.9922</v>
      </c>
      <c r="GU87">
        <v>999.9</v>
      </c>
      <c r="GV87">
        <v>44.6</v>
      </c>
      <c r="GW87">
        <v>32.7</v>
      </c>
      <c r="GX87">
        <v>24.5065</v>
      </c>
      <c r="GY87">
        <v>63.4279</v>
      </c>
      <c r="GZ87">
        <v>29.3349</v>
      </c>
      <c r="HA87">
        <v>1</v>
      </c>
      <c r="HB87">
        <v>0.23908</v>
      </c>
      <c r="HC87">
        <v>-0.210684</v>
      </c>
      <c r="HD87">
        <v>20.3816</v>
      </c>
      <c r="HE87">
        <v>5.21699</v>
      </c>
      <c r="HF87">
        <v>12.0099</v>
      </c>
      <c r="HG87">
        <v>4.98815</v>
      </c>
      <c r="HH87">
        <v>3.28833</v>
      </c>
      <c r="HI87">
        <v>2712.3</v>
      </c>
      <c r="HJ87">
        <v>9999</v>
      </c>
      <c r="HK87">
        <v>9999</v>
      </c>
      <c r="HL87">
        <v>49.9</v>
      </c>
      <c r="HM87">
        <v>1.86722</v>
      </c>
      <c r="HN87">
        <v>1.86615</v>
      </c>
      <c r="HO87">
        <v>1.86571</v>
      </c>
      <c r="HP87">
        <v>1.86569</v>
      </c>
      <c r="HQ87">
        <v>1.8674</v>
      </c>
      <c r="HR87">
        <v>1.86996</v>
      </c>
      <c r="HS87">
        <v>1.86861</v>
      </c>
      <c r="HT87">
        <v>1.86998</v>
      </c>
      <c r="HU87">
        <v>0</v>
      </c>
      <c r="HV87">
        <v>0</v>
      </c>
      <c r="HW87">
        <v>0</v>
      </c>
      <c r="HX87">
        <v>0</v>
      </c>
      <c r="HY87" t="s">
        <v>421</v>
      </c>
      <c r="HZ87" t="s">
        <v>422</v>
      </c>
      <c r="IA87" t="s">
        <v>423</v>
      </c>
      <c r="IB87" t="s">
        <v>423</v>
      </c>
      <c r="IC87" t="s">
        <v>423</v>
      </c>
      <c r="ID87" t="s">
        <v>423</v>
      </c>
      <c r="IE87">
        <v>0</v>
      </c>
      <c r="IF87">
        <v>100</v>
      </c>
      <c r="IG87">
        <v>100</v>
      </c>
      <c r="IH87">
        <v>-0.308</v>
      </c>
      <c r="II87">
        <v>0.0524</v>
      </c>
      <c r="IJ87">
        <v>1.257309091789605</v>
      </c>
      <c r="IK87">
        <v>-0.002185601614162945</v>
      </c>
      <c r="IL87">
        <v>-2.252308143750626E-07</v>
      </c>
      <c r="IM87">
        <v>5.915558436307541E-11</v>
      </c>
      <c r="IN87">
        <v>-0.118683452207699</v>
      </c>
      <c r="IO87">
        <v>-0.007570214193104963</v>
      </c>
      <c r="IP87">
        <v>0.0009214429922928372</v>
      </c>
      <c r="IQ87">
        <v>-1.392260276065805E-05</v>
      </c>
      <c r="IR87">
        <v>17</v>
      </c>
      <c r="IS87">
        <v>2272</v>
      </c>
      <c r="IT87">
        <v>1</v>
      </c>
      <c r="IU87">
        <v>31</v>
      </c>
      <c r="IV87">
        <v>9.1</v>
      </c>
      <c r="IW87">
        <v>9.4</v>
      </c>
      <c r="IX87">
        <v>1.71265</v>
      </c>
      <c r="IY87">
        <v>2.21802</v>
      </c>
      <c r="IZ87">
        <v>1.39648</v>
      </c>
      <c r="JA87">
        <v>2.35229</v>
      </c>
      <c r="JB87">
        <v>1.49536</v>
      </c>
      <c r="JC87">
        <v>2.26685</v>
      </c>
      <c r="JD87">
        <v>36.152</v>
      </c>
      <c r="JE87">
        <v>15.3666</v>
      </c>
      <c r="JF87">
        <v>18</v>
      </c>
      <c r="JG87">
        <v>389.214</v>
      </c>
      <c r="JH87">
        <v>564.079</v>
      </c>
      <c r="JI87">
        <v>30.6478</v>
      </c>
      <c r="JJ87">
        <v>30.5389</v>
      </c>
      <c r="JK87">
        <v>30.0003</v>
      </c>
      <c r="JL87">
        <v>30.4256</v>
      </c>
      <c r="JM87">
        <v>30.3181</v>
      </c>
      <c r="JN87">
        <v>34.2853</v>
      </c>
      <c r="JO87">
        <v>46.8677</v>
      </c>
      <c r="JP87">
        <v>0</v>
      </c>
      <c r="JQ87">
        <v>30.6325</v>
      </c>
      <c r="JR87">
        <v>787.771</v>
      </c>
      <c r="JS87">
        <v>12.0544</v>
      </c>
      <c r="JT87">
        <v>99.99509999999999</v>
      </c>
      <c r="JU87">
        <v>100.107</v>
      </c>
    </row>
    <row r="88" spans="1:281">
      <c r="A88">
        <v>72</v>
      </c>
      <c r="B88">
        <v>1652371841.6</v>
      </c>
      <c r="C88">
        <v>3748</v>
      </c>
      <c r="D88" t="s">
        <v>611</v>
      </c>
      <c r="E88" t="s">
        <v>612</v>
      </c>
      <c r="F88">
        <v>5</v>
      </c>
      <c r="G88" t="s">
        <v>518</v>
      </c>
      <c r="H88" t="s">
        <v>414</v>
      </c>
      <c r="I88">
        <v>1652371833.814285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781.9505689074733</v>
      </c>
      <c r="AK88">
        <v>709.3433636363637</v>
      </c>
      <c r="AL88">
        <v>3.305046812680702</v>
      </c>
      <c r="AM88">
        <v>65.95105977519088</v>
      </c>
      <c r="AN88">
        <f>(AP88 - AO88 + DI88*1E3/(8.314*(DK88+273.15)) * AR88/DH88 * AQ88) * DH88/(100*CV88) * 1000/(1000 - AP88)</f>
        <v>0</v>
      </c>
      <c r="AO88">
        <v>11.97960580210095</v>
      </c>
      <c r="AP88">
        <v>25.20342937062938</v>
      </c>
      <c r="AQ88">
        <v>-0.00145492781126155</v>
      </c>
      <c r="AR88">
        <v>81.26040297655408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417</v>
      </c>
      <c r="AY88" t="s">
        <v>417</v>
      </c>
      <c r="AZ88">
        <v>0</v>
      </c>
      <c r="BA88">
        <v>0</v>
      </c>
      <c r="BB88">
        <f>1-AZ88/BA88</f>
        <v>0</v>
      </c>
      <c r="BC88">
        <v>0</v>
      </c>
      <c r="BD88" t="s">
        <v>417</v>
      </c>
      <c r="BE88" t="s">
        <v>417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1393</v>
      </c>
      <c r="CA88">
        <v>300</v>
      </c>
      <c r="CB88">
        <v>300</v>
      </c>
      <c r="CC88">
        <v>300</v>
      </c>
      <c r="CD88">
        <v>10378</v>
      </c>
      <c r="CE88">
        <v>2050</v>
      </c>
      <c r="CF88">
        <v>-0.00730649</v>
      </c>
      <c r="CG88">
        <v>-4.53</v>
      </c>
      <c r="CH88" t="s">
        <v>417</v>
      </c>
      <c r="CI88" t="s">
        <v>417</v>
      </c>
      <c r="CJ88" t="s">
        <v>417</v>
      </c>
      <c r="CK88" t="s">
        <v>417</v>
      </c>
      <c r="CL88" t="s">
        <v>417</v>
      </c>
      <c r="CM88" t="s">
        <v>417</v>
      </c>
      <c r="CN88" t="s">
        <v>417</v>
      </c>
      <c r="CO88" t="s">
        <v>417</v>
      </c>
      <c r="CP88" t="s">
        <v>417</v>
      </c>
      <c r="CQ88" t="s">
        <v>417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418</v>
      </c>
      <c r="CY88">
        <v>2</v>
      </c>
      <c r="CZ88" t="b">
        <v>1</v>
      </c>
      <c r="DA88">
        <v>1652371833.814285</v>
      </c>
      <c r="DB88">
        <v>667.9154285714286</v>
      </c>
      <c r="DC88">
        <v>759.4530714285714</v>
      </c>
      <c r="DD88">
        <v>25.23603928571428</v>
      </c>
      <c r="DE88">
        <v>11.90271071428571</v>
      </c>
      <c r="DF88">
        <v>668.201392857143</v>
      </c>
      <c r="DG88">
        <v>25.18335</v>
      </c>
      <c r="DH88">
        <v>400.0864999999999</v>
      </c>
      <c r="DI88">
        <v>90.40411071428571</v>
      </c>
      <c r="DJ88">
        <v>0.1000454785714286</v>
      </c>
      <c r="DK88">
        <v>31.37275714285714</v>
      </c>
      <c r="DL88">
        <v>30.01846071428571</v>
      </c>
      <c r="DM88">
        <v>999.9000000000002</v>
      </c>
      <c r="DN88">
        <v>0</v>
      </c>
      <c r="DO88">
        <v>0</v>
      </c>
      <c r="DP88">
        <v>10003.34321428571</v>
      </c>
      <c r="DQ88">
        <v>0</v>
      </c>
      <c r="DR88">
        <v>439.6045714285715</v>
      </c>
      <c r="DS88">
        <v>-91.53768214285715</v>
      </c>
      <c r="DT88">
        <v>685.2068571428572</v>
      </c>
      <c r="DU88">
        <v>768.6025714285715</v>
      </c>
      <c r="DV88">
        <v>13.33331785714286</v>
      </c>
      <c r="DW88">
        <v>759.4530714285714</v>
      </c>
      <c r="DX88">
        <v>11.90271071428571</v>
      </c>
      <c r="DY88">
        <v>2.281441071428572</v>
      </c>
      <c r="DZ88">
        <v>1.076053928571429</v>
      </c>
      <c r="EA88">
        <v>19.54594285714285</v>
      </c>
      <c r="EB88">
        <v>7.988688571428571</v>
      </c>
      <c r="EC88">
        <v>1500.0075</v>
      </c>
      <c r="ED88">
        <v>0.973001642857143</v>
      </c>
      <c r="EE88">
        <v>0.02699848571428572</v>
      </c>
      <c r="EF88">
        <v>0</v>
      </c>
      <c r="EG88">
        <v>1154.020357142857</v>
      </c>
      <c r="EH88">
        <v>5.00097</v>
      </c>
      <c r="EI88">
        <v>18314.81785714285</v>
      </c>
      <c r="EJ88">
        <v>12491.66428571429</v>
      </c>
      <c r="EK88">
        <v>39.625</v>
      </c>
      <c r="EL88">
        <v>41.15599999999998</v>
      </c>
      <c r="EM88">
        <v>39.8705</v>
      </c>
      <c r="EN88">
        <v>40.93699999999999</v>
      </c>
      <c r="EO88">
        <v>40.82099999999999</v>
      </c>
      <c r="EP88">
        <v>1454.647500000001</v>
      </c>
      <c r="EQ88">
        <v>40.35999999999999</v>
      </c>
      <c r="ER88">
        <v>0</v>
      </c>
      <c r="ES88">
        <v>675.3999998569489</v>
      </c>
      <c r="ET88">
        <v>0</v>
      </c>
      <c r="EU88">
        <v>1154.001923076923</v>
      </c>
      <c r="EV88">
        <v>-13.14700854203901</v>
      </c>
      <c r="EW88">
        <v>-302.6871795784728</v>
      </c>
      <c r="EX88">
        <v>18314.26923076923</v>
      </c>
      <c r="EY88">
        <v>15</v>
      </c>
      <c r="EZ88">
        <v>1652371289.6</v>
      </c>
      <c r="FA88" t="s">
        <v>515</v>
      </c>
      <c r="FB88">
        <v>1652371289.6</v>
      </c>
      <c r="FC88">
        <v>1652371275.1</v>
      </c>
      <c r="FD88">
        <v>24</v>
      </c>
      <c r="FE88">
        <v>0.442</v>
      </c>
      <c r="FF88">
        <v>0.001</v>
      </c>
      <c r="FG88">
        <v>-2.63</v>
      </c>
      <c r="FH88">
        <v>0.007</v>
      </c>
      <c r="FI88">
        <v>1620</v>
      </c>
      <c r="FJ88">
        <v>22</v>
      </c>
      <c r="FK88">
        <v>0.08</v>
      </c>
      <c r="FL88">
        <v>0.04</v>
      </c>
      <c r="FM88">
        <v>-91.10093414634146</v>
      </c>
      <c r="FN88">
        <v>-8.001309407665451</v>
      </c>
      <c r="FO88">
        <v>0.7929578559249231</v>
      </c>
      <c r="FP88">
        <v>-1</v>
      </c>
      <c r="FQ88">
        <v>13.39468780487805</v>
      </c>
      <c r="FR88">
        <v>-1.25577909407664</v>
      </c>
      <c r="FS88">
        <v>0.1255738674754522</v>
      </c>
      <c r="FT88">
        <v>0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1</v>
      </c>
      <c r="GA88" t="s">
        <v>432</v>
      </c>
      <c r="GB88">
        <v>2.69611</v>
      </c>
      <c r="GC88">
        <v>2.70534</v>
      </c>
      <c r="GD88">
        <v>0.134244</v>
      </c>
      <c r="GE88">
        <v>0.14446</v>
      </c>
      <c r="GF88">
        <v>0.109741</v>
      </c>
      <c r="GG88">
        <v>0.0635487</v>
      </c>
      <c r="GH88">
        <v>27227</v>
      </c>
      <c r="GI88">
        <v>27023.6</v>
      </c>
      <c r="GJ88">
        <v>29254.4</v>
      </c>
      <c r="GK88">
        <v>29229.6</v>
      </c>
      <c r="GL88">
        <v>34480.1</v>
      </c>
      <c r="GM88">
        <v>36441.9</v>
      </c>
      <c r="GN88">
        <v>41174.4</v>
      </c>
      <c r="GO88">
        <v>41704.4</v>
      </c>
      <c r="GP88">
        <v>1.7282</v>
      </c>
      <c r="GQ88">
        <v>2.0292</v>
      </c>
      <c r="GR88">
        <v>0.063926</v>
      </c>
      <c r="GS88">
        <v>0</v>
      </c>
      <c r="GT88">
        <v>28.986</v>
      </c>
      <c r="GU88">
        <v>999.9</v>
      </c>
      <c r="GV88">
        <v>44.6</v>
      </c>
      <c r="GW88">
        <v>32.7</v>
      </c>
      <c r="GX88">
        <v>24.5048</v>
      </c>
      <c r="GY88">
        <v>63.3179</v>
      </c>
      <c r="GZ88">
        <v>29.1306</v>
      </c>
      <c r="HA88">
        <v>1</v>
      </c>
      <c r="HB88">
        <v>0.239108</v>
      </c>
      <c r="HC88">
        <v>-0.161059</v>
      </c>
      <c r="HD88">
        <v>20.3818</v>
      </c>
      <c r="HE88">
        <v>5.21684</v>
      </c>
      <c r="HF88">
        <v>12.0099</v>
      </c>
      <c r="HG88">
        <v>4.98815</v>
      </c>
      <c r="HH88">
        <v>3.28818</v>
      </c>
      <c r="HI88">
        <v>2712.3</v>
      </c>
      <c r="HJ88">
        <v>9999</v>
      </c>
      <c r="HK88">
        <v>9999</v>
      </c>
      <c r="HL88">
        <v>49.9</v>
      </c>
      <c r="HM88">
        <v>1.86721</v>
      </c>
      <c r="HN88">
        <v>1.86615</v>
      </c>
      <c r="HO88">
        <v>1.86573</v>
      </c>
      <c r="HP88">
        <v>1.86569</v>
      </c>
      <c r="HQ88">
        <v>1.86738</v>
      </c>
      <c r="HR88">
        <v>1.86997</v>
      </c>
      <c r="HS88">
        <v>1.86863</v>
      </c>
      <c r="HT88">
        <v>1.86996</v>
      </c>
      <c r="HU88">
        <v>0</v>
      </c>
      <c r="HV88">
        <v>0</v>
      </c>
      <c r="HW88">
        <v>0</v>
      </c>
      <c r="HX88">
        <v>0</v>
      </c>
      <c r="HY88" t="s">
        <v>421</v>
      </c>
      <c r="HZ88" t="s">
        <v>422</v>
      </c>
      <c r="IA88" t="s">
        <v>423</v>
      </c>
      <c r="IB88" t="s">
        <v>423</v>
      </c>
      <c r="IC88" t="s">
        <v>423</v>
      </c>
      <c r="ID88" t="s">
        <v>423</v>
      </c>
      <c r="IE88">
        <v>0</v>
      </c>
      <c r="IF88">
        <v>100</v>
      </c>
      <c r="IG88">
        <v>100</v>
      </c>
      <c r="IH88">
        <v>-0.347</v>
      </c>
      <c r="II88">
        <v>0.0522</v>
      </c>
      <c r="IJ88">
        <v>1.257309091789605</v>
      </c>
      <c r="IK88">
        <v>-0.002185601614162945</v>
      </c>
      <c r="IL88">
        <v>-2.252308143750626E-07</v>
      </c>
      <c r="IM88">
        <v>5.915558436307541E-11</v>
      </c>
      <c r="IN88">
        <v>-0.118683452207699</v>
      </c>
      <c r="IO88">
        <v>-0.007570214193104963</v>
      </c>
      <c r="IP88">
        <v>0.0009214429922928372</v>
      </c>
      <c r="IQ88">
        <v>-1.392260276065805E-05</v>
      </c>
      <c r="IR88">
        <v>17</v>
      </c>
      <c r="IS88">
        <v>2272</v>
      </c>
      <c r="IT88">
        <v>1</v>
      </c>
      <c r="IU88">
        <v>31</v>
      </c>
      <c r="IV88">
        <v>9.199999999999999</v>
      </c>
      <c r="IW88">
        <v>9.4</v>
      </c>
      <c r="IX88">
        <v>1.73828</v>
      </c>
      <c r="IY88">
        <v>2.2168</v>
      </c>
      <c r="IZ88">
        <v>1.39648</v>
      </c>
      <c r="JA88">
        <v>2.35352</v>
      </c>
      <c r="JB88">
        <v>1.49536</v>
      </c>
      <c r="JC88">
        <v>2.30469</v>
      </c>
      <c r="JD88">
        <v>36.152</v>
      </c>
      <c r="JE88">
        <v>15.3666</v>
      </c>
      <c r="JF88">
        <v>18</v>
      </c>
      <c r="JG88">
        <v>389.176</v>
      </c>
      <c r="JH88">
        <v>564.009</v>
      </c>
      <c r="JI88">
        <v>30.628</v>
      </c>
      <c r="JJ88">
        <v>30.5389</v>
      </c>
      <c r="JK88">
        <v>30</v>
      </c>
      <c r="JL88">
        <v>30.4283</v>
      </c>
      <c r="JM88">
        <v>30.3186</v>
      </c>
      <c r="JN88">
        <v>34.9003</v>
      </c>
      <c r="JO88">
        <v>46.5865</v>
      </c>
      <c r="JP88">
        <v>0</v>
      </c>
      <c r="JQ88">
        <v>30.6053</v>
      </c>
      <c r="JR88">
        <v>807.8049999999999</v>
      </c>
      <c r="JS88">
        <v>12.1366</v>
      </c>
      <c r="JT88">
        <v>99.9941</v>
      </c>
      <c r="JU88">
        <v>100.109</v>
      </c>
    </row>
    <row r="89" spans="1:281">
      <c r="A89">
        <v>73</v>
      </c>
      <c r="B89">
        <v>1652371846.6</v>
      </c>
      <c r="C89">
        <v>3753</v>
      </c>
      <c r="D89" t="s">
        <v>613</v>
      </c>
      <c r="E89" t="s">
        <v>614</v>
      </c>
      <c r="F89">
        <v>5</v>
      </c>
      <c r="G89" t="s">
        <v>518</v>
      </c>
      <c r="H89" t="s">
        <v>414</v>
      </c>
      <c r="I89">
        <v>1652371839.1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798.8713015390731</v>
      </c>
      <c r="AK89">
        <v>725.9574606060609</v>
      </c>
      <c r="AL89">
        <v>3.317252979640859</v>
      </c>
      <c r="AM89">
        <v>65.95105977519088</v>
      </c>
      <c r="AN89">
        <f>(AP89 - AO89 + DI89*1E3/(8.314*(DK89+273.15)) * AR89/DH89 * AQ89) * DH89/(100*CV89) * 1000/(1000 - AP89)</f>
        <v>0</v>
      </c>
      <c r="AO89">
        <v>12.00713716256087</v>
      </c>
      <c r="AP89">
        <v>25.15266223776225</v>
      </c>
      <c r="AQ89">
        <v>-0.01071248103145512</v>
      </c>
      <c r="AR89">
        <v>81.26040297655408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417</v>
      </c>
      <c r="AY89" t="s">
        <v>417</v>
      </c>
      <c r="AZ89">
        <v>0</v>
      </c>
      <c r="BA89">
        <v>0</v>
      </c>
      <c r="BB89">
        <f>1-AZ89/BA89</f>
        <v>0</v>
      </c>
      <c r="BC89">
        <v>0</v>
      </c>
      <c r="BD89" t="s">
        <v>417</v>
      </c>
      <c r="BE89" t="s">
        <v>417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1393</v>
      </c>
      <c r="CA89">
        <v>300</v>
      </c>
      <c r="CB89">
        <v>300</v>
      </c>
      <c r="CC89">
        <v>300</v>
      </c>
      <c r="CD89">
        <v>10378</v>
      </c>
      <c r="CE89">
        <v>2050</v>
      </c>
      <c r="CF89">
        <v>-0.00730649</v>
      </c>
      <c r="CG89">
        <v>-4.53</v>
      </c>
      <c r="CH89" t="s">
        <v>417</v>
      </c>
      <c r="CI89" t="s">
        <v>417</v>
      </c>
      <c r="CJ89" t="s">
        <v>417</v>
      </c>
      <c r="CK89" t="s">
        <v>417</v>
      </c>
      <c r="CL89" t="s">
        <v>417</v>
      </c>
      <c r="CM89" t="s">
        <v>417</v>
      </c>
      <c r="CN89" t="s">
        <v>417</v>
      </c>
      <c r="CO89" t="s">
        <v>417</v>
      </c>
      <c r="CP89" t="s">
        <v>417</v>
      </c>
      <c r="CQ89" t="s">
        <v>417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418</v>
      </c>
      <c r="CY89">
        <v>2</v>
      </c>
      <c r="CZ89" t="b">
        <v>1</v>
      </c>
      <c r="DA89">
        <v>1652371839.1</v>
      </c>
      <c r="DB89">
        <v>685.028148148148</v>
      </c>
      <c r="DC89">
        <v>777.1383333333333</v>
      </c>
      <c r="DD89">
        <v>25.20353703703704</v>
      </c>
      <c r="DE89">
        <v>11.97574074074074</v>
      </c>
      <c r="DF89">
        <v>685.3554074074074</v>
      </c>
      <c r="DG89">
        <v>25.15125925925926</v>
      </c>
      <c r="DH89">
        <v>400.0534074074075</v>
      </c>
      <c r="DI89">
        <v>90.40402592592594</v>
      </c>
      <c r="DJ89">
        <v>0.09996923703703703</v>
      </c>
      <c r="DK89">
        <v>31.36998518518519</v>
      </c>
      <c r="DL89">
        <v>30.02620740740741</v>
      </c>
      <c r="DM89">
        <v>999.9000000000001</v>
      </c>
      <c r="DN89">
        <v>0</v>
      </c>
      <c r="DO89">
        <v>0</v>
      </c>
      <c r="DP89">
        <v>10010.83259259259</v>
      </c>
      <c r="DQ89">
        <v>0</v>
      </c>
      <c r="DR89">
        <v>440.4876666666667</v>
      </c>
      <c r="DS89">
        <v>-92.1102037037037</v>
      </c>
      <c r="DT89">
        <v>702.7391481481483</v>
      </c>
      <c r="DU89">
        <v>786.5585185185184</v>
      </c>
      <c r="DV89">
        <v>13.22779259259259</v>
      </c>
      <c r="DW89">
        <v>777.1383333333333</v>
      </c>
      <c r="DX89">
        <v>11.97574074074074</v>
      </c>
      <c r="DY89">
        <v>2.278501481481481</v>
      </c>
      <c r="DZ89">
        <v>1.082656296296296</v>
      </c>
      <c r="EA89">
        <v>19.52520370370371</v>
      </c>
      <c r="EB89">
        <v>8.078758518518519</v>
      </c>
      <c r="EC89">
        <v>1499.988888888889</v>
      </c>
      <c r="ED89">
        <v>0.9730014444444445</v>
      </c>
      <c r="EE89">
        <v>0.0269987</v>
      </c>
      <c r="EF89">
        <v>0</v>
      </c>
      <c r="EG89">
        <v>1152.705555555556</v>
      </c>
      <c r="EH89">
        <v>5.00097</v>
      </c>
      <c r="EI89">
        <v>18282.71111111111</v>
      </c>
      <c r="EJ89">
        <v>12491.50740740741</v>
      </c>
      <c r="EK89">
        <v>39.625</v>
      </c>
      <c r="EL89">
        <v>41.14796296296296</v>
      </c>
      <c r="EM89">
        <v>39.86566666666667</v>
      </c>
      <c r="EN89">
        <v>40.93699999999999</v>
      </c>
      <c r="EO89">
        <v>40.82133333333333</v>
      </c>
      <c r="EP89">
        <v>1454.628888888889</v>
      </c>
      <c r="EQ89">
        <v>40.35999999999999</v>
      </c>
      <c r="ER89">
        <v>0</v>
      </c>
      <c r="ES89">
        <v>680.7999999523163</v>
      </c>
      <c r="ET89">
        <v>0</v>
      </c>
      <c r="EU89">
        <v>1152.5504</v>
      </c>
      <c r="EV89">
        <v>-19.00615384639888</v>
      </c>
      <c r="EW89">
        <v>-418.6076923058527</v>
      </c>
      <c r="EX89">
        <v>18277.588</v>
      </c>
      <c r="EY89">
        <v>15</v>
      </c>
      <c r="EZ89">
        <v>1652371289.6</v>
      </c>
      <c r="FA89" t="s">
        <v>515</v>
      </c>
      <c r="FB89">
        <v>1652371289.6</v>
      </c>
      <c r="FC89">
        <v>1652371275.1</v>
      </c>
      <c r="FD89">
        <v>24</v>
      </c>
      <c r="FE89">
        <v>0.442</v>
      </c>
      <c r="FF89">
        <v>0.001</v>
      </c>
      <c r="FG89">
        <v>-2.63</v>
      </c>
      <c r="FH89">
        <v>0.007</v>
      </c>
      <c r="FI89">
        <v>1620</v>
      </c>
      <c r="FJ89">
        <v>22</v>
      </c>
      <c r="FK89">
        <v>0.08</v>
      </c>
      <c r="FL89">
        <v>0.04</v>
      </c>
      <c r="FM89">
        <v>-91.79564000000001</v>
      </c>
      <c r="FN89">
        <v>-6.507618011257</v>
      </c>
      <c r="FO89">
        <v>0.6314802838569077</v>
      </c>
      <c r="FP89">
        <v>-1</v>
      </c>
      <c r="FQ89">
        <v>13.2869875</v>
      </c>
      <c r="FR89">
        <v>-1.222263039399633</v>
      </c>
      <c r="FS89">
        <v>0.1195158236123987</v>
      </c>
      <c r="FT89">
        <v>0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1</v>
      </c>
      <c r="GA89" t="s">
        <v>432</v>
      </c>
      <c r="GB89">
        <v>2.6959</v>
      </c>
      <c r="GC89">
        <v>2.7053</v>
      </c>
      <c r="GD89">
        <v>0.136397</v>
      </c>
      <c r="GE89">
        <v>0.146506</v>
      </c>
      <c r="GF89">
        <v>0.109603</v>
      </c>
      <c r="GG89">
        <v>0.06374929999999999</v>
      </c>
      <c r="GH89">
        <v>27159.7</v>
      </c>
      <c r="GI89">
        <v>26958.8</v>
      </c>
      <c r="GJ89">
        <v>29255</v>
      </c>
      <c r="GK89">
        <v>29229.4</v>
      </c>
      <c r="GL89">
        <v>34486.2</v>
      </c>
      <c r="GM89">
        <v>36433.9</v>
      </c>
      <c r="GN89">
        <v>41175.3</v>
      </c>
      <c r="GO89">
        <v>41704.2</v>
      </c>
      <c r="GP89">
        <v>1.7282</v>
      </c>
      <c r="GQ89">
        <v>2.02962</v>
      </c>
      <c r="GR89">
        <v>0.06508079999999999</v>
      </c>
      <c r="GS89">
        <v>0</v>
      </c>
      <c r="GT89">
        <v>28.9811</v>
      </c>
      <c r="GU89">
        <v>999.9</v>
      </c>
      <c r="GV89">
        <v>44.6</v>
      </c>
      <c r="GW89">
        <v>32.7</v>
      </c>
      <c r="GX89">
        <v>24.5049</v>
      </c>
      <c r="GY89">
        <v>63.5079</v>
      </c>
      <c r="GZ89">
        <v>29.1747</v>
      </c>
      <c r="HA89">
        <v>1</v>
      </c>
      <c r="HB89">
        <v>0.238905</v>
      </c>
      <c r="HC89">
        <v>-0.135831</v>
      </c>
      <c r="HD89">
        <v>20.3818</v>
      </c>
      <c r="HE89">
        <v>5.21684</v>
      </c>
      <c r="HF89">
        <v>12.0099</v>
      </c>
      <c r="HG89">
        <v>4.98795</v>
      </c>
      <c r="HH89">
        <v>3.28815</v>
      </c>
      <c r="HI89">
        <v>2712.5</v>
      </c>
      <c r="HJ89">
        <v>9999</v>
      </c>
      <c r="HK89">
        <v>9999</v>
      </c>
      <c r="HL89">
        <v>49.9</v>
      </c>
      <c r="HM89">
        <v>1.86722</v>
      </c>
      <c r="HN89">
        <v>1.86615</v>
      </c>
      <c r="HO89">
        <v>1.86573</v>
      </c>
      <c r="HP89">
        <v>1.86568</v>
      </c>
      <c r="HQ89">
        <v>1.86737</v>
      </c>
      <c r="HR89">
        <v>1.86996</v>
      </c>
      <c r="HS89">
        <v>1.8686</v>
      </c>
      <c r="HT89">
        <v>1.86997</v>
      </c>
      <c r="HU89">
        <v>0</v>
      </c>
      <c r="HV89">
        <v>0</v>
      </c>
      <c r="HW89">
        <v>0</v>
      </c>
      <c r="HX89">
        <v>0</v>
      </c>
      <c r="HY89" t="s">
        <v>421</v>
      </c>
      <c r="HZ89" t="s">
        <v>422</v>
      </c>
      <c r="IA89" t="s">
        <v>423</v>
      </c>
      <c r="IB89" t="s">
        <v>423</v>
      </c>
      <c r="IC89" t="s">
        <v>423</v>
      </c>
      <c r="ID89" t="s">
        <v>423</v>
      </c>
      <c r="IE89">
        <v>0</v>
      </c>
      <c r="IF89">
        <v>100</v>
      </c>
      <c r="IG89">
        <v>100</v>
      </c>
      <c r="IH89">
        <v>-0.387</v>
      </c>
      <c r="II89">
        <v>0.0516</v>
      </c>
      <c r="IJ89">
        <v>1.257309091789605</v>
      </c>
      <c r="IK89">
        <v>-0.002185601614162945</v>
      </c>
      <c r="IL89">
        <v>-2.252308143750626E-07</v>
      </c>
      <c r="IM89">
        <v>5.915558436307541E-11</v>
      </c>
      <c r="IN89">
        <v>-0.118683452207699</v>
      </c>
      <c r="IO89">
        <v>-0.007570214193104963</v>
      </c>
      <c r="IP89">
        <v>0.0009214429922928372</v>
      </c>
      <c r="IQ89">
        <v>-1.392260276065805E-05</v>
      </c>
      <c r="IR89">
        <v>17</v>
      </c>
      <c r="IS89">
        <v>2272</v>
      </c>
      <c r="IT89">
        <v>1</v>
      </c>
      <c r="IU89">
        <v>31</v>
      </c>
      <c r="IV89">
        <v>9.300000000000001</v>
      </c>
      <c r="IW89">
        <v>9.5</v>
      </c>
      <c r="IX89">
        <v>1.77124</v>
      </c>
      <c r="IY89">
        <v>2.21924</v>
      </c>
      <c r="IZ89">
        <v>1.39648</v>
      </c>
      <c r="JA89">
        <v>2.35352</v>
      </c>
      <c r="JB89">
        <v>1.49536</v>
      </c>
      <c r="JC89">
        <v>2.30591</v>
      </c>
      <c r="JD89">
        <v>36.152</v>
      </c>
      <c r="JE89">
        <v>15.3579</v>
      </c>
      <c r="JF89">
        <v>18</v>
      </c>
      <c r="JG89">
        <v>389.18</v>
      </c>
      <c r="JH89">
        <v>564.349</v>
      </c>
      <c r="JI89">
        <v>30.5974</v>
      </c>
      <c r="JJ89">
        <v>30.5415</v>
      </c>
      <c r="JK89">
        <v>30.0001</v>
      </c>
      <c r="JL89">
        <v>30.4289</v>
      </c>
      <c r="JM89">
        <v>30.3207</v>
      </c>
      <c r="JN89">
        <v>35.4523</v>
      </c>
      <c r="JO89">
        <v>46.2931</v>
      </c>
      <c r="JP89">
        <v>0</v>
      </c>
      <c r="JQ89">
        <v>30.5785</v>
      </c>
      <c r="JR89">
        <v>821.1609999999999</v>
      </c>
      <c r="JS89">
        <v>12.2321</v>
      </c>
      <c r="JT89">
        <v>99.9961</v>
      </c>
      <c r="JU89">
        <v>100.108</v>
      </c>
    </row>
    <row r="90" spans="1:281">
      <c r="A90">
        <v>74</v>
      </c>
      <c r="B90">
        <v>1652371851.6</v>
      </c>
      <c r="C90">
        <v>3758</v>
      </c>
      <c r="D90" t="s">
        <v>615</v>
      </c>
      <c r="E90" t="s">
        <v>616</v>
      </c>
      <c r="F90">
        <v>5</v>
      </c>
      <c r="G90" t="s">
        <v>518</v>
      </c>
      <c r="H90" t="s">
        <v>414</v>
      </c>
      <c r="I90">
        <v>1652371843.814285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815.8368026999231</v>
      </c>
      <c r="AK90">
        <v>742.7168969696968</v>
      </c>
      <c r="AL90">
        <v>3.345110732865726</v>
      </c>
      <c r="AM90">
        <v>65.95105977519088</v>
      </c>
      <c r="AN90">
        <f>(AP90 - AO90 + DI90*1E3/(8.314*(DK90+273.15)) * AR90/DH90 * AQ90) * DH90/(100*CV90) * 1000/(1000 - AP90)</f>
        <v>0</v>
      </c>
      <c r="AO90">
        <v>12.06662498038072</v>
      </c>
      <c r="AP90">
        <v>25.10548531468534</v>
      </c>
      <c r="AQ90">
        <v>-0.01051263717447607</v>
      </c>
      <c r="AR90">
        <v>81.26040297655408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417</v>
      </c>
      <c r="AY90" t="s">
        <v>417</v>
      </c>
      <c r="AZ90">
        <v>0</v>
      </c>
      <c r="BA90">
        <v>0</v>
      </c>
      <c r="BB90">
        <f>1-AZ90/BA90</f>
        <v>0</v>
      </c>
      <c r="BC90">
        <v>0</v>
      </c>
      <c r="BD90" t="s">
        <v>417</v>
      </c>
      <c r="BE90" t="s">
        <v>417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1393</v>
      </c>
      <c r="CA90">
        <v>300</v>
      </c>
      <c r="CB90">
        <v>300</v>
      </c>
      <c r="CC90">
        <v>300</v>
      </c>
      <c r="CD90">
        <v>10378</v>
      </c>
      <c r="CE90">
        <v>2050</v>
      </c>
      <c r="CF90">
        <v>-0.00730649</v>
      </c>
      <c r="CG90">
        <v>-4.53</v>
      </c>
      <c r="CH90" t="s">
        <v>417</v>
      </c>
      <c r="CI90" t="s">
        <v>417</v>
      </c>
      <c r="CJ90" t="s">
        <v>417</v>
      </c>
      <c r="CK90" t="s">
        <v>417</v>
      </c>
      <c r="CL90" t="s">
        <v>417</v>
      </c>
      <c r="CM90" t="s">
        <v>417</v>
      </c>
      <c r="CN90" t="s">
        <v>417</v>
      </c>
      <c r="CO90" t="s">
        <v>417</v>
      </c>
      <c r="CP90" t="s">
        <v>417</v>
      </c>
      <c r="CQ90" t="s">
        <v>417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418</v>
      </c>
      <c r="CY90">
        <v>2</v>
      </c>
      <c r="CZ90" t="b">
        <v>1</v>
      </c>
      <c r="DA90">
        <v>1652371843.814285</v>
      </c>
      <c r="DB90">
        <v>700.3206428571428</v>
      </c>
      <c r="DC90">
        <v>792.8902142857144</v>
      </c>
      <c r="DD90">
        <v>25.16998928571429</v>
      </c>
      <c r="DE90">
        <v>12.04944285714286</v>
      </c>
      <c r="DF90">
        <v>700.684857142857</v>
      </c>
      <c r="DG90">
        <v>25.11811428571428</v>
      </c>
      <c r="DH90">
        <v>400.0728214285714</v>
      </c>
      <c r="DI90">
        <v>90.40519999999999</v>
      </c>
      <c r="DJ90">
        <v>0.09998040000000004</v>
      </c>
      <c r="DK90">
        <v>31.36615357142857</v>
      </c>
      <c r="DL90">
        <v>30.03344642857143</v>
      </c>
      <c r="DM90">
        <v>999.9000000000002</v>
      </c>
      <c r="DN90">
        <v>0</v>
      </c>
      <c r="DO90">
        <v>0</v>
      </c>
      <c r="DP90">
        <v>10012.215</v>
      </c>
      <c r="DQ90">
        <v>0</v>
      </c>
      <c r="DR90">
        <v>438.2240357142858</v>
      </c>
      <c r="DS90">
        <v>-92.56959285714287</v>
      </c>
      <c r="DT90">
        <v>718.4021785714285</v>
      </c>
      <c r="DU90">
        <v>802.561357142857</v>
      </c>
      <c r="DV90">
        <v>13.12053928571429</v>
      </c>
      <c r="DW90">
        <v>792.8902142857144</v>
      </c>
      <c r="DX90">
        <v>12.04944285714286</v>
      </c>
      <c r="DY90">
        <v>2.275497142857143</v>
      </c>
      <c r="DZ90">
        <v>1.089333214285714</v>
      </c>
      <c r="EA90">
        <v>19.503975</v>
      </c>
      <c r="EB90">
        <v>8.169167857142858</v>
      </c>
      <c r="EC90">
        <v>1499.992142857143</v>
      </c>
      <c r="ED90">
        <v>0.973001642857143</v>
      </c>
      <c r="EE90">
        <v>0.02699848571428572</v>
      </c>
      <c r="EF90">
        <v>0</v>
      </c>
      <c r="EG90">
        <v>1151.062857142857</v>
      </c>
      <c r="EH90">
        <v>5.00097</v>
      </c>
      <c r="EI90">
        <v>18242.19285714286</v>
      </c>
      <c r="EJ90">
        <v>12491.53928571428</v>
      </c>
      <c r="EK90">
        <v>39.625</v>
      </c>
      <c r="EL90">
        <v>41.15157142857142</v>
      </c>
      <c r="EM90">
        <v>39.8615</v>
      </c>
      <c r="EN90">
        <v>40.93699999999999</v>
      </c>
      <c r="EO90">
        <v>40.8165</v>
      </c>
      <c r="EP90">
        <v>1454.632142857143</v>
      </c>
      <c r="EQ90">
        <v>40.35999999999999</v>
      </c>
      <c r="ER90">
        <v>0</v>
      </c>
      <c r="ES90">
        <v>685.5999999046326</v>
      </c>
      <c r="ET90">
        <v>0</v>
      </c>
      <c r="EU90">
        <v>1150.834</v>
      </c>
      <c r="EV90">
        <v>-22.90230766473591</v>
      </c>
      <c r="EW90">
        <v>-632.2384604496721</v>
      </c>
      <c r="EX90">
        <v>18235.948</v>
      </c>
      <c r="EY90">
        <v>15</v>
      </c>
      <c r="EZ90">
        <v>1652371289.6</v>
      </c>
      <c r="FA90" t="s">
        <v>515</v>
      </c>
      <c r="FB90">
        <v>1652371289.6</v>
      </c>
      <c r="FC90">
        <v>1652371275.1</v>
      </c>
      <c r="FD90">
        <v>24</v>
      </c>
      <c r="FE90">
        <v>0.442</v>
      </c>
      <c r="FF90">
        <v>0.001</v>
      </c>
      <c r="FG90">
        <v>-2.63</v>
      </c>
      <c r="FH90">
        <v>0.007</v>
      </c>
      <c r="FI90">
        <v>1620</v>
      </c>
      <c r="FJ90">
        <v>22</v>
      </c>
      <c r="FK90">
        <v>0.08</v>
      </c>
      <c r="FL90">
        <v>0.04</v>
      </c>
      <c r="FM90">
        <v>-92.2228575</v>
      </c>
      <c r="FN90">
        <v>-5.921028517823456</v>
      </c>
      <c r="FO90">
        <v>0.5735091742454955</v>
      </c>
      <c r="FP90">
        <v>-1</v>
      </c>
      <c r="FQ90">
        <v>13.1977575</v>
      </c>
      <c r="FR90">
        <v>-1.229165853658589</v>
      </c>
      <c r="FS90">
        <v>0.1206174321719294</v>
      </c>
      <c r="FT90">
        <v>0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1</v>
      </c>
      <c r="GA90" t="s">
        <v>432</v>
      </c>
      <c r="GB90">
        <v>2.69597</v>
      </c>
      <c r="GC90">
        <v>2.7052</v>
      </c>
      <c r="GD90">
        <v>0.138532</v>
      </c>
      <c r="GE90">
        <v>0.148541</v>
      </c>
      <c r="GF90">
        <v>0.109465</v>
      </c>
      <c r="GG90">
        <v>0.06430279999999999</v>
      </c>
      <c r="GH90">
        <v>27092.1</v>
      </c>
      <c r="GI90">
        <v>26894</v>
      </c>
      <c r="GJ90">
        <v>29254.5</v>
      </c>
      <c r="GK90">
        <v>29229</v>
      </c>
      <c r="GL90">
        <v>34491.1</v>
      </c>
      <c r="GM90">
        <v>36411.9</v>
      </c>
      <c r="GN90">
        <v>41174.7</v>
      </c>
      <c r="GO90">
        <v>41703.8</v>
      </c>
      <c r="GP90">
        <v>1.72803</v>
      </c>
      <c r="GQ90">
        <v>2.0298</v>
      </c>
      <c r="GR90">
        <v>0.0657141</v>
      </c>
      <c r="GS90">
        <v>0</v>
      </c>
      <c r="GT90">
        <v>28.9748</v>
      </c>
      <c r="GU90">
        <v>999.9</v>
      </c>
      <c r="GV90">
        <v>44.6</v>
      </c>
      <c r="GW90">
        <v>32.7</v>
      </c>
      <c r="GX90">
        <v>24.5076</v>
      </c>
      <c r="GY90">
        <v>63.3679</v>
      </c>
      <c r="GZ90">
        <v>29.2869</v>
      </c>
      <c r="HA90">
        <v>1</v>
      </c>
      <c r="HB90">
        <v>0.239007</v>
      </c>
      <c r="HC90">
        <v>-0.0846351</v>
      </c>
      <c r="HD90">
        <v>20.3816</v>
      </c>
      <c r="HE90">
        <v>5.21774</v>
      </c>
      <c r="HF90">
        <v>12.0099</v>
      </c>
      <c r="HG90">
        <v>4.98845</v>
      </c>
      <c r="HH90">
        <v>3.28838</v>
      </c>
      <c r="HI90">
        <v>2712.5</v>
      </c>
      <c r="HJ90">
        <v>9999</v>
      </c>
      <c r="HK90">
        <v>9999</v>
      </c>
      <c r="HL90">
        <v>49.9</v>
      </c>
      <c r="HM90">
        <v>1.86721</v>
      </c>
      <c r="HN90">
        <v>1.86615</v>
      </c>
      <c r="HO90">
        <v>1.86573</v>
      </c>
      <c r="HP90">
        <v>1.86567</v>
      </c>
      <c r="HQ90">
        <v>1.86739</v>
      </c>
      <c r="HR90">
        <v>1.86996</v>
      </c>
      <c r="HS90">
        <v>1.86859</v>
      </c>
      <c r="HT90">
        <v>1.86996</v>
      </c>
      <c r="HU90">
        <v>0</v>
      </c>
      <c r="HV90">
        <v>0</v>
      </c>
      <c r="HW90">
        <v>0</v>
      </c>
      <c r="HX90">
        <v>0</v>
      </c>
      <c r="HY90" t="s">
        <v>421</v>
      </c>
      <c r="HZ90" t="s">
        <v>422</v>
      </c>
      <c r="IA90" t="s">
        <v>423</v>
      </c>
      <c r="IB90" t="s">
        <v>423</v>
      </c>
      <c r="IC90" t="s">
        <v>423</v>
      </c>
      <c r="ID90" t="s">
        <v>423</v>
      </c>
      <c r="IE90">
        <v>0</v>
      </c>
      <c r="IF90">
        <v>100</v>
      </c>
      <c r="IG90">
        <v>100</v>
      </c>
      <c r="IH90">
        <v>-0.426</v>
      </c>
      <c r="II90">
        <v>0.0511</v>
      </c>
      <c r="IJ90">
        <v>1.257309091789605</v>
      </c>
      <c r="IK90">
        <v>-0.002185601614162945</v>
      </c>
      <c r="IL90">
        <v>-2.252308143750626E-07</v>
      </c>
      <c r="IM90">
        <v>5.915558436307541E-11</v>
      </c>
      <c r="IN90">
        <v>-0.118683452207699</v>
      </c>
      <c r="IO90">
        <v>-0.007570214193104963</v>
      </c>
      <c r="IP90">
        <v>0.0009214429922928372</v>
      </c>
      <c r="IQ90">
        <v>-1.392260276065805E-05</v>
      </c>
      <c r="IR90">
        <v>17</v>
      </c>
      <c r="IS90">
        <v>2272</v>
      </c>
      <c r="IT90">
        <v>1</v>
      </c>
      <c r="IU90">
        <v>31</v>
      </c>
      <c r="IV90">
        <v>9.4</v>
      </c>
      <c r="IW90">
        <v>9.6</v>
      </c>
      <c r="IX90">
        <v>1.80176</v>
      </c>
      <c r="IY90">
        <v>2.21313</v>
      </c>
      <c r="IZ90">
        <v>1.39648</v>
      </c>
      <c r="JA90">
        <v>2.35352</v>
      </c>
      <c r="JB90">
        <v>1.49536</v>
      </c>
      <c r="JC90">
        <v>2.34253</v>
      </c>
      <c r="JD90">
        <v>36.1754</v>
      </c>
      <c r="JE90">
        <v>15.3579</v>
      </c>
      <c r="JF90">
        <v>18</v>
      </c>
      <c r="JG90">
        <v>389.098</v>
      </c>
      <c r="JH90">
        <v>564.496</v>
      </c>
      <c r="JI90">
        <v>30.5665</v>
      </c>
      <c r="JJ90">
        <v>30.5415</v>
      </c>
      <c r="JK90">
        <v>30.0001</v>
      </c>
      <c r="JL90">
        <v>30.4309</v>
      </c>
      <c r="JM90">
        <v>30.3225</v>
      </c>
      <c r="JN90">
        <v>36.068</v>
      </c>
      <c r="JO90">
        <v>45.9897</v>
      </c>
      <c r="JP90">
        <v>0</v>
      </c>
      <c r="JQ90">
        <v>30.5398</v>
      </c>
      <c r="JR90">
        <v>841.198</v>
      </c>
      <c r="JS90">
        <v>12.3476</v>
      </c>
      <c r="JT90">
        <v>99.9945</v>
      </c>
      <c r="JU90">
        <v>100.107</v>
      </c>
    </row>
    <row r="91" spans="1:281">
      <c r="A91">
        <v>75</v>
      </c>
      <c r="B91">
        <v>1652371856.6</v>
      </c>
      <c r="C91">
        <v>3763</v>
      </c>
      <c r="D91" t="s">
        <v>617</v>
      </c>
      <c r="E91" t="s">
        <v>618</v>
      </c>
      <c r="F91">
        <v>5</v>
      </c>
      <c r="G91" t="s">
        <v>518</v>
      </c>
      <c r="H91" t="s">
        <v>414</v>
      </c>
      <c r="I91">
        <v>1652371849.1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832.8746602991652</v>
      </c>
      <c r="AK91">
        <v>759.5209212121212</v>
      </c>
      <c r="AL91">
        <v>3.360442287450379</v>
      </c>
      <c r="AM91">
        <v>65.95105977519088</v>
      </c>
      <c r="AN91">
        <f>(AP91 - AO91 + DI91*1E3/(8.314*(DK91+273.15)) * AR91/DH91 * AQ91) * DH91/(100*CV91) * 1000/(1000 - AP91)</f>
        <v>0</v>
      </c>
      <c r="AO91">
        <v>12.20058509578392</v>
      </c>
      <c r="AP91">
        <v>25.07117622377626</v>
      </c>
      <c r="AQ91">
        <v>-0.001443776683590033</v>
      </c>
      <c r="AR91">
        <v>81.26040297655408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417</v>
      </c>
      <c r="AY91" t="s">
        <v>417</v>
      </c>
      <c r="AZ91">
        <v>0</v>
      </c>
      <c r="BA91">
        <v>0</v>
      </c>
      <c r="BB91">
        <f>1-AZ91/BA91</f>
        <v>0</v>
      </c>
      <c r="BC91">
        <v>0</v>
      </c>
      <c r="BD91" t="s">
        <v>417</v>
      </c>
      <c r="BE91" t="s">
        <v>417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1393</v>
      </c>
      <c r="CA91">
        <v>300</v>
      </c>
      <c r="CB91">
        <v>300</v>
      </c>
      <c r="CC91">
        <v>300</v>
      </c>
      <c r="CD91">
        <v>10378</v>
      </c>
      <c r="CE91">
        <v>2050</v>
      </c>
      <c r="CF91">
        <v>-0.00730649</v>
      </c>
      <c r="CG91">
        <v>-4.53</v>
      </c>
      <c r="CH91" t="s">
        <v>417</v>
      </c>
      <c r="CI91" t="s">
        <v>417</v>
      </c>
      <c r="CJ91" t="s">
        <v>417</v>
      </c>
      <c r="CK91" t="s">
        <v>417</v>
      </c>
      <c r="CL91" t="s">
        <v>417</v>
      </c>
      <c r="CM91" t="s">
        <v>417</v>
      </c>
      <c r="CN91" t="s">
        <v>417</v>
      </c>
      <c r="CO91" t="s">
        <v>417</v>
      </c>
      <c r="CP91" t="s">
        <v>417</v>
      </c>
      <c r="CQ91" t="s">
        <v>417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418</v>
      </c>
      <c r="CY91">
        <v>2</v>
      </c>
      <c r="CZ91" t="b">
        <v>1</v>
      </c>
      <c r="DA91">
        <v>1652371849.1</v>
      </c>
      <c r="DB91">
        <v>717.5534444444444</v>
      </c>
      <c r="DC91">
        <v>810.5593333333333</v>
      </c>
      <c r="DD91">
        <v>25.12845925925926</v>
      </c>
      <c r="DE91">
        <v>12.13019259259259</v>
      </c>
      <c r="DF91">
        <v>717.9595185185185</v>
      </c>
      <c r="DG91">
        <v>25.07708888888889</v>
      </c>
      <c r="DH91">
        <v>400.0799259259259</v>
      </c>
      <c r="DI91">
        <v>90.40722222222222</v>
      </c>
      <c r="DJ91">
        <v>0.09995712222222222</v>
      </c>
      <c r="DK91">
        <v>31.36043703703703</v>
      </c>
      <c r="DL91">
        <v>30.0428</v>
      </c>
      <c r="DM91">
        <v>999.9000000000001</v>
      </c>
      <c r="DN91">
        <v>0</v>
      </c>
      <c r="DO91">
        <v>0</v>
      </c>
      <c r="DP91">
        <v>10011.64148148148</v>
      </c>
      <c r="DQ91">
        <v>0</v>
      </c>
      <c r="DR91">
        <v>435.9451851851852</v>
      </c>
      <c r="DS91">
        <v>-93.0058777777778</v>
      </c>
      <c r="DT91">
        <v>736.0487037037036</v>
      </c>
      <c r="DU91">
        <v>820.5135925925927</v>
      </c>
      <c r="DV91">
        <v>12.99826666666667</v>
      </c>
      <c r="DW91">
        <v>810.5593333333333</v>
      </c>
      <c r="DX91">
        <v>12.13019259259259</v>
      </c>
      <c r="DY91">
        <v>2.271794074074074</v>
      </c>
      <c r="DZ91">
        <v>1.096656666666667</v>
      </c>
      <c r="EA91">
        <v>19.47777407407407</v>
      </c>
      <c r="EB91">
        <v>8.267654074074073</v>
      </c>
      <c r="EC91">
        <v>1499.982592592593</v>
      </c>
      <c r="ED91">
        <v>0.9730016296296298</v>
      </c>
      <c r="EE91">
        <v>0.02699850000000001</v>
      </c>
      <c r="EF91">
        <v>0</v>
      </c>
      <c r="EG91">
        <v>1148.929259259259</v>
      </c>
      <c r="EH91">
        <v>5.00097</v>
      </c>
      <c r="EI91">
        <v>18193.24814814815</v>
      </c>
      <c r="EJ91">
        <v>12491.46296296296</v>
      </c>
      <c r="EK91">
        <v>39.625</v>
      </c>
      <c r="EL91">
        <v>41.14337037037036</v>
      </c>
      <c r="EM91">
        <v>39.86566666666667</v>
      </c>
      <c r="EN91">
        <v>40.93699999999999</v>
      </c>
      <c r="EO91">
        <v>40.81199999999999</v>
      </c>
      <c r="EP91">
        <v>1454.622592592593</v>
      </c>
      <c r="EQ91">
        <v>40.35999999999999</v>
      </c>
      <c r="ER91">
        <v>0</v>
      </c>
      <c r="ES91">
        <v>690.3999998569489</v>
      </c>
      <c r="ET91">
        <v>0</v>
      </c>
      <c r="EU91">
        <v>1148.8224</v>
      </c>
      <c r="EV91">
        <v>-27.90538466846316</v>
      </c>
      <c r="EW91">
        <v>-562.4769235448383</v>
      </c>
      <c r="EX91">
        <v>18191.304</v>
      </c>
      <c r="EY91">
        <v>15</v>
      </c>
      <c r="EZ91">
        <v>1652371289.6</v>
      </c>
      <c r="FA91" t="s">
        <v>515</v>
      </c>
      <c r="FB91">
        <v>1652371289.6</v>
      </c>
      <c r="FC91">
        <v>1652371275.1</v>
      </c>
      <c r="FD91">
        <v>24</v>
      </c>
      <c r="FE91">
        <v>0.442</v>
      </c>
      <c r="FF91">
        <v>0.001</v>
      </c>
      <c r="FG91">
        <v>-2.63</v>
      </c>
      <c r="FH91">
        <v>0.007</v>
      </c>
      <c r="FI91">
        <v>1620</v>
      </c>
      <c r="FJ91">
        <v>22</v>
      </c>
      <c r="FK91">
        <v>0.08</v>
      </c>
      <c r="FL91">
        <v>0.04</v>
      </c>
      <c r="FM91">
        <v>-92.70860975609757</v>
      </c>
      <c r="FN91">
        <v>-5.172748432055905</v>
      </c>
      <c r="FO91">
        <v>0.5139644596258361</v>
      </c>
      <c r="FP91">
        <v>-1</v>
      </c>
      <c r="FQ91">
        <v>13.07257073170732</v>
      </c>
      <c r="FR91">
        <v>-1.395472473867569</v>
      </c>
      <c r="FS91">
        <v>0.1408180425037451</v>
      </c>
      <c r="FT91">
        <v>0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1</v>
      </c>
      <c r="GA91" t="s">
        <v>432</v>
      </c>
      <c r="GB91">
        <v>2.69576</v>
      </c>
      <c r="GC91">
        <v>2.70524</v>
      </c>
      <c r="GD91">
        <v>0.140659</v>
      </c>
      <c r="GE91">
        <v>0.150554</v>
      </c>
      <c r="GF91">
        <v>0.109358</v>
      </c>
      <c r="GG91">
        <v>0.06463960000000001</v>
      </c>
      <c r="GH91">
        <v>27025.4</v>
      </c>
      <c r="GI91">
        <v>26830.8</v>
      </c>
      <c r="GJ91">
        <v>29254.8</v>
      </c>
      <c r="GK91">
        <v>29229.4</v>
      </c>
      <c r="GL91">
        <v>34495.5</v>
      </c>
      <c r="GM91">
        <v>36399</v>
      </c>
      <c r="GN91">
        <v>41174.8</v>
      </c>
      <c r="GO91">
        <v>41704.1</v>
      </c>
      <c r="GP91">
        <v>1.72773</v>
      </c>
      <c r="GQ91">
        <v>2.03043</v>
      </c>
      <c r="GR91">
        <v>0.06683169999999999</v>
      </c>
      <c r="GS91">
        <v>0</v>
      </c>
      <c r="GT91">
        <v>28.9686</v>
      </c>
      <c r="GU91">
        <v>999.9</v>
      </c>
      <c r="GV91">
        <v>44.6</v>
      </c>
      <c r="GW91">
        <v>32.7</v>
      </c>
      <c r="GX91">
        <v>24.5095</v>
      </c>
      <c r="GY91">
        <v>63.2879</v>
      </c>
      <c r="GZ91">
        <v>29.6434</v>
      </c>
      <c r="HA91">
        <v>1</v>
      </c>
      <c r="HB91">
        <v>0.238763</v>
      </c>
      <c r="HC91">
        <v>-0.0169281</v>
      </c>
      <c r="HD91">
        <v>20.3818</v>
      </c>
      <c r="HE91">
        <v>5.21684</v>
      </c>
      <c r="HF91">
        <v>12.0099</v>
      </c>
      <c r="HG91">
        <v>4.9884</v>
      </c>
      <c r="HH91">
        <v>3.28825</v>
      </c>
      <c r="HI91">
        <v>2712.8</v>
      </c>
      <c r="HJ91">
        <v>9999</v>
      </c>
      <c r="HK91">
        <v>9999</v>
      </c>
      <c r="HL91">
        <v>49.9</v>
      </c>
      <c r="HM91">
        <v>1.86722</v>
      </c>
      <c r="HN91">
        <v>1.86617</v>
      </c>
      <c r="HO91">
        <v>1.86576</v>
      </c>
      <c r="HP91">
        <v>1.86569</v>
      </c>
      <c r="HQ91">
        <v>1.86739</v>
      </c>
      <c r="HR91">
        <v>1.86996</v>
      </c>
      <c r="HS91">
        <v>1.86859</v>
      </c>
      <c r="HT91">
        <v>1.86996</v>
      </c>
      <c r="HU91">
        <v>0</v>
      </c>
      <c r="HV91">
        <v>0</v>
      </c>
      <c r="HW91">
        <v>0</v>
      </c>
      <c r="HX91">
        <v>0</v>
      </c>
      <c r="HY91" t="s">
        <v>421</v>
      </c>
      <c r="HZ91" t="s">
        <v>422</v>
      </c>
      <c r="IA91" t="s">
        <v>423</v>
      </c>
      <c r="IB91" t="s">
        <v>423</v>
      </c>
      <c r="IC91" t="s">
        <v>423</v>
      </c>
      <c r="ID91" t="s">
        <v>423</v>
      </c>
      <c r="IE91">
        <v>0</v>
      </c>
      <c r="IF91">
        <v>100</v>
      </c>
      <c r="IG91">
        <v>100</v>
      </c>
      <c r="IH91">
        <v>-0.466</v>
      </c>
      <c r="II91">
        <v>0.0506</v>
      </c>
      <c r="IJ91">
        <v>1.257309091789605</v>
      </c>
      <c r="IK91">
        <v>-0.002185601614162945</v>
      </c>
      <c r="IL91">
        <v>-2.252308143750626E-07</v>
      </c>
      <c r="IM91">
        <v>5.915558436307541E-11</v>
      </c>
      <c r="IN91">
        <v>-0.118683452207699</v>
      </c>
      <c r="IO91">
        <v>-0.007570214193104963</v>
      </c>
      <c r="IP91">
        <v>0.0009214429922928372</v>
      </c>
      <c r="IQ91">
        <v>-1.392260276065805E-05</v>
      </c>
      <c r="IR91">
        <v>17</v>
      </c>
      <c r="IS91">
        <v>2272</v>
      </c>
      <c r="IT91">
        <v>1</v>
      </c>
      <c r="IU91">
        <v>31</v>
      </c>
      <c r="IV91">
        <v>9.4</v>
      </c>
      <c r="IW91">
        <v>9.699999999999999</v>
      </c>
      <c r="IX91">
        <v>1.82739</v>
      </c>
      <c r="IY91">
        <v>2.20947</v>
      </c>
      <c r="IZ91">
        <v>1.39648</v>
      </c>
      <c r="JA91">
        <v>2.35352</v>
      </c>
      <c r="JB91">
        <v>1.49536</v>
      </c>
      <c r="JC91">
        <v>2.37183</v>
      </c>
      <c r="JD91">
        <v>36.1754</v>
      </c>
      <c r="JE91">
        <v>15.3666</v>
      </c>
      <c r="JF91">
        <v>18</v>
      </c>
      <c r="JG91">
        <v>388.945</v>
      </c>
      <c r="JH91">
        <v>564.975</v>
      </c>
      <c r="JI91">
        <v>30.5255</v>
      </c>
      <c r="JJ91">
        <v>30.5415</v>
      </c>
      <c r="JK91">
        <v>30.0001</v>
      </c>
      <c r="JL91">
        <v>30.4322</v>
      </c>
      <c r="JM91">
        <v>30.3233</v>
      </c>
      <c r="JN91">
        <v>36.6262</v>
      </c>
      <c r="JO91">
        <v>45.7089</v>
      </c>
      <c r="JP91">
        <v>0</v>
      </c>
      <c r="JQ91">
        <v>30.4911</v>
      </c>
      <c r="JR91">
        <v>854.559</v>
      </c>
      <c r="JS91">
        <v>12.4692</v>
      </c>
      <c r="JT91">
        <v>99.9952</v>
      </c>
      <c r="JU91">
        <v>100.108</v>
      </c>
    </row>
    <row r="92" spans="1:281">
      <c r="A92">
        <v>76</v>
      </c>
      <c r="B92">
        <v>1652371861.6</v>
      </c>
      <c r="C92">
        <v>3768</v>
      </c>
      <c r="D92" t="s">
        <v>619</v>
      </c>
      <c r="E92" t="s">
        <v>620</v>
      </c>
      <c r="F92">
        <v>5</v>
      </c>
      <c r="G92" t="s">
        <v>518</v>
      </c>
      <c r="H92" t="s">
        <v>414</v>
      </c>
      <c r="I92">
        <v>1652371853.814285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849.8388544713158</v>
      </c>
      <c r="AK92">
        <v>776.4542363636365</v>
      </c>
      <c r="AL92">
        <v>3.382023515961548</v>
      </c>
      <c r="AM92">
        <v>65.95105977519088</v>
      </c>
      <c r="AN92">
        <f>(AP92 - AO92 + DI92*1E3/(8.314*(DK92+273.15)) * AR92/DH92 * AQ92) * DH92/(100*CV92) * 1000/(1000 - AP92)</f>
        <v>0</v>
      </c>
      <c r="AO92">
        <v>12.29339020027799</v>
      </c>
      <c r="AP92">
        <v>25.03667692307693</v>
      </c>
      <c r="AQ92">
        <v>-0.006946298324077055</v>
      </c>
      <c r="AR92">
        <v>81.26040297655408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417</v>
      </c>
      <c r="AY92" t="s">
        <v>417</v>
      </c>
      <c r="AZ92">
        <v>0</v>
      </c>
      <c r="BA92">
        <v>0</v>
      </c>
      <c r="BB92">
        <f>1-AZ92/BA92</f>
        <v>0</v>
      </c>
      <c r="BC92">
        <v>0</v>
      </c>
      <c r="BD92" t="s">
        <v>417</v>
      </c>
      <c r="BE92" t="s">
        <v>417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1393</v>
      </c>
      <c r="CA92">
        <v>300</v>
      </c>
      <c r="CB92">
        <v>300</v>
      </c>
      <c r="CC92">
        <v>300</v>
      </c>
      <c r="CD92">
        <v>10378</v>
      </c>
      <c r="CE92">
        <v>2050</v>
      </c>
      <c r="CF92">
        <v>-0.00730649</v>
      </c>
      <c r="CG92">
        <v>-4.53</v>
      </c>
      <c r="CH92" t="s">
        <v>417</v>
      </c>
      <c r="CI92" t="s">
        <v>417</v>
      </c>
      <c r="CJ92" t="s">
        <v>417</v>
      </c>
      <c r="CK92" t="s">
        <v>417</v>
      </c>
      <c r="CL92" t="s">
        <v>417</v>
      </c>
      <c r="CM92" t="s">
        <v>417</v>
      </c>
      <c r="CN92" t="s">
        <v>417</v>
      </c>
      <c r="CO92" t="s">
        <v>417</v>
      </c>
      <c r="CP92" t="s">
        <v>417</v>
      </c>
      <c r="CQ92" t="s">
        <v>417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418</v>
      </c>
      <c r="CY92">
        <v>2</v>
      </c>
      <c r="CZ92" t="b">
        <v>1</v>
      </c>
      <c r="DA92">
        <v>1652371853.814285</v>
      </c>
      <c r="DB92">
        <v>733.0045714285714</v>
      </c>
      <c r="DC92">
        <v>826.3451428571428</v>
      </c>
      <c r="DD92">
        <v>25.09016785714286</v>
      </c>
      <c r="DE92">
        <v>12.2365</v>
      </c>
      <c r="DF92">
        <v>733.4482142857144</v>
      </c>
      <c r="DG92">
        <v>25.03926071428571</v>
      </c>
      <c r="DH92">
        <v>400.0964285714286</v>
      </c>
      <c r="DI92">
        <v>90.40748214285713</v>
      </c>
      <c r="DJ92">
        <v>0.1000110928571429</v>
      </c>
      <c r="DK92">
        <v>31.35523571428571</v>
      </c>
      <c r="DL92">
        <v>30.05184285714286</v>
      </c>
      <c r="DM92">
        <v>999.9000000000002</v>
      </c>
      <c r="DN92">
        <v>0</v>
      </c>
      <c r="DO92">
        <v>0</v>
      </c>
      <c r="DP92">
        <v>10006.69285714286</v>
      </c>
      <c r="DQ92">
        <v>0</v>
      </c>
      <c r="DR92">
        <v>435.2426071428571</v>
      </c>
      <c r="DS92">
        <v>-93.34046785714284</v>
      </c>
      <c r="DT92">
        <v>751.8686785714286</v>
      </c>
      <c r="DU92">
        <v>836.5835357142857</v>
      </c>
      <c r="DV92">
        <v>12.85366071428571</v>
      </c>
      <c r="DW92">
        <v>826.3451428571428</v>
      </c>
      <c r="DX92">
        <v>12.2365</v>
      </c>
      <c r="DY92">
        <v>2.268338214285714</v>
      </c>
      <c r="DZ92">
        <v>1.106270714285714</v>
      </c>
      <c r="EA92">
        <v>19.45328928571428</v>
      </c>
      <c r="EB92">
        <v>8.396169285714286</v>
      </c>
      <c r="EC92">
        <v>1499.995</v>
      </c>
      <c r="ED92">
        <v>0.9730020000000001</v>
      </c>
      <c r="EE92">
        <v>0.0269981</v>
      </c>
      <c r="EF92">
        <v>0</v>
      </c>
      <c r="EG92">
        <v>1146.584285714286</v>
      </c>
      <c r="EH92">
        <v>5.00097</v>
      </c>
      <c r="EI92">
        <v>18141.82142857143</v>
      </c>
      <c r="EJ92">
        <v>12491.57142857143</v>
      </c>
      <c r="EK92">
        <v>39.625</v>
      </c>
      <c r="EL92">
        <v>41.14714285714285</v>
      </c>
      <c r="EM92">
        <v>39.86599999999999</v>
      </c>
      <c r="EN92">
        <v>40.93699999999999</v>
      </c>
      <c r="EO92">
        <v>40.81199999999999</v>
      </c>
      <c r="EP92">
        <v>1454.635</v>
      </c>
      <c r="EQ92">
        <v>40.35999999999999</v>
      </c>
      <c r="ER92">
        <v>0</v>
      </c>
      <c r="ES92">
        <v>695.7999999523163</v>
      </c>
      <c r="ET92">
        <v>0</v>
      </c>
      <c r="EU92">
        <v>1146.279230769231</v>
      </c>
      <c r="EV92">
        <v>-31.69846157141693</v>
      </c>
      <c r="EW92">
        <v>-439.9897442048926</v>
      </c>
      <c r="EX92">
        <v>18140.00384615385</v>
      </c>
      <c r="EY92">
        <v>15</v>
      </c>
      <c r="EZ92">
        <v>1652371289.6</v>
      </c>
      <c r="FA92" t="s">
        <v>515</v>
      </c>
      <c r="FB92">
        <v>1652371289.6</v>
      </c>
      <c r="FC92">
        <v>1652371275.1</v>
      </c>
      <c r="FD92">
        <v>24</v>
      </c>
      <c r="FE92">
        <v>0.442</v>
      </c>
      <c r="FF92">
        <v>0.001</v>
      </c>
      <c r="FG92">
        <v>-2.63</v>
      </c>
      <c r="FH92">
        <v>0.007</v>
      </c>
      <c r="FI92">
        <v>1620</v>
      </c>
      <c r="FJ92">
        <v>22</v>
      </c>
      <c r="FK92">
        <v>0.08</v>
      </c>
      <c r="FL92">
        <v>0.04</v>
      </c>
      <c r="FM92">
        <v>-93.142955</v>
      </c>
      <c r="FN92">
        <v>-4.318527579737013</v>
      </c>
      <c r="FO92">
        <v>0.4224308925433843</v>
      </c>
      <c r="FP92">
        <v>-1</v>
      </c>
      <c r="FQ92">
        <v>12.927685</v>
      </c>
      <c r="FR92">
        <v>-1.806857786116359</v>
      </c>
      <c r="FS92">
        <v>0.1744010013589373</v>
      </c>
      <c r="FT92">
        <v>0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1</v>
      </c>
      <c r="GA92" t="s">
        <v>432</v>
      </c>
      <c r="GB92">
        <v>2.69583</v>
      </c>
      <c r="GC92">
        <v>2.70508</v>
      </c>
      <c r="GD92">
        <v>0.142768</v>
      </c>
      <c r="GE92">
        <v>0.152561</v>
      </c>
      <c r="GF92">
        <v>0.109251</v>
      </c>
      <c r="GG92">
        <v>0.0651791</v>
      </c>
      <c r="GH92">
        <v>26959.2</v>
      </c>
      <c r="GI92">
        <v>26767</v>
      </c>
      <c r="GJ92">
        <v>29255.1</v>
      </c>
      <c r="GK92">
        <v>29229.1</v>
      </c>
      <c r="GL92">
        <v>34500.2</v>
      </c>
      <c r="GM92">
        <v>36377.7</v>
      </c>
      <c r="GN92">
        <v>41175.4</v>
      </c>
      <c r="GO92">
        <v>41703.7</v>
      </c>
      <c r="GP92">
        <v>1.72817</v>
      </c>
      <c r="GQ92">
        <v>2.03027</v>
      </c>
      <c r="GR92">
        <v>0.0672787</v>
      </c>
      <c r="GS92">
        <v>0</v>
      </c>
      <c r="GT92">
        <v>28.9625</v>
      </c>
      <c r="GU92">
        <v>999.9</v>
      </c>
      <c r="GV92">
        <v>44.6</v>
      </c>
      <c r="GW92">
        <v>32.7</v>
      </c>
      <c r="GX92">
        <v>24.5068</v>
      </c>
      <c r="GY92">
        <v>63.4779</v>
      </c>
      <c r="GZ92">
        <v>29.7476</v>
      </c>
      <c r="HA92">
        <v>1</v>
      </c>
      <c r="HB92">
        <v>0.238908</v>
      </c>
      <c r="HC92">
        <v>0.0566748</v>
      </c>
      <c r="HD92">
        <v>20.3819</v>
      </c>
      <c r="HE92">
        <v>5.21654</v>
      </c>
      <c r="HF92">
        <v>12.0099</v>
      </c>
      <c r="HG92">
        <v>4.98825</v>
      </c>
      <c r="HH92">
        <v>3.2884</v>
      </c>
      <c r="HI92">
        <v>2712.8</v>
      </c>
      <c r="HJ92">
        <v>9999</v>
      </c>
      <c r="HK92">
        <v>9999</v>
      </c>
      <c r="HL92">
        <v>49.9</v>
      </c>
      <c r="HM92">
        <v>1.86721</v>
      </c>
      <c r="HN92">
        <v>1.86616</v>
      </c>
      <c r="HO92">
        <v>1.86575</v>
      </c>
      <c r="HP92">
        <v>1.86568</v>
      </c>
      <c r="HQ92">
        <v>1.86738</v>
      </c>
      <c r="HR92">
        <v>1.86996</v>
      </c>
      <c r="HS92">
        <v>1.86859</v>
      </c>
      <c r="HT92">
        <v>1.86996</v>
      </c>
      <c r="HU92">
        <v>0</v>
      </c>
      <c r="HV92">
        <v>0</v>
      </c>
      <c r="HW92">
        <v>0</v>
      </c>
      <c r="HX92">
        <v>0</v>
      </c>
      <c r="HY92" t="s">
        <v>421</v>
      </c>
      <c r="HZ92" t="s">
        <v>422</v>
      </c>
      <c r="IA92" t="s">
        <v>423</v>
      </c>
      <c r="IB92" t="s">
        <v>423</v>
      </c>
      <c r="IC92" t="s">
        <v>423</v>
      </c>
      <c r="ID92" t="s">
        <v>423</v>
      </c>
      <c r="IE92">
        <v>0</v>
      </c>
      <c r="IF92">
        <v>100</v>
      </c>
      <c r="IG92">
        <v>100</v>
      </c>
      <c r="IH92">
        <v>-0.506</v>
      </c>
      <c r="II92">
        <v>0.0502</v>
      </c>
      <c r="IJ92">
        <v>1.257309091789605</v>
      </c>
      <c r="IK92">
        <v>-0.002185601614162945</v>
      </c>
      <c r="IL92">
        <v>-2.252308143750626E-07</v>
      </c>
      <c r="IM92">
        <v>5.915558436307541E-11</v>
      </c>
      <c r="IN92">
        <v>-0.118683452207699</v>
      </c>
      <c r="IO92">
        <v>-0.007570214193104963</v>
      </c>
      <c r="IP92">
        <v>0.0009214429922928372</v>
      </c>
      <c r="IQ92">
        <v>-1.392260276065805E-05</v>
      </c>
      <c r="IR92">
        <v>17</v>
      </c>
      <c r="IS92">
        <v>2272</v>
      </c>
      <c r="IT92">
        <v>1</v>
      </c>
      <c r="IU92">
        <v>31</v>
      </c>
      <c r="IV92">
        <v>9.5</v>
      </c>
      <c r="IW92">
        <v>9.800000000000001</v>
      </c>
      <c r="IX92">
        <v>1.86035</v>
      </c>
      <c r="IY92">
        <v>2.21313</v>
      </c>
      <c r="IZ92">
        <v>1.39648</v>
      </c>
      <c r="JA92">
        <v>2.35352</v>
      </c>
      <c r="JB92">
        <v>1.49536</v>
      </c>
      <c r="JC92">
        <v>2.34863</v>
      </c>
      <c r="JD92">
        <v>36.1754</v>
      </c>
      <c r="JE92">
        <v>15.3579</v>
      </c>
      <c r="JF92">
        <v>18</v>
      </c>
      <c r="JG92">
        <v>389.194</v>
      </c>
      <c r="JH92">
        <v>564.878</v>
      </c>
      <c r="JI92">
        <v>30.4736</v>
      </c>
      <c r="JJ92">
        <v>30.5415</v>
      </c>
      <c r="JK92">
        <v>30.0001</v>
      </c>
      <c r="JL92">
        <v>30.4335</v>
      </c>
      <c r="JM92">
        <v>30.3251</v>
      </c>
      <c r="JN92">
        <v>37.233</v>
      </c>
      <c r="JO92">
        <v>45.4232</v>
      </c>
      <c r="JP92">
        <v>0</v>
      </c>
      <c r="JQ92">
        <v>30.4334</v>
      </c>
      <c r="JR92">
        <v>874.611</v>
      </c>
      <c r="JS92">
        <v>12.5932</v>
      </c>
      <c r="JT92">
        <v>99.99639999999999</v>
      </c>
      <c r="JU92">
        <v>100.107</v>
      </c>
    </row>
    <row r="93" spans="1:281">
      <c r="A93">
        <v>77</v>
      </c>
      <c r="B93">
        <v>1652371866.6</v>
      </c>
      <c r="C93">
        <v>3773</v>
      </c>
      <c r="D93" t="s">
        <v>621</v>
      </c>
      <c r="E93" t="s">
        <v>622</v>
      </c>
      <c r="F93">
        <v>5</v>
      </c>
      <c r="G93" t="s">
        <v>518</v>
      </c>
      <c r="H93" t="s">
        <v>414</v>
      </c>
      <c r="I93">
        <v>1652371859.1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867.0031697147326</v>
      </c>
      <c r="AK93">
        <v>793.5861515151513</v>
      </c>
      <c r="AL93">
        <v>3.433031386303718</v>
      </c>
      <c r="AM93">
        <v>65.95105977519088</v>
      </c>
      <c r="AN93">
        <f>(AP93 - AO93 + DI93*1E3/(8.314*(DK93+273.15)) * AR93/DH93 * AQ93) * DH93/(100*CV93) * 1000/(1000 - AP93)</f>
        <v>0</v>
      </c>
      <c r="AO93">
        <v>12.42706416148696</v>
      </c>
      <c r="AP93">
        <v>24.99443636363637</v>
      </c>
      <c r="AQ93">
        <v>-0.007851545689630209</v>
      </c>
      <c r="AR93">
        <v>81.26040297655408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417</v>
      </c>
      <c r="AY93" t="s">
        <v>417</v>
      </c>
      <c r="AZ93">
        <v>0</v>
      </c>
      <c r="BA93">
        <v>0</v>
      </c>
      <c r="BB93">
        <f>1-AZ93/BA93</f>
        <v>0</v>
      </c>
      <c r="BC93">
        <v>0</v>
      </c>
      <c r="BD93" t="s">
        <v>417</v>
      </c>
      <c r="BE93" t="s">
        <v>417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1393</v>
      </c>
      <c r="CA93">
        <v>300</v>
      </c>
      <c r="CB93">
        <v>300</v>
      </c>
      <c r="CC93">
        <v>300</v>
      </c>
      <c r="CD93">
        <v>10378</v>
      </c>
      <c r="CE93">
        <v>2050</v>
      </c>
      <c r="CF93">
        <v>-0.00730649</v>
      </c>
      <c r="CG93">
        <v>-4.53</v>
      </c>
      <c r="CH93" t="s">
        <v>417</v>
      </c>
      <c r="CI93" t="s">
        <v>417</v>
      </c>
      <c r="CJ93" t="s">
        <v>417</v>
      </c>
      <c r="CK93" t="s">
        <v>417</v>
      </c>
      <c r="CL93" t="s">
        <v>417</v>
      </c>
      <c r="CM93" t="s">
        <v>417</v>
      </c>
      <c r="CN93" t="s">
        <v>417</v>
      </c>
      <c r="CO93" t="s">
        <v>417</v>
      </c>
      <c r="CP93" t="s">
        <v>417</v>
      </c>
      <c r="CQ93" t="s">
        <v>417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418</v>
      </c>
      <c r="CY93">
        <v>2</v>
      </c>
      <c r="CZ93" t="b">
        <v>1</v>
      </c>
      <c r="DA93">
        <v>1652371859.1</v>
      </c>
      <c r="DB93">
        <v>750.4611111111111</v>
      </c>
      <c r="DC93">
        <v>844.0182592592593</v>
      </c>
      <c r="DD93">
        <v>25.05028518518519</v>
      </c>
      <c r="DE93">
        <v>12.35978518518518</v>
      </c>
      <c r="DF93">
        <v>750.9472222222222</v>
      </c>
      <c r="DG93">
        <v>24.99986666666667</v>
      </c>
      <c r="DH93">
        <v>400.0935185185186</v>
      </c>
      <c r="DI93">
        <v>90.40734814814816</v>
      </c>
      <c r="DJ93">
        <v>0.1000073777777778</v>
      </c>
      <c r="DK93">
        <v>31.34953333333333</v>
      </c>
      <c r="DL93">
        <v>30.06045555555556</v>
      </c>
      <c r="DM93">
        <v>999.9000000000001</v>
      </c>
      <c r="DN93">
        <v>0</v>
      </c>
      <c r="DO93">
        <v>0</v>
      </c>
      <c r="DP93">
        <v>10001.08148148148</v>
      </c>
      <c r="DQ93">
        <v>0</v>
      </c>
      <c r="DR93">
        <v>442.2206666666667</v>
      </c>
      <c r="DS93">
        <v>-93.55705555555554</v>
      </c>
      <c r="DT93">
        <v>769.743037037037</v>
      </c>
      <c r="DU93">
        <v>854.5822592592593</v>
      </c>
      <c r="DV93">
        <v>12.6904962962963</v>
      </c>
      <c r="DW93">
        <v>844.0182592592593</v>
      </c>
      <c r="DX93">
        <v>12.35978518518518</v>
      </c>
      <c r="DY93">
        <v>2.26473</v>
      </c>
      <c r="DZ93">
        <v>1.117415185185185</v>
      </c>
      <c r="EA93">
        <v>19.42768148148148</v>
      </c>
      <c r="EB93">
        <v>8.544022222222223</v>
      </c>
      <c r="EC93">
        <v>1499.985555555556</v>
      </c>
      <c r="ED93">
        <v>0.9730020000000001</v>
      </c>
      <c r="EE93">
        <v>0.0269981</v>
      </c>
      <c r="EF93">
        <v>0</v>
      </c>
      <c r="EG93">
        <v>1143.664814814814</v>
      </c>
      <c r="EH93">
        <v>5.00097</v>
      </c>
      <c r="EI93">
        <v>18066.52592592593</v>
      </c>
      <c r="EJ93">
        <v>12491.48888888889</v>
      </c>
      <c r="EK93">
        <v>39.625</v>
      </c>
      <c r="EL93">
        <v>41.15714814814814</v>
      </c>
      <c r="EM93">
        <v>39.86333333333333</v>
      </c>
      <c r="EN93">
        <v>40.93699999999999</v>
      </c>
      <c r="EO93">
        <v>40.81199999999999</v>
      </c>
      <c r="EP93">
        <v>1454.625555555556</v>
      </c>
      <c r="EQ93">
        <v>40.35999999999999</v>
      </c>
      <c r="ER93">
        <v>0</v>
      </c>
      <c r="ES93">
        <v>700.5999999046326</v>
      </c>
      <c r="ET93">
        <v>0</v>
      </c>
      <c r="EU93">
        <v>1143.59</v>
      </c>
      <c r="EV93">
        <v>-35.2991452578491</v>
      </c>
      <c r="EW93">
        <v>-1119.158974000384</v>
      </c>
      <c r="EX93">
        <v>18064.16923076923</v>
      </c>
      <c r="EY93">
        <v>15</v>
      </c>
      <c r="EZ93">
        <v>1652371289.6</v>
      </c>
      <c r="FA93" t="s">
        <v>515</v>
      </c>
      <c r="FB93">
        <v>1652371289.6</v>
      </c>
      <c r="FC93">
        <v>1652371275.1</v>
      </c>
      <c r="FD93">
        <v>24</v>
      </c>
      <c r="FE93">
        <v>0.442</v>
      </c>
      <c r="FF93">
        <v>0.001</v>
      </c>
      <c r="FG93">
        <v>-2.63</v>
      </c>
      <c r="FH93">
        <v>0.007</v>
      </c>
      <c r="FI93">
        <v>1620</v>
      </c>
      <c r="FJ93">
        <v>22</v>
      </c>
      <c r="FK93">
        <v>0.08</v>
      </c>
      <c r="FL93">
        <v>0.04</v>
      </c>
      <c r="FM93">
        <v>-93.37645749999999</v>
      </c>
      <c r="FN93">
        <v>-3.05262101313314</v>
      </c>
      <c r="FO93">
        <v>0.3198500217973264</v>
      </c>
      <c r="FP93">
        <v>-1</v>
      </c>
      <c r="FQ93">
        <v>12.80599</v>
      </c>
      <c r="FR93">
        <v>-1.86744090056288</v>
      </c>
      <c r="FS93">
        <v>0.1800495678972876</v>
      </c>
      <c r="FT93">
        <v>0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1</v>
      </c>
      <c r="GA93" t="s">
        <v>432</v>
      </c>
      <c r="GB93">
        <v>2.69602</v>
      </c>
      <c r="GC93">
        <v>2.70507</v>
      </c>
      <c r="GD93">
        <v>0.144876</v>
      </c>
      <c r="GE93">
        <v>0.154498</v>
      </c>
      <c r="GF93">
        <v>0.10912</v>
      </c>
      <c r="GG93">
        <v>0.0657143</v>
      </c>
      <c r="GH93">
        <v>26893.2</v>
      </c>
      <c r="GI93">
        <v>26705.8</v>
      </c>
      <c r="GJ93">
        <v>29255.4</v>
      </c>
      <c r="GK93">
        <v>29229.1</v>
      </c>
      <c r="GL93">
        <v>34505.3</v>
      </c>
      <c r="GM93">
        <v>36356.8</v>
      </c>
      <c r="GN93">
        <v>41175.3</v>
      </c>
      <c r="GO93">
        <v>41703.7</v>
      </c>
      <c r="GP93">
        <v>1.72757</v>
      </c>
      <c r="GQ93">
        <v>2.03078</v>
      </c>
      <c r="GR93">
        <v>0.0689924</v>
      </c>
      <c r="GS93">
        <v>0</v>
      </c>
      <c r="GT93">
        <v>28.9551</v>
      </c>
      <c r="GU93">
        <v>999.9</v>
      </c>
      <c r="GV93">
        <v>44.6</v>
      </c>
      <c r="GW93">
        <v>32.7</v>
      </c>
      <c r="GX93">
        <v>24.506</v>
      </c>
      <c r="GY93">
        <v>63.4579</v>
      </c>
      <c r="GZ93">
        <v>29.355</v>
      </c>
      <c r="HA93">
        <v>1</v>
      </c>
      <c r="HB93">
        <v>0.238887</v>
      </c>
      <c r="HC93">
        <v>0.118459</v>
      </c>
      <c r="HD93">
        <v>20.3817</v>
      </c>
      <c r="HE93">
        <v>5.21489</v>
      </c>
      <c r="HF93">
        <v>12.0099</v>
      </c>
      <c r="HG93">
        <v>4.9882</v>
      </c>
      <c r="HH93">
        <v>3.28835</v>
      </c>
      <c r="HI93">
        <v>2713</v>
      </c>
      <c r="HJ93">
        <v>9999</v>
      </c>
      <c r="HK93">
        <v>9999</v>
      </c>
      <c r="HL93">
        <v>49.9</v>
      </c>
      <c r="HM93">
        <v>1.86721</v>
      </c>
      <c r="HN93">
        <v>1.86615</v>
      </c>
      <c r="HO93">
        <v>1.86575</v>
      </c>
      <c r="HP93">
        <v>1.86569</v>
      </c>
      <c r="HQ93">
        <v>1.86738</v>
      </c>
      <c r="HR93">
        <v>1.86996</v>
      </c>
      <c r="HS93">
        <v>1.86861</v>
      </c>
      <c r="HT93">
        <v>1.86997</v>
      </c>
      <c r="HU93">
        <v>0</v>
      </c>
      <c r="HV93">
        <v>0</v>
      </c>
      <c r="HW93">
        <v>0</v>
      </c>
      <c r="HX93">
        <v>0</v>
      </c>
      <c r="HY93" t="s">
        <v>421</v>
      </c>
      <c r="HZ93" t="s">
        <v>422</v>
      </c>
      <c r="IA93" t="s">
        <v>423</v>
      </c>
      <c r="IB93" t="s">
        <v>423</v>
      </c>
      <c r="IC93" t="s">
        <v>423</v>
      </c>
      <c r="ID93" t="s">
        <v>423</v>
      </c>
      <c r="IE93">
        <v>0</v>
      </c>
      <c r="IF93">
        <v>100</v>
      </c>
      <c r="IG93">
        <v>100</v>
      </c>
      <c r="IH93">
        <v>-0.547</v>
      </c>
      <c r="II93">
        <v>0.0497</v>
      </c>
      <c r="IJ93">
        <v>1.257309091789605</v>
      </c>
      <c r="IK93">
        <v>-0.002185601614162945</v>
      </c>
      <c r="IL93">
        <v>-2.252308143750626E-07</v>
      </c>
      <c r="IM93">
        <v>5.915558436307541E-11</v>
      </c>
      <c r="IN93">
        <v>-0.118683452207699</v>
      </c>
      <c r="IO93">
        <v>-0.007570214193104963</v>
      </c>
      <c r="IP93">
        <v>0.0009214429922928372</v>
      </c>
      <c r="IQ93">
        <v>-1.392260276065805E-05</v>
      </c>
      <c r="IR93">
        <v>17</v>
      </c>
      <c r="IS93">
        <v>2272</v>
      </c>
      <c r="IT93">
        <v>1</v>
      </c>
      <c r="IU93">
        <v>31</v>
      </c>
      <c r="IV93">
        <v>9.6</v>
      </c>
      <c r="IW93">
        <v>9.9</v>
      </c>
      <c r="IX93">
        <v>1.88721</v>
      </c>
      <c r="IY93">
        <v>2.21802</v>
      </c>
      <c r="IZ93">
        <v>1.39648</v>
      </c>
      <c r="JA93">
        <v>2.35352</v>
      </c>
      <c r="JB93">
        <v>1.49536</v>
      </c>
      <c r="JC93">
        <v>2.29736</v>
      </c>
      <c r="JD93">
        <v>36.1989</v>
      </c>
      <c r="JE93">
        <v>15.3491</v>
      </c>
      <c r="JF93">
        <v>18</v>
      </c>
      <c r="JG93">
        <v>388.873</v>
      </c>
      <c r="JH93">
        <v>565.263</v>
      </c>
      <c r="JI93">
        <v>30.4126</v>
      </c>
      <c r="JJ93">
        <v>30.5442</v>
      </c>
      <c r="JK93">
        <v>30</v>
      </c>
      <c r="JL93">
        <v>30.4335</v>
      </c>
      <c r="JM93">
        <v>30.3259</v>
      </c>
      <c r="JN93">
        <v>37.7889</v>
      </c>
      <c r="JO93">
        <v>44.8619</v>
      </c>
      <c r="JP93">
        <v>0</v>
      </c>
      <c r="JQ93">
        <v>30.3718</v>
      </c>
      <c r="JR93">
        <v>888.034</v>
      </c>
      <c r="JS93">
        <v>12.741</v>
      </c>
      <c r="JT93">
        <v>99.99679999999999</v>
      </c>
      <c r="JU93">
        <v>100.107</v>
      </c>
    </row>
    <row r="94" spans="1:281">
      <c r="A94">
        <v>78</v>
      </c>
      <c r="B94">
        <v>1652371871.6</v>
      </c>
      <c r="C94">
        <v>3778</v>
      </c>
      <c r="D94" t="s">
        <v>623</v>
      </c>
      <c r="E94" t="s">
        <v>624</v>
      </c>
      <c r="F94">
        <v>5</v>
      </c>
      <c r="G94" t="s">
        <v>518</v>
      </c>
      <c r="H94" t="s">
        <v>414</v>
      </c>
      <c r="I94">
        <v>1652371863.814285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883.9328994655515</v>
      </c>
      <c r="AK94">
        <v>810.407812121212</v>
      </c>
      <c r="AL94">
        <v>3.363592345471636</v>
      </c>
      <c r="AM94">
        <v>65.95105977519088</v>
      </c>
      <c r="AN94">
        <f>(AP94 - AO94 + DI94*1E3/(8.314*(DK94+273.15)) * AR94/DH94 * AQ94) * DH94/(100*CV94) * 1000/(1000 - AP94)</f>
        <v>0</v>
      </c>
      <c r="AO94">
        <v>12.57003446366793</v>
      </c>
      <c r="AP94">
        <v>24.95753986013986</v>
      </c>
      <c r="AQ94">
        <v>-0.005809062409528717</v>
      </c>
      <c r="AR94">
        <v>81.26040297655408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417</v>
      </c>
      <c r="AY94" t="s">
        <v>417</v>
      </c>
      <c r="AZ94">
        <v>0</v>
      </c>
      <c r="BA94">
        <v>0</v>
      </c>
      <c r="BB94">
        <f>1-AZ94/BA94</f>
        <v>0</v>
      </c>
      <c r="BC94">
        <v>0</v>
      </c>
      <c r="BD94" t="s">
        <v>417</v>
      </c>
      <c r="BE94" t="s">
        <v>417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1393</v>
      </c>
      <c r="CA94">
        <v>300</v>
      </c>
      <c r="CB94">
        <v>300</v>
      </c>
      <c r="CC94">
        <v>300</v>
      </c>
      <c r="CD94">
        <v>10378</v>
      </c>
      <c r="CE94">
        <v>2050</v>
      </c>
      <c r="CF94">
        <v>-0.00730649</v>
      </c>
      <c r="CG94">
        <v>-4.53</v>
      </c>
      <c r="CH94" t="s">
        <v>417</v>
      </c>
      <c r="CI94" t="s">
        <v>417</v>
      </c>
      <c r="CJ94" t="s">
        <v>417</v>
      </c>
      <c r="CK94" t="s">
        <v>417</v>
      </c>
      <c r="CL94" t="s">
        <v>417</v>
      </c>
      <c r="CM94" t="s">
        <v>417</v>
      </c>
      <c r="CN94" t="s">
        <v>417</v>
      </c>
      <c r="CO94" t="s">
        <v>417</v>
      </c>
      <c r="CP94" t="s">
        <v>417</v>
      </c>
      <c r="CQ94" t="s">
        <v>417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418</v>
      </c>
      <c r="CY94">
        <v>2</v>
      </c>
      <c r="CZ94" t="b">
        <v>1</v>
      </c>
      <c r="DA94">
        <v>1652371863.814285</v>
      </c>
      <c r="DB94">
        <v>766.0767500000001</v>
      </c>
      <c r="DC94">
        <v>859.8050714285713</v>
      </c>
      <c r="DD94">
        <v>25.01385</v>
      </c>
      <c r="DE94">
        <v>12.48495714285714</v>
      </c>
      <c r="DF94">
        <v>766.6007142857144</v>
      </c>
      <c r="DG94">
        <v>24.963875</v>
      </c>
      <c r="DH94">
        <v>400.074</v>
      </c>
      <c r="DI94">
        <v>90.4068</v>
      </c>
      <c r="DJ94">
        <v>0.1000048178571429</v>
      </c>
      <c r="DK94">
        <v>31.3454</v>
      </c>
      <c r="DL94">
        <v>30.06968214285714</v>
      </c>
      <c r="DM94">
        <v>999.9000000000002</v>
      </c>
      <c r="DN94">
        <v>0</v>
      </c>
      <c r="DO94">
        <v>0</v>
      </c>
      <c r="DP94">
        <v>9997.180000000002</v>
      </c>
      <c r="DQ94">
        <v>0</v>
      </c>
      <c r="DR94">
        <v>448.0124285714286</v>
      </c>
      <c r="DS94">
        <v>-93.72821071428572</v>
      </c>
      <c r="DT94">
        <v>785.7304642857143</v>
      </c>
      <c r="DU94">
        <v>870.6771428571429</v>
      </c>
      <c r="DV94">
        <v>12.52888214285714</v>
      </c>
      <c r="DW94">
        <v>859.8050714285713</v>
      </c>
      <c r="DX94">
        <v>12.48495714285714</v>
      </c>
      <c r="DY94">
        <v>2.261422142857143</v>
      </c>
      <c r="DZ94">
        <v>1.128725714285714</v>
      </c>
      <c r="EA94">
        <v>19.40418571428571</v>
      </c>
      <c r="EB94">
        <v>8.692657499999999</v>
      </c>
      <c r="EC94">
        <v>1500.001071428572</v>
      </c>
      <c r="ED94">
        <v>0.9730023571428571</v>
      </c>
      <c r="EE94">
        <v>0.02699772142857143</v>
      </c>
      <c r="EF94">
        <v>0</v>
      </c>
      <c r="EG94">
        <v>1140.676785714286</v>
      </c>
      <c r="EH94">
        <v>5.00097</v>
      </c>
      <c r="EI94">
        <v>18021.47142857143</v>
      </c>
      <c r="EJ94">
        <v>12491.61071428572</v>
      </c>
      <c r="EK94">
        <v>39.625</v>
      </c>
      <c r="EL94">
        <v>41.16042857142855</v>
      </c>
      <c r="EM94">
        <v>39.85699999999999</v>
      </c>
      <c r="EN94">
        <v>40.93699999999999</v>
      </c>
      <c r="EO94">
        <v>40.81199999999999</v>
      </c>
      <c r="EP94">
        <v>1454.641071428572</v>
      </c>
      <c r="EQ94">
        <v>40.35999999999999</v>
      </c>
      <c r="ER94">
        <v>0</v>
      </c>
      <c r="ES94">
        <v>705.3999998569489</v>
      </c>
      <c r="ET94">
        <v>0</v>
      </c>
      <c r="EU94">
        <v>1140.556923076923</v>
      </c>
      <c r="EV94">
        <v>-39.42495729566019</v>
      </c>
      <c r="EW94">
        <v>-496.4820533566682</v>
      </c>
      <c r="EX94">
        <v>18019.85</v>
      </c>
      <c r="EY94">
        <v>15</v>
      </c>
      <c r="EZ94">
        <v>1652371289.6</v>
      </c>
      <c r="FA94" t="s">
        <v>515</v>
      </c>
      <c r="FB94">
        <v>1652371289.6</v>
      </c>
      <c r="FC94">
        <v>1652371275.1</v>
      </c>
      <c r="FD94">
        <v>24</v>
      </c>
      <c r="FE94">
        <v>0.442</v>
      </c>
      <c r="FF94">
        <v>0.001</v>
      </c>
      <c r="FG94">
        <v>-2.63</v>
      </c>
      <c r="FH94">
        <v>0.007</v>
      </c>
      <c r="FI94">
        <v>1620</v>
      </c>
      <c r="FJ94">
        <v>22</v>
      </c>
      <c r="FK94">
        <v>0.08</v>
      </c>
      <c r="FL94">
        <v>0.04</v>
      </c>
      <c r="FM94">
        <v>-93.640705</v>
      </c>
      <c r="FN94">
        <v>-2.024348217635639</v>
      </c>
      <c r="FO94">
        <v>0.2427575374216008</v>
      </c>
      <c r="FP94">
        <v>-1</v>
      </c>
      <c r="FQ94">
        <v>12.6109225</v>
      </c>
      <c r="FR94">
        <v>-2.026632270168871</v>
      </c>
      <c r="FS94">
        <v>0.195271218421328</v>
      </c>
      <c r="FT94">
        <v>0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1</v>
      </c>
      <c r="GA94" t="s">
        <v>432</v>
      </c>
      <c r="GB94">
        <v>2.69604</v>
      </c>
      <c r="GC94">
        <v>2.70525</v>
      </c>
      <c r="GD94">
        <v>0.146942</v>
      </c>
      <c r="GE94">
        <v>0.156502</v>
      </c>
      <c r="GF94">
        <v>0.109014</v>
      </c>
      <c r="GG94">
        <v>0.06623469999999999</v>
      </c>
      <c r="GH94">
        <v>26828.1</v>
      </c>
      <c r="GI94">
        <v>26642.5</v>
      </c>
      <c r="GJ94">
        <v>29255.4</v>
      </c>
      <c r="GK94">
        <v>29229.2</v>
      </c>
      <c r="GL94">
        <v>34509.9</v>
      </c>
      <c r="GM94">
        <v>36336.7</v>
      </c>
      <c r="GN94">
        <v>41175.8</v>
      </c>
      <c r="GO94">
        <v>41704</v>
      </c>
      <c r="GP94">
        <v>1.72745</v>
      </c>
      <c r="GQ94">
        <v>2.0308</v>
      </c>
      <c r="GR94">
        <v>0.0700355</v>
      </c>
      <c r="GS94">
        <v>0</v>
      </c>
      <c r="GT94">
        <v>28.9494</v>
      </c>
      <c r="GU94">
        <v>999.9</v>
      </c>
      <c r="GV94">
        <v>44.6</v>
      </c>
      <c r="GW94">
        <v>32.7</v>
      </c>
      <c r="GX94">
        <v>24.5057</v>
      </c>
      <c r="GY94">
        <v>63.1079</v>
      </c>
      <c r="GZ94">
        <v>29.1787</v>
      </c>
      <c r="HA94">
        <v>1</v>
      </c>
      <c r="HB94">
        <v>0.239207</v>
      </c>
      <c r="HC94">
        <v>0.219605</v>
      </c>
      <c r="HD94">
        <v>20.3816</v>
      </c>
      <c r="HE94">
        <v>5.21504</v>
      </c>
      <c r="HF94">
        <v>12.0099</v>
      </c>
      <c r="HG94">
        <v>4.9883</v>
      </c>
      <c r="HH94">
        <v>3.28828</v>
      </c>
      <c r="HI94">
        <v>2713</v>
      </c>
      <c r="HJ94">
        <v>9999</v>
      </c>
      <c r="HK94">
        <v>9999</v>
      </c>
      <c r="HL94">
        <v>49.9</v>
      </c>
      <c r="HM94">
        <v>1.86721</v>
      </c>
      <c r="HN94">
        <v>1.86615</v>
      </c>
      <c r="HO94">
        <v>1.86577</v>
      </c>
      <c r="HP94">
        <v>1.86567</v>
      </c>
      <c r="HQ94">
        <v>1.8674</v>
      </c>
      <c r="HR94">
        <v>1.86997</v>
      </c>
      <c r="HS94">
        <v>1.8686</v>
      </c>
      <c r="HT94">
        <v>1.86998</v>
      </c>
      <c r="HU94">
        <v>0</v>
      </c>
      <c r="HV94">
        <v>0</v>
      </c>
      <c r="HW94">
        <v>0</v>
      </c>
      <c r="HX94">
        <v>0</v>
      </c>
      <c r="HY94" t="s">
        <v>421</v>
      </c>
      <c r="HZ94" t="s">
        <v>422</v>
      </c>
      <c r="IA94" t="s">
        <v>423</v>
      </c>
      <c r="IB94" t="s">
        <v>423</v>
      </c>
      <c r="IC94" t="s">
        <v>423</v>
      </c>
      <c r="ID94" t="s">
        <v>423</v>
      </c>
      <c r="IE94">
        <v>0</v>
      </c>
      <c r="IF94">
        <v>100</v>
      </c>
      <c r="IG94">
        <v>100</v>
      </c>
      <c r="IH94">
        <v>-0.587</v>
      </c>
      <c r="II94">
        <v>0.0492</v>
      </c>
      <c r="IJ94">
        <v>1.257309091789605</v>
      </c>
      <c r="IK94">
        <v>-0.002185601614162945</v>
      </c>
      <c r="IL94">
        <v>-2.252308143750626E-07</v>
      </c>
      <c r="IM94">
        <v>5.915558436307541E-11</v>
      </c>
      <c r="IN94">
        <v>-0.118683452207699</v>
      </c>
      <c r="IO94">
        <v>-0.007570214193104963</v>
      </c>
      <c r="IP94">
        <v>0.0009214429922928372</v>
      </c>
      <c r="IQ94">
        <v>-1.392260276065805E-05</v>
      </c>
      <c r="IR94">
        <v>17</v>
      </c>
      <c r="IS94">
        <v>2272</v>
      </c>
      <c r="IT94">
        <v>1</v>
      </c>
      <c r="IU94">
        <v>31</v>
      </c>
      <c r="IV94">
        <v>9.699999999999999</v>
      </c>
      <c r="IW94">
        <v>9.9</v>
      </c>
      <c r="IX94">
        <v>1.91284</v>
      </c>
      <c r="IY94">
        <v>2.21436</v>
      </c>
      <c r="IZ94">
        <v>1.39648</v>
      </c>
      <c r="JA94">
        <v>2.35352</v>
      </c>
      <c r="JB94">
        <v>1.49536</v>
      </c>
      <c r="JC94">
        <v>2.31689</v>
      </c>
      <c r="JD94">
        <v>36.1989</v>
      </c>
      <c r="JE94">
        <v>15.3579</v>
      </c>
      <c r="JF94">
        <v>18</v>
      </c>
      <c r="JG94">
        <v>388.818</v>
      </c>
      <c r="JH94">
        <v>565.2859999999999</v>
      </c>
      <c r="JI94">
        <v>30.3469</v>
      </c>
      <c r="JJ94">
        <v>30.5442</v>
      </c>
      <c r="JK94">
        <v>30.0001</v>
      </c>
      <c r="JL94">
        <v>30.4355</v>
      </c>
      <c r="JM94">
        <v>30.3264</v>
      </c>
      <c r="JN94">
        <v>38.3895</v>
      </c>
      <c r="JO94">
        <v>44.5867</v>
      </c>
      <c r="JP94">
        <v>0</v>
      </c>
      <c r="JQ94">
        <v>30.2936</v>
      </c>
      <c r="JR94">
        <v>908.085</v>
      </c>
      <c r="JS94">
        <v>12.8875</v>
      </c>
      <c r="JT94">
        <v>99.9974</v>
      </c>
      <c r="JU94">
        <v>100.108</v>
      </c>
    </row>
    <row r="95" spans="1:281">
      <c r="A95">
        <v>79</v>
      </c>
      <c r="B95">
        <v>1652371876.6</v>
      </c>
      <c r="C95">
        <v>3783</v>
      </c>
      <c r="D95" t="s">
        <v>625</v>
      </c>
      <c r="E95" t="s">
        <v>626</v>
      </c>
      <c r="F95">
        <v>5</v>
      </c>
      <c r="G95" t="s">
        <v>518</v>
      </c>
      <c r="H95" t="s">
        <v>414</v>
      </c>
      <c r="I95">
        <v>1652371869.1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901.326306826082</v>
      </c>
      <c r="AK95">
        <v>827.638496969697</v>
      </c>
      <c r="AL95">
        <v>3.443799192412957</v>
      </c>
      <c r="AM95">
        <v>65.95105977519088</v>
      </c>
      <c r="AN95">
        <f>(AP95 - AO95 + DI95*1E3/(8.314*(DK95+273.15)) * AR95/DH95 * AQ95) * DH95/(100*CV95) * 1000/(1000 - AP95)</f>
        <v>0</v>
      </c>
      <c r="AO95">
        <v>12.70423245371146</v>
      </c>
      <c r="AP95">
        <v>24.91226363636364</v>
      </c>
      <c r="AQ95">
        <v>-0.006869985775806079</v>
      </c>
      <c r="AR95">
        <v>81.26040297655408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417</v>
      </c>
      <c r="AY95" t="s">
        <v>417</v>
      </c>
      <c r="AZ95">
        <v>0</v>
      </c>
      <c r="BA95">
        <v>0</v>
      </c>
      <c r="BB95">
        <f>1-AZ95/BA95</f>
        <v>0</v>
      </c>
      <c r="BC95">
        <v>0</v>
      </c>
      <c r="BD95" t="s">
        <v>417</v>
      </c>
      <c r="BE95" t="s">
        <v>417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1393</v>
      </c>
      <c r="CA95">
        <v>300</v>
      </c>
      <c r="CB95">
        <v>300</v>
      </c>
      <c r="CC95">
        <v>300</v>
      </c>
      <c r="CD95">
        <v>10378</v>
      </c>
      <c r="CE95">
        <v>2050</v>
      </c>
      <c r="CF95">
        <v>-0.00730649</v>
      </c>
      <c r="CG95">
        <v>-4.53</v>
      </c>
      <c r="CH95" t="s">
        <v>417</v>
      </c>
      <c r="CI95" t="s">
        <v>417</v>
      </c>
      <c r="CJ95" t="s">
        <v>417</v>
      </c>
      <c r="CK95" t="s">
        <v>417</v>
      </c>
      <c r="CL95" t="s">
        <v>417</v>
      </c>
      <c r="CM95" t="s">
        <v>417</v>
      </c>
      <c r="CN95" t="s">
        <v>417</v>
      </c>
      <c r="CO95" t="s">
        <v>417</v>
      </c>
      <c r="CP95" t="s">
        <v>417</v>
      </c>
      <c r="CQ95" t="s">
        <v>417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418</v>
      </c>
      <c r="CY95">
        <v>2</v>
      </c>
      <c r="CZ95" t="b">
        <v>1</v>
      </c>
      <c r="DA95">
        <v>1652371869.1</v>
      </c>
      <c r="DB95">
        <v>783.654037037037</v>
      </c>
      <c r="DC95">
        <v>877.5537777777778</v>
      </c>
      <c r="DD95">
        <v>24.97228148148148</v>
      </c>
      <c r="DE95">
        <v>12.63205925925926</v>
      </c>
      <c r="DF95">
        <v>784.2207407407409</v>
      </c>
      <c r="DG95">
        <v>24.9228037037037</v>
      </c>
      <c r="DH95">
        <v>400.0679259259259</v>
      </c>
      <c r="DI95">
        <v>90.40728518518519</v>
      </c>
      <c r="DJ95">
        <v>0.09996512962962963</v>
      </c>
      <c r="DK95">
        <v>31.33944814814815</v>
      </c>
      <c r="DL95">
        <v>30.08264074074074</v>
      </c>
      <c r="DM95">
        <v>999.9000000000001</v>
      </c>
      <c r="DN95">
        <v>0</v>
      </c>
      <c r="DO95">
        <v>0</v>
      </c>
      <c r="DP95">
        <v>9996.938888888888</v>
      </c>
      <c r="DQ95">
        <v>0</v>
      </c>
      <c r="DR95">
        <v>454.4965925925925</v>
      </c>
      <c r="DS95">
        <v>-93.89963703703704</v>
      </c>
      <c r="DT95">
        <v>803.7243703703704</v>
      </c>
      <c r="DU95">
        <v>888.7826666666666</v>
      </c>
      <c r="DV95">
        <v>12.34021111111111</v>
      </c>
      <c r="DW95">
        <v>877.5537777777778</v>
      </c>
      <c r="DX95">
        <v>12.63205925925926</v>
      </c>
      <c r="DY95">
        <v>2.257675185185186</v>
      </c>
      <c r="DZ95">
        <v>1.142031111111111</v>
      </c>
      <c r="EA95">
        <v>19.37754074074074</v>
      </c>
      <c r="EB95">
        <v>8.865941851851852</v>
      </c>
      <c r="EC95">
        <v>1499.999259259259</v>
      </c>
      <c r="ED95">
        <v>0.9730023703703705</v>
      </c>
      <c r="EE95">
        <v>0.02699770740740741</v>
      </c>
      <c r="EF95">
        <v>0</v>
      </c>
      <c r="EG95">
        <v>1136.935925925926</v>
      </c>
      <c r="EH95">
        <v>5.00097</v>
      </c>
      <c r="EI95">
        <v>17991.55185185185</v>
      </c>
      <c r="EJ95">
        <v>12491.59259259259</v>
      </c>
      <c r="EK95">
        <v>39.625</v>
      </c>
      <c r="EL95">
        <v>41.16403703703703</v>
      </c>
      <c r="EM95">
        <v>39.84699999999999</v>
      </c>
      <c r="EN95">
        <v>40.93699999999999</v>
      </c>
      <c r="EO95">
        <v>40.81199999999999</v>
      </c>
      <c r="EP95">
        <v>1454.639259259259</v>
      </c>
      <c r="EQ95">
        <v>40.35999999999999</v>
      </c>
      <c r="ER95">
        <v>0</v>
      </c>
      <c r="ES95">
        <v>710.7999999523163</v>
      </c>
      <c r="ET95">
        <v>0</v>
      </c>
      <c r="EU95">
        <v>1136.502</v>
      </c>
      <c r="EV95">
        <v>-45.58384615824436</v>
      </c>
      <c r="EW95">
        <v>289.3461534793453</v>
      </c>
      <c r="EX95">
        <v>17982.364</v>
      </c>
      <c r="EY95">
        <v>15</v>
      </c>
      <c r="EZ95">
        <v>1652371289.6</v>
      </c>
      <c r="FA95" t="s">
        <v>515</v>
      </c>
      <c r="FB95">
        <v>1652371289.6</v>
      </c>
      <c r="FC95">
        <v>1652371275.1</v>
      </c>
      <c r="FD95">
        <v>24</v>
      </c>
      <c r="FE95">
        <v>0.442</v>
      </c>
      <c r="FF95">
        <v>0.001</v>
      </c>
      <c r="FG95">
        <v>-2.63</v>
      </c>
      <c r="FH95">
        <v>0.007</v>
      </c>
      <c r="FI95">
        <v>1620</v>
      </c>
      <c r="FJ95">
        <v>22</v>
      </c>
      <c r="FK95">
        <v>0.08</v>
      </c>
      <c r="FL95">
        <v>0.04</v>
      </c>
      <c r="FM95">
        <v>-93.79566250000001</v>
      </c>
      <c r="FN95">
        <v>-2.216788367729934</v>
      </c>
      <c r="FO95">
        <v>0.2615162621019002</v>
      </c>
      <c r="FP95">
        <v>-1</v>
      </c>
      <c r="FQ95">
        <v>12.472935</v>
      </c>
      <c r="FR95">
        <v>-2.134649155722343</v>
      </c>
      <c r="FS95">
        <v>0.2055102437227886</v>
      </c>
      <c r="FT95">
        <v>0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1</v>
      </c>
      <c r="GA95" t="s">
        <v>432</v>
      </c>
      <c r="GB95">
        <v>2.69601</v>
      </c>
      <c r="GC95">
        <v>2.70498</v>
      </c>
      <c r="GD95">
        <v>0.149023</v>
      </c>
      <c r="GE95">
        <v>0.158439</v>
      </c>
      <c r="GF95">
        <v>0.10887</v>
      </c>
      <c r="GG95">
        <v>0.06684279999999999</v>
      </c>
      <c r="GH95">
        <v>26762.7</v>
      </c>
      <c r="GI95">
        <v>26581.3</v>
      </c>
      <c r="GJ95">
        <v>29255.5</v>
      </c>
      <c r="GK95">
        <v>29229.2</v>
      </c>
      <c r="GL95">
        <v>34515.7</v>
      </c>
      <c r="GM95">
        <v>36312.6</v>
      </c>
      <c r="GN95">
        <v>41176</v>
      </c>
      <c r="GO95">
        <v>41703.6</v>
      </c>
      <c r="GP95">
        <v>1.72728</v>
      </c>
      <c r="GQ95">
        <v>2.03113</v>
      </c>
      <c r="GR95">
        <v>0.0710785</v>
      </c>
      <c r="GS95">
        <v>0</v>
      </c>
      <c r="GT95">
        <v>28.945</v>
      </c>
      <c r="GU95">
        <v>999.9</v>
      </c>
      <c r="GV95">
        <v>44.7</v>
      </c>
      <c r="GW95">
        <v>32.7</v>
      </c>
      <c r="GX95">
        <v>24.5581</v>
      </c>
      <c r="GY95">
        <v>63.1179</v>
      </c>
      <c r="GZ95">
        <v>29.1346</v>
      </c>
      <c r="HA95">
        <v>1</v>
      </c>
      <c r="HB95">
        <v>0.239367</v>
      </c>
      <c r="HC95">
        <v>0.333663</v>
      </c>
      <c r="HD95">
        <v>20.3811</v>
      </c>
      <c r="HE95">
        <v>5.21504</v>
      </c>
      <c r="HF95">
        <v>12.0099</v>
      </c>
      <c r="HG95">
        <v>4.98795</v>
      </c>
      <c r="HH95">
        <v>3.2881</v>
      </c>
      <c r="HI95">
        <v>2713.2</v>
      </c>
      <c r="HJ95">
        <v>9999</v>
      </c>
      <c r="HK95">
        <v>9999</v>
      </c>
      <c r="HL95">
        <v>49.9</v>
      </c>
      <c r="HM95">
        <v>1.8672</v>
      </c>
      <c r="HN95">
        <v>1.86615</v>
      </c>
      <c r="HO95">
        <v>1.86578</v>
      </c>
      <c r="HP95">
        <v>1.86568</v>
      </c>
      <c r="HQ95">
        <v>1.86745</v>
      </c>
      <c r="HR95">
        <v>1.86997</v>
      </c>
      <c r="HS95">
        <v>1.8686</v>
      </c>
      <c r="HT95">
        <v>1.86998</v>
      </c>
      <c r="HU95">
        <v>0</v>
      </c>
      <c r="HV95">
        <v>0</v>
      </c>
      <c r="HW95">
        <v>0</v>
      </c>
      <c r="HX95">
        <v>0</v>
      </c>
      <c r="HY95" t="s">
        <v>421</v>
      </c>
      <c r="HZ95" t="s">
        <v>422</v>
      </c>
      <c r="IA95" t="s">
        <v>423</v>
      </c>
      <c r="IB95" t="s">
        <v>423</v>
      </c>
      <c r="IC95" t="s">
        <v>423</v>
      </c>
      <c r="ID95" t="s">
        <v>423</v>
      </c>
      <c r="IE95">
        <v>0</v>
      </c>
      <c r="IF95">
        <v>100</v>
      </c>
      <c r="IG95">
        <v>100</v>
      </c>
      <c r="IH95">
        <v>-0.628</v>
      </c>
      <c r="II95">
        <v>0.0486</v>
      </c>
      <c r="IJ95">
        <v>1.257309091789605</v>
      </c>
      <c r="IK95">
        <v>-0.002185601614162945</v>
      </c>
      <c r="IL95">
        <v>-2.252308143750626E-07</v>
      </c>
      <c r="IM95">
        <v>5.915558436307541E-11</v>
      </c>
      <c r="IN95">
        <v>-0.118683452207699</v>
      </c>
      <c r="IO95">
        <v>-0.007570214193104963</v>
      </c>
      <c r="IP95">
        <v>0.0009214429922928372</v>
      </c>
      <c r="IQ95">
        <v>-1.392260276065805E-05</v>
      </c>
      <c r="IR95">
        <v>17</v>
      </c>
      <c r="IS95">
        <v>2272</v>
      </c>
      <c r="IT95">
        <v>1</v>
      </c>
      <c r="IU95">
        <v>31</v>
      </c>
      <c r="IV95">
        <v>9.800000000000001</v>
      </c>
      <c r="IW95">
        <v>10</v>
      </c>
      <c r="IX95">
        <v>1.94458</v>
      </c>
      <c r="IY95">
        <v>2.21558</v>
      </c>
      <c r="IZ95">
        <v>1.39648</v>
      </c>
      <c r="JA95">
        <v>2.35352</v>
      </c>
      <c r="JB95">
        <v>1.49536</v>
      </c>
      <c r="JC95">
        <v>2.32788</v>
      </c>
      <c r="JD95">
        <v>36.1989</v>
      </c>
      <c r="JE95">
        <v>15.3491</v>
      </c>
      <c r="JF95">
        <v>18</v>
      </c>
      <c r="JG95">
        <v>388.729</v>
      </c>
      <c r="JH95">
        <v>565.551</v>
      </c>
      <c r="JI95">
        <v>30.2655</v>
      </c>
      <c r="JJ95">
        <v>30.5442</v>
      </c>
      <c r="JK95">
        <v>30.0003</v>
      </c>
      <c r="JL95">
        <v>30.4362</v>
      </c>
      <c r="JM95">
        <v>30.3285</v>
      </c>
      <c r="JN95">
        <v>38.9303</v>
      </c>
      <c r="JO95">
        <v>44.012</v>
      </c>
      <c r="JP95">
        <v>0</v>
      </c>
      <c r="JQ95">
        <v>30.2041</v>
      </c>
      <c r="JR95">
        <v>921.456</v>
      </c>
      <c r="JS95">
        <v>13.0621</v>
      </c>
      <c r="JT95">
        <v>99.9979</v>
      </c>
      <c r="JU95">
        <v>100.107</v>
      </c>
    </row>
    <row r="96" spans="1:281">
      <c r="A96">
        <v>80</v>
      </c>
      <c r="B96">
        <v>1652371881.6</v>
      </c>
      <c r="C96">
        <v>3788</v>
      </c>
      <c r="D96" t="s">
        <v>627</v>
      </c>
      <c r="E96" t="s">
        <v>628</v>
      </c>
      <c r="F96">
        <v>5</v>
      </c>
      <c r="G96" t="s">
        <v>518</v>
      </c>
      <c r="H96" t="s">
        <v>414</v>
      </c>
      <c r="I96">
        <v>1652371873.814285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918.3983786990538</v>
      </c>
      <c r="AK96">
        <v>844.7609575757573</v>
      </c>
      <c r="AL96">
        <v>3.415603985695844</v>
      </c>
      <c r="AM96">
        <v>65.95105977519088</v>
      </c>
      <c r="AN96">
        <f>(AP96 - AO96 + DI96*1E3/(8.314*(DK96+273.15)) * AR96/DH96 * AQ96) * DH96/(100*CV96) * 1000/(1000 - AP96)</f>
        <v>0</v>
      </c>
      <c r="AO96">
        <v>12.85714216722957</v>
      </c>
      <c r="AP96">
        <v>24.86258881118882</v>
      </c>
      <c r="AQ96">
        <v>-0.008884336026008327</v>
      </c>
      <c r="AR96">
        <v>81.26040297655408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417</v>
      </c>
      <c r="AY96" t="s">
        <v>417</v>
      </c>
      <c r="AZ96">
        <v>0</v>
      </c>
      <c r="BA96">
        <v>0</v>
      </c>
      <c r="BB96">
        <f>1-AZ96/BA96</f>
        <v>0</v>
      </c>
      <c r="BC96">
        <v>0</v>
      </c>
      <c r="BD96" t="s">
        <v>417</v>
      </c>
      <c r="BE96" t="s">
        <v>417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1393</v>
      </c>
      <c r="CA96">
        <v>300</v>
      </c>
      <c r="CB96">
        <v>300</v>
      </c>
      <c r="CC96">
        <v>300</v>
      </c>
      <c r="CD96">
        <v>10378</v>
      </c>
      <c r="CE96">
        <v>2050</v>
      </c>
      <c r="CF96">
        <v>-0.00730649</v>
      </c>
      <c r="CG96">
        <v>-4.53</v>
      </c>
      <c r="CH96" t="s">
        <v>417</v>
      </c>
      <c r="CI96" t="s">
        <v>417</v>
      </c>
      <c r="CJ96" t="s">
        <v>417</v>
      </c>
      <c r="CK96" t="s">
        <v>417</v>
      </c>
      <c r="CL96" t="s">
        <v>417</v>
      </c>
      <c r="CM96" t="s">
        <v>417</v>
      </c>
      <c r="CN96" t="s">
        <v>417</v>
      </c>
      <c r="CO96" t="s">
        <v>417</v>
      </c>
      <c r="CP96" t="s">
        <v>417</v>
      </c>
      <c r="CQ96" t="s">
        <v>417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418</v>
      </c>
      <c r="CY96">
        <v>2</v>
      </c>
      <c r="CZ96" t="b">
        <v>1</v>
      </c>
      <c r="DA96">
        <v>1652371873.814285</v>
      </c>
      <c r="DB96">
        <v>799.360892857143</v>
      </c>
      <c r="DC96">
        <v>893.4303571428571</v>
      </c>
      <c r="DD96">
        <v>24.931625</v>
      </c>
      <c r="DE96">
        <v>12.77201071428571</v>
      </c>
      <c r="DF96">
        <v>799.9658214285715</v>
      </c>
      <c r="DG96">
        <v>24.88265</v>
      </c>
      <c r="DH96">
        <v>400.067</v>
      </c>
      <c r="DI96">
        <v>90.40815714285714</v>
      </c>
      <c r="DJ96">
        <v>0.09998332857142857</v>
      </c>
      <c r="DK96">
        <v>31.33263928571428</v>
      </c>
      <c r="DL96">
        <v>30.09142857142857</v>
      </c>
      <c r="DM96">
        <v>999.9000000000002</v>
      </c>
      <c r="DN96">
        <v>0</v>
      </c>
      <c r="DO96">
        <v>0</v>
      </c>
      <c r="DP96">
        <v>9997.048571428571</v>
      </c>
      <c r="DQ96">
        <v>0</v>
      </c>
      <c r="DR96">
        <v>454.0183928571429</v>
      </c>
      <c r="DS96">
        <v>-94.06936428571429</v>
      </c>
      <c r="DT96">
        <v>819.7992142857144</v>
      </c>
      <c r="DU96">
        <v>904.990857142857</v>
      </c>
      <c r="DV96">
        <v>12.15960357142857</v>
      </c>
      <c r="DW96">
        <v>893.4303571428571</v>
      </c>
      <c r="DX96">
        <v>12.77201071428571</v>
      </c>
      <c r="DY96">
        <v>2.254021428571428</v>
      </c>
      <c r="DZ96">
        <v>1.154695357142857</v>
      </c>
      <c r="EA96">
        <v>19.35151071428572</v>
      </c>
      <c r="EB96">
        <v>9.0292125</v>
      </c>
      <c r="EC96">
        <v>1500.007857142857</v>
      </c>
      <c r="ED96">
        <v>0.9730023571428573</v>
      </c>
      <c r="EE96">
        <v>0.02699772142857143</v>
      </c>
      <c r="EF96">
        <v>0</v>
      </c>
      <c r="EG96">
        <v>1133.2625</v>
      </c>
      <c r="EH96">
        <v>5.00097</v>
      </c>
      <c r="EI96">
        <v>17973.73928571428</v>
      </c>
      <c r="EJ96">
        <v>12491.67857142858</v>
      </c>
      <c r="EK96">
        <v>39.625</v>
      </c>
      <c r="EL96">
        <v>41.1692857142857</v>
      </c>
      <c r="EM96">
        <v>39.84575</v>
      </c>
      <c r="EN96">
        <v>40.93699999999999</v>
      </c>
      <c r="EO96">
        <v>40.81199999999999</v>
      </c>
      <c r="EP96">
        <v>1454.6475</v>
      </c>
      <c r="EQ96">
        <v>40.36035714285713</v>
      </c>
      <c r="ER96">
        <v>0</v>
      </c>
      <c r="ES96">
        <v>715.5999999046326</v>
      </c>
      <c r="ET96">
        <v>0</v>
      </c>
      <c r="EU96">
        <v>1132.736</v>
      </c>
      <c r="EV96">
        <v>-48.8407691566187</v>
      </c>
      <c r="EW96">
        <v>-424.2692285646261</v>
      </c>
      <c r="EX96">
        <v>17977.54</v>
      </c>
      <c r="EY96">
        <v>15</v>
      </c>
      <c r="EZ96">
        <v>1652371289.6</v>
      </c>
      <c r="FA96" t="s">
        <v>515</v>
      </c>
      <c r="FB96">
        <v>1652371289.6</v>
      </c>
      <c r="FC96">
        <v>1652371275.1</v>
      </c>
      <c r="FD96">
        <v>24</v>
      </c>
      <c r="FE96">
        <v>0.442</v>
      </c>
      <c r="FF96">
        <v>0.001</v>
      </c>
      <c r="FG96">
        <v>-2.63</v>
      </c>
      <c r="FH96">
        <v>0.007</v>
      </c>
      <c r="FI96">
        <v>1620</v>
      </c>
      <c r="FJ96">
        <v>22</v>
      </c>
      <c r="FK96">
        <v>0.08</v>
      </c>
      <c r="FL96">
        <v>0.04</v>
      </c>
      <c r="FM96">
        <v>-93.96893</v>
      </c>
      <c r="FN96">
        <v>-2.16788667917426</v>
      </c>
      <c r="FO96">
        <v>0.2536659872746054</v>
      </c>
      <c r="FP96">
        <v>-1</v>
      </c>
      <c r="FQ96">
        <v>12.2530225</v>
      </c>
      <c r="FR96">
        <v>-2.287282176360287</v>
      </c>
      <c r="FS96">
        <v>0.2201765456258908</v>
      </c>
      <c r="FT96">
        <v>0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1</v>
      </c>
      <c r="GA96" t="s">
        <v>432</v>
      </c>
      <c r="GB96">
        <v>2.69598</v>
      </c>
      <c r="GC96">
        <v>2.70516</v>
      </c>
      <c r="GD96">
        <v>0.151075</v>
      </c>
      <c r="GE96">
        <v>0.160381</v>
      </c>
      <c r="GF96">
        <v>0.108717</v>
      </c>
      <c r="GG96">
        <v>0.0674816</v>
      </c>
      <c r="GH96">
        <v>26698.1</v>
      </c>
      <c r="GI96">
        <v>26520.2</v>
      </c>
      <c r="GJ96">
        <v>29255.5</v>
      </c>
      <c r="GK96">
        <v>29229.6</v>
      </c>
      <c r="GL96">
        <v>34521.4</v>
      </c>
      <c r="GM96">
        <v>36288.1</v>
      </c>
      <c r="GN96">
        <v>41175.6</v>
      </c>
      <c r="GO96">
        <v>41704.1</v>
      </c>
      <c r="GP96">
        <v>1.72722</v>
      </c>
      <c r="GQ96">
        <v>2.0312</v>
      </c>
      <c r="GR96">
        <v>0.07111580000000001</v>
      </c>
      <c r="GS96">
        <v>0</v>
      </c>
      <c r="GT96">
        <v>28.9405</v>
      </c>
      <c r="GU96">
        <v>999.9</v>
      </c>
      <c r="GV96">
        <v>44.7</v>
      </c>
      <c r="GW96">
        <v>32.7</v>
      </c>
      <c r="GX96">
        <v>24.5612</v>
      </c>
      <c r="GY96">
        <v>63.3679</v>
      </c>
      <c r="GZ96">
        <v>29.355</v>
      </c>
      <c r="HA96">
        <v>1</v>
      </c>
      <c r="HB96">
        <v>0.239487</v>
      </c>
      <c r="HC96">
        <v>0.446661</v>
      </c>
      <c r="HD96">
        <v>20.3808</v>
      </c>
      <c r="HE96">
        <v>5.21444</v>
      </c>
      <c r="HF96">
        <v>12.0099</v>
      </c>
      <c r="HG96">
        <v>4.98805</v>
      </c>
      <c r="HH96">
        <v>3.2883</v>
      </c>
      <c r="HI96">
        <v>2713.2</v>
      </c>
      <c r="HJ96">
        <v>9999</v>
      </c>
      <c r="HK96">
        <v>9999</v>
      </c>
      <c r="HL96">
        <v>49.9</v>
      </c>
      <c r="HM96">
        <v>1.86721</v>
      </c>
      <c r="HN96">
        <v>1.86615</v>
      </c>
      <c r="HO96">
        <v>1.86577</v>
      </c>
      <c r="HP96">
        <v>1.86569</v>
      </c>
      <c r="HQ96">
        <v>1.86741</v>
      </c>
      <c r="HR96">
        <v>1.86998</v>
      </c>
      <c r="HS96">
        <v>1.86862</v>
      </c>
      <c r="HT96">
        <v>1.86996</v>
      </c>
      <c r="HU96">
        <v>0</v>
      </c>
      <c r="HV96">
        <v>0</v>
      </c>
      <c r="HW96">
        <v>0</v>
      </c>
      <c r="HX96">
        <v>0</v>
      </c>
      <c r="HY96" t="s">
        <v>421</v>
      </c>
      <c r="HZ96" t="s">
        <v>422</v>
      </c>
      <c r="IA96" t="s">
        <v>423</v>
      </c>
      <c r="IB96" t="s">
        <v>423</v>
      </c>
      <c r="IC96" t="s">
        <v>423</v>
      </c>
      <c r="ID96" t="s">
        <v>423</v>
      </c>
      <c r="IE96">
        <v>0</v>
      </c>
      <c r="IF96">
        <v>100</v>
      </c>
      <c r="IG96">
        <v>100</v>
      </c>
      <c r="IH96">
        <v>-0.669</v>
      </c>
      <c r="II96">
        <v>0.0481</v>
      </c>
      <c r="IJ96">
        <v>1.257309091789605</v>
      </c>
      <c r="IK96">
        <v>-0.002185601614162945</v>
      </c>
      <c r="IL96">
        <v>-2.252308143750626E-07</v>
      </c>
      <c r="IM96">
        <v>5.915558436307541E-11</v>
      </c>
      <c r="IN96">
        <v>-0.118683452207699</v>
      </c>
      <c r="IO96">
        <v>-0.007570214193104963</v>
      </c>
      <c r="IP96">
        <v>0.0009214429922928372</v>
      </c>
      <c r="IQ96">
        <v>-1.392260276065805E-05</v>
      </c>
      <c r="IR96">
        <v>17</v>
      </c>
      <c r="IS96">
        <v>2272</v>
      </c>
      <c r="IT96">
        <v>1</v>
      </c>
      <c r="IU96">
        <v>31</v>
      </c>
      <c r="IV96">
        <v>9.9</v>
      </c>
      <c r="IW96">
        <v>10.1</v>
      </c>
      <c r="IX96">
        <v>1.9751</v>
      </c>
      <c r="IY96">
        <v>2.20825</v>
      </c>
      <c r="IZ96">
        <v>1.39648</v>
      </c>
      <c r="JA96">
        <v>2.35352</v>
      </c>
      <c r="JB96">
        <v>1.49536</v>
      </c>
      <c r="JC96">
        <v>2.36938</v>
      </c>
      <c r="JD96">
        <v>36.1989</v>
      </c>
      <c r="JE96">
        <v>15.3491</v>
      </c>
      <c r="JF96">
        <v>18</v>
      </c>
      <c r="JG96">
        <v>388.702</v>
      </c>
      <c r="JH96">
        <v>565.607</v>
      </c>
      <c r="JI96">
        <v>30.1714</v>
      </c>
      <c r="JJ96">
        <v>30.5442</v>
      </c>
      <c r="JK96">
        <v>30.0002</v>
      </c>
      <c r="JL96">
        <v>30.4362</v>
      </c>
      <c r="JM96">
        <v>30.3285</v>
      </c>
      <c r="JN96">
        <v>39.5302</v>
      </c>
      <c r="JO96">
        <v>43.4061</v>
      </c>
      <c r="JP96">
        <v>0</v>
      </c>
      <c r="JQ96">
        <v>30.1046</v>
      </c>
      <c r="JR96">
        <v>941.598</v>
      </c>
      <c r="JS96">
        <v>13.2574</v>
      </c>
      <c r="JT96">
        <v>99.9973</v>
      </c>
      <c r="JU96">
        <v>100.108</v>
      </c>
    </row>
    <row r="97" spans="1:281">
      <c r="A97">
        <v>81</v>
      </c>
      <c r="B97">
        <v>1652371886.6</v>
      </c>
      <c r="C97">
        <v>3793</v>
      </c>
      <c r="D97" t="s">
        <v>629</v>
      </c>
      <c r="E97" t="s">
        <v>630</v>
      </c>
      <c r="F97">
        <v>5</v>
      </c>
      <c r="G97" t="s">
        <v>518</v>
      </c>
      <c r="H97" t="s">
        <v>414</v>
      </c>
      <c r="I97">
        <v>1652371879.1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935.7317607970299</v>
      </c>
      <c r="AK97">
        <v>862.0322727272728</v>
      </c>
      <c r="AL97">
        <v>3.451332869165774</v>
      </c>
      <c r="AM97">
        <v>65.95105977519088</v>
      </c>
      <c r="AN97">
        <f>(AP97 - AO97 + DI97*1E3/(8.314*(DK97+273.15)) * AR97/DH97 * AQ97) * DH97/(100*CV97) * 1000/(1000 - AP97)</f>
        <v>0</v>
      </c>
      <c r="AO97">
        <v>13.02421183092407</v>
      </c>
      <c r="AP97">
        <v>24.80863216783218</v>
      </c>
      <c r="AQ97">
        <v>-0.01182698894081011</v>
      </c>
      <c r="AR97">
        <v>81.26040297655408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417</v>
      </c>
      <c r="AY97" t="s">
        <v>417</v>
      </c>
      <c r="AZ97">
        <v>0</v>
      </c>
      <c r="BA97">
        <v>0</v>
      </c>
      <c r="BB97">
        <f>1-AZ97/BA97</f>
        <v>0</v>
      </c>
      <c r="BC97">
        <v>0</v>
      </c>
      <c r="BD97" t="s">
        <v>417</v>
      </c>
      <c r="BE97" t="s">
        <v>417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1393</v>
      </c>
      <c r="CA97">
        <v>300</v>
      </c>
      <c r="CB97">
        <v>300</v>
      </c>
      <c r="CC97">
        <v>300</v>
      </c>
      <c r="CD97">
        <v>10378</v>
      </c>
      <c r="CE97">
        <v>2050</v>
      </c>
      <c r="CF97">
        <v>-0.00730649</v>
      </c>
      <c r="CG97">
        <v>-4.53</v>
      </c>
      <c r="CH97" t="s">
        <v>417</v>
      </c>
      <c r="CI97" t="s">
        <v>417</v>
      </c>
      <c r="CJ97" t="s">
        <v>417</v>
      </c>
      <c r="CK97" t="s">
        <v>417</v>
      </c>
      <c r="CL97" t="s">
        <v>417</v>
      </c>
      <c r="CM97" t="s">
        <v>417</v>
      </c>
      <c r="CN97" t="s">
        <v>417</v>
      </c>
      <c r="CO97" t="s">
        <v>417</v>
      </c>
      <c r="CP97" t="s">
        <v>417</v>
      </c>
      <c r="CQ97" t="s">
        <v>417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418</v>
      </c>
      <c r="CY97">
        <v>2</v>
      </c>
      <c r="CZ97" t="b">
        <v>1</v>
      </c>
      <c r="DA97">
        <v>1652371879.1</v>
      </c>
      <c r="DB97">
        <v>817.0954074074073</v>
      </c>
      <c r="DC97">
        <v>911.2309999999999</v>
      </c>
      <c r="DD97">
        <v>24.88107407407407</v>
      </c>
      <c r="DE97">
        <v>12.93735555555555</v>
      </c>
      <c r="DF97">
        <v>817.7435925925927</v>
      </c>
      <c r="DG97">
        <v>24.83271851851852</v>
      </c>
      <c r="DH97">
        <v>400.071</v>
      </c>
      <c r="DI97">
        <v>90.40872592592592</v>
      </c>
      <c r="DJ97">
        <v>0.09996520740740741</v>
      </c>
      <c r="DK97">
        <v>31.32124444444444</v>
      </c>
      <c r="DL97">
        <v>30.0956</v>
      </c>
      <c r="DM97">
        <v>999.9000000000001</v>
      </c>
      <c r="DN97">
        <v>0</v>
      </c>
      <c r="DO97">
        <v>0</v>
      </c>
      <c r="DP97">
        <v>9995.554444444444</v>
      </c>
      <c r="DQ97">
        <v>0</v>
      </c>
      <c r="DR97">
        <v>454.6514074074075</v>
      </c>
      <c r="DS97">
        <v>-94.13552962962964</v>
      </c>
      <c r="DT97">
        <v>837.9435925925927</v>
      </c>
      <c r="DU97">
        <v>923.1764444444445</v>
      </c>
      <c r="DV97">
        <v>11.94371111111111</v>
      </c>
      <c r="DW97">
        <v>911.2309999999999</v>
      </c>
      <c r="DX97">
        <v>12.93735555555555</v>
      </c>
      <c r="DY97">
        <v>2.249465555555556</v>
      </c>
      <c r="DZ97">
        <v>1.16965037037037</v>
      </c>
      <c r="EA97">
        <v>19.319</v>
      </c>
      <c r="EB97">
        <v>9.22000074074074</v>
      </c>
      <c r="EC97">
        <v>1499.987407407407</v>
      </c>
      <c r="ED97">
        <v>0.9730020000000001</v>
      </c>
      <c r="EE97">
        <v>0.0269981</v>
      </c>
      <c r="EF97">
        <v>0</v>
      </c>
      <c r="EG97">
        <v>1128.805925925926</v>
      </c>
      <c r="EH97">
        <v>5.00097</v>
      </c>
      <c r="EI97">
        <v>17938.21111111111</v>
      </c>
      <c r="EJ97">
        <v>12491.51111111111</v>
      </c>
      <c r="EK97">
        <v>39.625</v>
      </c>
      <c r="EL97">
        <v>41.16633333333333</v>
      </c>
      <c r="EM97">
        <v>39.84</v>
      </c>
      <c r="EN97">
        <v>40.93699999999999</v>
      </c>
      <c r="EO97">
        <v>40.81199999999999</v>
      </c>
      <c r="EP97">
        <v>1454.627037037037</v>
      </c>
      <c r="EQ97">
        <v>40.36037037037037</v>
      </c>
      <c r="ER97">
        <v>0</v>
      </c>
      <c r="ES97">
        <v>720.3999998569489</v>
      </c>
      <c r="ET97">
        <v>0</v>
      </c>
      <c r="EU97">
        <v>1128.672</v>
      </c>
      <c r="EV97">
        <v>-51.89538469282504</v>
      </c>
      <c r="EW97">
        <v>-792.6538467310687</v>
      </c>
      <c r="EX97">
        <v>17936.132</v>
      </c>
      <c r="EY97">
        <v>15</v>
      </c>
      <c r="EZ97">
        <v>1652371289.6</v>
      </c>
      <c r="FA97" t="s">
        <v>515</v>
      </c>
      <c r="FB97">
        <v>1652371289.6</v>
      </c>
      <c r="FC97">
        <v>1652371275.1</v>
      </c>
      <c r="FD97">
        <v>24</v>
      </c>
      <c r="FE97">
        <v>0.442</v>
      </c>
      <c r="FF97">
        <v>0.001</v>
      </c>
      <c r="FG97">
        <v>-2.63</v>
      </c>
      <c r="FH97">
        <v>0.007</v>
      </c>
      <c r="FI97">
        <v>1620</v>
      </c>
      <c r="FJ97">
        <v>22</v>
      </c>
      <c r="FK97">
        <v>0.08</v>
      </c>
      <c r="FL97">
        <v>0.04</v>
      </c>
      <c r="FM97">
        <v>-94.06303499999999</v>
      </c>
      <c r="FN97">
        <v>-1.43194671669743</v>
      </c>
      <c r="FO97">
        <v>0.2111576277926055</v>
      </c>
      <c r="FP97">
        <v>-1</v>
      </c>
      <c r="FQ97">
        <v>12.0942025</v>
      </c>
      <c r="FR97">
        <v>-2.403846529080694</v>
      </c>
      <c r="FS97">
        <v>0.2315447240680512</v>
      </c>
      <c r="FT97">
        <v>0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1</v>
      </c>
      <c r="GA97" t="s">
        <v>432</v>
      </c>
      <c r="GB97">
        <v>2.69587</v>
      </c>
      <c r="GC97">
        <v>2.7053</v>
      </c>
      <c r="GD97">
        <v>0.153113</v>
      </c>
      <c r="GE97">
        <v>0.162246</v>
      </c>
      <c r="GF97">
        <v>0.108557</v>
      </c>
      <c r="GG97">
        <v>0.0681798</v>
      </c>
      <c r="GH97">
        <v>26633.8</v>
      </c>
      <c r="GI97">
        <v>26461.1</v>
      </c>
      <c r="GJ97">
        <v>29255.4</v>
      </c>
      <c r="GK97">
        <v>29229.5</v>
      </c>
      <c r="GL97">
        <v>34527.6</v>
      </c>
      <c r="GM97">
        <v>36260.7</v>
      </c>
      <c r="GN97">
        <v>41175.4</v>
      </c>
      <c r="GO97">
        <v>41703.9</v>
      </c>
      <c r="GP97">
        <v>1.72698</v>
      </c>
      <c r="GQ97">
        <v>2.03153</v>
      </c>
      <c r="GR97">
        <v>0.0711903</v>
      </c>
      <c r="GS97">
        <v>0</v>
      </c>
      <c r="GT97">
        <v>28.9351</v>
      </c>
      <c r="GU97">
        <v>999.9</v>
      </c>
      <c r="GV97">
        <v>44.7</v>
      </c>
      <c r="GW97">
        <v>32.7</v>
      </c>
      <c r="GX97">
        <v>24.5608</v>
      </c>
      <c r="GY97">
        <v>63.5279</v>
      </c>
      <c r="GZ97">
        <v>29.6955</v>
      </c>
      <c r="HA97">
        <v>1</v>
      </c>
      <c r="HB97">
        <v>0.239827</v>
      </c>
      <c r="HC97">
        <v>0.516402</v>
      </c>
      <c r="HD97">
        <v>20.3805</v>
      </c>
      <c r="HE97">
        <v>5.21534</v>
      </c>
      <c r="HF97">
        <v>12.0099</v>
      </c>
      <c r="HG97">
        <v>4.98785</v>
      </c>
      <c r="HH97">
        <v>3.2886</v>
      </c>
      <c r="HI97">
        <v>2713.2</v>
      </c>
      <c r="HJ97">
        <v>9999</v>
      </c>
      <c r="HK97">
        <v>9999</v>
      </c>
      <c r="HL97">
        <v>49.9</v>
      </c>
      <c r="HM97">
        <v>1.86722</v>
      </c>
      <c r="HN97">
        <v>1.86616</v>
      </c>
      <c r="HO97">
        <v>1.86577</v>
      </c>
      <c r="HP97">
        <v>1.86569</v>
      </c>
      <c r="HQ97">
        <v>1.86742</v>
      </c>
      <c r="HR97">
        <v>1.86996</v>
      </c>
      <c r="HS97">
        <v>1.86861</v>
      </c>
      <c r="HT97">
        <v>1.86999</v>
      </c>
      <c r="HU97">
        <v>0</v>
      </c>
      <c r="HV97">
        <v>0</v>
      </c>
      <c r="HW97">
        <v>0</v>
      </c>
      <c r="HX97">
        <v>0</v>
      </c>
      <c r="HY97" t="s">
        <v>421</v>
      </c>
      <c r="HZ97" t="s">
        <v>422</v>
      </c>
      <c r="IA97" t="s">
        <v>423</v>
      </c>
      <c r="IB97" t="s">
        <v>423</v>
      </c>
      <c r="IC97" t="s">
        <v>423</v>
      </c>
      <c r="ID97" t="s">
        <v>423</v>
      </c>
      <c r="IE97">
        <v>0</v>
      </c>
      <c r="IF97">
        <v>100</v>
      </c>
      <c r="IG97">
        <v>100</v>
      </c>
      <c r="IH97">
        <v>-0.71</v>
      </c>
      <c r="II97">
        <v>0.0474</v>
      </c>
      <c r="IJ97">
        <v>1.257309091789605</v>
      </c>
      <c r="IK97">
        <v>-0.002185601614162945</v>
      </c>
      <c r="IL97">
        <v>-2.252308143750626E-07</v>
      </c>
      <c r="IM97">
        <v>5.915558436307541E-11</v>
      </c>
      <c r="IN97">
        <v>-0.118683452207699</v>
      </c>
      <c r="IO97">
        <v>-0.007570214193104963</v>
      </c>
      <c r="IP97">
        <v>0.0009214429922928372</v>
      </c>
      <c r="IQ97">
        <v>-1.392260276065805E-05</v>
      </c>
      <c r="IR97">
        <v>17</v>
      </c>
      <c r="IS97">
        <v>2272</v>
      </c>
      <c r="IT97">
        <v>1</v>
      </c>
      <c r="IU97">
        <v>31</v>
      </c>
      <c r="IV97">
        <v>9.9</v>
      </c>
      <c r="IW97">
        <v>10.2</v>
      </c>
      <c r="IX97">
        <v>2.00073</v>
      </c>
      <c r="IY97">
        <v>2.20703</v>
      </c>
      <c r="IZ97">
        <v>1.39648</v>
      </c>
      <c r="JA97">
        <v>2.35352</v>
      </c>
      <c r="JB97">
        <v>1.49536</v>
      </c>
      <c r="JC97">
        <v>2.38037</v>
      </c>
      <c r="JD97">
        <v>36.1989</v>
      </c>
      <c r="JE97">
        <v>15.3579</v>
      </c>
      <c r="JF97">
        <v>18</v>
      </c>
      <c r="JG97">
        <v>388.568</v>
      </c>
      <c r="JH97">
        <v>565.852</v>
      </c>
      <c r="JI97">
        <v>30.0677</v>
      </c>
      <c r="JJ97">
        <v>30.5429</v>
      </c>
      <c r="JK97">
        <v>30.0001</v>
      </c>
      <c r="JL97">
        <v>30.4362</v>
      </c>
      <c r="JM97">
        <v>30.3285</v>
      </c>
      <c r="JN97">
        <v>40.0826</v>
      </c>
      <c r="JO97">
        <v>43.0692</v>
      </c>
      <c r="JP97">
        <v>0</v>
      </c>
      <c r="JQ97">
        <v>30.0089</v>
      </c>
      <c r="JR97">
        <v>954.985</v>
      </c>
      <c r="JS97">
        <v>13.4509</v>
      </c>
      <c r="JT97">
        <v>99.9969</v>
      </c>
      <c r="JU97">
        <v>100.108</v>
      </c>
    </row>
    <row r="98" spans="1:281">
      <c r="A98">
        <v>82</v>
      </c>
      <c r="B98">
        <v>1652371891.6</v>
      </c>
      <c r="C98">
        <v>3798</v>
      </c>
      <c r="D98" t="s">
        <v>631</v>
      </c>
      <c r="E98" t="s">
        <v>632</v>
      </c>
      <c r="F98">
        <v>5</v>
      </c>
      <c r="G98" t="s">
        <v>518</v>
      </c>
      <c r="H98" t="s">
        <v>414</v>
      </c>
      <c r="I98">
        <v>1652371883.814285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952.683961899715</v>
      </c>
      <c r="AK98">
        <v>879.1887757575754</v>
      </c>
      <c r="AL98">
        <v>3.435833541011768</v>
      </c>
      <c r="AM98">
        <v>65.95105977519088</v>
      </c>
      <c r="AN98">
        <f>(AP98 - AO98 + DI98*1E3/(8.314*(DK98+273.15)) * AR98/DH98 * AQ98) * DH98/(100*CV98) * 1000/(1000 - AP98)</f>
        <v>0</v>
      </c>
      <c r="AO98">
        <v>13.21119932267125</v>
      </c>
      <c r="AP98">
        <v>24.76366083916085</v>
      </c>
      <c r="AQ98">
        <v>-0.008794811200847625</v>
      </c>
      <c r="AR98">
        <v>81.26040297655408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417</v>
      </c>
      <c r="AY98" t="s">
        <v>417</v>
      </c>
      <c r="AZ98">
        <v>0</v>
      </c>
      <c r="BA98">
        <v>0</v>
      </c>
      <c r="BB98">
        <f>1-AZ98/BA98</f>
        <v>0</v>
      </c>
      <c r="BC98">
        <v>0</v>
      </c>
      <c r="BD98" t="s">
        <v>417</v>
      </c>
      <c r="BE98" t="s">
        <v>417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1393</v>
      </c>
      <c r="CA98">
        <v>300</v>
      </c>
      <c r="CB98">
        <v>300</v>
      </c>
      <c r="CC98">
        <v>300</v>
      </c>
      <c r="CD98">
        <v>10378</v>
      </c>
      <c r="CE98">
        <v>2050</v>
      </c>
      <c r="CF98">
        <v>-0.00730649</v>
      </c>
      <c r="CG98">
        <v>-4.53</v>
      </c>
      <c r="CH98" t="s">
        <v>417</v>
      </c>
      <c r="CI98" t="s">
        <v>417</v>
      </c>
      <c r="CJ98" t="s">
        <v>417</v>
      </c>
      <c r="CK98" t="s">
        <v>417</v>
      </c>
      <c r="CL98" t="s">
        <v>417</v>
      </c>
      <c r="CM98" t="s">
        <v>417</v>
      </c>
      <c r="CN98" t="s">
        <v>417</v>
      </c>
      <c r="CO98" t="s">
        <v>417</v>
      </c>
      <c r="CP98" t="s">
        <v>417</v>
      </c>
      <c r="CQ98" t="s">
        <v>417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418</v>
      </c>
      <c r="CY98">
        <v>2</v>
      </c>
      <c r="CZ98" t="b">
        <v>1</v>
      </c>
      <c r="DA98">
        <v>1652371883.814285</v>
      </c>
      <c r="DB98">
        <v>832.9406428571428</v>
      </c>
      <c r="DC98">
        <v>927.0372142857143</v>
      </c>
      <c r="DD98">
        <v>24.83376071428571</v>
      </c>
      <c r="DE98">
        <v>13.09995714285714</v>
      </c>
      <c r="DF98">
        <v>833.6274999999999</v>
      </c>
      <c r="DG98">
        <v>24.786</v>
      </c>
      <c r="DH98">
        <v>400.0772499999999</v>
      </c>
      <c r="DI98">
        <v>90.40866071428572</v>
      </c>
      <c r="DJ98">
        <v>0.09997288571428573</v>
      </c>
      <c r="DK98">
        <v>31.30802142857143</v>
      </c>
      <c r="DL98">
        <v>30.09523214285715</v>
      </c>
      <c r="DM98">
        <v>999.9000000000002</v>
      </c>
      <c r="DN98">
        <v>0</v>
      </c>
      <c r="DO98">
        <v>0</v>
      </c>
      <c r="DP98">
        <v>9999.616428571428</v>
      </c>
      <c r="DQ98">
        <v>0</v>
      </c>
      <c r="DR98">
        <v>451.0325714285714</v>
      </c>
      <c r="DS98">
        <v>-94.09657857142859</v>
      </c>
      <c r="DT98">
        <v>854.1517142857144</v>
      </c>
      <c r="DU98">
        <v>939.3451071428572</v>
      </c>
      <c r="DV98">
        <v>11.73379642857143</v>
      </c>
      <c r="DW98">
        <v>927.0372142857143</v>
      </c>
      <c r="DX98">
        <v>13.09995714285714</v>
      </c>
      <c r="DY98">
        <v>2.245187500000001</v>
      </c>
      <c r="DZ98">
        <v>1.18435</v>
      </c>
      <c r="EA98">
        <v>19.28840714285714</v>
      </c>
      <c r="EB98">
        <v>9.405256785714284</v>
      </c>
      <c r="EC98">
        <v>1499.995</v>
      </c>
      <c r="ED98">
        <v>0.9730021785714287</v>
      </c>
      <c r="EE98">
        <v>0.02699791071428572</v>
      </c>
      <c r="EF98">
        <v>0</v>
      </c>
      <c r="EG98">
        <v>1124.582142857143</v>
      </c>
      <c r="EH98">
        <v>5.00097</v>
      </c>
      <c r="EI98">
        <v>17862.74642857143</v>
      </c>
      <c r="EJ98">
        <v>12491.56428571429</v>
      </c>
      <c r="EK98">
        <v>39.625</v>
      </c>
      <c r="EL98">
        <v>41.16928571428571</v>
      </c>
      <c r="EM98">
        <v>39.83224999999999</v>
      </c>
      <c r="EN98">
        <v>40.93699999999999</v>
      </c>
      <c r="EO98">
        <v>40.81199999999999</v>
      </c>
      <c r="EP98">
        <v>1454.634642857143</v>
      </c>
      <c r="EQ98">
        <v>40.36035714285713</v>
      </c>
      <c r="ER98">
        <v>0</v>
      </c>
      <c r="ES98">
        <v>725.7999999523163</v>
      </c>
      <c r="ET98">
        <v>0</v>
      </c>
      <c r="EU98">
        <v>1124.107307692308</v>
      </c>
      <c r="EV98">
        <v>-55.23247866956785</v>
      </c>
      <c r="EW98">
        <v>-935.326496271921</v>
      </c>
      <c r="EX98">
        <v>17855.02692307692</v>
      </c>
      <c r="EY98">
        <v>15</v>
      </c>
      <c r="EZ98">
        <v>1652371289.6</v>
      </c>
      <c r="FA98" t="s">
        <v>515</v>
      </c>
      <c r="FB98">
        <v>1652371289.6</v>
      </c>
      <c r="FC98">
        <v>1652371275.1</v>
      </c>
      <c r="FD98">
        <v>24</v>
      </c>
      <c r="FE98">
        <v>0.442</v>
      </c>
      <c r="FF98">
        <v>0.001</v>
      </c>
      <c r="FG98">
        <v>-2.63</v>
      </c>
      <c r="FH98">
        <v>0.007</v>
      </c>
      <c r="FI98">
        <v>1620</v>
      </c>
      <c r="FJ98">
        <v>22</v>
      </c>
      <c r="FK98">
        <v>0.08</v>
      </c>
      <c r="FL98">
        <v>0.04</v>
      </c>
      <c r="FM98">
        <v>-94.10356750000001</v>
      </c>
      <c r="FN98">
        <v>0.5989114446529731</v>
      </c>
      <c r="FO98">
        <v>0.1137865334464055</v>
      </c>
      <c r="FP98">
        <v>-1</v>
      </c>
      <c r="FQ98">
        <v>11.839765</v>
      </c>
      <c r="FR98">
        <v>-2.673485178236402</v>
      </c>
      <c r="FS98">
        <v>0.257442295039102</v>
      </c>
      <c r="FT98">
        <v>0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1</v>
      </c>
      <c r="GA98" t="s">
        <v>432</v>
      </c>
      <c r="GB98">
        <v>2.69582</v>
      </c>
      <c r="GC98">
        <v>2.70511</v>
      </c>
      <c r="GD98">
        <v>0.155125</v>
      </c>
      <c r="GE98">
        <v>0.164153</v>
      </c>
      <c r="GF98">
        <v>0.108423</v>
      </c>
      <c r="GG98">
        <v>0.0689379</v>
      </c>
      <c r="GH98">
        <v>26570.2</v>
      </c>
      <c r="GI98">
        <v>26401</v>
      </c>
      <c r="GJ98">
        <v>29255.1</v>
      </c>
      <c r="GK98">
        <v>29229.7</v>
      </c>
      <c r="GL98">
        <v>34532.7</v>
      </c>
      <c r="GM98">
        <v>36231.4</v>
      </c>
      <c r="GN98">
        <v>41175.3</v>
      </c>
      <c r="GO98">
        <v>41704.2</v>
      </c>
      <c r="GP98">
        <v>1.7268</v>
      </c>
      <c r="GQ98">
        <v>2.03163</v>
      </c>
      <c r="GR98">
        <v>0.0719354</v>
      </c>
      <c r="GS98">
        <v>0</v>
      </c>
      <c r="GT98">
        <v>28.9276</v>
      </c>
      <c r="GU98">
        <v>999.9</v>
      </c>
      <c r="GV98">
        <v>44.7</v>
      </c>
      <c r="GW98">
        <v>32.7</v>
      </c>
      <c r="GX98">
        <v>24.5602</v>
      </c>
      <c r="GY98">
        <v>63.2979</v>
      </c>
      <c r="GZ98">
        <v>29.8518</v>
      </c>
      <c r="HA98">
        <v>1</v>
      </c>
      <c r="HB98">
        <v>0.239746</v>
      </c>
      <c r="HC98">
        <v>0.564894</v>
      </c>
      <c r="HD98">
        <v>20.3803</v>
      </c>
      <c r="HE98">
        <v>5.21579</v>
      </c>
      <c r="HF98">
        <v>12.0099</v>
      </c>
      <c r="HG98">
        <v>4.98865</v>
      </c>
      <c r="HH98">
        <v>3.28845</v>
      </c>
      <c r="HI98">
        <v>2713.4</v>
      </c>
      <c r="HJ98">
        <v>9999</v>
      </c>
      <c r="HK98">
        <v>9999</v>
      </c>
      <c r="HL98">
        <v>49.9</v>
      </c>
      <c r="HM98">
        <v>1.86721</v>
      </c>
      <c r="HN98">
        <v>1.86615</v>
      </c>
      <c r="HO98">
        <v>1.86576</v>
      </c>
      <c r="HP98">
        <v>1.86567</v>
      </c>
      <c r="HQ98">
        <v>1.86743</v>
      </c>
      <c r="HR98">
        <v>1.86997</v>
      </c>
      <c r="HS98">
        <v>1.86862</v>
      </c>
      <c r="HT98">
        <v>1.86998</v>
      </c>
      <c r="HU98">
        <v>0</v>
      </c>
      <c r="HV98">
        <v>0</v>
      </c>
      <c r="HW98">
        <v>0</v>
      </c>
      <c r="HX98">
        <v>0</v>
      </c>
      <c r="HY98" t="s">
        <v>421</v>
      </c>
      <c r="HZ98" t="s">
        <v>422</v>
      </c>
      <c r="IA98" t="s">
        <v>423</v>
      </c>
      <c r="IB98" t="s">
        <v>423</v>
      </c>
      <c r="IC98" t="s">
        <v>423</v>
      </c>
      <c r="ID98" t="s">
        <v>423</v>
      </c>
      <c r="IE98">
        <v>0</v>
      </c>
      <c r="IF98">
        <v>100</v>
      </c>
      <c r="IG98">
        <v>100</v>
      </c>
      <c r="IH98">
        <v>-0.751</v>
      </c>
      <c r="II98">
        <v>0.0469</v>
      </c>
      <c r="IJ98">
        <v>1.257309091789605</v>
      </c>
      <c r="IK98">
        <v>-0.002185601614162945</v>
      </c>
      <c r="IL98">
        <v>-2.252308143750626E-07</v>
      </c>
      <c r="IM98">
        <v>5.915558436307541E-11</v>
      </c>
      <c r="IN98">
        <v>-0.118683452207699</v>
      </c>
      <c r="IO98">
        <v>-0.007570214193104963</v>
      </c>
      <c r="IP98">
        <v>0.0009214429922928372</v>
      </c>
      <c r="IQ98">
        <v>-1.392260276065805E-05</v>
      </c>
      <c r="IR98">
        <v>17</v>
      </c>
      <c r="IS98">
        <v>2272</v>
      </c>
      <c r="IT98">
        <v>1</v>
      </c>
      <c r="IU98">
        <v>31</v>
      </c>
      <c r="IV98">
        <v>10</v>
      </c>
      <c r="IW98">
        <v>10.3</v>
      </c>
      <c r="IX98">
        <v>2.03247</v>
      </c>
      <c r="IY98">
        <v>2.20703</v>
      </c>
      <c r="IZ98">
        <v>1.39648</v>
      </c>
      <c r="JA98">
        <v>2.35352</v>
      </c>
      <c r="JB98">
        <v>1.49536</v>
      </c>
      <c r="JC98">
        <v>2.36206</v>
      </c>
      <c r="JD98">
        <v>36.2224</v>
      </c>
      <c r="JE98">
        <v>15.3491</v>
      </c>
      <c r="JF98">
        <v>18</v>
      </c>
      <c r="JG98">
        <v>388.475</v>
      </c>
      <c r="JH98">
        <v>565.928</v>
      </c>
      <c r="JI98">
        <v>29.9686</v>
      </c>
      <c r="JJ98">
        <v>30.5415</v>
      </c>
      <c r="JK98">
        <v>30</v>
      </c>
      <c r="JL98">
        <v>30.4362</v>
      </c>
      <c r="JM98">
        <v>30.3285</v>
      </c>
      <c r="JN98">
        <v>40.675</v>
      </c>
      <c r="JO98">
        <v>42.5173</v>
      </c>
      <c r="JP98">
        <v>0</v>
      </c>
      <c r="JQ98">
        <v>29.9155</v>
      </c>
      <c r="JR98">
        <v>975.029</v>
      </c>
      <c r="JS98">
        <v>13.6614</v>
      </c>
      <c r="JT98">
        <v>99.99630000000001</v>
      </c>
      <c r="JU98">
        <v>100.109</v>
      </c>
    </row>
    <row r="99" spans="1:281">
      <c r="A99">
        <v>83</v>
      </c>
      <c r="B99">
        <v>1652371896.6</v>
      </c>
      <c r="C99">
        <v>3803</v>
      </c>
      <c r="D99" t="s">
        <v>633</v>
      </c>
      <c r="E99" t="s">
        <v>634</v>
      </c>
      <c r="F99">
        <v>5</v>
      </c>
      <c r="G99" t="s">
        <v>518</v>
      </c>
      <c r="H99" t="s">
        <v>414</v>
      </c>
      <c r="I99">
        <v>1652371889.1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969.8528376485752</v>
      </c>
      <c r="AK99">
        <v>896.3865878787874</v>
      </c>
      <c r="AL99">
        <v>3.450363548931958</v>
      </c>
      <c r="AM99">
        <v>65.95105977519088</v>
      </c>
      <c r="AN99">
        <f>(AP99 - AO99 + DI99*1E3/(8.314*(DK99+273.15)) * AR99/DH99 * AQ99) * DH99/(100*CV99) * 1000/(1000 - AP99)</f>
        <v>0</v>
      </c>
      <c r="AO99">
        <v>13.41314312642703</v>
      </c>
      <c r="AP99">
        <v>24.71353846153848</v>
      </c>
      <c r="AQ99">
        <v>-0.009015088973922128</v>
      </c>
      <c r="AR99">
        <v>81.26040297655408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417</v>
      </c>
      <c r="AY99" t="s">
        <v>417</v>
      </c>
      <c r="AZ99">
        <v>0</v>
      </c>
      <c r="BA99">
        <v>0</v>
      </c>
      <c r="BB99">
        <f>1-AZ99/BA99</f>
        <v>0</v>
      </c>
      <c r="BC99">
        <v>0</v>
      </c>
      <c r="BD99" t="s">
        <v>417</v>
      </c>
      <c r="BE99" t="s">
        <v>417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1393</v>
      </c>
      <c r="CA99">
        <v>300</v>
      </c>
      <c r="CB99">
        <v>300</v>
      </c>
      <c r="CC99">
        <v>300</v>
      </c>
      <c r="CD99">
        <v>10378</v>
      </c>
      <c r="CE99">
        <v>2050</v>
      </c>
      <c r="CF99">
        <v>-0.00730649</v>
      </c>
      <c r="CG99">
        <v>-4.53</v>
      </c>
      <c r="CH99" t="s">
        <v>417</v>
      </c>
      <c r="CI99" t="s">
        <v>417</v>
      </c>
      <c r="CJ99" t="s">
        <v>417</v>
      </c>
      <c r="CK99" t="s">
        <v>417</v>
      </c>
      <c r="CL99" t="s">
        <v>417</v>
      </c>
      <c r="CM99" t="s">
        <v>417</v>
      </c>
      <c r="CN99" t="s">
        <v>417</v>
      </c>
      <c r="CO99" t="s">
        <v>417</v>
      </c>
      <c r="CP99" t="s">
        <v>417</v>
      </c>
      <c r="CQ99" t="s">
        <v>417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418</v>
      </c>
      <c r="CY99">
        <v>2</v>
      </c>
      <c r="CZ99" t="b">
        <v>1</v>
      </c>
      <c r="DA99">
        <v>1652371889.1</v>
      </c>
      <c r="DB99">
        <v>850.7106296296297</v>
      </c>
      <c r="DC99">
        <v>944.7157777777777</v>
      </c>
      <c r="DD99">
        <v>24.78135555555556</v>
      </c>
      <c r="DE99">
        <v>13.30215185185185</v>
      </c>
      <c r="DF99">
        <v>851.4410370370371</v>
      </c>
      <c r="DG99">
        <v>24.73423333333333</v>
      </c>
      <c r="DH99">
        <v>400.0845555555556</v>
      </c>
      <c r="DI99">
        <v>90.40841111111111</v>
      </c>
      <c r="DJ99">
        <v>0.09996617777777778</v>
      </c>
      <c r="DK99">
        <v>31.29007037037037</v>
      </c>
      <c r="DL99">
        <v>30.09281481481482</v>
      </c>
      <c r="DM99">
        <v>999.9000000000001</v>
      </c>
      <c r="DN99">
        <v>0</v>
      </c>
      <c r="DO99">
        <v>0</v>
      </c>
      <c r="DP99">
        <v>10005.06777777778</v>
      </c>
      <c r="DQ99">
        <v>0</v>
      </c>
      <c r="DR99">
        <v>448.8438518518519</v>
      </c>
      <c r="DS99">
        <v>-94.0050925925926</v>
      </c>
      <c r="DT99">
        <v>872.3274814814814</v>
      </c>
      <c r="DU99">
        <v>957.4545925925927</v>
      </c>
      <c r="DV99">
        <v>11.4791962962963</v>
      </c>
      <c r="DW99">
        <v>944.7157777777777</v>
      </c>
      <c r="DX99">
        <v>13.30215185185185</v>
      </c>
      <c r="DY99">
        <v>2.240442962962963</v>
      </c>
      <c r="DZ99">
        <v>1.202626666666666</v>
      </c>
      <c r="EA99">
        <v>19.25444444444445</v>
      </c>
      <c r="EB99">
        <v>9.633006296296296</v>
      </c>
      <c r="EC99">
        <v>1499.981851851852</v>
      </c>
      <c r="ED99">
        <v>0.9730021851851852</v>
      </c>
      <c r="EE99">
        <v>0.0269979037037037</v>
      </c>
      <c r="EF99">
        <v>0</v>
      </c>
      <c r="EG99">
        <v>1119.704444444445</v>
      </c>
      <c r="EH99">
        <v>5.00097</v>
      </c>
      <c r="EI99">
        <v>17783.48888888889</v>
      </c>
      <c r="EJ99">
        <v>12491.42962962963</v>
      </c>
      <c r="EK99">
        <v>39.62033333333333</v>
      </c>
      <c r="EL99">
        <v>41.15714814814815</v>
      </c>
      <c r="EM99">
        <v>39.819</v>
      </c>
      <c r="EN99">
        <v>40.93699999999999</v>
      </c>
      <c r="EO99">
        <v>40.81199999999999</v>
      </c>
      <c r="EP99">
        <v>1454.621851851852</v>
      </c>
      <c r="EQ99">
        <v>40.35999999999999</v>
      </c>
      <c r="ER99">
        <v>0</v>
      </c>
      <c r="ES99">
        <v>730.5999999046326</v>
      </c>
      <c r="ET99">
        <v>0</v>
      </c>
      <c r="EU99">
        <v>1119.66</v>
      </c>
      <c r="EV99">
        <v>-56.00478624738868</v>
      </c>
      <c r="EW99">
        <v>-1098.345297706471</v>
      </c>
      <c r="EX99">
        <v>17782.49230769231</v>
      </c>
      <c r="EY99">
        <v>15</v>
      </c>
      <c r="EZ99">
        <v>1652371289.6</v>
      </c>
      <c r="FA99" t="s">
        <v>515</v>
      </c>
      <c r="FB99">
        <v>1652371289.6</v>
      </c>
      <c r="FC99">
        <v>1652371275.1</v>
      </c>
      <c r="FD99">
        <v>24</v>
      </c>
      <c r="FE99">
        <v>0.442</v>
      </c>
      <c r="FF99">
        <v>0.001</v>
      </c>
      <c r="FG99">
        <v>-2.63</v>
      </c>
      <c r="FH99">
        <v>0.007</v>
      </c>
      <c r="FI99">
        <v>1620</v>
      </c>
      <c r="FJ99">
        <v>22</v>
      </c>
      <c r="FK99">
        <v>0.08</v>
      </c>
      <c r="FL99">
        <v>0.04</v>
      </c>
      <c r="FM99">
        <v>-94.06006341463416</v>
      </c>
      <c r="FN99">
        <v>0.9059121951218309</v>
      </c>
      <c r="FO99">
        <v>0.1288064851346021</v>
      </c>
      <c r="FP99">
        <v>-1</v>
      </c>
      <c r="FQ99">
        <v>11.64396829268293</v>
      </c>
      <c r="FR99">
        <v>-2.852747038327521</v>
      </c>
      <c r="FS99">
        <v>0.2815029172304974</v>
      </c>
      <c r="FT99">
        <v>0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1</v>
      </c>
      <c r="GA99" t="s">
        <v>432</v>
      </c>
      <c r="GB99">
        <v>2.69578</v>
      </c>
      <c r="GC99">
        <v>2.70512</v>
      </c>
      <c r="GD99">
        <v>0.157125</v>
      </c>
      <c r="GE99">
        <v>0.166017</v>
      </c>
      <c r="GF99">
        <v>0.108268</v>
      </c>
      <c r="GG99">
        <v>0.06972829999999999</v>
      </c>
      <c r="GH99">
        <v>26507.8</v>
      </c>
      <c r="GI99">
        <v>26342.4</v>
      </c>
      <c r="GJ99">
        <v>29255.6</v>
      </c>
      <c r="GK99">
        <v>29230.1</v>
      </c>
      <c r="GL99">
        <v>34539.4</v>
      </c>
      <c r="GM99">
        <v>36200.9</v>
      </c>
      <c r="GN99">
        <v>41176.1</v>
      </c>
      <c r="GO99">
        <v>41704.7</v>
      </c>
      <c r="GP99">
        <v>1.7267</v>
      </c>
      <c r="GQ99">
        <v>2.03223</v>
      </c>
      <c r="GR99">
        <v>0.0714138</v>
      </c>
      <c r="GS99">
        <v>0</v>
      </c>
      <c r="GT99">
        <v>28.9203</v>
      </c>
      <c r="GU99">
        <v>999.9</v>
      </c>
      <c r="GV99">
        <v>44.7</v>
      </c>
      <c r="GW99">
        <v>32.7</v>
      </c>
      <c r="GX99">
        <v>24.5654</v>
      </c>
      <c r="GY99">
        <v>63.1579</v>
      </c>
      <c r="GZ99">
        <v>29.8678</v>
      </c>
      <c r="HA99">
        <v>1</v>
      </c>
      <c r="HB99">
        <v>0.239492</v>
      </c>
      <c r="HC99">
        <v>0.614371</v>
      </c>
      <c r="HD99">
        <v>20.3798</v>
      </c>
      <c r="HE99">
        <v>5.21474</v>
      </c>
      <c r="HF99">
        <v>12.0099</v>
      </c>
      <c r="HG99">
        <v>4.9878</v>
      </c>
      <c r="HH99">
        <v>3.2883</v>
      </c>
      <c r="HI99">
        <v>2713.4</v>
      </c>
      <c r="HJ99">
        <v>9999</v>
      </c>
      <c r="HK99">
        <v>9999</v>
      </c>
      <c r="HL99">
        <v>49.9</v>
      </c>
      <c r="HM99">
        <v>1.86721</v>
      </c>
      <c r="HN99">
        <v>1.86617</v>
      </c>
      <c r="HO99">
        <v>1.86579</v>
      </c>
      <c r="HP99">
        <v>1.86569</v>
      </c>
      <c r="HQ99">
        <v>1.86742</v>
      </c>
      <c r="HR99">
        <v>1.86999</v>
      </c>
      <c r="HS99">
        <v>1.86864</v>
      </c>
      <c r="HT99">
        <v>1.86999</v>
      </c>
      <c r="HU99">
        <v>0</v>
      </c>
      <c r="HV99">
        <v>0</v>
      </c>
      <c r="HW99">
        <v>0</v>
      </c>
      <c r="HX99">
        <v>0</v>
      </c>
      <c r="HY99" t="s">
        <v>421</v>
      </c>
      <c r="HZ99" t="s">
        <v>422</v>
      </c>
      <c r="IA99" t="s">
        <v>423</v>
      </c>
      <c r="IB99" t="s">
        <v>423</v>
      </c>
      <c r="IC99" t="s">
        <v>423</v>
      </c>
      <c r="ID99" t="s">
        <v>423</v>
      </c>
      <c r="IE99">
        <v>0</v>
      </c>
      <c r="IF99">
        <v>100</v>
      </c>
      <c r="IG99">
        <v>100</v>
      </c>
      <c r="IH99">
        <v>-0.792</v>
      </c>
      <c r="II99">
        <v>0.0462</v>
      </c>
      <c r="IJ99">
        <v>1.257309091789605</v>
      </c>
      <c r="IK99">
        <v>-0.002185601614162945</v>
      </c>
      <c r="IL99">
        <v>-2.252308143750626E-07</v>
      </c>
      <c r="IM99">
        <v>5.915558436307541E-11</v>
      </c>
      <c r="IN99">
        <v>-0.118683452207699</v>
      </c>
      <c r="IO99">
        <v>-0.007570214193104963</v>
      </c>
      <c r="IP99">
        <v>0.0009214429922928372</v>
      </c>
      <c r="IQ99">
        <v>-1.392260276065805E-05</v>
      </c>
      <c r="IR99">
        <v>17</v>
      </c>
      <c r="IS99">
        <v>2272</v>
      </c>
      <c r="IT99">
        <v>1</v>
      </c>
      <c r="IU99">
        <v>31</v>
      </c>
      <c r="IV99">
        <v>10.1</v>
      </c>
      <c r="IW99">
        <v>10.4</v>
      </c>
      <c r="IX99">
        <v>2.05933</v>
      </c>
      <c r="IY99">
        <v>2.20459</v>
      </c>
      <c r="IZ99">
        <v>1.39648</v>
      </c>
      <c r="JA99">
        <v>2.35352</v>
      </c>
      <c r="JB99">
        <v>1.49536</v>
      </c>
      <c r="JC99">
        <v>2.34497</v>
      </c>
      <c r="JD99">
        <v>36.2224</v>
      </c>
      <c r="JE99">
        <v>15.3579</v>
      </c>
      <c r="JF99">
        <v>18</v>
      </c>
      <c r="JG99">
        <v>388.421</v>
      </c>
      <c r="JH99">
        <v>566.379</v>
      </c>
      <c r="JI99">
        <v>29.873</v>
      </c>
      <c r="JJ99">
        <v>30.5415</v>
      </c>
      <c r="JK99">
        <v>30.0002</v>
      </c>
      <c r="JL99">
        <v>30.4362</v>
      </c>
      <c r="JM99">
        <v>30.3285</v>
      </c>
      <c r="JN99">
        <v>41.2144</v>
      </c>
      <c r="JO99">
        <v>41.9647</v>
      </c>
      <c r="JP99">
        <v>0</v>
      </c>
      <c r="JQ99">
        <v>29.8209</v>
      </c>
      <c r="JR99">
        <v>988.405</v>
      </c>
      <c r="JS99">
        <v>13.7685</v>
      </c>
      <c r="JT99">
        <v>99.9982</v>
      </c>
      <c r="JU99">
        <v>100.11</v>
      </c>
    </row>
    <row r="100" spans="1:281">
      <c r="A100">
        <v>84</v>
      </c>
      <c r="B100">
        <v>1652371901.6</v>
      </c>
      <c r="C100">
        <v>3808</v>
      </c>
      <c r="D100" t="s">
        <v>635</v>
      </c>
      <c r="E100" t="s">
        <v>636</v>
      </c>
      <c r="F100">
        <v>5</v>
      </c>
      <c r="G100" t="s">
        <v>518</v>
      </c>
      <c r="H100" t="s">
        <v>414</v>
      </c>
      <c r="I100">
        <v>1652371893.814285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987.0481600980307</v>
      </c>
      <c r="AK100">
        <v>913.6691575757577</v>
      </c>
      <c r="AL100">
        <v>3.446999928062164</v>
      </c>
      <c r="AM100">
        <v>65.95105977519088</v>
      </c>
      <c r="AN100">
        <f>(AP100 - AO100 + DI100*1E3/(8.314*(DK100+273.15)) * AR100/DH100 * AQ100) * DH100/(100*CV100) * 1000/(1000 - AP100)</f>
        <v>0</v>
      </c>
      <c r="AO100">
        <v>13.62378360253296</v>
      </c>
      <c r="AP100">
        <v>24.65803496503497</v>
      </c>
      <c r="AQ100">
        <v>-0.009418163829219851</v>
      </c>
      <c r="AR100">
        <v>81.26040297655408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417</v>
      </c>
      <c r="AY100" t="s">
        <v>417</v>
      </c>
      <c r="AZ100">
        <v>0</v>
      </c>
      <c r="BA100">
        <v>0</v>
      </c>
      <c r="BB100">
        <f>1-AZ100/BA100</f>
        <v>0</v>
      </c>
      <c r="BC100">
        <v>0</v>
      </c>
      <c r="BD100" t="s">
        <v>417</v>
      </c>
      <c r="BE100" t="s">
        <v>417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1393</v>
      </c>
      <c r="CA100">
        <v>300</v>
      </c>
      <c r="CB100">
        <v>300</v>
      </c>
      <c r="CC100">
        <v>300</v>
      </c>
      <c r="CD100">
        <v>10378</v>
      </c>
      <c r="CE100">
        <v>2050</v>
      </c>
      <c r="CF100">
        <v>-0.00730649</v>
      </c>
      <c r="CG100">
        <v>-4.53</v>
      </c>
      <c r="CH100" t="s">
        <v>417</v>
      </c>
      <c r="CI100" t="s">
        <v>417</v>
      </c>
      <c r="CJ100" t="s">
        <v>417</v>
      </c>
      <c r="CK100" t="s">
        <v>417</v>
      </c>
      <c r="CL100" t="s">
        <v>417</v>
      </c>
      <c r="CM100" t="s">
        <v>417</v>
      </c>
      <c r="CN100" t="s">
        <v>417</v>
      </c>
      <c r="CO100" t="s">
        <v>417</v>
      </c>
      <c r="CP100" t="s">
        <v>417</v>
      </c>
      <c r="CQ100" t="s">
        <v>417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418</v>
      </c>
      <c r="CY100">
        <v>2</v>
      </c>
      <c r="CZ100" t="b">
        <v>1</v>
      </c>
      <c r="DA100">
        <v>1652371893.814285</v>
      </c>
      <c r="DB100">
        <v>866.5677142857143</v>
      </c>
      <c r="DC100">
        <v>960.4593214285715</v>
      </c>
      <c r="DD100">
        <v>24.73489642857142</v>
      </c>
      <c r="DE100">
        <v>13.48670714285714</v>
      </c>
      <c r="DF100">
        <v>867.3368928571427</v>
      </c>
      <c r="DG100">
        <v>24.68833214285715</v>
      </c>
      <c r="DH100">
        <v>400.0899642857143</v>
      </c>
      <c r="DI100">
        <v>90.40737142857142</v>
      </c>
      <c r="DJ100">
        <v>0.1000039107142857</v>
      </c>
      <c r="DK100">
        <v>31.27262142857143</v>
      </c>
      <c r="DL100">
        <v>30.08710357142857</v>
      </c>
      <c r="DM100">
        <v>999.9000000000002</v>
      </c>
      <c r="DN100">
        <v>0</v>
      </c>
      <c r="DO100">
        <v>0</v>
      </c>
      <c r="DP100">
        <v>10006.67535714286</v>
      </c>
      <c r="DQ100">
        <v>0</v>
      </c>
      <c r="DR100">
        <v>446.9860357142857</v>
      </c>
      <c r="DS100">
        <v>-93.89152142857142</v>
      </c>
      <c r="DT100">
        <v>888.5451428571429</v>
      </c>
      <c r="DU100">
        <v>973.5925714285713</v>
      </c>
      <c r="DV100">
        <v>11.248175</v>
      </c>
      <c r="DW100">
        <v>960.4593214285715</v>
      </c>
      <c r="DX100">
        <v>13.48670714285714</v>
      </c>
      <c r="DY100">
        <v>2.236215714285714</v>
      </c>
      <c r="DZ100">
        <v>1.2192975</v>
      </c>
      <c r="EA100">
        <v>19.22412142857143</v>
      </c>
      <c r="EB100">
        <v>9.838180714285715</v>
      </c>
      <c r="EC100">
        <v>1499.98</v>
      </c>
      <c r="ED100">
        <v>0.9730023571428573</v>
      </c>
      <c r="EE100">
        <v>0.02699772142857143</v>
      </c>
      <c r="EF100">
        <v>0</v>
      </c>
      <c r="EG100">
        <v>1115.246428571429</v>
      </c>
      <c r="EH100">
        <v>5.00097</v>
      </c>
      <c r="EI100">
        <v>17700.925</v>
      </c>
      <c r="EJ100">
        <v>12491.41428571429</v>
      </c>
      <c r="EK100">
        <v>39.60025</v>
      </c>
      <c r="EL100">
        <v>41.14935714285714</v>
      </c>
      <c r="EM100">
        <v>39.81199999999999</v>
      </c>
      <c r="EN100">
        <v>40.93699999999999</v>
      </c>
      <c r="EO100">
        <v>40.81199999999999</v>
      </c>
      <c r="EP100">
        <v>1454.62</v>
      </c>
      <c r="EQ100">
        <v>40.35999999999999</v>
      </c>
      <c r="ER100">
        <v>0</v>
      </c>
      <c r="ES100">
        <v>735.3999998569489</v>
      </c>
      <c r="ET100">
        <v>0</v>
      </c>
      <c r="EU100">
        <v>1115.119615384615</v>
      </c>
      <c r="EV100">
        <v>-57.20034191936377</v>
      </c>
      <c r="EW100">
        <v>-896.2358982129032</v>
      </c>
      <c r="EX100">
        <v>17698.57307692308</v>
      </c>
      <c r="EY100">
        <v>15</v>
      </c>
      <c r="EZ100">
        <v>1652371289.6</v>
      </c>
      <c r="FA100" t="s">
        <v>515</v>
      </c>
      <c r="FB100">
        <v>1652371289.6</v>
      </c>
      <c r="FC100">
        <v>1652371275.1</v>
      </c>
      <c r="FD100">
        <v>24</v>
      </c>
      <c r="FE100">
        <v>0.442</v>
      </c>
      <c r="FF100">
        <v>0.001</v>
      </c>
      <c r="FG100">
        <v>-2.63</v>
      </c>
      <c r="FH100">
        <v>0.007</v>
      </c>
      <c r="FI100">
        <v>1620</v>
      </c>
      <c r="FJ100">
        <v>22</v>
      </c>
      <c r="FK100">
        <v>0.08</v>
      </c>
      <c r="FL100">
        <v>0.04</v>
      </c>
      <c r="FM100">
        <v>-93.94721999999999</v>
      </c>
      <c r="FN100">
        <v>1.352956097561202</v>
      </c>
      <c r="FO100">
        <v>0.1519997552629604</v>
      </c>
      <c r="FP100">
        <v>-1</v>
      </c>
      <c r="FQ100">
        <v>11.36852</v>
      </c>
      <c r="FR100">
        <v>-2.938946341463432</v>
      </c>
      <c r="FS100">
        <v>0.2829684277441565</v>
      </c>
      <c r="FT100">
        <v>0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1</v>
      </c>
      <c r="GA100" t="s">
        <v>432</v>
      </c>
      <c r="GB100">
        <v>2.69599</v>
      </c>
      <c r="GC100">
        <v>2.70523</v>
      </c>
      <c r="GD100">
        <v>0.159107</v>
      </c>
      <c r="GE100">
        <v>0.167865</v>
      </c>
      <c r="GF100">
        <v>0.108096</v>
      </c>
      <c r="GG100">
        <v>0.07017669999999999</v>
      </c>
      <c r="GH100">
        <v>26445.3</v>
      </c>
      <c r="GI100">
        <v>26283.6</v>
      </c>
      <c r="GJ100">
        <v>29255.5</v>
      </c>
      <c r="GK100">
        <v>29229.7</v>
      </c>
      <c r="GL100">
        <v>34546.2</v>
      </c>
      <c r="GM100">
        <v>36182.9</v>
      </c>
      <c r="GN100">
        <v>41176.1</v>
      </c>
      <c r="GO100">
        <v>41704.1</v>
      </c>
      <c r="GP100">
        <v>1.72663</v>
      </c>
      <c r="GQ100">
        <v>2.03233</v>
      </c>
      <c r="GR100">
        <v>0.07111580000000001</v>
      </c>
      <c r="GS100">
        <v>0</v>
      </c>
      <c r="GT100">
        <v>28.9104</v>
      </c>
      <c r="GU100">
        <v>999.9</v>
      </c>
      <c r="GV100">
        <v>44.7</v>
      </c>
      <c r="GW100">
        <v>32.8</v>
      </c>
      <c r="GX100">
        <v>24.6992</v>
      </c>
      <c r="GY100">
        <v>62.8979</v>
      </c>
      <c r="GZ100">
        <v>29.5833</v>
      </c>
      <c r="HA100">
        <v>1</v>
      </c>
      <c r="HB100">
        <v>0.239266</v>
      </c>
      <c r="HC100">
        <v>0.630234</v>
      </c>
      <c r="HD100">
        <v>20.3801</v>
      </c>
      <c r="HE100">
        <v>5.21549</v>
      </c>
      <c r="HF100">
        <v>12.0099</v>
      </c>
      <c r="HG100">
        <v>4.98825</v>
      </c>
      <c r="HH100">
        <v>3.2883</v>
      </c>
      <c r="HI100">
        <v>2713.7</v>
      </c>
      <c r="HJ100">
        <v>9999</v>
      </c>
      <c r="HK100">
        <v>9999</v>
      </c>
      <c r="HL100">
        <v>49.9</v>
      </c>
      <c r="HM100">
        <v>1.86722</v>
      </c>
      <c r="HN100">
        <v>1.86615</v>
      </c>
      <c r="HO100">
        <v>1.86579</v>
      </c>
      <c r="HP100">
        <v>1.86569</v>
      </c>
      <c r="HQ100">
        <v>1.86745</v>
      </c>
      <c r="HR100">
        <v>1.86998</v>
      </c>
      <c r="HS100">
        <v>1.86862</v>
      </c>
      <c r="HT100">
        <v>1.86998</v>
      </c>
      <c r="HU100">
        <v>0</v>
      </c>
      <c r="HV100">
        <v>0</v>
      </c>
      <c r="HW100">
        <v>0</v>
      </c>
      <c r="HX100">
        <v>0</v>
      </c>
      <c r="HY100" t="s">
        <v>421</v>
      </c>
      <c r="HZ100" t="s">
        <v>422</v>
      </c>
      <c r="IA100" t="s">
        <v>423</v>
      </c>
      <c r="IB100" t="s">
        <v>423</v>
      </c>
      <c r="IC100" t="s">
        <v>423</v>
      </c>
      <c r="ID100" t="s">
        <v>423</v>
      </c>
      <c r="IE100">
        <v>0</v>
      </c>
      <c r="IF100">
        <v>100</v>
      </c>
      <c r="IG100">
        <v>100</v>
      </c>
      <c r="IH100">
        <v>-0.833</v>
      </c>
      <c r="II100">
        <v>0.0455</v>
      </c>
      <c r="IJ100">
        <v>1.257309091789605</v>
      </c>
      <c r="IK100">
        <v>-0.002185601614162945</v>
      </c>
      <c r="IL100">
        <v>-2.252308143750626E-07</v>
      </c>
      <c r="IM100">
        <v>5.915558436307541E-11</v>
      </c>
      <c r="IN100">
        <v>-0.118683452207699</v>
      </c>
      <c r="IO100">
        <v>-0.007570214193104963</v>
      </c>
      <c r="IP100">
        <v>0.0009214429922928372</v>
      </c>
      <c r="IQ100">
        <v>-1.392260276065805E-05</v>
      </c>
      <c r="IR100">
        <v>17</v>
      </c>
      <c r="IS100">
        <v>2272</v>
      </c>
      <c r="IT100">
        <v>1</v>
      </c>
      <c r="IU100">
        <v>31</v>
      </c>
      <c r="IV100">
        <v>10.2</v>
      </c>
      <c r="IW100">
        <v>10.4</v>
      </c>
      <c r="IX100">
        <v>2.08374</v>
      </c>
      <c r="IY100">
        <v>2.20825</v>
      </c>
      <c r="IZ100">
        <v>1.39648</v>
      </c>
      <c r="JA100">
        <v>2.35352</v>
      </c>
      <c r="JB100">
        <v>1.49536</v>
      </c>
      <c r="JC100">
        <v>2.29614</v>
      </c>
      <c r="JD100">
        <v>36.2224</v>
      </c>
      <c r="JE100">
        <v>15.3491</v>
      </c>
      <c r="JF100">
        <v>18</v>
      </c>
      <c r="JG100">
        <v>388.381</v>
      </c>
      <c r="JH100">
        <v>566.455</v>
      </c>
      <c r="JI100">
        <v>29.7793</v>
      </c>
      <c r="JJ100">
        <v>30.5415</v>
      </c>
      <c r="JK100">
        <v>30</v>
      </c>
      <c r="JL100">
        <v>30.4362</v>
      </c>
      <c r="JM100">
        <v>30.3285</v>
      </c>
      <c r="JN100">
        <v>41.817</v>
      </c>
      <c r="JO100">
        <v>41.3698</v>
      </c>
      <c r="JP100">
        <v>0</v>
      </c>
      <c r="JQ100">
        <v>29.7379</v>
      </c>
      <c r="JR100">
        <v>1008.49</v>
      </c>
      <c r="JS100">
        <v>13.9764</v>
      </c>
      <c r="JT100">
        <v>99.998</v>
      </c>
      <c r="JU100">
        <v>100.108</v>
      </c>
    </row>
    <row r="101" spans="1:281">
      <c r="A101">
        <v>85</v>
      </c>
      <c r="B101">
        <v>1652371906.6</v>
      </c>
      <c r="C101">
        <v>3813</v>
      </c>
      <c r="D101" t="s">
        <v>637</v>
      </c>
      <c r="E101" t="s">
        <v>638</v>
      </c>
      <c r="F101">
        <v>5</v>
      </c>
      <c r="G101" t="s">
        <v>518</v>
      </c>
      <c r="H101" t="s">
        <v>414</v>
      </c>
      <c r="I101">
        <v>1652371899.1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1004.200562545598</v>
      </c>
      <c r="AK101">
        <v>930.9587878787873</v>
      </c>
      <c r="AL101">
        <v>3.450955014878289</v>
      </c>
      <c r="AM101">
        <v>65.95105977519088</v>
      </c>
      <c r="AN101">
        <f>(AP101 - AO101 + DI101*1E3/(8.314*(DK101+273.15)) * AR101/DH101 * AQ101) * DH101/(100*CV101) * 1000/(1000 - AP101)</f>
        <v>0</v>
      </c>
      <c r="AO101">
        <v>13.73693133463162</v>
      </c>
      <c r="AP101">
        <v>24.56218601398603</v>
      </c>
      <c r="AQ101">
        <v>-0.01586249687414792</v>
      </c>
      <c r="AR101">
        <v>81.26040297655408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417</v>
      </c>
      <c r="AY101" t="s">
        <v>417</v>
      </c>
      <c r="AZ101">
        <v>0</v>
      </c>
      <c r="BA101">
        <v>0</v>
      </c>
      <c r="BB101">
        <f>1-AZ101/BA101</f>
        <v>0</v>
      </c>
      <c r="BC101">
        <v>0</v>
      </c>
      <c r="BD101" t="s">
        <v>417</v>
      </c>
      <c r="BE101" t="s">
        <v>417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1393</v>
      </c>
      <c r="CA101">
        <v>300</v>
      </c>
      <c r="CB101">
        <v>300</v>
      </c>
      <c r="CC101">
        <v>300</v>
      </c>
      <c r="CD101">
        <v>10378</v>
      </c>
      <c r="CE101">
        <v>2050</v>
      </c>
      <c r="CF101">
        <v>-0.00730649</v>
      </c>
      <c r="CG101">
        <v>-4.53</v>
      </c>
      <c r="CH101" t="s">
        <v>417</v>
      </c>
      <c r="CI101" t="s">
        <v>417</v>
      </c>
      <c r="CJ101" t="s">
        <v>417</v>
      </c>
      <c r="CK101" t="s">
        <v>417</v>
      </c>
      <c r="CL101" t="s">
        <v>417</v>
      </c>
      <c r="CM101" t="s">
        <v>417</v>
      </c>
      <c r="CN101" t="s">
        <v>417</v>
      </c>
      <c r="CO101" t="s">
        <v>417</v>
      </c>
      <c r="CP101" t="s">
        <v>417</v>
      </c>
      <c r="CQ101" t="s">
        <v>417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418</v>
      </c>
      <c r="CY101">
        <v>2</v>
      </c>
      <c r="CZ101" t="b">
        <v>1</v>
      </c>
      <c r="DA101">
        <v>1652371899.1</v>
      </c>
      <c r="DB101">
        <v>884.3865925925927</v>
      </c>
      <c r="DC101">
        <v>978.1660000000002</v>
      </c>
      <c r="DD101">
        <v>24.67305185185185</v>
      </c>
      <c r="DE101">
        <v>13.67003703703704</v>
      </c>
      <c r="DF101">
        <v>885.1994444444443</v>
      </c>
      <c r="DG101">
        <v>24.62724074074074</v>
      </c>
      <c r="DH101">
        <v>400.0796296296297</v>
      </c>
      <c r="DI101">
        <v>90.40681481481481</v>
      </c>
      <c r="DJ101">
        <v>0.09997211111111112</v>
      </c>
      <c r="DK101">
        <v>31.25251481481481</v>
      </c>
      <c r="DL101">
        <v>30.08128888888889</v>
      </c>
      <c r="DM101">
        <v>999.9000000000001</v>
      </c>
      <c r="DN101">
        <v>0</v>
      </c>
      <c r="DO101">
        <v>0</v>
      </c>
      <c r="DP101">
        <v>10009.37407407407</v>
      </c>
      <c r="DQ101">
        <v>0</v>
      </c>
      <c r="DR101">
        <v>448.3825185185185</v>
      </c>
      <c r="DS101">
        <v>-93.77924444444444</v>
      </c>
      <c r="DT101">
        <v>906.7582962962962</v>
      </c>
      <c r="DU101">
        <v>991.7243333333333</v>
      </c>
      <c r="DV101">
        <v>11.0030037037037</v>
      </c>
      <c r="DW101">
        <v>978.1660000000002</v>
      </c>
      <c r="DX101">
        <v>13.67003703703704</v>
      </c>
      <c r="DY101">
        <v>2.23061037037037</v>
      </c>
      <c r="DZ101">
        <v>1.235864444444445</v>
      </c>
      <c r="EA101">
        <v>19.18383703703703</v>
      </c>
      <c r="EB101">
        <v>10.04010111111111</v>
      </c>
      <c r="EC101">
        <v>1499.961111111111</v>
      </c>
      <c r="ED101">
        <v>0.9730023703703705</v>
      </c>
      <c r="EE101">
        <v>0.02699770740740741</v>
      </c>
      <c r="EF101">
        <v>0</v>
      </c>
      <c r="EG101">
        <v>1110.021851851852</v>
      </c>
      <c r="EH101">
        <v>5.00097</v>
      </c>
      <c r="EI101">
        <v>17618.02592592593</v>
      </c>
      <c r="EJ101">
        <v>12491.26296296296</v>
      </c>
      <c r="EK101">
        <v>39.58299999999999</v>
      </c>
      <c r="EL101">
        <v>41.13877777777778</v>
      </c>
      <c r="EM101">
        <v>39.81199999999999</v>
      </c>
      <c r="EN101">
        <v>40.93699999999999</v>
      </c>
      <c r="EO101">
        <v>40.81199999999999</v>
      </c>
      <c r="EP101">
        <v>1454.601111111111</v>
      </c>
      <c r="EQ101">
        <v>40.35999999999999</v>
      </c>
      <c r="ER101">
        <v>0</v>
      </c>
      <c r="ES101">
        <v>740.7999999523163</v>
      </c>
      <c r="ET101">
        <v>0</v>
      </c>
      <c r="EU101">
        <v>1109.4852</v>
      </c>
      <c r="EV101">
        <v>-61.09384614595883</v>
      </c>
      <c r="EW101">
        <v>-976.623077248907</v>
      </c>
      <c r="EX101">
        <v>17608.984</v>
      </c>
      <c r="EY101">
        <v>15</v>
      </c>
      <c r="EZ101">
        <v>1652371289.6</v>
      </c>
      <c r="FA101" t="s">
        <v>515</v>
      </c>
      <c r="FB101">
        <v>1652371289.6</v>
      </c>
      <c r="FC101">
        <v>1652371275.1</v>
      </c>
      <c r="FD101">
        <v>24</v>
      </c>
      <c r="FE101">
        <v>0.442</v>
      </c>
      <c r="FF101">
        <v>0.001</v>
      </c>
      <c r="FG101">
        <v>-2.63</v>
      </c>
      <c r="FH101">
        <v>0.007</v>
      </c>
      <c r="FI101">
        <v>1620</v>
      </c>
      <c r="FJ101">
        <v>22</v>
      </c>
      <c r="FK101">
        <v>0.08</v>
      </c>
      <c r="FL101">
        <v>0.04</v>
      </c>
      <c r="FM101">
        <v>-93.85164634146342</v>
      </c>
      <c r="FN101">
        <v>1.193257839721234</v>
      </c>
      <c r="FO101">
        <v>0.1372471086328554</v>
      </c>
      <c r="FP101">
        <v>-1</v>
      </c>
      <c r="FQ101">
        <v>11.17126829268293</v>
      </c>
      <c r="FR101">
        <v>-2.790361672473874</v>
      </c>
      <c r="FS101">
        <v>0.2758320454322322</v>
      </c>
      <c r="FT101">
        <v>0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1</v>
      </c>
      <c r="GA101" t="s">
        <v>432</v>
      </c>
      <c r="GB101">
        <v>2.69614</v>
      </c>
      <c r="GC101">
        <v>2.70512</v>
      </c>
      <c r="GD101">
        <v>0.16108</v>
      </c>
      <c r="GE101">
        <v>0.169701</v>
      </c>
      <c r="GF101">
        <v>0.107803</v>
      </c>
      <c r="GG101">
        <v>0.0708708</v>
      </c>
      <c r="GH101">
        <v>26383.5</v>
      </c>
      <c r="GI101">
        <v>26225.6</v>
      </c>
      <c r="GJ101">
        <v>29255.9</v>
      </c>
      <c r="GK101">
        <v>29229.7</v>
      </c>
      <c r="GL101">
        <v>34558.4</v>
      </c>
      <c r="GM101">
        <v>36155.8</v>
      </c>
      <c r="GN101">
        <v>41176.9</v>
      </c>
      <c r="GO101">
        <v>41704.1</v>
      </c>
      <c r="GP101">
        <v>1.72625</v>
      </c>
      <c r="GQ101">
        <v>2.03277</v>
      </c>
      <c r="GR101">
        <v>0.07249410000000001</v>
      </c>
      <c r="GS101">
        <v>0</v>
      </c>
      <c r="GT101">
        <v>28.9005</v>
      </c>
      <c r="GU101">
        <v>999.9</v>
      </c>
      <c r="GV101">
        <v>44.8</v>
      </c>
      <c r="GW101">
        <v>32.7</v>
      </c>
      <c r="GX101">
        <v>24.6152</v>
      </c>
      <c r="GY101">
        <v>63.2079</v>
      </c>
      <c r="GZ101">
        <v>29.3269</v>
      </c>
      <c r="HA101">
        <v>1</v>
      </c>
      <c r="HB101">
        <v>0.239131</v>
      </c>
      <c r="HC101">
        <v>0.622086</v>
      </c>
      <c r="HD101">
        <v>20.3801</v>
      </c>
      <c r="HE101">
        <v>5.21564</v>
      </c>
      <c r="HF101">
        <v>12.0099</v>
      </c>
      <c r="HG101">
        <v>4.9878</v>
      </c>
      <c r="HH101">
        <v>3.28838</v>
      </c>
      <c r="HI101">
        <v>2713.7</v>
      </c>
      <c r="HJ101">
        <v>9999</v>
      </c>
      <c r="HK101">
        <v>9999</v>
      </c>
      <c r="HL101">
        <v>49.9</v>
      </c>
      <c r="HM101">
        <v>1.86721</v>
      </c>
      <c r="HN101">
        <v>1.86616</v>
      </c>
      <c r="HO101">
        <v>1.86579</v>
      </c>
      <c r="HP101">
        <v>1.86568</v>
      </c>
      <c r="HQ101">
        <v>1.86743</v>
      </c>
      <c r="HR101">
        <v>1.86997</v>
      </c>
      <c r="HS101">
        <v>1.86861</v>
      </c>
      <c r="HT101">
        <v>1.86998</v>
      </c>
      <c r="HU101">
        <v>0</v>
      </c>
      <c r="HV101">
        <v>0</v>
      </c>
      <c r="HW101">
        <v>0</v>
      </c>
      <c r="HX101">
        <v>0</v>
      </c>
      <c r="HY101" t="s">
        <v>421</v>
      </c>
      <c r="HZ101" t="s">
        <v>422</v>
      </c>
      <c r="IA101" t="s">
        <v>423</v>
      </c>
      <c r="IB101" t="s">
        <v>423</v>
      </c>
      <c r="IC101" t="s">
        <v>423</v>
      </c>
      <c r="ID101" t="s">
        <v>423</v>
      </c>
      <c r="IE101">
        <v>0</v>
      </c>
      <c r="IF101">
        <v>100</v>
      </c>
      <c r="IG101">
        <v>100</v>
      </c>
      <c r="IH101">
        <v>-0.875</v>
      </c>
      <c r="II101">
        <v>0.0443</v>
      </c>
      <c r="IJ101">
        <v>1.257309091789605</v>
      </c>
      <c r="IK101">
        <v>-0.002185601614162945</v>
      </c>
      <c r="IL101">
        <v>-2.252308143750626E-07</v>
      </c>
      <c r="IM101">
        <v>5.915558436307541E-11</v>
      </c>
      <c r="IN101">
        <v>-0.118683452207699</v>
      </c>
      <c r="IO101">
        <v>-0.007570214193104963</v>
      </c>
      <c r="IP101">
        <v>0.0009214429922928372</v>
      </c>
      <c r="IQ101">
        <v>-1.392260276065805E-05</v>
      </c>
      <c r="IR101">
        <v>17</v>
      </c>
      <c r="IS101">
        <v>2272</v>
      </c>
      <c r="IT101">
        <v>1</v>
      </c>
      <c r="IU101">
        <v>31</v>
      </c>
      <c r="IV101">
        <v>10.3</v>
      </c>
      <c r="IW101">
        <v>10.5</v>
      </c>
      <c r="IX101">
        <v>2.11548</v>
      </c>
      <c r="IY101">
        <v>2.20947</v>
      </c>
      <c r="IZ101">
        <v>1.39648</v>
      </c>
      <c r="JA101">
        <v>2.35352</v>
      </c>
      <c r="JB101">
        <v>1.49536</v>
      </c>
      <c r="JC101">
        <v>2.28638</v>
      </c>
      <c r="JD101">
        <v>36.2459</v>
      </c>
      <c r="JE101">
        <v>15.3491</v>
      </c>
      <c r="JF101">
        <v>18</v>
      </c>
      <c r="JG101">
        <v>388.181</v>
      </c>
      <c r="JH101">
        <v>566.794</v>
      </c>
      <c r="JI101">
        <v>29.6964</v>
      </c>
      <c r="JJ101">
        <v>30.5389</v>
      </c>
      <c r="JK101">
        <v>30</v>
      </c>
      <c r="JL101">
        <v>30.4362</v>
      </c>
      <c r="JM101">
        <v>30.3285</v>
      </c>
      <c r="JN101">
        <v>42.3574</v>
      </c>
      <c r="JO101">
        <v>40.7335</v>
      </c>
      <c r="JP101">
        <v>0</v>
      </c>
      <c r="JQ101">
        <v>29.6645</v>
      </c>
      <c r="JR101">
        <v>1021.89</v>
      </c>
      <c r="JS101">
        <v>14.2334</v>
      </c>
      <c r="JT101">
        <v>99.9997</v>
      </c>
      <c r="JU101">
        <v>100.108</v>
      </c>
    </row>
    <row r="102" spans="1:281">
      <c r="A102">
        <v>86</v>
      </c>
      <c r="B102">
        <v>1652371911.6</v>
      </c>
      <c r="C102">
        <v>3818</v>
      </c>
      <c r="D102" t="s">
        <v>639</v>
      </c>
      <c r="E102" t="s">
        <v>640</v>
      </c>
      <c r="F102">
        <v>5</v>
      </c>
      <c r="G102" t="s">
        <v>518</v>
      </c>
      <c r="H102" t="s">
        <v>414</v>
      </c>
      <c r="I102">
        <v>1652371903.814285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1021.410542208047</v>
      </c>
      <c r="AK102">
        <v>948.4085393939395</v>
      </c>
      <c r="AL102">
        <v>3.501201095338547</v>
      </c>
      <c r="AM102">
        <v>65.95105977519088</v>
      </c>
      <c r="AN102">
        <f>(AP102 - AO102 + DI102*1E3/(8.314*(DK102+273.15)) * AR102/DH102 * AQ102) * DH102/(100*CV102) * 1000/(1000 - AP102)</f>
        <v>0</v>
      </c>
      <c r="AO102">
        <v>13.925896577082</v>
      </c>
      <c r="AP102">
        <v>24.47899860139862</v>
      </c>
      <c r="AQ102">
        <v>-0.01504460328847134</v>
      </c>
      <c r="AR102">
        <v>81.26040297655408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417</v>
      </c>
      <c r="AY102" t="s">
        <v>417</v>
      </c>
      <c r="AZ102">
        <v>0</v>
      </c>
      <c r="BA102">
        <v>0</v>
      </c>
      <c r="BB102">
        <f>1-AZ102/BA102</f>
        <v>0</v>
      </c>
      <c r="BC102">
        <v>0</v>
      </c>
      <c r="BD102" t="s">
        <v>417</v>
      </c>
      <c r="BE102" t="s">
        <v>417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1393</v>
      </c>
      <c r="CA102">
        <v>300</v>
      </c>
      <c r="CB102">
        <v>300</v>
      </c>
      <c r="CC102">
        <v>300</v>
      </c>
      <c r="CD102">
        <v>10378</v>
      </c>
      <c r="CE102">
        <v>2050</v>
      </c>
      <c r="CF102">
        <v>-0.00730649</v>
      </c>
      <c r="CG102">
        <v>-4.53</v>
      </c>
      <c r="CH102" t="s">
        <v>417</v>
      </c>
      <c r="CI102" t="s">
        <v>417</v>
      </c>
      <c r="CJ102" t="s">
        <v>417</v>
      </c>
      <c r="CK102" t="s">
        <v>417</v>
      </c>
      <c r="CL102" t="s">
        <v>417</v>
      </c>
      <c r="CM102" t="s">
        <v>417</v>
      </c>
      <c r="CN102" t="s">
        <v>417</v>
      </c>
      <c r="CO102" t="s">
        <v>417</v>
      </c>
      <c r="CP102" t="s">
        <v>417</v>
      </c>
      <c r="CQ102" t="s">
        <v>417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418</v>
      </c>
      <c r="CY102">
        <v>2</v>
      </c>
      <c r="CZ102" t="b">
        <v>1</v>
      </c>
      <c r="DA102">
        <v>1652371903.814285</v>
      </c>
      <c r="DB102">
        <v>900.3683928571427</v>
      </c>
      <c r="DC102">
        <v>993.9860714285713</v>
      </c>
      <c r="DD102">
        <v>24.60362857142857</v>
      </c>
      <c r="DE102">
        <v>13.83632142857143</v>
      </c>
      <c r="DF102">
        <v>901.2204285714286</v>
      </c>
      <c r="DG102">
        <v>24.55867857142857</v>
      </c>
      <c r="DH102">
        <v>400.0757857142857</v>
      </c>
      <c r="DI102">
        <v>90.40559285714285</v>
      </c>
      <c r="DJ102">
        <v>0.1000017321428571</v>
      </c>
      <c r="DK102">
        <v>31.23570357142858</v>
      </c>
      <c r="DL102">
        <v>30.07863928571429</v>
      </c>
      <c r="DM102">
        <v>999.9000000000002</v>
      </c>
      <c r="DN102">
        <v>0</v>
      </c>
      <c r="DO102">
        <v>0</v>
      </c>
      <c r="DP102">
        <v>10001.02392857143</v>
      </c>
      <c r="DQ102">
        <v>0</v>
      </c>
      <c r="DR102">
        <v>449.54725</v>
      </c>
      <c r="DS102">
        <v>-93.61709285714286</v>
      </c>
      <c r="DT102">
        <v>923.0783571428572</v>
      </c>
      <c r="DU102">
        <v>1007.933642857143</v>
      </c>
      <c r="DV102">
        <v>10.76729642857143</v>
      </c>
      <c r="DW102">
        <v>993.9860714285713</v>
      </c>
      <c r="DX102">
        <v>13.83632142857143</v>
      </c>
      <c r="DY102">
        <v>2.224304285714286</v>
      </c>
      <c r="DZ102">
        <v>1.250880714285714</v>
      </c>
      <c r="EA102">
        <v>19.13837857142857</v>
      </c>
      <c r="EB102">
        <v>10.22046607142857</v>
      </c>
      <c r="EC102">
        <v>1499.9675</v>
      </c>
      <c r="ED102">
        <v>0.973002892857143</v>
      </c>
      <c r="EE102">
        <v>0.02699715357142857</v>
      </c>
      <c r="EF102">
        <v>0</v>
      </c>
      <c r="EG102">
        <v>1105.174285714286</v>
      </c>
      <c r="EH102">
        <v>5.00097</v>
      </c>
      <c r="EI102">
        <v>17537.16071428572</v>
      </c>
      <c r="EJ102">
        <v>12491.33214285715</v>
      </c>
      <c r="EK102">
        <v>39.57099999999999</v>
      </c>
      <c r="EL102">
        <v>41.12942857142857</v>
      </c>
      <c r="EM102">
        <v>39.81199999999999</v>
      </c>
      <c r="EN102">
        <v>40.93699999999999</v>
      </c>
      <c r="EO102">
        <v>40.81199999999999</v>
      </c>
      <c r="EP102">
        <v>1454.6075</v>
      </c>
      <c r="EQ102">
        <v>40.35999999999999</v>
      </c>
      <c r="ER102">
        <v>0</v>
      </c>
      <c r="ES102">
        <v>745.5999999046326</v>
      </c>
      <c r="ET102">
        <v>0</v>
      </c>
      <c r="EU102">
        <v>1104.4848</v>
      </c>
      <c r="EV102">
        <v>-64.329999898371</v>
      </c>
      <c r="EW102">
        <v>-1103.515382941912</v>
      </c>
      <c r="EX102">
        <v>17525.976</v>
      </c>
      <c r="EY102">
        <v>15</v>
      </c>
      <c r="EZ102">
        <v>1652371289.6</v>
      </c>
      <c r="FA102" t="s">
        <v>515</v>
      </c>
      <c r="FB102">
        <v>1652371289.6</v>
      </c>
      <c r="FC102">
        <v>1652371275.1</v>
      </c>
      <c r="FD102">
        <v>24</v>
      </c>
      <c r="FE102">
        <v>0.442</v>
      </c>
      <c r="FF102">
        <v>0.001</v>
      </c>
      <c r="FG102">
        <v>-2.63</v>
      </c>
      <c r="FH102">
        <v>0.007</v>
      </c>
      <c r="FI102">
        <v>1620</v>
      </c>
      <c r="FJ102">
        <v>22</v>
      </c>
      <c r="FK102">
        <v>0.08</v>
      </c>
      <c r="FL102">
        <v>0.04</v>
      </c>
      <c r="FM102">
        <v>-93.6950075</v>
      </c>
      <c r="FN102">
        <v>2.054311069418538</v>
      </c>
      <c r="FO102">
        <v>0.2081890923985931</v>
      </c>
      <c r="FP102">
        <v>-1</v>
      </c>
      <c r="FQ102">
        <v>10.8854375</v>
      </c>
      <c r="FR102">
        <v>-2.927764727954997</v>
      </c>
      <c r="FS102">
        <v>0.2832060236713726</v>
      </c>
      <c r="FT102">
        <v>0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1</v>
      </c>
      <c r="GA102" t="s">
        <v>432</v>
      </c>
      <c r="GB102">
        <v>2.69575</v>
      </c>
      <c r="GC102">
        <v>2.70507</v>
      </c>
      <c r="GD102">
        <v>0.163052</v>
      </c>
      <c r="GE102">
        <v>0.171528</v>
      </c>
      <c r="GF102">
        <v>0.107545</v>
      </c>
      <c r="GG102">
        <v>0.07176730000000001</v>
      </c>
      <c r="GH102">
        <v>26321.7</v>
      </c>
      <c r="GI102">
        <v>26167.6</v>
      </c>
      <c r="GJ102">
        <v>29256.3</v>
      </c>
      <c r="GK102">
        <v>29229.6</v>
      </c>
      <c r="GL102">
        <v>34568.7</v>
      </c>
      <c r="GM102">
        <v>36120.8</v>
      </c>
      <c r="GN102">
        <v>41177.1</v>
      </c>
      <c r="GO102">
        <v>41704.2</v>
      </c>
      <c r="GP102">
        <v>1.72602</v>
      </c>
      <c r="GQ102">
        <v>2.03328</v>
      </c>
      <c r="GR102">
        <v>0.07312</v>
      </c>
      <c r="GS102">
        <v>0</v>
      </c>
      <c r="GT102">
        <v>28.8911</v>
      </c>
      <c r="GU102">
        <v>999.9</v>
      </c>
      <c r="GV102">
        <v>44.8</v>
      </c>
      <c r="GW102">
        <v>32.8</v>
      </c>
      <c r="GX102">
        <v>24.7543</v>
      </c>
      <c r="GY102">
        <v>63.4579</v>
      </c>
      <c r="GZ102">
        <v>29.7236</v>
      </c>
      <c r="HA102">
        <v>1</v>
      </c>
      <c r="HB102">
        <v>0.23907</v>
      </c>
      <c r="HC102">
        <v>0.648192</v>
      </c>
      <c r="HD102">
        <v>20.3801</v>
      </c>
      <c r="HE102">
        <v>5.21609</v>
      </c>
      <c r="HF102">
        <v>12.0099</v>
      </c>
      <c r="HG102">
        <v>4.98765</v>
      </c>
      <c r="HH102">
        <v>3.28838</v>
      </c>
      <c r="HI102">
        <v>2713.9</v>
      </c>
      <c r="HJ102">
        <v>9999</v>
      </c>
      <c r="HK102">
        <v>9999</v>
      </c>
      <c r="HL102">
        <v>49.9</v>
      </c>
      <c r="HM102">
        <v>1.86722</v>
      </c>
      <c r="HN102">
        <v>1.86615</v>
      </c>
      <c r="HO102">
        <v>1.86576</v>
      </c>
      <c r="HP102">
        <v>1.86567</v>
      </c>
      <c r="HQ102">
        <v>1.8674</v>
      </c>
      <c r="HR102">
        <v>1.86998</v>
      </c>
      <c r="HS102">
        <v>1.86865</v>
      </c>
      <c r="HT102">
        <v>1.86999</v>
      </c>
      <c r="HU102">
        <v>0</v>
      </c>
      <c r="HV102">
        <v>0</v>
      </c>
      <c r="HW102">
        <v>0</v>
      </c>
      <c r="HX102">
        <v>0</v>
      </c>
      <c r="HY102" t="s">
        <v>421</v>
      </c>
      <c r="HZ102" t="s">
        <v>422</v>
      </c>
      <c r="IA102" t="s">
        <v>423</v>
      </c>
      <c r="IB102" t="s">
        <v>423</v>
      </c>
      <c r="IC102" t="s">
        <v>423</v>
      </c>
      <c r="ID102" t="s">
        <v>423</v>
      </c>
      <c r="IE102">
        <v>0</v>
      </c>
      <c r="IF102">
        <v>100</v>
      </c>
      <c r="IG102">
        <v>100</v>
      </c>
      <c r="IH102">
        <v>-0.918</v>
      </c>
      <c r="II102">
        <v>0.0433</v>
      </c>
      <c r="IJ102">
        <v>1.257309091789605</v>
      </c>
      <c r="IK102">
        <v>-0.002185601614162945</v>
      </c>
      <c r="IL102">
        <v>-2.252308143750626E-07</v>
      </c>
      <c r="IM102">
        <v>5.915558436307541E-11</v>
      </c>
      <c r="IN102">
        <v>-0.118683452207699</v>
      </c>
      <c r="IO102">
        <v>-0.007570214193104963</v>
      </c>
      <c r="IP102">
        <v>0.0009214429922928372</v>
      </c>
      <c r="IQ102">
        <v>-1.392260276065805E-05</v>
      </c>
      <c r="IR102">
        <v>17</v>
      </c>
      <c r="IS102">
        <v>2272</v>
      </c>
      <c r="IT102">
        <v>1</v>
      </c>
      <c r="IU102">
        <v>31</v>
      </c>
      <c r="IV102">
        <v>10.4</v>
      </c>
      <c r="IW102">
        <v>10.6</v>
      </c>
      <c r="IX102">
        <v>2.13989</v>
      </c>
      <c r="IY102">
        <v>2.21436</v>
      </c>
      <c r="IZ102">
        <v>1.39648</v>
      </c>
      <c r="JA102">
        <v>2.35352</v>
      </c>
      <c r="JB102">
        <v>1.49536</v>
      </c>
      <c r="JC102">
        <v>2.26074</v>
      </c>
      <c r="JD102">
        <v>36.2459</v>
      </c>
      <c r="JE102">
        <v>15.3404</v>
      </c>
      <c r="JF102">
        <v>18</v>
      </c>
      <c r="JG102">
        <v>388.061</v>
      </c>
      <c r="JH102">
        <v>567.172</v>
      </c>
      <c r="JI102">
        <v>29.6279</v>
      </c>
      <c r="JJ102">
        <v>30.5389</v>
      </c>
      <c r="JK102">
        <v>29.9999</v>
      </c>
      <c r="JL102">
        <v>30.4362</v>
      </c>
      <c r="JM102">
        <v>30.3285</v>
      </c>
      <c r="JN102">
        <v>42.9453</v>
      </c>
      <c r="JO102">
        <v>39.8214</v>
      </c>
      <c r="JP102">
        <v>0</v>
      </c>
      <c r="JQ102">
        <v>29.5849</v>
      </c>
      <c r="JR102">
        <v>1041.95</v>
      </c>
      <c r="JS102">
        <v>14.5005</v>
      </c>
      <c r="JT102">
        <v>100.001</v>
      </c>
      <c r="JU102">
        <v>100.108</v>
      </c>
    </row>
    <row r="103" spans="1:281">
      <c r="A103">
        <v>87</v>
      </c>
      <c r="B103">
        <v>1652371916.6</v>
      </c>
      <c r="C103">
        <v>3823</v>
      </c>
      <c r="D103" t="s">
        <v>641</v>
      </c>
      <c r="E103" t="s">
        <v>642</v>
      </c>
      <c r="F103">
        <v>5</v>
      </c>
      <c r="G103" t="s">
        <v>518</v>
      </c>
      <c r="H103" t="s">
        <v>414</v>
      </c>
      <c r="I103">
        <v>1652371909.1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1038.660746819476</v>
      </c>
      <c r="AK103">
        <v>965.7261212121208</v>
      </c>
      <c r="AL103">
        <v>3.456561322285891</v>
      </c>
      <c r="AM103">
        <v>65.95105977519088</v>
      </c>
      <c r="AN103">
        <f>(AP103 - AO103 + DI103*1E3/(8.314*(DK103+273.15)) * AR103/DH103 * AQ103) * DH103/(100*CV103) * 1000/(1000 - AP103)</f>
        <v>0</v>
      </c>
      <c r="AO103">
        <v>14.16954419934994</v>
      </c>
      <c r="AP103">
        <v>24.42716783216784</v>
      </c>
      <c r="AQ103">
        <v>-0.01386019060472835</v>
      </c>
      <c r="AR103">
        <v>81.26040297655408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417</v>
      </c>
      <c r="AY103" t="s">
        <v>417</v>
      </c>
      <c r="AZ103">
        <v>0</v>
      </c>
      <c r="BA103">
        <v>0</v>
      </c>
      <c r="BB103">
        <f>1-AZ103/BA103</f>
        <v>0</v>
      </c>
      <c r="BC103">
        <v>0</v>
      </c>
      <c r="BD103" t="s">
        <v>417</v>
      </c>
      <c r="BE103" t="s">
        <v>417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1393</v>
      </c>
      <c r="CA103">
        <v>300</v>
      </c>
      <c r="CB103">
        <v>300</v>
      </c>
      <c r="CC103">
        <v>300</v>
      </c>
      <c r="CD103">
        <v>10378</v>
      </c>
      <c r="CE103">
        <v>2050</v>
      </c>
      <c r="CF103">
        <v>-0.00730649</v>
      </c>
      <c r="CG103">
        <v>-4.53</v>
      </c>
      <c r="CH103" t="s">
        <v>417</v>
      </c>
      <c r="CI103" t="s">
        <v>417</v>
      </c>
      <c r="CJ103" t="s">
        <v>417</v>
      </c>
      <c r="CK103" t="s">
        <v>417</v>
      </c>
      <c r="CL103" t="s">
        <v>417</v>
      </c>
      <c r="CM103" t="s">
        <v>417</v>
      </c>
      <c r="CN103" t="s">
        <v>417</v>
      </c>
      <c r="CO103" t="s">
        <v>417</v>
      </c>
      <c r="CP103" t="s">
        <v>417</v>
      </c>
      <c r="CQ103" t="s">
        <v>417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418</v>
      </c>
      <c r="CY103">
        <v>2</v>
      </c>
      <c r="CZ103" t="b">
        <v>1</v>
      </c>
      <c r="DA103">
        <v>1652371909.1</v>
      </c>
      <c r="DB103">
        <v>918.3311111111111</v>
      </c>
      <c r="DC103">
        <v>1011.722592592592</v>
      </c>
      <c r="DD103">
        <v>24.52044444444444</v>
      </c>
      <c r="DE103">
        <v>14.04591481481481</v>
      </c>
      <c r="DF103">
        <v>919.2272592592591</v>
      </c>
      <c r="DG103">
        <v>24.47652592592593</v>
      </c>
      <c r="DH103">
        <v>400.0717777777778</v>
      </c>
      <c r="DI103">
        <v>90.40554074074072</v>
      </c>
      <c r="DJ103">
        <v>0.09999266296296296</v>
      </c>
      <c r="DK103">
        <v>31.21752962962963</v>
      </c>
      <c r="DL103">
        <v>30.07963333333333</v>
      </c>
      <c r="DM103">
        <v>999.9000000000001</v>
      </c>
      <c r="DN103">
        <v>0</v>
      </c>
      <c r="DO103">
        <v>0</v>
      </c>
      <c r="DP103">
        <v>9999.6</v>
      </c>
      <c r="DQ103">
        <v>0</v>
      </c>
      <c r="DR103">
        <v>450.2521481481481</v>
      </c>
      <c r="DS103">
        <v>-93.3914259259259</v>
      </c>
      <c r="DT103">
        <v>941.4138888888891</v>
      </c>
      <c r="DU103">
        <v>1026.138518518518</v>
      </c>
      <c r="DV103">
        <v>10.47451851851852</v>
      </c>
      <c r="DW103">
        <v>1011.722592592592</v>
      </c>
      <c r="DX103">
        <v>14.04591481481481</v>
      </c>
      <c r="DY103">
        <v>2.216783333333333</v>
      </c>
      <c r="DZ103">
        <v>1.269828888888889</v>
      </c>
      <c r="EA103">
        <v>19.08406296296296</v>
      </c>
      <c r="EB103">
        <v>10.4450037037037</v>
      </c>
      <c r="EC103">
        <v>1499.972962962963</v>
      </c>
      <c r="ED103">
        <v>0.9730032962962964</v>
      </c>
      <c r="EE103">
        <v>0.02699672592592593</v>
      </c>
      <c r="EF103">
        <v>0</v>
      </c>
      <c r="EG103">
        <v>1099.404444444444</v>
      </c>
      <c r="EH103">
        <v>5.00097</v>
      </c>
      <c r="EI103">
        <v>17446.32222222222</v>
      </c>
      <c r="EJ103">
        <v>12491.3925925926</v>
      </c>
      <c r="EK103">
        <v>39.57133333333333</v>
      </c>
      <c r="EL103">
        <v>41.125</v>
      </c>
      <c r="EM103">
        <v>39.81199999999999</v>
      </c>
      <c r="EN103">
        <v>40.9324074074074</v>
      </c>
      <c r="EO103">
        <v>40.81199999999999</v>
      </c>
      <c r="EP103">
        <v>1454.612592592592</v>
      </c>
      <c r="EQ103">
        <v>40.36037037037037</v>
      </c>
      <c r="ER103">
        <v>0</v>
      </c>
      <c r="ES103">
        <v>750.3999998569489</v>
      </c>
      <c r="ET103">
        <v>0</v>
      </c>
      <c r="EU103">
        <v>1099.2392</v>
      </c>
      <c r="EV103">
        <v>-66.25384624821851</v>
      </c>
      <c r="EW103">
        <v>-1024.692309263108</v>
      </c>
      <c r="EX103">
        <v>17443.472</v>
      </c>
      <c r="EY103">
        <v>15</v>
      </c>
      <c r="EZ103">
        <v>1652371289.6</v>
      </c>
      <c r="FA103" t="s">
        <v>515</v>
      </c>
      <c r="FB103">
        <v>1652371289.6</v>
      </c>
      <c r="FC103">
        <v>1652371275.1</v>
      </c>
      <c r="FD103">
        <v>24</v>
      </c>
      <c r="FE103">
        <v>0.442</v>
      </c>
      <c r="FF103">
        <v>0.001</v>
      </c>
      <c r="FG103">
        <v>-2.63</v>
      </c>
      <c r="FH103">
        <v>0.007</v>
      </c>
      <c r="FI103">
        <v>1620</v>
      </c>
      <c r="FJ103">
        <v>22</v>
      </c>
      <c r="FK103">
        <v>0.08</v>
      </c>
      <c r="FL103">
        <v>0.04</v>
      </c>
      <c r="FM103">
        <v>-93.5343925</v>
      </c>
      <c r="FN103">
        <v>2.540709568480509</v>
      </c>
      <c r="FO103">
        <v>0.2554058519175887</v>
      </c>
      <c r="FP103">
        <v>-1</v>
      </c>
      <c r="FQ103">
        <v>10.6724275</v>
      </c>
      <c r="FR103">
        <v>-3.261648405253303</v>
      </c>
      <c r="FS103">
        <v>0.3161877116425464</v>
      </c>
      <c r="FT103">
        <v>0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1</v>
      </c>
      <c r="GA103" t="s">
        <v>432</v>
      </c>
      <c r="GB103">
        <v>2.69586</v>
      </c>
      <c r="GC103">
        <v>2.70509</v>
      </c>
      <c r="GD103">
        <v>0.164987</v>
      </c>
      <c r="GE103">
        <v>0.173348</v>
      </c>
      <c r="GF103">
        <v>0.107399</v>
      </c>
      <c r="GG103">
        <v>0.0728072</v>
      </c>
      <c r="GH103">
        <v>26260.5</v>
      </c>
      <c r="GI103">
        <v>26110.1</v>
      </c>
      <c r="GJ103">
        <v>29255.9</v>
      </c>
      <c r="GK103">
        <v>29229.5</v>
      </c>
      <c r="GL103">
        <v>34574.2</v>
      </c>
      <c r="GM103">
        <v>36080.1</v>
      </c>
      <c r="GN103">
        <v>41176.9</v>
      </c>
      <c r="GO103">
        <v>41704.1</v>
      </c>
      <c r="GP103">
        <v>1.72565</v>
      </c>
      <c r="GQ103">
        <v>2.03358</v>
      </c>
      <c r="GR103">
        <v>0.0739098</v>
      </c>
      <c r="GS103">
        <v>0</v>
      </c>
      <c r="GT103">
        <v>28.8824</v>
      </c>
      <c r="GU103">
        <v>999.9</v>
      </c>
      <c r="GV103">
        <v>44.8</v>
      </c>
      <c r="GW103">
        <v>32.8</v>
      </c>
      <c r="GX103">
        <v>24.7537</v>
      </c>
      <c r="GY103">
        <v>63.6479</v>
      </c>
      <c r="GZ103">
        <v>29.1066</v>
      </c>
      <c r="HA103">
        <v>1</v>
      </c>
      <c r="HB103">
        <v>0.239022</v>
      </c>
      <c r="HC103">
        <v>0.714905</v>
      </c>
      <c r="HD103">
        <v>20.3799</v>
      </c>
      <c r="HE103">
        <v>5.21729</v>
      </c>
      <c r="HF103">
        <v>12.0099</v>
      </c>
      <c r="HG103">
        <v>4.9878</v>
      </c>
      <c r="HH103">
        <v>3.28855</v>
      </c>
      <c r="HI103">
        <v>2713.9</v>
      </c>
      <c r="HJ103">
        <v>9999</v>
      </c>
      <c r="HK103">
        <v>9999</v>
      </c>
      <c r="HL103">
        <v>49.9</v>
      </c>
      <c r="HM103">
        <v>1.86722</v>
      </c>
      <c r="HN103">
        <v>1.86615</v>
      </c>
      <c r="HO103">
        <v>1.86579</v>
      </c>
      <c r="HP103">
        <v>1.86569</v>
      </c>
      <c r="HQ103">
        <v>1.86739</v>
      </c>
      <c r="HR103">
        <v>1.86998</v>
      </c>
      <c r="HS103">
        <v>1.86862</v>
      </c>
      <c r="HT103">
        <v>1.86997</v>
      </c>
      <c r="HU103">
        <v>0</v>
      </c>
      <c r="HV103">
        <v>0</v>
      </c>
      <c r="HW103">
        <v>0</v>
      </c>
      <c r="HX103">
        <v>0</v>
      </c>
      <c r="HY103" t="s">
        <v>421</v>
      </c>
      <c r="HZ103" t="s">
        <v>422</v>
      </c>
      <c r="IA103" t="s">
        <v>423</v>
      </c>
      <c r="IB103" t="s">
        <v>423</v>
      </c>
      <c r="IC103" t="s">
        <v>423</v>
      </c>
      <c r="ID103" t="s">
        <v>423</v>
      </c>
      <c r="IE103">
        <v>0</v>
      </c>
      <c r="IF103">
        <v>100</v>
      </c>
      <c r="IG103">
        <v>100</v>
      </c>
      <c r="IH103">
        <v>-0.959</v>
      </c>
      <c r="II103">
        <v>0.0427</v>
      </c>
      <c r="IJ103">
        <v>1.257309091789605</v>
      </c>
      <c r="IK103">
        <v>-0.002185601614162945</v>
      </c>
      <c r="IL103">
        <v>-2.252308143750626E-07</v>
      </c>
      <c r="IM103">
        <v>5.915558436307541E-11</v>
      </c>
      <c r="IN103">
        <v>-0.118683452207699</v>
      </c>
      <c r="IO103">
        <v>-0.007570214193104963</v>
      </c>
      <c r="IP103">
        <v>0.0009214429922928372</v>
      </c>
      <c r="IQ103">
        <v>-1.392260276065805E-05</v>
      </c>
      <c r="IR103">
        <v>17</v>
      </c>
      <c r="IS103">
        <v>2272</v>
      </c>
      <c r="IT103">
        <v>1</v>
      </c>
      <c r="IU103">
        <v>31</v>
      </c>
      <c r="IV103">
        <v>10.4</v>
      </c>
      <c r="IW103">
        <v>10.7</v>
      </c>
      <c r="IX103">
        <v>2.17041</v>
      </c>
      <c r="IY103">
        <v>2.20581</v>
      </c>
      <c r="IZ103">
        <v>1.39648</v>
      </c>
      <c r="JA103">
        <v>2.35352</v>
      </c>
      <c r="JB103">
        <v>1.49536</v>
      </c>
      <c r="JC103">
        <v>2.33765</v>
      </c>
      <c r="JD103">
        <v>36.2459</v>
      </c>
      <c r="JE103">
        <v>15.3491</v>
      </c>
      <c r="JF103">
        <v>18</v>
      </c>
      <c r="JG103">
        <v>387.86</v>
      </c>
      <c r="JH103">
        <v>567.398</v>
      </c>
      <c r="JI103">
        <v>29.5482</v>
      </c>
      <c r="JJ103">
        <v>30.5363</v>
      </c>
      <c r="JK103">
        <v>29.9999</v>
      </c>
      <c r="JL103">
        <v>30.4362</v>
      </c>
      <c r="JM103">
        <v>30.3285</v>
      </c>
      <c r="JN103">
        <v>43.4815</v>
      </c>
      <c r="JO103">
        <v>38.9722</v>
      </c>
      <c r="JP103">
        <v>0</v>
      </c>
      <c r="JQ103">
        <v>29.5031</v>
      </c>
      <c r="JR103">
        <v>1055.31</v>
      </c>
      <c r="JS103">
        <v>14.7542</v>
      </c>
      <c r="JT103">
        <v>99.9997</v>
      </c>
      <c r="JU103">
        <v>100.108</v>
      </c>
    </row>
    <row r="104" spans="1:281">
      <c r="A104">
        <v>88</v>
      </c>
      <c r="B104">
        <v>1652371921.6</v>
      </c>
      <c r="C104">
        <v>3828</v>
      </c>
      <c r="D104" t="s">
        <v>643</v>
      </c>
      <c r="E104" t="s">
        <v>644</v>
      </c>
      <c r="F104">
        <v>5</v>
      </c>
      <c r="G104" t="s">
        <v>518</v>
      </c>
      <c r="H104" t="s">
        <v>414</v>
      </c>
      <c r="I104">
        <v>1652371913.814285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1055.915663943634</v>
      </c>
      <c r="AK104">
        <v>983.288454545455</v>
      </c>
      <c r="AL104">
        <v>3.529301482862125</v>
      </c>
      <c r="AM104">
        <v>65.95105977519088</v>
      </c>
      <c r="AN104">
        <f>(AP104 - AO104 + DI104*1E3/(8.314*(DK104+273.15)) * AR104/DH104 * AQ104) * DH104/(100*CV104) * 1000/(1000 - AP104)</f>
        <v>0</v>
      </c>
      <c r="AO104">
        <v>14.45108295208503</v>
      </c>
      <c r="AP104">
        <v>24.38297062937064</v>
      </c>
      <c r="AQ104">
        <v>-0.00959483520316585</v>
      </c>
      <c r="AR104">
        <v>81.26040297655408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417</v>
      </c>
      <c r="AY104" t="s">
        <v>417</v>
      </c>
      <c r="AZ104">
        <v>0</v>
      </c>
      <c r="BA104">
        <v>0</v>
      </c>
      <c r="BB104">
        <f>1-AZ104/BA104</f>
        <v>0</v>
      </c>
      <c r="BC104">
        <v>0</v>
      </c>
      <c r="BD104" t="s">
        <v>417</v>
      </c>
      <c r="BE104" t="s">
        <v>417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1393</v>
      </c>
      <c r="CA104">
        <v>300</v>
      </c>
      <c r="CB104">
        <v>300</v>
      </c>
      <c r="CC104">
        <v>300</v>
      </c>
      <c r="CD104">
        <v>10378</v>
      </c>
      <c r="CE104">
        <v>2050</v>
      </c>
      <c r="CF104">
        <v>-0.00730649</v>
      </c>
      <c r="CG104">
        <v>-4.53</v>
      </c>
      <c r="CH104" t="s">
        <v>417</v>
      </c>
      <c r="CI104" t="s">
        <v>417</v>
      </c>
      <c r="CJ104" t="s">
        <v>417</v>
      </c>
      <c r="CK104" t="s">
        <v>417</v>
      </c>
      <c r="CL104" t="s">
        <v>417</v>
      </c>
      <c r="CM104" t="s">
        <v>417</v>
      </c>
      <c r="CN104" t="s">
        <v>417</v>
      </c>
      <c r="CO104" t="s">
        <v>417</v>
      </c>
      <c r="CP104" t="s">
        <v>417</v>
      </c>
      <c r="CQ104" t="s">
        <v>417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418</v>
      </c>
      <c r="CY104">
        <v>2</v>
      </c>
      <c r="CZ104" t="b">
        <v>1</v>
      </c>
      <c r="DA104">
        <v>1652371913.814285</v>
      </c>
      <c r="DB104">
        <v>934.3994642857144</v>
      </c>
      <c r="DC104">
        <v>1027.501785714286</v>
      </c>
      <c r="DD104">
        <v>24.45616785714286</v>
      </c>
      <c r="DE104">
        <v>14.28035357142857</v>
      </c>
      <c r="DF104">
        <v>935.3351071428571</v>
      </c>
      <c r="DG104">
        <v>24.41304285714286</v>
      </c>
      <c r="DH104">
        <v>400.0766428571428</v>
      </c>
      <c r="DI104">
        <v>90.40565714285715</v>
      </c>
      <c r="DJ104">
        <v>0.100013075</v>
      </c>
      <c r="DK104">
        <v>31.20217857142857</v>
      </c>
      <c r="DL104">
        <v>30.083975</v>
      </c>
      <c r="DM104">
        <v>999.9000000000002</v>
      </c>
      <c r="DN104">
        <v>0</v>
      </c>
      <c r="DO104">
        <v>0</v>
      </c>
      <c r="DP104">
        <v>9997.158928571427</v>
      </c>
      <c r="DQ104">
        <v>0</v>
      </c>
      <c r="DR104">
        <v>453.5385</v>
      </c>
      <c r="DS104">
        <v>-93.10188928571428</v>
      </c>
      <c r="DT104">
        <v>957.82325</v>
      </c>
      <c r="DU104">
        <v>1042.390714285714</v>
      </c>
      <c r="DV104">
        <v>10.17580285714286</v>
      </c>
      <c r="DW104">
        <v>1027.501785714286</v>
      </c>
      <c r="DX104">
        <v>14.28035357142857</v>
      </c>
      <c r="DY104">
        <v>2.210975</v>
      </c>
      <c r="DZ104">
        <v>1.291025</v>
      </c>
      <c r="EA104">
        <v>19.042025</v>
      </c>
      <c r="EB104">
        <v>10.69301785714286</v>
      </c>
      <c r="EC104">
        <v>1499.98</v>
      </c>
      <c r="ED104">
        <v>0.9730036071428572</v>
      </c>
      <c r="EE104">
        <v>0.02699639642857143</v>
      </c>
      <c r="EF104">
        <v>0</v>
      </c>
      <c r="EG104">
        <v>1094.141071428571</v>
      </c>
      <c r="EH104">
        <v>5.00097</v>
      </c>
      <c r="EI104">
        <v>17364.60357142857</v>
      </c>
      <c r="EJ104">
        <v>12491.45</v>
      </c>
      <c r="EK104">
        <v>39.5665</v>
      </c>
      <c r="EL104">
        <v>41.125</v>
      </c>
      <c r="EM104">
        <v>39.81199999999999</v>
      </c>
      <c r="EN104">
        <v>40.92814285714286</v>
      </c>
      <c r="EO104">
        <v>40.81199999999999</v>
      </c>
      <c r="EP104">
        <v>1454.619285714286</v>
      </c>
      <c r="EQ104">
        <v>40.36071428571427</v>
      </c>
      <c r="ER104">
        <v>0</v>
      </c>
      <c r="ES104">
        <v>755.7999999523163</v>
      </c>
      <c r="ET104">
        <v>0</v>
      </c>
      <c r="EU104">
        <v>1093.550384615384</v>
      </c>
      <c r="EV104">
        <v>-68.75111115979016</v>
      </c>
      <c r="EW104">
        <v>-992.362393785789</v>
      </c>
      <c r="EX104">
        <v>17355.13076923077</v>
      </c>
      <c r="EY104">
        <v>15</v>
      </c>
      <c r="EZ104">
        <v>1652371289.6</v>
      </c>
      <c r="FA104" t="s">
        <v>515</v>
      </c>
      <c r="FB104">
        <v>1652371289.6</v>
      </c>
      <c r="FC104">
        <v>1652371275.1</v>
      </c>
      <c r="FD104">
        <v>24</v>
      </c>
      <c r="FE104">
        <v>0.442</v>
      </c>
      <c r="FF104">
        <v>0.001</v>
      </c>
      <c r="FG104">
        <v>-2.63</v>
      </c>
      <c r="FH104">
        <v>0.007</v>
      </c>
      <c r="FI104">
        <v>1620</v>
      </c>
      <c r="FJ104">
        <v>22</v>
      </c>
      <c r="FK104">
        <v>0.08</v>
      </c>
      <c r="FL104">
        <v>0.04</v>
      </c>
      <c r="FM104">
        <v>-93.2813024390244</v>
      </c>
      <c r="FN104">
        <v>3.447449477351746</v>
      </c>
      <c r="FO104">
        <v>0.3498530189552455</v>
      </c>
      <c r="FP104">
        <v>-1</v>
      </c>
      <c r="FQ104">
        <v>10.37492097560975</v>
      </c>
      <c r="FR104">
        <v>-3.762756167247384</v>
      </c>
      <c r="FS104">
        <v>0.371327839265631</v>
      </c>
      <c r="FT104">
        <v>0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1</v>
      </c>
      <c r="GA104" t="s">
        <v>432</v>
      </c>
      <c r="GB104">
        <v>2.69617</v>
      </c>
      <c r="GC104">
        <v>2.70511</v>
      </c>
      <c r="GD104">
        <v>0.166935</v>
      </c>
      <c r="GE104">
        <v>0.175151</v>
      </c>
      <c r="GF104">
        <v>0.107268</v>
      </c>
      <c r="GG104">
        <v>0.07368760000000001</v>
      </c>
      <c r="GH104">
        <v>26198.9</v>
      </c>
      <c r="GI104">
        <v>26053.1</v>
      </c>
      <c r="GJ104">
        <v>29255.7</v>
      </c>
      <c r="GK104">
        <v>29229.6</v>
      </c>
      <c r="GL104">
        <v>34578.9</v>
      </c>
      <c r="GM104">
        <v>36045.8</v>
      </c>
      <c r="GN104">
        <v>41176.3</v>
      </c>
      <c r="GO104">
        <v>41704.3</v>
      </c>
      <c r="GP104">
        <v>1.72587</v>
      </c>
      <c r="GQ104">
        <v>2.03377</v>
      </c>
      <c r="GR104">
        <v>0.0744388</v>
      </c>
      <c r="GS104">
        <v>0</v>
      </c>
      <c r="GT104">
        <v>28.8747</v>
      </c>
      <c r="GU104">
        <v>999.9</v>
      </c>
      <c r="GV104">
        <v>44.8</v>
      </c>
      <c r="GW104">
        <v>32.8</v>
      </c>
      <c r="GX104">
        <v>24.7551</v>
      </c>
      <c r="GY104">
        <v>63.2379</v>
      </c>
      <c r="GZ104">
        <v>29.0665</v>
      </c>
      <c r="HA104">
        <v>1</v>
      </c>
      <c r="HB104">
        <v>0.238648</v>
      </c>
      <c r="HC104">
        <v>0.772034</v>
      </c>
      <c r="HD104">
        <v>20.3796</v>
      </c>
      <c r="HE104">
        <v>5.21669</v>
      </c>
      <c r="HF104">
        <v>12.0099</v>
      </c>
      <c r="HG104">
        <v>4.98775</v>
      </c>
      <c r="HH104">
        <v>3.2885</v>
      </c>
      <c r="HI104">
        <v>2714.1</v>
      </c>
      <c r="HJ104">
        <v>9999</v>
      </c>
      <c r="HK104">
        <v>9999</v>
      </c>
      <c r="HL104">
        <v>49.9</v>
      </c>
      <c r="HM104">
        <v>1.86722</v>
      </c>
      <c r="HN104">
        <v>1.86616</v>
      </c>
      <c r="HO104">
        <v>1.86577</v>
      </c>
      <c r="HP104">
        <v>1.86568</v>
      </c>
      <c r="HQ104">
        <v>1.86743</v>
      </c>
      <c r="HR104">
        <v>1.86998</v>
      </c>
      <c r="HS104">
        <v>1.86863</v>
      </c>
      <c r="HT104">
        <v>1.86999</v>
      </c>
      <c r="HU104">
        <v>0</v>
      </c>
      <c r="HV104">
        <v>0</v>
      </c>
      <c r="HW104">
        <v>0</v>
      </c>
      <c r="HX104">
        <v>0</v>
      </c>
      <c r="HY104" t="s">
        <v>421</v>
      </c>
      <c r="HZ104" t="s">
        <v>422</v>
      </c>
      <c r="IA104" t="s">
        <v>423</v>
      </c>
      <c r="IB104" t="s">
        <v>423</v>
      </c>
      <c r="IC104" t="s">
        <v>423</v>
      </c>
      <c r="ID104" t="s">
        <v>423</v>
      </c>
      <c r="IE104">
        <v>0</v>
      </c>
      <c r="IF104">
        <v>100</v>
      </c>
      <c r="IG104">
        <v>100</v>
      </c>
      <c r="IH104">
        <v>-1.001</v>
      </c>
      <c r="II104">
        <v>0.0422</v>
      </c>
      <c r="IJ104">
        <v>1.257309091789605</v>
      </c>
      <c r="IK104">
        <v>-0.002185601614162945</v>
      </c>
      <c r="IL104">
        <v>-2.252308143750626E-07</v>
      </c>
      <c r="IM104">
        <v>5.915558436307541E-11</v>
      </c>
      <c r="IN104">
        <v>-0.118683452207699</v>
      </c>
      <c r="IO104">
        <v>-0.007570214193104963</v>
      </c>
      <c r="IP104">
        <v>0.0009214429922928372</v>
      </c>
      <c r="IQ104">
        <v>-1.392260276065805E-05</v>
      </c>
      <c r="IR104">
        <v>17</v>
      </c>
      <c r="IS104">
        <v>2272</v>
      </c>
      <c r="IT104">
        <v>1</v>
      </c>
      <c r="IU104">
        <v>31</v>
      </c>
      <c r="IV104">
        <v>10.5</v>
      </c>
      <c r="IW104">
        <v>10.8</v>
      </c>
      <c r="IX104">
        <v>2.19727</v>
      </c>
      <c r="IY104">
        <v>2.20703</v>
      </c>
      <c r="IZ104">
        <v>1.39648</v>
      </c>
      <c r="JA104">
        <v>2.35352</v>
      </c>
      <c r="JB104">
        <v>1.49536</v>
      </c>
      <c r="JC104">
        <v>2.32422</v>
      </c>
      <c r="JD104">
        <v>36.2459</v>
      </c>
      <c r="JE104">
        <v>15.3491</v>
      </c>
      <c r="JF104">
        <v>18</v>
      </c>
      <c r="JG104">
        <v>387.978</v>
      </c>
      <c r="JH104">
        <v>567.549</v>
      </c>
      <c r="JI104">
        <v>29.4707</v>
      </c>
      <c r="JJ104">
        <v>30.5363</v>
      </c>
      <c r="JK104">
        <v>29.9999</v>
      </c>
      <c r="JL104">
        <v>30.4357</v>
      </c>
      <c r="JM104">
        <v>30.3285</v>
      </c>
      <c r="JN104">
        <v>44.0703</v>
      </c>
      <c r="JO104">
        <v>38.0344</v>
      </c>
      <c r="JP104">
        <v>0</v>
      </c>
      <c r="JQ104">
        <v>29.4175</v>
      </c>
      <c r="JR104">
        <v>1075.35</v>
      </c>
      <c r="JS104">
        <v>15.024</v>
      </c>
      <c r="JT104">
        <v>99.9986</v>
      </c>
      <c r="JU104">
        <v>100.109</v>
      </c>
    </row>
    <row r="105" spans="1:281">
      <c r="A105">
        <v>89</v>
      </c>
      <c r="B105">
        <v>1652371926.6</v>
      </c>
      <c r="C105">
        <v>3833</v>
      </c>
      <c r="D105" t="s">
        <v>645</v>
      </c>
      <c r="E105" t="s">
        <v>646</v>
      </c>
      <c r="F105">
        <v>5</v>
      </c>
      <c r="G105" t="s">
        <v>518</v>
      </c>
      <c r="H105" t="s">
        <v>414</v>
      </c>
      <c r="I105">
        <v>1652371919.1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1073.431802015845</v>
      </c>
      <c r="AK105">
        <v>1000.833412121212</v>
      </c>
      <c r="AL105">
        <v>3.51445861647976</v>
      </c>
      <c r="AM105">
        <v>65.95105977519088</v>
      </c>
      <c r="AN105">
        <f>(AP105 - AO105 + DI105*1E3/(8.314*(DK105+273.15)) * AR105/DH105 * AQ105) * DH105/(100*CV105) * 1000/(1000 - AP105)</f>
        <v>0</v>
      </c>
      <c r="AO105">
        <v>14.69576323478359</v>
      </c>
      <c r="AP105">
        <v>24.34417692307693</v>
      </c>
      <c r="AQ105">
        <v>-0.0120552510279345</v>
      </c>
      <c r="AR105">
        <v>81.26040297655408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417</v>
      </c>
      <c r="AY105" t="s">
        <v>417</v>
      </c>
      <c r="AZ105">
        <v>0</v>
      </c>
      <c r="BA105">
        <v>0</v>
      </c>
      <c r="BB105">
        <f>1-AZ105/BA105</f>
        <v>0</v>
      </c>
      <c r="BC105">
        <v>0</v>
      </c>
      <c r="BD105" t="s">
        <v>417</v>
      </c>
      <c r="BE105" t="s">
        <v>417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1393</v>
      </c>
      <c r="CA105">
        <v>300</v>
      </c>
      <c r="CB105">
        <v>300</v>
      </c>
      <c r="CC105">
        <v>300</v>
      </c>
      <c r="CD105">
        <v>10378</v>
      </c>
      <c r="CE105">
        <v>2050</v>
      </c>
      <c r="CF105">
        <v>-0.00730649</v>
      </c>
      <c r="CG105">
        <v>-4.53</v>
      </c>
      <c r="CH105" t="s">
        <v>417</v>
      </c>
      <c r="CI105" t="s">
        <v>417</v>
      </c>
      <c r="CJ105" t="s">
        <v>417</v>
      </c>
      <c r="CK105" t="s">
        <v>417</v>
      </c>
      <c r="CL105" t="s">
        <v>417</v>
      </c>
      <c r="CM105" t="s">
        <v>417</v>
      </c>
      <c r="CN105" t="s">
        <v>417</v>
      </c>
      <c r="CO105" t="s">
        <v>417</v>
      </c>
      <c r="CP105" t="s">
        <v>417</v>
      </c>
      <c r="CQ105" t="s">
        <v>417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418</v>
      </c>
      <c r="CY105">
        <v>2</v>
      </c>
      <c r="CZ105" t="b">
        <v>1</v>
      </c>
      <c r="DA105">
        <v>1652371919.1</v>
      </c>
      <c r="DB105">
        <v>952.456074074074</v>
      </c>
      <c r="DC105">
        <v>1045.262592592593</v>
      </c>
      <c r="DD105">
        <v>24.39964814814815</v>
      </c>
      <c r="DE105">
        <v>14.56050370370371</v>
      </c>
      <c r="DF105">
        <v>953.436037037037</v>
      </c>
      <c r="DG105">
        <v>24.35722222222223</v>
      </c>
      <c r="DH105">
        <v>400.0661111111111</v>
      </c>
      <c r="DI105">
        <v>90.40694074074074</v>
      </c>
      <c r="DJ105">
        <v>0.09996486296296297</v>
      </c>
      <c r="DK105">
        <v>31.18446296296297</v>
      </c>
      <c r="DL105">
        <v>30.08604074074074</v>
      </c>
      <c r="DM105">
        <v>999.9000000000001</v>
      </c>
      <c r="DN105">
        <v>0</v>
      </c>
      <c r="DO105">
        <v>0</v>
      </c>
      <c r="DP105">
        <v>10002.38111111111</v>
      </c>
      <c r="DQ105">
        <v>0</v>
      </c>
      <c r="DR105">
        <v>458.0714814814814</v>
      </c>
      <c r="DS105">
        <v>-92.80668518518522</v>
      </c>
      <c r="DT105">
        <v>976.2762222222221</v>
      </c>
      <c r="DU105">
        <v>1060.71</v>
      </c>
      <c r="DV105">
        <v>9.839138888888888</v>
      </c>
      <c r="DW105">
        <v>1045.262592592593</v>
      </c>
      <c r="DX105">
        <v>14.56050370370371</v>
      </c>
      <c r="DY105">
        <v>2.205897407407408</v>
      </c>
      <c r="DZ105">
        <v>1.316371111111111</v>
      </c>
      <c r="EA105">
        <v>19.00519259259259</v>
      </c>
      <c r="EB105">
        <v>10.98542222222222</v>
      </c>
      <c r="EC105">
        <v>1499.964814814815</v>
      </c>
      <c r="ED105">
        <v>0.9730036666666668</v>
      </c>
      <c r="EE105">
        <v>0.02699633333333334</v>
      </c>
      <c r="EF105">
        <v>0</v>
      </c>
      <c r="EG105">
        <v>1088.046666666667</v>
      </c>
      <c r="EH105">
        <v>5.00097</v>
      </c>
      <c r="EI105">
        <v>17273.87777777778</v>
      </c>
      <c r="EJ105">
        <v>12491.32592592592</v>
      </c>
      <c r="EK105">
        <v>39.56433333333333</v>
      </c>
      <c r="EL105">
        <v>41.125</v>
      </c>
      <c r="EM105">
        <v>39.81199999999999</v>
      </c>
      <c r="EN105">
        <v>40.91862962962963</v>
      </c>
      <c r="EO105">
        <v>40.80051851851851</v>
      </c>
      <c r="EP105">
        <v>1454.604074074074</v>
      </c>
      <c r="EQ105">
        <v>40.36074074074073</v>
      </c>
      <c r="ER105">
        <v>0</v>
      </c>
      <c r="ES105">
        <v>760.5999999046326</v>
      </c>
      <c r="ET105">
        <v>0</v>
      </c>
      <c r="EU105">
        <v>1088.010769230769</v>
      </c>
      <c r="EV105">
        <v>-69.36683751166559</v>
      </c>
      <c r="EW105">
        <v>-1071.569229200432</v>
      </c>
      <c r="EX105">
        <v>17272.8076923077</v>
      </c>
      <c r="EY105">
        <v>15</v>
      </c>
      <c r="EZ105">
        <v>1652371289.6</v>
      </c>
      <c r="FA105" t="s">
        <v>515</v>
      </c>
      <c r="FB105">
        <v>1652371289.6</v>
      </c>
      <c r="FC105">
        <v>1652371275.1</v>
      </c>
      <c r="FD105">
        <v>24</v>
      </c>
      <c r="FE105">
        <v>0.442</v>
      </c>
      <c r="FF105">
        <v>0.001</v>
      </c>
      <c r="FG105">
        <v>-2.63</v>
      </c>
      <c r="FH105">
        <v>0.007</v>
      </c>
      <c r="FI105">
        <v>1620</v>
      </c>
      <c r="FJ105">
        <v>22</v>
      </c>
      <c r="FK105">
        <v>0.08</v>
      </c>
      <c r="FL105">
        <v>0.04</v>
      </c>
      <c r="FM105">
        <v>-93.01674634146342</v>
      </c>
      <c r="FN105">
        <v>3.404638327525956</v>
      </c>
      <c r="FO105">
        <v>0.3490376743223736</v>
      </c>
      <c r="FP105">
        <v>-1</v>
      </c>
      <c r="FQ105">
        <v>10.06276073170732</v>
      </c>
      <c r="FR105">
        <v>-3.81375303135889</v>
      </c>
      <c r="FS105">
        <v>0.3761566151017823</v>
      </c>
      <c r="FT105">
        <v>0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1</v>
      </c>
      <c r="GA105" t="s">
        <v>432</v>
      </c>
      <c r="GB105">
        <v>2.69575</v>
      </c>
      <c r="GC105">
        <v>2.70519</v>
      </c>
      <c r="GD105">
        <v>0.168869</v>
      </c>
      <c r="GE105">
        <v>0.176929</v>
      </c>
      <c r="GF105">
        <v>0.107163</v>
      </c>
      <c r="GG105">
        <v>0.074672</v>
      </c>
      <c r="GH105">
        <v>26138.7</v>
      </c>
      <c r="GI105">
        <v>25997.5</v>
      </c>
      <c r="GJ105">
        <v>29256.3</v>
      </c>
      <c r="GK105">
        <v>29230.3</v>
      </c>
      <c r="GL105">
        <v>34583.5</v>
      </c>
      <c r="GM105">
        <v>36008</v>
      </c>
      <c r="GN105">
        <v>41176.9</v>
      </c>
      <c r="GO105">
        <v>41705.1</v>
      </c>
      <c r="GP105">
        <v>1.7252</v>
      </c>
      <c r="GQ105">
        <v>2.03422</v>
      </c>
      <c r="GR105">
        <v>0.0750646</v>
      </c>
      <c r="GS105">
        <v>0</v>
      </c>
      <c r="GT105">
        <v>28.8681</v>
      </c>
      <c r="GU105">
        <v>999.9</v>
      </c>
      <c r="GV105">
        <v>44.8</v>
      </c>
      <c r="GW105">
        <v>32.8</v>
      </c>
      <c r="GX105">
        <v>24.7534</v>
      </c>
      <c r="GY105">
        <v>63.3079</v>
      </c>
      <c r="GZ105">
        <v>29.2268</v>
      </c>
      <c r="HA105">
        <v>1</v>
      </c>
      <c r="HB105">
        <v>0.238575</v>
      </c>
      <c r="HC105">
        <v>0.85222</v>
      </c>
      <c r="HD105">
        <v>20.3785</v>
      </c>
      <c r="HE105">
        <v>5.21429</v>
      </c>
      <c r="HF105">
        <v>12.0099</v>
      </c>
      <c r="HG105">
        <v>4.9871</v>
      </c>
      <c r="HH105">
        <v>3.28803</v>
      </c>
      <c r="HI105">
        <v>2714.1</v>
      </c>
      <c r="HJ105">
        <v>9999</v>
      </c>
      <c r="HK105">
        <v>9999</v>
      </c>
      <c r="HL105">
        <v>49.9</v>
      </c>
      <c r="HM105">
        <v>1.86722</v>
      </c>
      <c r="HN105">
        <v>1.86615</v>
      </c>
      <c r="HO105">
        <v>1.8658</v>
      </c>
      <c r="HP105">
        <v>1.86568</v>
      </c>
      <c r="HQ105">
        <v>1.8674</v>
      </c>
      <c r="HR105">
        <v>1.86997</v>
      </c>
      <c r="HS105">
        <v>1.86863</v>
      </c>
      <c r="HT105">
        <v>1.86999</v>
      </c>
      <c r="HU105">
        <v>0</v>
      </c>
      <c r="HV105">
        <v>0</v>
      </c>
      <c r="HW105">
        <v>0</v>
      </c>
      <c r="HX105">
        <v>0</v>
      </c>
      <c r="HY105" t="s">
        <v>421</v>
      </c>
      <c r="HZ105" t="s">
        <v>422</v>
      </c>
      <c r="IA105" t="s">
        <v>423</v>
      </c>
      <c r="IB105" t="s">
        <v>423</v>
      </c>
      <c r="IC105" t="s">
        <v>423</v>
      </c>
      <c r="ID105" t="s">
        <v>423</v>
      </c>
      <c r="IE105">
        <v>0</v>
      </c>
      <c r="IF105">
        <v>100</v>
      </c>
      <c r="IG105">
        <v>100</v>
      </c>
      <c r="IH105">
        <v>-1.043</v>
      </c>
      <c r="II105">
        <v>0.0417</v>
      </c>
      <c r="IJ105">
        <v>1.257309091789605</v>
      </c>
      <c r="IK105">
        <v>-0.002185601614162945</v>
      </c>
      <c r="IL105">
        <v>-2.252308143750626E-07</v>
      </c>
      <c r="IM105">
        <v>5.915558436307541E-11</v>
      </c>
      <c r="IN105">
        <v>-0.118683452207699</v>
      </c>
      <c r="IO105">
        <v>-0.007570214193104963</v>
      </c>
      <c r="IP105">
        <v>0.0009214429922928372</v>
      </c>
      <c r="IQ105">
        <v>-1.392260276065805E-05</v>
      </c>
      <c r="IR105">
        <v>17</v>
      </c>
      <c r="IS105">
        <v>2272</v>
      </c>
      <c r="IT105">
        <v>1</v>
      </c>
      <c r="IU105">
        <v>31</v>
      </c>
      <c r="IV105">
        <v>10.6</v>
      </c>
      <c r="IW105">
        <v>10.9</v>
      </c>
      <c r="IX105">
        <v>2.229</v>
      </c>
      <c r="IY105">
        <v>2.20581</v>
      </c>
      <c r="IZ105">
        <v>1.39648</v>
      </c>
      <c r="JA105">
        <v>2.35352</v>
      </c>
      <c r="JB105">
        <v>1.49536</v>
      </c>
      <c r="JC105">
        <v>2.33276</v>
      </c>
      <c r="JD105">
        <v>36.2694</v>
      </c>
      <c r="JE105">
        <v>15.3404</v>
      </c>
      <c r="JF105">
        <v>18</v>
      </c>
      <c r="JG105">
        <v>387.604</v>
      </c>
      <c r="JH105">
        <v>567.889</v>
      </c>
      <c r="JI105">
        <v>29.3814</v>
      </c>
      <c r="JJ105">
        <v>30.5336</v>
      </c>
      <c r="JK105">
        <v>30</v>
      </c>
      <c r="JL105">
        <v>30.4335</v>
      </c>
      <c r="JM105">
        <v>30.3285</v>
      </c>
      <c r="JN105">
        <v>44.6036</v>
      </c>
      <c r="JO105">
        <v>37.7628</v>
      </c>
      <c r="JP105">
        <v>0</v>
      </c>
      <c r="JQ105">
        <v>29.3296</v>
      </c>
      <c r="JR105">
        <v>1088.73</v>
      </c>
      <c r="JS105">
        <v>15.1705</v>
      </c>
      <c r="JT105">
        <v>100</v>
      </c>
      <c r="JU105">
        <v>100.111</v>
      </c>
    </row>
    <row r="106" spans="1:281">
      <c r="A106">
        <v>90</v>
      </c>
      <c r="B106">
        <v>1652371931.6</v>
      </c>
      <c r="C106">
        <v>3838</v>
      </c>
      <c r="D106" t="s">
        <v>647</v>
      </c>
      <c r="E106" t="s">
        <v>648</v>
      </c>
      <c r="F106">
        <v>5</v>
      </c>
      <c r="G106" t="s">
        <v>518</v>
      </c>
      <c r="H106" t="s">
        <v>414</v>
      </c>
      <c r="I106">
        <v>1652371923.814285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1090.458472182696</v>
      </c>
      <c r="AK106">
        <v>1018.38703030303</v>
      </c>
      <c r="AL106">
        <v>3.517069792536465</v>
      </c>
      <c r="AM106">
        <v>65.95105977519088</v>
      </c>
      <c r="AN106">
        <f>(AP106 - AO106 + DI106*1E3/(8.314*(DK106+273.15)) * AR106/DH106 * AQ106) * DH106/(100*CV106) * 1000/(1000 - AP106)</f>
        <v>0</v>
      </c>
      <c r="AO106">
        <v>14.95154478732148</v>
      </c>
      <c r="AP106">
        <v>24.29676223776224</v>
      </c>
      <c r="AQ106">
        <v>-0.001130605860790768</v>
      </c>
      <c r="AR106">
        <v>81.26040297655408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417</v>
      </c>
      <c r="AY106" t="s">
        <v>417</v>
      </c>
      <c r="AZ106">
        <v>0</v>
      </c>
      <c r="BA106">
        <v>0</v>
      </c>
      <c r="BB106">
        <f>1-AZ106/BA106</f>
        <v>0</v>
      </c>
      <c r="BC106">
        <v>0</v>
      </c>
      <c r="BD106" t="s">
        <v>417</v>
      </c>
      <c r="BE106" t="s">
        <v>417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1393</v>
      </c>
      <c r="CA106">
        <v>300</v>
      </c>
      <c r="CB106">
        <v>300</v>
      </c>
      <c r="CC106">
        <v>300</v>
      </c>
      <c r="CD106">
        <v>10378</v>
      </c>
      <c r="CE106">
        <v>2050</v>
      </c>
      <c r="CF106">
        <v>-0.00730649</v>
      </c>
      <c r="CG106">
        <v>-4.53</v>
      </c>
      <c r="CH106" t="s">
        <v>417</v>
      </c>
      <c r="CI106" t="s">
        <v>417</v>
      </c>
      <c r="CJ106" t="s">
        <v>417</v>
      </c>
      <c r="CK106" t="s">
        <v>417</v>
      </c>
      <c r="CL106" t="s">
        <v>417</v>
      </c>
      <c r="CM106" t="s">
        <v>417</v>
      </c>
      <c r="CN106" t="s">
        <v>417</v>
      </c>
      <c r="CO106" t="s">
        <v>417</v>
      </c>
      <c r="CP106" t="s">
        <v>417</v>
      </c>
      <c r="CQ106" t="s">
        <v>417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418</v>
      </c>
      <c r="CY106">
        <v>2</v>
      </c>
      <c r="CZ106" t="b">
        <v>1</v>
      </c>
      <c r="DA106">
        <v>1652371923.814285</v>
      </c>
      <c r="DB106">
        <v>968.6021428571429</v>
      </c>
      <c r="DC106">
        <v>1061.029642857143</v>
      </c>
      <c r="DD106">
        <v>24.36141071428571</v>
      </c>
      <c r="DE106">
        <v>14.7902</v>
      </c>
      <c r="DF106">
        <v>969.6218214285716</v>
      </c>
      <c r="DG106">
        <v>24.31946785714286</v>
      </c>
      <c r="DH106">
        <v>400.0791428571429</v>
      </c>
      <c r="DI106">
        <v>90.40855714285713</v>
      </c>
      <c r="DJ106">
        <v>0.09997689642857144</v>
      </c>
      <c r="DK106">
        <v>31.16837857142858</v>
      </c>
      <c r="DL106">
        <v>30.08724285714286</v>
      </c>
      <c r="DM106">
        <v>999.9000000000002</v>
      </c>
      <c r="DN106">
        <v>0</v>
      </c>
      <c r="DO106">
        <v>0</v>
      </c>
      <c r="DP106">
        <v>10008.05571428571</v>
      </c>
      <c r="DQ106">
        <v>0</v>
      </c>
      <c r="DR106">
        <v>462.2478571428571</v>
      </c>
      <c r="DS106">
        <v>-92.42807857142857</v>
      </c>
      <c r="DT106">
        <v>992.7872857142856</v>
      </c>
      <c r="DU106">
        <v>1076.960714285714</v>
      </c>
      <c r="DV106">
        <v>9.571215714285715</v>
      </c>
      <c r="DW106">
        <v>1061.029642857143</v>
      </c>
      <c r="DX106">
        <v>14.7902</v>
      </c>
      <c r="DY106">
        <v>2.202480357142857</v>
      </c>
      <c r="DZ106">
        <v>1.337160714285714</v>
      </c>
      <c r="EA106">
        <v>18.98035714285714</v>
      </c>
      <c r="EB106">
        <v>11.22184285714286</v>
      </c>
      <c r="EC106">
        <v>1499.978571428571</v>
      </c>
      <c r="ED106">
        <v>0.9730041428571429</v>
      </c>
      <c r="EE106">
        <v>0.02699582857142858</v>
      </c>
      <c r="EF106">
        <v>0</v>
      </c>
      <c r="EG106">
        <v>1082.573928571429</v>
      </c>
      <c r="EH106">
        <v>5.00097</v>
      </c>
      <c r="EI106">
        <v>17186.25714285714</v>
      </c>
      <c r="EJ106">
        <v>12491.43571428571</v>
      </c>
      <c r="EK106">
        <v>39.56199999999999</v>
      </c>
      <c r="EL106">
        <v>41.125</v>
      </c>
      <c r="EM106">
        <v>39.81199999999999</v>
      </c>
      <c r="EN106">
        <v>40.91928571428571</v>
      </c>
      <c r="EO106">
        <v>40.781</v>
      </c>
      <c r="EP106">
        <v>1454.617857142857</v>
      </c>
      <c r="EQ106">
        <v>40.36071428571428</v>
      </c>
      <c r="ER106">
        <v>0</v>
      </c>
      <c r="ES106">
        <v>765.3999998569489</v>
      </c>
      <c r="ET106">
        <v>0</v>
      </c>
      <c r="EU106">
        <v>1082.426923076923</v>
      </c>
      <c r="EV106">
        <v>-71.5507692777807</v>
      </c>
      <c r="EW106">
        <v>-1166.86495822825</v>
      </c>
      <c r="EX106">
        <v>17184.05384615385</v>
      </c>
      <c r="EY106">
        <v>15</v>
      </c>
      <c r="EZ106">
        <v>1652371289.6</v>
      </c>
      <c r="FA106" t="s">
        <v>515</v>
      </c>
      <c r="FB106">
        <v>1652371289.6</v>
      </c>
      <c r="FC106">
        <v>1652371275.1</v>
      </c>
      <c r="FD106">
        <v>24</v>
      </c>
      <c r="FE106">
        <v>0.442</v>
      </c>
      <c r="FF106">
        <v>0.001</v>
      </c>
      <c r="FG106">
        <v>-2.63</v>
      </c>
      <c r="FH106">
        <v>0.007</v>
      </c>
      <c r="FI106">
        <v>1620</v>
      </c>
      <c r="FJ106">
        <v>22</v>
      </c>
      <c r="FK106">
        <v>0.08</v>
      </c>
      <c r="FL106">
        <v>0.04</v>
      </c>
      <c r="FM106">
        <v>-92.60028500000001</v>
      </c>
      <c r="FN106">
        <v>4.615614258911949</v>
      </c>
      <c r="FO106">
        <v>0.4670577435125131</v>
      </c>
      <c r="FP106">
        <v>-1</v>
      </c>
      <c r="FQ106">
        <v>9.718302750000001</v>
      </c>
      <c r="FR106">
        <v>-3.467218649155756</v>
      </c>
      <c r="FS106">
        <v>0.3345046387719272</v>
      </c>
      <c r="FT106">
        <v>0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1</v>
      </c>
      <c r="GA106" t="s">
        <v>432</v>
      </c>
      <c r="GB106">
        <v>2.69614</v>
      </c>
      <c r="GC106">
        <v>2.7052</v>
      </c>
      <c r="GD106">
        <v>0.170782</v>
      </c>
      <c r="GE106">
        <v>0.178656</v>
      </c>
      <c r="GF106">
        <v>0.107005</v>
      </c>
      <c r="GG106">
        <v>0.07532609999999999</v>
      </c>
      <c r="GH106">
        <v>26078.9</v>
      </c>
      <c r="GI106">
        <v>25943.3</v>
      </c>
      <c r="GJ106">
        <v>29256.8</v>
      </c>
      <c r="GK106">
        <v>29230.7</v>
      </c>
      <c r="GL106">
        <v>34590.5</v>
      </c>
      <c r="GM106">
        <v>35982.8</v>
      </c>
      <c r="GN106">
        <v>41177.9</v>
      </c>
      <c r="GO106">
        <v>41705.5</v>
      </c>
      <c r="GP106">
        <v>1.72552</v>
      </c>
      <c r="GQ106">
        <v>2.03453</v>
      </c>
      <c r="GR106">
        <v>0.0751317</v>
      </c>
      <c r="GS106">
        <v>0</v>
      </c>
      <c r="GT106">
        <v>28.8622</v>
      </c>
      <c r="GU106">
        <v>999.9</v>
      </c>
      <c r="GV106">
        <v>44.8</v>
      </c>
      <c r="GW106">
        <v>32.8</v>
      </c>
      <c r="GX106">
        <v>24.7546</v>
      </c>
      <c r="GY106">
        <v>63.2879</v>
      </c>
      <c r="GZ106">
        <v>29.0345</v>
      </c>
      <c r="HA106">
        <v>1</v>
      </c>
      <c r="HB106">
        <v>0.238506</v>
      </c>
      <c r="HC106">
        <v>0.89912</v>
      </c>
      <c r="HD106">
        <v>20.3787</v>
      </c>
      <c r="HE106">
        <v>5.21594</v>
      </c>
      <c r="HF106">
        <v>12.0099</v>
      </c>
      <c r="HG106">
        <v>4.98755</v>
      </c>
      <c r="HH106">
        <v>3.2884</v>
      </c>
      <c r="HI106">
        <v>2714.3</v>
      </c>
      <c r="HJ106">
        <v>9999</v>
      </c>
      <c r="HK106">
        <v>9999</v>
      </c>
      <c r="HL106">
        <v>49.9</v>
      </c>
      <c r="HM106">
        <v>1.86722</v>
      </c>
      <c r="HN106">
        <v>1.86616</v>
      </c>
      <c r="HO106">
        <v>1.86579</v>
      </c>
      <c r="HP106">
        <v>1.86569</v>
      </c>
      <c r="HQ106">
        <v>1.86742</v>
      </c>
      <c r="HR106">
        <v>1.86998</v>
      </c>
      <c r="HS106">
        <v>1.86865</v>
      </c>
      <c r="HT106">
        <v>1.87</v>
      </c>
      <c r="HU106">
        <v>0</v>
      </c>
      <c r="HV106">
        <v>0</v>
      </c>
      <c r="HW106">
        <v>0</v>
      </c>
      <c r="HX106">
        <v>0</v>
      </c>
      <c r="HY106" t="s">
        <v>421</v>
      </c>
      <c r="HZ106" t="s">
        <v>422</v>
      </c>
      <c r="IA106" t="s">
        <v>423</v>
      </c>
      <c r="IB106" t="s">
        <v>423</v>
      </c>
      <c r="IC106" t="s">
        <v>423</v>
      </c>
      <c r="ID106" t="s">
        <v>423</v>
      </c>
      <c r="IE106">
        <v>0</v>
      </c>
      <c r="IF106">
        <v>100</v>
      </c>
      <c r="IG106">
        <v>100</v>
      </c>
      <c r="IH106">
        <v>-1.086</v>
      </c>
      <c r="II106">
        <v>0.0411</v>
      </c>
      <c r="IJ106">
        <v>1.257309091789605</v>
      </c>
      <c r="IK106">
        <v>-0.002185601614162945</v>
      </c>
      <c r="IL106">
        <v>-2.252308143750626E-07</v>
      </c>
      <c r="IM106">
        <v>5.915558436307541E-11</v>
      </c>
      <c r="IN106">
        <v>-0.118683452207699</v>
      </c>
      <c r="IO106">
        <v>-0.007570214193104963</v>
      </c>
      <c r="IP106">
        <v>0.0009214429922928372</v>
      </c>
      <c r="IQ106">
        <v>-1.392260276065805E-05</v>
      </c>
      <c r="IR106">
        <v>17</v>
      </c>
      <c r="IS106">
        <v>2272</v>
      </c>
      <c r="IT106">
        <v>1</v>
      </c>
      <c r="IU106">
        <v>31</v>
      </c>
      <c r="IV106">
        <v>10.7</v>
      </c>
      <c r="IW106">
        <v>10.9</v>
      </c>
      <c r="IX106">
        <v>2.2522</v>
      </c>
      <c r="IY106">
        <v>2.20215</v>
      </c>
      <c r="IZ106">
        <v>1.39648</v>
      </c>
      <c r="JA106">
        <v>2.35352</v>
      </c>
      <c r="JB106">
        <v>1.49536</v>
      </c>
      <c r="JC106">
        <v>2.37061</v>
      </c>
      <c r="JD106">
        <v>36.2459</v>
      </c>
      <c r="JE106">
        <v>15.3491</v>
      </c>
      <c r="JF106">
        <v>18</v>
      </c>
      <c r="JG106">
        <v>387.777</v>
      </c>
      <c r="JH106">
        <v>568.116</v>
      </c>
      <c r="JI106">
        <v>29.2948</v>
      </c>
      <c r="JJ106">
        <v>30.533</v>
      </c>
      <c r="JK106">
        <v>30</v>
      </c>
      <c r="JL106">
        <v>30.4335</v>
      </c>
      <c r="JM106">
        <v>30.3285</v>
      </c>
      <c r="JN106">
        <v>45.0853</v>
      </c>
      <c r="JO106">
        <v>36.8748</v>
      </c>
      <c r="JP106">
        <v>0</v>
      </c>
      <c r="JQ106">
        <v>29.2417</v>
      </c>
      <c r="JR106">
        <v>1108.86</v>
      </c>
      <c r="JS106">
        <v>15.4347</v>
      </c>
      <c r="JT106">
        <v>100.002</v>
      </c>
      <c r="JU106">
        <v>100.112</v>
      </c>
    </row>
    <row r="107" spans="1:281">
      <c r="A107">
        <v>91</v>
      </c>
      <c r="B107">
        <v>1652371936.6</v>
      </c>
      <c r="C107">
        <v>3843</v>
      </c>
      <c r="D107" t="s">
        <v>649</v>
      </c>
      <c r="E107" t="s">
        <v>650</v>
      </c>
      <c r="F107">
        <v>5</v>
      </c>
      <c r="G107" t="s">
        <v>518</v>
      </c>
      <c r="H107" t="s">
        <v>414</v>
      </c>
      <c r="I107">
        <v>1652371929.1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1106.91895462572</v>
      </c>
      <c r="AK107">
        <v>1035.546909090909</v>
      </c>
      <c r="AL107">
        <v>3.41559903226692</v>
      </c>
      <c r="AM107">
        <v>65.95105977519088</v>
      </c>
      <c r="AN107">
        <f>(AP107 - AO107 + DI107*1E3/(8.314*(DK107+273.15)) * AR107/DH107 * AQ107) * DH107/(100*CV107) * 1000/(1000 - AP107)</f>
        <v>0</v>
      </c>
      <c r="AO107">
        <v>15.14013074640112</v>
      </c>
      <c r="AP107">
        <v>24.24442867132868</v>
      </c>
      <c r="AQ107">
        <v>-0.01503883483853617</v>
      </c>
      <c r="AR107">
        <v>81.26040297655408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417</v>
      </c>
      <c r="AY107" t="s">
        <v>417</v>
      </c>
      <c r="AZ107">
        <v>0</v>
      </c>
      <c r="BA107">
        <v>0</v>
      </c>
      <c r="BB107">
        <f>1-AZ107/BA107</f>
        <v>0</v>
      </c>
      <c r="BC107">
        <v>0</v>
      </c>
      <c r="BD107" t="s">
        <v>417</v>
      </c>
      <c r="BE107" t="s">
        <v>417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1393</v>
      </c>
      <c r="CA107">
        <v>300</v>
      </c>
      <c r="CB107">
        <v>300</v>
      </c>
      <c r="CC107">
        <v>300</v>
      </c>
      <c r="CD107">
        <v>10378</v>
      </c>
      <c r="CE107">
        <v>2050</v>
      </c>
      <c r="CF107">
        <v>-0.00730649</v>
      </c>
      <c r="CG107">
        <v>-4.53</v>
      </c>
      <c r="CH107" t="s">
        <v>417</v>
      </c>
      <c r="CI107" t="s">
        <v>417</v>
      </c>
      <c r="CJ107" t="s">
        <v>417</v>
      </c>
      <c r="CK107" t="s">
        <v>417</v>
      </c>
      <c r="CL107" t="s">
        <v>417</v>
      </c>
      <c r="CM107" t="s">
        <v>417</v>
      </c>
      <c r="CN107" t="s">
        <v>417</v>
      </c>
      <c r="CO107" t="s">
        <v>417</v>
      </c>
      <c r="CP107" t="s">
        <v>417</v>
      </c>
      <c r="CQ107" t="s">
        <v>417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418</v>
      </c>
      <c r="CY107">
        <v>2</v>
      </c>
      <c r="CZ107" t="b">
        <v>1</v>
      </c>
      <c r="DA107">
        <v>1652371929.1</v>
      </c>
      <c r="DB107">
        <v>986.706074074074</v>
      </c>
      <c r="DC107">
        <v>1078.41</v>
      </c>
      <c r="DD107">
        <v>24.31314444444445</v>
      </c>
      <c r="DE107">
        <v>15.03594074074074</v>
      </c>
      <c r="DF107">
        <v>987.7701851851853</v>
      </c>
      <c r="DG107">
        <v>24.2718</v>
      </c>
      <c r="DH107">
        <v>400.0837777777778</v>
      </c>
      <c r="DI107">
        <v>90.40989259259258</v>
      </c>
      <c r="DJ107">
        <v>0.1000084111111111</v>
      </c>
      <c r="DK107">
        <v>31.1484074074074</v>
      </c>
      <c r="DL107">
        <v>30.0841962962963</v>
      </c>
      <c r="DM107">
        <v>999.9000000000001</v>
      </c>
      <c r="DN107">
        <v>0</v>
      </c>
      <c r="DO107">
        <v>0</v>
      </c>
      <c r="DP107">
        <v>10002.84555555555</v>
      </c>
      <c r="DQ107">
        <v>0</v>
      </c>
      <c r="DR107">
        <v>464.5958148148148</v>
      </c>
      <c r="DS107">
        <v>-91.70474444444444</v>
      </c>
      <c r="DT107">
        <v>1011.292851851852</v>
      </c>
      <c r="DU107">
        <v>1094.874444444444</v>
      </c>
      <c r="DV107">
        <v>9.277205555555556</v>
      </c>
      <c r="DW107">
        <v>1078.41</v>
      </c>
      <c r="DX107">
        <v>15.03594074074074</v>
      </c>
      <c r="DY107">
        <v>2.198149629629629</v>
      </c>
      <c r="DZ107">
        <v>1.359397777777778</v>
      </c>
      <c r="EA107">
        <v>18.94881481481482</v>
      </c>
      <c r="EB107">
        <v>11.47115925925926</v>
      </c>
      <c r="EC107">
        <v>1500.002222222222</v>
      </c>
      <c r="ED107">
        <v>0.973004962962963</v>
      </c>
      <c r="EE107">
        <v>0.02699495925925927</v>
      </c>
      <c r="EF107">
        <v>0</v>
      </c>
      <c r="EG107">
        <v>1076.350740740741</v>
      </c>
      <c r="EH107">
        <v>5.00097</v>
      </c>
      <c r="EI107">
        <v>17086.56666666667</v>
      </c>
      <c r="EJ107">
        <v>12491.63703703704</v>
      </c>
      <c r="EK107">
        <v>39.56199999999999</v>
      </c>
      <c r="EL107">
        <v>41.125</v>
      </c>
      <c r="EM107">
        <v>39.81199999999999</v>
      </c>
      <c r="EN107">
        <v>40.91862962962963</v>
      </c>
      <c r="EO107">
        <v>40.76377777777778</v>
      </c>
      <c r="EP107">
        <v>1454.641851851852</v>
      </c>
      <c r="EQ107">
        <v>40.36037037037036</v>
      </c>
      <c r="ER107">
        <v>0</v>
      </c>
      <c r="ES107">
        <v>770.7999999523163</v>
      </c>
      <c r="ET107">
        <v>0</v>
      </c>
      <c r="EU107">
        <v>1075.7132</v>
      </c>
      <c r="EV107">
        <v>-70.49153845891038</v>
      </c>
      <c r="EW107">
        <v>-1133.130769362816</v>
      </c>
      <c r="EX107">
        <v>17076.54</v>
      </c>
      <c r="EY107">
        <v>15</v>
      </c>
      <c r="EZ107">
        <v>1652371289.6</v>
      </c>
      <c r="FA107" t="s">
        <v>515</v>
      </c>
      <c r="FB107">
        <v>1652371289.6</v>
      </c>
      <c r="FC107">
        <v>1652371275.1</v>
      </c>
      <c r="FD107">
        <v>24</v>
      </c>
      <c r="FE107">
        <v>0.442</v>
      </c>
      <c r="FF107">
        <v>0.001</v>
      </c>
      <c r="FG107">
        <v>-2.63</v>
      </c>
      <c r="FH107">
        <v>0.007</v>
      </c>
      <c r="FI107">
        <v>1620</v>
      </c>
      <c r="FJ107">
        <v>22</v>
      </c>
      <c r="FK107">
        <v>0.08</v>
      </c>
      <c r="FL107">
        <v>0.04</v>
      </c>
      <c r="FM107">
        <v>-92.13077250000001</v>
      </c>
      <c r="FN107">
        <v>7.580344840525619</v>
      </c>
      <c r="FO107">
        <v>0.780160007943081</v>
      </c>
      <c r="FP107">
        <v>-1</v>
      </c>
      <c r="FQ107">
        <v>9.488769</v>
      </c>
      <c r="FR107">
        <v>-3.295655009380897</v>
      </c>
      <c r="FS107">
        <v>0.3177323758589924</v>
      </c>
      <c r="FT107">
        <v>0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1</v>
      </c>
      <c r="GA107" t="s">
        <v>432</v>
      </c>
      <c r="GB107">
        <v>2.69606</v>
      </c>
      <c r="GC107">
        <v>2.70508</v>
      </c>
      <c r="GD107">
        <v>0.172625</v>
      </c>
      <c r="GE107">
        <v>0.180306</v>
      </c>
      <c r="GF107">
        <v>0.106847</v>
      </c>
      <c r="GG107">
        <v>0.07623770000000001</v>
      </c>
      <c r="GH107">
        <v>26020.7</v>
      </c>
      <c r="GI107">
        <v>25891.4</v>
      </c>
      <c r="GJ107">
        <v>29256.7</v>
      </c>
      <c r="GK107">
        <v>29231.1</v>
      </c>
      <c r="GL107">
        <v>34596.6</v>
      </c>
      <c r="GM107">
        <v>35947.7</v>
      </c>
      <c r="GN107">
        <v>41177.7</v>
      </c>
      <c r="GO107">
        <v>41706.2</v>
      </c>
      <c r="GP107">
        <v>1.72558</v>
      </c>
      <c r="GQ107">
        <v>2.0354</v>
      </c>
      <c r="GR107">
        <v>0.07465479999999999</v>
      </c>
      <c r="GS107">
        <v>0</v>
      </c>
      <c r="GT107">
        <v>28.8552</v>
      </c>
      <c r="GU107">
        <v>999.9</v>
      </c>
      <c r="GV107">
        <v>44.8</v>
      </c>
      <c r="GW107">
        <v>32.8</v>
      </c>
      <c r="GX107">
        <v>24.755</v>
      </c>
      <c r="GY107">
        <v>63.4779</v>
      </c>
      <c r="GZ107">
        <v>29.5513</v>
      </c>
      <c r="HA107">
        <v>1</v>
      </c>
      <c r="HB107">
        <v>0.238455</v>
      </c>
      <c r="HC107">
        <v>0.950379</v>
      </c>
      <c r="HD107">
        <v>20.3784</v>
      </c>
      <c r="HE107">
        <v>5.21609</v>
      </c>
      <c r="HF107">
        <v>12.0099</v>
      </c>
      <c r="HG107">
        <v>4.9874</v>
      </c>
      <c r="HH107">
        <v>3.2884</v>
      </c>
      <c r="HI107">
        <v>2714.3</v>
      </c>
      <c r="HJ107">
        <v>9999</v>
      </c>
      <c r="HK107">
        <v>9999</v>
      </c>
      <c r="HL107">
        <v>49.9</v>
      </c>
      <c r="HM107">
        <v>1.86722</v>
      </c>
      <c r="HN107">
        <v>1.86617</v>
      </c>
      <c r="HO107">
        <v>1.86576</v>
      </c>
      <c r="HP107">
        <v>1.86567</v>
      </c>
      <c r="HQ107">
        <v>1.86742</v>
      </c>
      <c r="HR107">
        <v>1.86998</v>
      </c>
      <c r="HS107">
        <v>1.86862</v>
      </c>
      <c r="HT107">
        <v>1.86998</v>
      </c>
      <c r="HU107">
        <v>0</v>
      </c>
      <c r="HV107">
        <v>0</v>
      </c>
      <c r="HW107">
        <v>0</v>
      </c>
      <c r="HX107">
        <v>0</v>
      </c>
      <c r="HY107" t="s">
        <v>421</v>
      </c>
      <c r="HZ107" t="s">
        <v>422</v>
      </c>
      <c r="IA107" t="s">
        <v>423</v>
      </c>
      <c r="IB107" t="s">
        <v>423</v>
      </c>
      <c r="IC107" t="s">
        <v>423</v>
      </c>
      <c r="ID107" t="s">
        <v>423</v>
      </c>
      <c r="IE107">
        <v>0</v>
      </c>
      <c r="IF107">
        <v>100</v>
      </c>
      <c r="IG107">
        <v>100</v>
      </c>
      <c r="IH107">
        <v>-1.12</v>
      </c>
      <c r="II107">
        <v>0.0404</v>
      </c>
      <c r="IJ107">
        <v>1.257309091789605</v>
      </c>
      <c r="IK107">
        <v>-0.002185601614162945</v>
      </c>
      <c r="IL107">
        <v>-2.252308143750626E-07</v>
      </c>
      <c r="IM107">
        <v>5.915558436307541E-11</v>
      </c>
      <c r="IN107">
        <v>-0.118683452207699</v>
      </c>
      <c r="IO107">
        <v>-0.007570214193104963</v>
      </c>
      <c r="IP107">
        <v>0.0009214429922928372</v>
      </c>
      <c r="IQ107">
        <v>-1.392260276065805E-05</v>
      </c>
      <c r="IR107">
        <v>17</v>
      </c>
      <c r="IS107">
        <v>2272</v>
      </c>
      <c r="IT107">
        <v>1</v>
      </c>
      <c r="IU107">
        <v>31</v>
      </c>
      <c r="IV107">
        <v>10.8</v>
      </c>
      <c r="IW107">
        <v>11</v>
      </c>
      <c r="IX107">
        <v>2.28149</v>
      </c>
      <c r="IY107">
        <v>2.20337</v>
      </c>
      <c r="IZ107">
        <v>1.39648</v>
      </c>
      <c r="JA107">
        <v>2.35474</v>
      </c>
      <c r="JB107">
        <v>1.49536</v>
      </c>
      <c r="JC107">
        <v>2.36572</v>
      </c>
      <c r="JD107">
        <v>36.2694</v>
      </c>
      <c r="JE107">
        <v>15.3491</v>
      </c>
      <c r="JF107">
        <v>18</v>
      </c>
      <c r="JG107">
        <v>387.804</v>
      </c>
      <c r="JH107">
        <v>568.777</v>
      </c>
      <c r="JI107">
        <v>29.2038</v>
      </c>
      <c r="JJ107">
        <v>30.5309</v>
      </c>
      <c r="JK107">
        <v>30</v>
      </c>
      <c r="JL107">
        <v>30.4335</v>
      </c>
      <c r="JM107">
        <v>30.3285</v>
      </c>
      <c r="JN107">
        <v>45.6696</v>
      </c>
      <c r="JO107">
        <v>36.2407</v>
      </c>
      <c r="JP107">
        <v>0</v>
      </c>
      <c r="JQ107">
        <v>29.1577</v>
      </c>
      <c r="JR107">
        <v>1122.25</v>
      </c>
      <c r="JS107">
        <v>15.7055</v>
      </c>
      <c r="JT107">
        <v>100.002</v>
      </c>
      <c r="JU107">
        <v>100.113</v>
      </c>
    </row>
    <row r="108" spans="1:281">
      <c r="A108">
        <v>92</v>
      </c>
      <c r="B108">
        <v>1652371941.6</v>
      </c>
      <c r="C108">
        <v>3848</v>
      </c>
      <c r="D108" t="s">
        <v>651</v>
      </c>
      <c r="E108" t="s">
        <v>652</v>
      </c>
      <c r="F108">
        <v>5</v>
      </c>
      <c r="G108" t="s">
        <v>518</v>
      </c>
      <c r="H108" t="s">
        <v>414</v>
      </c>
      <c r="I108">
        <v>1652371933.814285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1123.523081289913</v>
      </c>
      <c r="AK108">
        <v>1052.562181818181</v>
      </c>
      <c r="AL108">
        <v>3.400745532790827</v>
      </c>
      <c r="AM108">
        <v>65.95105977519088</v>
      </c>
      <c r="AN108">
        <f>(AP108 - AO108 + DI108*1E3/(8.314*(DK108+273.15)) * AR108/DH108 * AQ108) * DH108/(100*CV108) * 1000/(1000 - AP108)</f>
        <v>0</v>
      </c>
      <c r="AO108">
        <v>15.39528577897213</v>
      </c>
      <c r="AP108">
        <v>24.20401958041958</v>
      </c>
      <c r="AQ108">
        <v>-0.01047774486983108</v>
      </c>
      <c r="AR108">
        <v>81.26040297655408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417</v>
      </c>
      <c r="AY108" t="s">
        <v>417</v>
      </c>
      <c r="AZ108">
        <v>0</v>
      </c>
      <c r="BA108">
        <v>0</v>
      </c>
      <c r="BB108">
        <f>1-AZ108/BA108</f>
        <v>0</v>
      </c>
      <c r="BC108">
        <v>0</v>
      </c>
      <c r="BD108" t="s">
        <v>417</v>
      </c>
      <c r="BE108" t="s">
        <v>417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1393</v>
      </c>
      <c r="CA108">
        <v>300</v>
      </c>
      <c r="CB108">
        <v>300</v>
      </c>
      <c r="CC108">
        <v>300</v>
      </c>
      <c r="CD108">
        <v>10378</v>
      </c>
      <c r="CE108">
        <v>2050</v>
      </c>
      <c r="CF108">
        <v>-0.00730649</v>
      </c>
      <c r="CG108">
        <v>-4.53</v>
      </c>
      <c r="CH108" t="s">
        <v>417</v>
      </c>
      <c r="CI108" t="s">
        <v>417</v>
      </c>
      <c r="CJ108" t="s">
        <v>417</v>
      </c>
      <c r="CK108" t="s">
        <v>417</v>
      </c>
      <c r="CL108" t="s">
        <v>417</v>
      </c>
      <c r="CM108" t="s">
        <v>417</v>
      </c>
      <c r="CN108" t="s">
        <v>417</v>
      </c>
      <c r="CO108" t="s">
        <v>417</v>
      </c>
      <c r="CP108" t="s">
        <v>417</v>
      </c>
      <c r="CQ108" t="s">
        <v>417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418</v>
      </c>
      <c r="CY108">
        <v>2</v>
      </c>
      <c r="CZ108" t="b">
        <v>1</v>
      </c>
      <c r="DA108">
        <v>1652371933.814285</v>
      </c>
      <c r="DB108">
        <v>1002.698214285714</v>
      </c>
      <c r="DC108">
        <v>1093.669642857143</v>
      </c>
      <c r="DD108">
        <v>24.26996428571428</v>
      </c>
      <c r="DE108">
        <v>15.25669642857143</v>
      </c>
      <c r="DF108">
        <v>1003.801142857143</v>
      </c>
      <c r="DG108">
        <v>24.22915714285714</v>
      </c>
      <c r="DH108">
        <v>400.0900714285714</v>
      </c>
      <c r="DI108">
        <v>90.40928214285714</v>
      </c>
      <c r="DJ108">
        <v>0.1000006214285714</v>
      </c>
      <c r="DK108">
        <v>31.13049642857142</v>
      </c>
      <c r="DL108">
        <v>30.078525</v>
      </c>
      <c r="DM108">
        <v>999.9000000000002</v>
      </c>
      <c r="DN108">
        <v>0</v>
      </c>
      <c r="DO108">
        <v>0</v>
      </c>
      <c r="DP108">
        <v>10004.52571428572</v>
      </c>
      <c r="DQ108">
        <v>0</v>
      </c>
      <c r="DR108">
        <v>468.9665714285715</v>
      </c>
      <c r="DS108">
        <v>-90.97247142857144</v>
      </c>
      <c r="DT108">
        <v>1027.637857142857</v>
      </c>
      <c r="DU108">
        <v>1110.617857142857</v>
      </c>
      <c r="DV108">
        <v>9.01327</v>
      </c>
      <c r="DW108">
        <v>1093.669642857143</v>
      </c>
      <c r="DX108">
        <v>15.25669642857143</v>
      </c>
      <c r="DY108">
        <v>2.194230714285714</v>
      </c>
      <c r="DZ108">
        <v>1.379346071428571</v>
      </c>
      <c r="EA108">
        <v>18.92022857142857</v>
      </c>
      <c r="EB108">
        <v>11.69106428571429</v>
      </c>
      <c r="EC108">
        <v>1500.023214285714</v>
      </c>
      <c r="ED108">
        <v>0.9730053928571429</v>
      </c>
      <c r="EE108">
        <v>0.02699450357142857</v>
      </c>
      <c r="EF108">
        <v>0</v>
      </c>
      <c r="EG108">
        <v>1070.778571428571</v>
      </c>
      <c r="EH108">
        <v>5.00097</v>
      </c>
      <c r="EI108">
        <v>16999.66071428571</v>
      </c>
      <c r="EJ108">
        <v>12491.81071428571</v>
      </c>
      <c r="EK108">
        <v>39.56199999999999</v>
      </c>
      <c r="EL108">
        <v>41.125</v>
      </c>
      <c r="EM108">
        <v>39.81199999999999</v>
      </c>
      <c r="EN108">
        <v>40.91264285714285</v>
      </c>
      <c r="EO108">
        <v>40.75664285714286</v>
      </c>
      <c r="EP108">
        <v>1454.662857142857</v>
      </c>
      <c r="EQ108">
        <v>40.36035714285713</v>
      </c>
      <c r="ER108">
        <v>0</v>
      </c>
      <c r="ES108">
        <v>775.5999999046326</v>
      </c>
      <c r="ET108">
        <v>0</v>
      </c>
      <c r="EU108">
        <v>1070.018</v>
      </c>
      <c r="EV108">
        <v>-70.8776921982157</v>
      </c>
      <c r="EW108">
        <v>-1081.892306141177</v>
      </c>
      <c r="EX108">
        <v>16987.516</v>
      </c>
      <c r="EY108">
        <v>15</v>
      </c>
      <c r="EZ108">
        <v>1652371289.6</v>
      </c>
      <c r="FA108" t="s">
        <v>515</v>
      </c>
      <c r="FB108">
        <v>1652371289.6</v>
      </c>
      <c r="FC108">
        <v>1652371275.1</v>
      </c>
      <c r="FD108">
        <v>24</v>
      </c>
      <c r="FE108">
        <v>0.442</v>
      </c>
      <c r="FF108">
        <v>0.001</v>
      </c>
      <c r="FG108">
        <v>-2.63</v>
      </c>
      <c r="FH108">
        <v>0.007</v>
      </c>
      <c r="FI108">
        <v>1620</v>
      </c>
      <c r="FJ108">
        <v>22</v>
      </c>
      <c r="FK108">
        <v>0.08</v>
      </c>
      <c r="FL108">
        <v>0.04</v>
      </c>
      <c r="FM108">
        <v>-91.36815</v>
      </c>
      <c r="FN108">
        <v>9.717735084428009</v>
      </c>
      <c r="FO108">
        <v>0.955892262757681</v>
      </c>
      <c r="FP108">
        <v>-1</v>
      </c>
      <c r="FQ108">
        <v>9.145117500000001</v>
      </c>
      <c r="FR108">
        <v>-3.367907166979374</v>
      </c>
      <c r="FS108">
        <v>0.3249941733996934</v>
      </c>
      <c r="FT108">
        <v>0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1</v>
      </c>
      <c r="GA108" t="s">
        <v>432</v>
      </c>
      <c r="GB108">
        <v>2.69584</v>
      </c>
      <c r="GC108">
        <v>2.70513</v>
      </c>
      <c r="GD108">
        <v>0.174441</v>
      </c>
      <c r="GE108">
        <v>0.182027</v>
      </c>
      <c r="GF108">
        <v>0.106734</v>
      </c>
      <c r="GG108">
        <v>0.077265</v>
      </c>
      <c r="GH108">
        <v>25963.3</v>
      </c>
      <c r="GI108">
        <v>25836.9</v>
      </c>
      <c r="GJ108">
        <v>29256.5</v>
      </c>
      <c r="GK108">
        <v>29231</v>
      </c>
      <c r="GL108">
        <v>34600.9</v>
      </c>
      <c r="GM108">
        <v>35907.4</v>
      </c>
      <c r="GN108">
        <v>41177.5</v>
      </c>
      <c r="GO108">
        <v>41706.1</v>
      </c>
      <c r="GP108">
        <v>1.72482</v>
      </c>
      <c r="GQ108">
        <v>2.0358</v>
      </c>
      <c r="GR108">
        <v>0.0749379</v>
      </c>
      <c r="GS108">
        <v>0</v>
      </c>
      <c r="GT108">
        <v>28.8486</v>
      </c>
      <c r="GU108">
        <v>999.9</v>
      </c>
      <c r="GV108">
        <v>44.8</v>
      </c>
      <c r="GW108">
        <v>32.8</v>
      </c>
      <c r="GX108">
        <v>24.7566</v>
      </c>
      <c r="GY108">
        <v>63.1879</v>
      </c>
      <c r="GZ108">
        <v>29.5833</v>
      </c>
      <c r="HA108">
        <v>1</v>
      </c>
      <c r="HB108">
        <v>0.238443</v>
      </c>
      <c r="HC108">
        <v>0.953287</v>
      </c>
      <c r="HD108">
        <v>20.3784</v>
      </c>
      <c r="HE108">
        <v>5.21609</v>
      </c>
      <c r="HF108">
        <v>12.0099</v>
      </c>
      <c r="HG108">
        <v>4.98745</v>
      </c>
      <c r="HH108">
        <v>3.28835</v>
      </c>
      <c r="HI108">
        <v>2714.6</v>
      </c>
      <c r="HJ108">
        <v>9999</v>
      </c>
      <c r="HK108">
        <v>9999</v>
      </c>
      <c r="HL108">
        <v>49.9</v>
      </c>
      <c r="HM108">
        <v>1.86722</v>
      </c>
      <c r="HN108">
        <v>1.86618</v>
      </c>
      <c r="HO108">
        <v>1.86579</v>
      </c>
      <c r="HP108">
        <v>1.86568</v>
      </c>
      <c r="HQ108">
        <v>1.86742</v>
      </c>
      <c r="HR108">
        <v>1.86998</v>
      </c>
      <c r="HS108">
        <v>1.86863</v>
      </c>
      <c r="HT108">
        <v>1.86998</v>
      </c>
      <c r="HU108">
        <v>0</v>
      </c>
      <c r="HV108">
        <v>0</v>
      </c>
      <c r="HW108">
        <v>0</v>
      </c>
      <c r="HX108">
        <v>0</v>
      </c>
      <c r="HY108" t="s">
        <v>421</v>
      </c>
      <c r="HZ108" t="s">
        <v>422</v>
      </c>
      <c r="IA108" t="s">
        <v>423</v>
      </c>
      <c r="IB108" t="s">
        <v>423</v>
      </c>
      <c r="IC108" t="s">
        <v>423</v>
      </c>
      <c r="ID108" t="s">
        <v>423</v>
      </c>
      <c r="IE108">
        <v>0</v>
      </c>
      <c r="IF108">
        <v>100</v>
      </c>
      <c r="IG108">
        <v>100</v>
      </c>
      <c r="IH108">
        <v>-1.17</v>
      </c>
      <c r="II108">
        <v>0.04</v>
      </c>
      <c r="IJ108">
        <v>1.257309091789605</v>
      </c>
      <c r="IK108">
        <v>-0.002185601614162945</v>
      </c>
      <c r="IL108">
        <v>-2.252308143750626E-07</v>
      </c>
      <c r="IM108">
        <v>5.915558436307541E-11</v>
      </c>
      <c r="IN108">
        <v>-0.118683452207699</v>
      </c>
      <c r="IO108">
        <v>-0.007570214193104963</v>
      </c>
      <c r="IP108">
        <v>0.0009214429922928372</v>
      </c>
      <c r="IQ108">
        <v>-1.392260276065805E-05</v>
      </c>
      <c r="IR108">
        <v>17</v>
      </c>
      <c r="IS108">
        <v>2272</v>
      </c>
      <c r="IT108">
        <v>1</v>
      </c>
      <c r="IU108">
        <v>31</v>
      </c>
      <c r="IV108">
        <v>10.9</v>
      </c>
      <c r="IW108">
        <v>11.1</v>
      </c>
      <c r="IX108">
        <v>2.30835</v>
      </c>
      <c r="IY108">
        <v>2.20093</v>
      </c>
      <c r="IZ108">
        <v>1.39648</v>
      </c>
      <c r="JA108">
        <v>2.35474</v>
      </c>
      <c r="JB108">
        <v>1.49536</v>
      </c>
      <c r="JC108">
        <v>2.37915</v>
      </c>
      <c r="JD108">
        <v>36.2694</v>
      </c>
      <c r="JE108">
        <v>15.3491</v>
      </c>
      <c r="JF108">
        <v>18</v>
      </c>
      <c r="JG108">
        <v>387.404</v>
      </c>
      <c r="JH108">
        <v>569.079</v>
      </c>
      <c r="JI108">
        <v>29.1223</v>
      </c>
      <c r="JJ108">
        <v>30.5297</v>
      </c>
      <c r="JK108">
        <v>29.9999</v>
      </c>
      <c r="JL108">
        <v>30.4335</v>
      </c>
      <c r="JM108">
        <v>30.3285</v>
      </c>
      <c r="JN108">
        <v>46.19</v>
      </c>
      <c r="JO108">
        <v>35.6521</v>
      </c>
      <c r="JP108">
        <v>0</v>
      </c>
      <c r="JQ108">
        <v>29.0864</v>
      </c>
      <c r="JR108">
        <v>1142.3</v>
      </c>
      <c r="JS108">
        <v>15.9736</v>
      </c>
      <c r="JT108">
        <v>100.001</v>
      </c>
      <c r="JU108">
        <v>100.113</v>
      </c>
    </row>
    <row r="109" spans="1:281">
      <c r="A109">
        <v>93</v>
      </c>
      <c r="B109">
        <v>1652371946.6</v>
      </c>
      <c r="C109">
        <v>3853</v>
      </c>
      <c r="D109" t="s">
        <v>653</v>
      </c>
      <c r="E109" t="s">
        <v>654</v>
      </c>
      <c r="F109">
        <v>5</v>
      </c>
      <c r="G109" t="s">
        <v>518</v>
      </c>
      <c r="H109" t="s">
        <v>414</v>
      </c>
      <c r="I109">
        <v>1652371939.1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1140.857150610695</v>
      </c>
      <c r="AK109">
        <v>1069.879757575757</v>
      </c>
      <c r="AL109">
        <v>3.474525642835661</v>
      </c>
      <c r="AM109">
        <v>65.95105977519088</v>
      </c>
      <c r="AN109">
        <f>(AP109 - AO109 + DI109*1E3/(8.314*(DK109+273.15)) * AR109/DH109 * AQ109) * DH109/(100*CV109) * 1000/(1000 - AP109)</f>
        <v>0</v>
      </c>
      <c r="AO109">
        <v>15.67982509523282</v>
      </c>
      <c r="AP109">
        <v>24.18666643356645</v>
      </c>
      <c r="AQ109">
        <v>-0.0009048675186632317</v>
      </c>
      <c r="AR109">
        <v>81.26040297655408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417</v>
      </c>
      <c r="AY109" t="s">
        <v>417</v>
      </c>
      <c r="AZ109">
        <v>0</v>
      </c>
      <c r="BA109">
        <v>0</v>
      </c>
      <c r="BB109">
        <f>1-AZ109/BA109</f>
        <v>0</v>
      </c>
      <c r="BC109">
        <v>0</v>
      </c>
      <c r="BD109" t="s">
        <v>417</v>
      </c>
      <c r="BE109" t="s">
        <v>417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1393</v>
      </c>
      <c r="CA109">
        <v>300</v>
      </c>
      <c r="CB109">
        <v>300</v>
      </c>
      <c r="CC109">
        <v>300</v>
      </c>
      <c r="CD109">
        <v>10378</v>
      </c>
      <c r="CE109">
        <v>2050</v>
      </c>
      <c r="CF109">
        <v>-0.00730649</v>
      </c>
      <c r="CG109">
        <v>-4.53</v>
      </c>
      <c r="CH109" t="s">
        <v>417</v>
      </c>
      <c r="CI109" t="s">
        <v>417</v>
      </c>
      <c r="CJ109" t="s">
        <v>417</v>
      </c>
      <c r="CK109" t="s">
        <v>417</v>
      </c>
      <c r="CL109" t="s">
        <v>417</v>
      </c>
      <c r="CM109" t="s">
        <v>417</v>
      </c>
      <c r="CN109" t="s">
        <v>417</v>
      </c>
      <c r="CO109" t="s">
        <v>417</v>
      </c>
      <c r="CP109" t="s">
        <v>417</v>
      </c>
      <c r="CQ109" t="s">
        <v>417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418</v>
      </c>
      <c r="CY109">
        <v>2</v>
      </c>
      <c r="CZ109" t="b">
        <v>1</v>
      </c>
      <c r="DA109">
        <v>1652371939.1</v>
      </c>
      <c r="DB109">
        <v>1020.479925925926</v>
      </c>
      <c r="DC109">
        <v>1110.89</v>
      </c>
      <c r="DD109">
        <v>24.22501851851851</v>
      </c>
      <c r="DE109">
        <v>15.52485925925926</v>
      </c>
      <c r="DF109">
        <v>1021.626</v>
      </c>
      <c r="DG109">
        <v>24.18477407407408</v>
      </c>
      <c r="DH109">
        <v>400.0778148148148</v>
      </c>
      <c r="DI109">
        <v>90.40862222222222</v>
      </c>
      <c r="DJ109">
        <v>0.09998373333333331</v>
      </c>
      <c r="DK109">
        <v>31.10827407407408</v>
      </c>
      <c r="DL109">
        <v>30.0715962962963</v>
      </c>
      <c r="DM109">
        <v>999.9000000000001</v>
      </c>
      <c r="DN109">
        <v>0</v>
      </c>
      <c r="DO109">
        <v>0</v>
      </c>
      <c r="DP109">
        <v>10004.1137037037</v>
      </c>
      <c r="DQ109">
        <v>0</v>
      </c>
      <c r="DR109">
        <v>474.1347407407407</v>
      </c>
      <c r="DS109">
        <v>-90.41048148148147</v>
      </c>
      <c r="DT109">
        <v>1045.814074074074</v>
      </c>
      <c r="DU109">
        <v>1128.411851851852</v>
      </c>
      <c r="DV109">
        <v>8.700161481481482</v>
      </c>
      <c r="DW109">
        <v>1110.89</v>
      </c>
      <c r="DX109">
        <v>15.52485925925926</v>
      </c>
      <c r="DY109">
        <v>2.190150740740741</v>
      </c>
      <c r="DZ109">
        <v>1.40358037037037</v>
      </c>
      <c r="EA109">
        <v>18.89044074074074</v>
      </c>
      <c r="EB109">
        <v>11.95489259259259</v>
      </c>
      <c r="EC109">
        <v>1500.015185185185</v>
      </c>
      <c r="ED109">
        <v>0.9730057037037037</v>
      </c>
      <c r="EE109">
        <v>0.02699417407407408</v>
      </c>
      <c r="EF109">
        <v>0</v>
      </c>
      <c r="EG109">
        <v>1064.635925925926</v>
      </c>
      <c r="EH109">
        <v>5.00097</v>
      </c>
      <c r="EI109">
        <v>16901.45555555556</v>
      </c>
      <c r="EJ109">
        <v>12491.73703703703</v>
      </c>
      <c r="EK109">
        <v>39.56199999999999</v>
      </c>
      <c r="EL109">
        <v>41.125</v>
      </c>
      <c r="EM109">
        <v>39.81199999999999</v>
      </c>
      <c r="EN109">
        <v>40.89566666666666</v>
      </c>
      <c r="EO109">
        <v>40.75459259259259</v>
      </c>
      <c r="EP109">
        <v>1454.655185185185</v>
      </c>
      <c r="EQ109">
        <v>40.35999999999999</v>
      </c>
      <c r="ER109">
        <v>0</v>
      </c>
      <c r="ES109">
        <v>780.3999998569489</v>
      </c>
      <c r="ET109">
        <v>0</v>
      </c>
      <c r="EU109">
        <v>1064.46</v>
      </c>
      <c r="EV109">
        <v>-69.39076932696177</v>
      </c>
      <c r="EW109">
        <v>-1125.215386331421</v>
      </c>
      <c r="EX109">
        <v>16898.644</v>
      </c>
      <c r="EY109">
        <v>15</v>
      </c>
      <c r="EZ109">
        <v>1652371289.6</v>
      </c>
      <c r="FA109" t="s">
        <v>515</v>
      </c>
      <c r="FB109">
        <v>1652371289.6</v>
      </c>
      <c r="FC109">
        <v>1652371275.1</v>
      </c>
      <c r="FD109">
        <v>24</v>
      </c>
      <c r="FE109">
        <v>0.442</v>
      </c>
      <c r="FF109">
        <v>0.001</v>
      </c>
      <c r="FG109">
        <v>-2.63</v>
      </c>
      <c r="FH109">
        <v>0.007</v>
      </c>
      <c r="FI109">
        <v>1620</v>
      </c>
      <c r="FJ109">
        <v>22</v>
      </c>
      <c r="FK109">
        <v>0.08</v>
      </c>
      <c r="FL109">
        <v>0.04</v>
      </c>
      <c r="FM109">
        <v>-90.914055</v>
      </c>
      <c r="FN109">
        <v>6.940165103189717</v>
      </c>
      <c r="FO109">
        <v>0.7520234444317542</v>
      </c>
      <c r="FP109">
        <v>-1</v>
      </c>
      <c r="FQ109">
        <v>8.919154499999999</v>
      </c>
      <c r="FR109">
        <v>-3.529663789868684</v>
      </c>
      <c r="FS109">
        <v>0.3401754822510728</v>
      </c>
      <c r="FT109">
        <v>0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1</v>
      </c>
      <c r="GA109" t="s">
        <v>432</v>
      </c>
      <c r="GB109">
        <v>2.69583</v>
      </c>
      <c r="GC109">
        <v>2.70522</v>
      </c>
      <c r="GD109">
        <v>0.176285</v>
      </c>
      <c r="GE109">
        <v>0.183771</v>
      </c>
      <c r="GF109">
        <v>0.106681</v>
      </c>
      <c r="GG109">
        <v>0.07815660000000001</v>
      </c>
      <c r="GH109">
        <v>25905.8</v>
      </c>
      <c r="GI109">
        <v>25781.7</v>
      </c>
      <c r="GJ109">
        <v>29257.1</v>
      </c>
      <c r="GK109">
        <v>29231</v>
      </c>
      <c r="GL109">
        <v>34604</v>
      </c>
      <c r="GM109">
        <v>35872.5</v>
      </c>
      <c r="GN109">
        <v>41178.7</v>
      </c>
      <c r="GO109">
        <v>41706.1</v>
      </c>
      <c r="GP109">
        <v>1.7246</v>
      </c>
      <c r="GQ109">
        <v>2.0361</v>
      </c>
      <c r="GR109">
        <v>0.0739843</v>
      </c>
      <c r="GS109">
        <v>0</v>
      </c>
      <c r="GT109">
        <v>28.8422</v>
      </c>
      <c r="GU109">
        <v>999.9</v>
      </c>
      <c r="GV109">
        <v>44.8</v>
      </c>
      <c r="GW109">
        <v>32.8</v>
      </c>
      <c r="GX109">
        <v>24.7556</v>
      </c>
      <c r="GY109">
        <v>63.4079</v>
      </c>
      <c r="GZ109">
        <v>29.7837</v>
      </c>
      <c r="HA109">
        <v>1</v>
      </c>
      <c r="HB109">
        <v>0.23795</v>
      </c>
      <c r="HC109">
        <v>0.9682269999999999</v>
      </c>
      <c r="HD109">
        <v>20.3784</v>
      </c>
      <c r="HE109">
        <v>5.21549</v>
      </c>
      <c r="HF109">
        <v>12.0099</v>
      </c>
      <c r="HG109">
        <v>4.9876</v>
      </c>
      <c r="HH109">
        <v>3.28838</v>
      </c>
      <c r="HI109">
        <v>2714.6</v>
      </c>
      <c r="HJ109">
        <v>9999</v>
      </c>
      <c r="HK109">
        <v>9999</v>
      </c>
      <c r="HL109">
        <v>49.9</v>
      </c>
      <c r="HM109">
        <v>1.86722</v>
      </c>
      <c r="HN109">
        <v>1.86618</v>
      </c>
      <c r="HO109">
        <v>1.86578</v>
      </c>
      <c r="HP109">
        <v>1.86568</v>
      </c>
      <c r="HQ109">
        <v>1.8674</v>
      </c>
      <c r="HR109">
        <v>1.86996</v>
      </c>
      <c r="HS109">
        <v>1.86864</v>
      </c>
      <c r="HT109">
        <v>1.87</v>
      </c>
      <c r="HU109">
        <v>0</v>
      </c>
      <c r="HV109">
        <v>0</v>
      </c>
      <c r="HW109">
        <v>0</v>
      </c>
      <c r="HX109">
        <v>0</v>
      </c>
      <c r="HY109" t="s">
        <v>421</v>
      </c>
      <c r="HZ109" t="s">
        <v>422</v>
      </c>
      <c r="IA109" t="s">
        <v>423</v>
      </c>
      <c r="IB109" t="s">
        <v>423</v>
      </c>
      <c r="IC109" t="s">
        <v>423</v>
      </c>
      <c r="ID109" t="s">
        <v>423</v>
      </c>
      <c r="IE109">
        <v>0</v>
      </c>
      <c r="IF109">
        <v>100</v>
      </c>
      <c r="IG109">
        <v>100</v>
      </c>
      <c r="IH109">
        <v>-1.21</v>
      </c>
      <c r="II109">
        <v>0.0397</v>
      </c>
      <c r="IJ109">
        <v>1.257309091789605</v>
      </c>
      <c r="IK109">
        <v>-0.002185601614162945</v>
      </c>
      <c r="IL109">
        <v>-2.252308143750626E-07</v>
      </c>
      <c r="IM109">
        <v>5.915558436307541E-11</v>
      </c>
      <c r="IN109">
        <v>-0.118683452207699</v>
      </c>
      <c r="IO109">
        <v>-0.007570214193104963</v>
      </c>
      <c r="IP109">
        <v>0.0009214429922928372</v>
      </c>
      <c r="IQ109">
        <v>-1.392260276065805E-05</v>
      </c>
      <c r="IR109">
        <v>17</v>
      </c>
      <c r="IS109">
        <v>2272</v>
      </c>
      <c r="IT109">
        <v>1</v>
      </c>
      <c r="IU109">
        <v>31</v>
      </c>
      <c r="IV109">
        <v>10.9</v>
      </c>
      <c r="IW109">
        <v>11.2</v>
      </c>
      <c r="IX109">
        <v>2.33521</v>
      </c>
      <c r="IY109">
        <v>2.20337</v>
      </c>
      <c r="IZ109">
        <v>1.39648</v>
      </c>
      <c r="JA109">
        <v>2.35352</v>
      </c>
      <c r="JB109">
        <v>1.49536</v>
      </c>
      <c r="JC109">
        <v>2.34009</v>
      </c>
      <c r="JD109">
        <v>36.2694</v>
      </c>
      <c r="JE109">
        <v>15.3491</v>
      </c>
      <c r="JF109">
        <v>18</v>
      </c>
      <c r="JG109">
        <v>387.284</v>
      </c>
      <c r="JH109">
        <v>569.307</v>
      </c>
      <c r="JI109">
        <v>29.0489</v>
      </c>
      <c r="JJ109">
        <v>30.5283</v>
      </c>
      <c r="JK109">
        <v>30</v>
      </c>
      <c r="JL109">
        <v>30.4335</v>
      </c>
      <c r="JM109">
        <v>30.3285</v>
      </c>
      <c r="JN109">
        <v>46.7766</v>
      </c>
      <c r="JO109">
        <v>35.0553</v>
      </c>
      <c r="JP109">
        <v>0</v>
      </c>
      <c r="JQ109">
        <v>29.0154</v>
      </c>
      <c r="JR109">
        <v>1155.66</v>
      </c>
      <c r="JS109">
        <v>16.147</v>
      </c>
      <c r="JT109">
        <v>100.004</v>
      </c>
      <c r="JU109">
        <v>100.113</v>
      </c>
    </row>
    <row r="110" spans="1:281">
      <c r="A110">
        <v>94</v>
      </c>
      <c r="B110">
        <v>1652371951.6</v>
      </c>
      <c r="C110">
        <v>3858</v>
      </c>
      <c r="D110" t="s">
        <v>655</v>
      </c>
      <c r="E110" t="s">
        <v>656</v>
      </c>
      <c r="F110">
        <v>5</v>
      </c>
      <c r="G110" t="s">
        <v>518</v>
      </c>
      <c r="H110" t="s">
        <v>414</v>
      </c>
      <c r="I110">
        <v>1652371943.814285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1158.150266358862</v>
      </c>
      <c r="AK110">
        <v>1087.197818181818</v>
      </c>
      <c r="AL110">
        <v>3.46553399704465</v>
      </c>
      <c r="AM110">
        <v>65.95105977519088</v>
      </c>
      <c r="AN110">
        <f>(AP110 - AO110 + DI110*1E3/(8.314*(DK110+273.15)) * AR110/DH110 * AQ110) * DH110/(100*CV110) * 1000/(1000 - AP110)</f>
        <v>0</v>
      </c>
      <c r="AO110">
        <v>15.93234063371307</v>
      </c>
      <c r="AP110">
        <v>24.16399720279722</v>
      </c>
      <c r="AQ110">
        <v>-0.005017977619363592</v>
      </c>
      <c r="AR110">
        <v>81.26040297655408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417</v>
      </c>
      <c r="AY110" t="s">
        <v>417</v>
      </c>
      <c r="AZ110">
        <v>0</v>
      </c>
      <c r="BA110">
        <v>0</v>
      </c>
      <c r="BB110">
        <f>1-AZ110/BA110</f>
        <v>0</v>
      </c>
      <c r="BC110">
        <v>0</v>
      </c>
      <c r="BD110" t="s">
        <v>417</v>
      </c>
      <c r="BE110" t="s">
        <v>417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1393</v>
      </c>
      <c r="CA110">
        <v>300</v>
      </c>
      <c r="CB110">
        <v>300</v>
      </c>
      <c r="CC110">
        <v>300</v>
      </c>
      <c r="CD110">
        <v>10378</v>
      </c>
      <c r="CE110">
        <v>2050</v>
      </c>
      <c r="CF110">
        <v>-0.00730649</v>
      </c>
      <c r="CG110">
        <v>-4.53</v>
      </c>
      <c r="CH110" t="s">
        <v>417</v>
      </c>
      <c r="CI110" t="s">
        <v>417</v>
      </c>
      <c r="CJ110" t="s">
        <v>417</v>
      </c>
      <c r="CK110" t="s">
        <v>417</v>
      </c>
      <c r="CL110" t="s">
        <v>417</v>
      </c>
      <c r="CM110" t="s">
        <v>417</v>
      </c>
      <c r="CN110" t="s">
        <v>417</v>
      </c>
      <c r="CO110" t="s">
        <v>417</v>
      </c>
      <c r="CP110" t="s">
        <v>417</v>
      </c>
      <c r="CQ110" t="s">
        <v>417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418</v>
      </c>
      <c r="CY110">
        <v>2</v>
      </c>
      <c r="CZ110" t="b">
        <v>1</v>
      </c>
      <c r="DA110">
        <v>1652371943.814285</v>
      </c>
      <c r="DB110">
        <v>1036.303214285714</v>
      </c>
      <c r="DC110">
        <v>1126.54</v>
      </c>
      <c r="DD110">
        <v>24.19707857142857</v>
      </c>
      <c r="DE110">
        <v>15.76701071428572</v>
      </c>
      <c r="DF110">
        <v>1037.488571428572</v>
      </c>
      <c r="DG110">
        <v>24.15718928571428</v>
      </c>
      <c r="DH110">
        <v>400.0841071428572</v>
      </c>
      <c r="DI110">
        <v>90.40868928571429</v>
      </c>
      <c r="DJ110">
        <v>0.0999672392857143</v>
      </c>
      <c r="DK110">
        <v>31.08698928571429</v>
      </c>
      <c r="DL110">
        <v>30.05928214285714</v>
      </c>
      <c r="DM110">
        <v>999.9000000000002</v>
      </c>
      <c r="DN110">
        <v>0</v>
      </c>
      <c r="DO110">
        <v>0</v>
      </c>
      <c r="DP110">
        <v>10009.70178571429</v>
      </c>
      <c r="DQ110">
        <v>0</v>
      </c>
      <c r="DR110">
        <v>480.3597857142857</v>
      </c>
      <c r="DS110">
        <v>-90.23692857142858</v>
      </c>
      <c r="DT110">
        <v>1062.000357142857</v>
      </c>
      <c r="DU110">
        <v>1144.59</v>
      </c>
      <c r="DV110">
        <v>8.430080714285713</v>
      </c>
      <c r="DW110">
        <v>1126.54</v>
      </c>
      <c r="DX110">
        <v>15.76701071428572</v>
      </c>
      <c r="DY110">
        <v>2.187626785714285</v>
      </c>
      <c r="DZ110">
        <v>1.425473928571428</v>
      </c>
      <c r="EA110">
        <v>18.87198214285715</v>
      </c>
      <c r="EB110">
        <v>12.19000714285714</v>
      </c>
      <c r="EC110">
        <v>1500.015</v>
      </c>
      <c r="ED110">
        <v>0.9730057499999999</v>
      </c>
      <c r="EE110">
        <v>0.026994125</v>
      </c>
      <c r="EF110">
        <v>0</v>
      </c>
      <c r="EG110">
        <v>1059.234285714286</v>
      </c>
      <c r="EH110">
        <v>5.00097</v>
      </c>
      <c r="EI110">
        <v>16821.41071428571</v>
      </c>
      <c r="EJ110">
        <v>12491.73571428571</v>
      </c>
      <c r="EK110">
        <v>39.56199999999999</v>
      </c>
      <c r="EL110">
        <v>41.125</v>
      </c>
      <c r="EM110">
        <v>39.81199999999999</v>
      </c>
      <c r="EN110">
        <v>40.88385714285715</v>
      </c>
      <c r="EO110">
        <v>40.75</v>
      </c>
      <c r="EP110">
        <v>1454.655</v>
      </c>
      <c r="EQ110">
        <v>40.35999999999999</v>
      </c>
      <c r="ER110">
        <v>0</v>
      </c>
      <c r="ES110">
        <v>785.7999999523163</v>
      </c>
      <c r="ET110">
        <v>0</v>
      </c>
      <c r="EU110">
        <v>1058.634230769231</v>
      </c>
      <c r="EV110">
        <v>-66.30735046718871</v>
      </c>
      <c r="EW110">
        <v>-926.61880402475</v>
      </c>
      <c r="EX110">
        <v>16814.26153846154</v>
      </c>
      <c r="EY110">
        <v>15</v>
      </c>
      <c r="EZ110">
        <v>1652371289.6</v>
      </c>
      <c r="FA110" t="s">
        <v>515</v>
      </c>
      <c r="FB110">
        <v>1652371289.6</v>
      </c>
      <c r="FC110">
        <v>1652371275.1</v>
      </c>
      <c r="FD110">
        <v>24</v>
      </c>
      <c r="FE110">
        <v>0.442</v>
      </c>
      <c r="FF110">
        <v>0.001</v>
      </c>
      <c r="FG110">
        <v>-2.63</v>
      </c>
      <c r="FH110">
        <v>0.007</v>
      </c>
      <c r="FI110">
        <v>1620</v>
      </c>
      <c r="FJ110">
        <v>22</v>
      </c>
      <c r="FK110">
        <v>0.08</v>
      </c>
      <c r="FL110">
        <v>0.04</v>
      </c>
      <c r="FM110">
        <v>-90.359925</v>
      </c>
      <c r="FN110">
        <v>2.199714821763638</v>
      </c>
      <c r="FO110">
        <v>0.2806903425039782</v>
      </c>
      <c r="FP110">
        <v>-1</v>
      </c>
      <c r="FQ110">
        <v>8.576055</v>
      </c>
      <c r="FR110">
        <v>-3.455339212007544</v>
      </c>
      <c r="FS110">
        <v>0.3330227174458223</v>
      </c>
      <c r="FT110">
        <v>0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1</v>
      </c>
      <c r="GA110" t="s">
        <v>432</v>
      </c>
      <c r="GB110">
        <v>2.6959</v>
      </c>
      <c r="GC110">
        <v>2.70519</v>
      </c>
      <c r="GD110">
        <v>0.178117</v>
      </c>
      <c r="GE110">
        <v>0.185495</v>
      </c>
      <c r="GF110">
        <v>0.106611</v>
      </c>
      <c r="GG110">
        <v>0.0787986</v>
      </c>
      <c r="GH110">
        <v>25847.9</v>
      </c>
      <c r="GI110">
        <v>25726.5</v>
      </c>
      <c r="GJ110">
        <v>29256.8</v>
      </c>
      <c r="GK110">
        <v>29230.3</v>
      </c>
      <c r="GL110">
        <v>34606.3</v>
      </c>
      <c r="GM110">
        <v>35846.5</v>
      </c>
      <c r="GN110">
        <v>41178.2</v>
      </c>
      <c r="GO110">
        <v>41705</v>
      </c>
      <c r="GP110">
        <v>1.72462</v>
      </c>
      <c r="GQ110">
        <v>2.03632</v>
      </c>
      <c r="GR110">
        <v>0.0734031</v>
      </c>
      <c r="GS110">
        <v>0</v>
      </c>
      <c r="GT110">
        <v>28.8368</v>
      </c>
      <c r="GU110">
        <v>999.9</v>
      </c>
      <c r="GV110">
        <v>44.9</v>
      </c>
      <c r="GW110">
        <v>32.8</v>
      </c>
      <c r="GX110">
        <v>24.8094</v>
      </c>
      <c r="GY110">
        <v>63.2979</v>
      </c>
      <c r="GZ110">
        <v>29.6194</v>
      </c>
      <c r="HA110">
        <v>1</v>
      </c>
      <c r="HB110">
        <v>0.237871</v>
      </c>
      <c r="HC110">
        <v>0.929902</v>
      </c>
      <c r="HD110">
        <v>20.3786</v>
      </c>
      <c r="HE110">
        <v>5.21714</v>
      </c>
      <c r="HF110">
        <v>12.0099</v>
      </c>
      <c r="HG110">
        <v>4.9878</v>
      </c>
      <c r="HH110">
        <v>3.28842</v>
      </c>
      <c r="HI110">
        <v>2714.8</v>
      </c>
      <c r="HJ110">
        <v>9999</v>
      </c>
      <c r="HK110">
        <v>9999</v>
      </c>
      <c r="HL110">
        <v>49.9</v>
      </c>
      <c r="HM110">
        <v>1.86722</v>
      </c>
      <c r="HN110">
        <v>1.86616</v>
      </c>
      <c r="HO110">
        <v>1.86581</v>
      </c>
      <c r="HP110">
        <v>1.86569</v>
      </c>
      <c r="HQ110">
        <v>1.86739</v>
      </c>
      <c r="HR110">
        <v>1.86999</v>
      </c>
      <c r="HS110">
        <v>1.86863</v>
      </c>
      <c r="HT110">
        <v>1.87</v>
      </c>
      <c r="HU110">
        <v>0</v>
      </c>
      <c r="HV110">
        <v>0</v>
      </c>
      <c r="HW110">
        <v>0</v>
      </c>
      <c r="HX110">
        <v>0</v>
      </c>
      <c r="HY110" t="s">
        <v>421</v>
      </c>
      <c r="HZ110" t="s">
        <v>422</v>
      </c>
      <c r="IA110" t="s">
        <v>423</v>
      </c>
      <c r="IB110" t="s">
        <v>423</v>
      </c>
      <c r="IC110" t="s">
        <v>423</v>
      </c>
      <c r="ID110" t="s">
        <v>423</v>
      </c>
      <c r="IE110">
        <v>0</v>
      </c>
      <c r="IF110">
        <v>100</v>
      </c>
      <c r="IG110">
        <v>100</v>
      </c>
      <c r="IH110">
        <v>-1.25</v>
      </c>
      <c r="II110">
        <v>0.0395</v>
      </c>
      <c r="IJ110">
        <v>1.257309091789605</v>
      </c>
      <c r="IK110">
        <v>-0.002185601614162945</v>
      </c>
      <c r="IL110">
        <v>-2.252308143750626E-07</v>
      </c>
      <c r="IM110">
        <v>5.915558436307541E-11</v>
      </c>
      <c r="IN110">
        <v>-0.118683452207699</v>
      </c>
      <c r="IO110">
        <v>-0.007570214193104963</v>
      </c>
      <c r="IP110">
        <v>0.0009214429922928372</v>
      </c>
      <c r="IQ110">
        <v>-1.392260276065805E-05</v>
      </c>
      <c r="IR110">
        <v>17</v>
      </c>
      <c r="IS110">
        <v>2272</v>
      </c>
      <c r="IT110">
        <v>1</v>
      </c>
      <c r="IU110">
        <v>31</v>
      </c>
      <c r="IV110">
        <v>11</v>
      </c>
      <c r="IW110">
        <v>11.3</v>
      </c>
      <c r="IX110">
        <v>2.36206</v>
      </c>
      <c r="IY110">
        <v>2.20215</v>
      </c>
      <c r="IZ110">
        <v>1.39648</v>
      </c>
      <c r="JA110">
        <v>2.35352</v>
      </c>
      <c r="JB110">
        <v>1.49536</v>
      </c>
      <c r="JC110">
        <v>2.33887</v>
      </c>
      <c r="JD110">
        <v>36.2929</v>
      </c>
      <c r="JE110">
        <v>15.3491</v>
      </c>
      <c r="JF110">
        <v>18</v>
      </c>
      <c r="JG110">
        <v>387.282</v>
      </c>
      <c r="JH110">
        <v>569.477</v>
      </c>
      <c r="JI110">
        <v>28.9802</v>
      </c>
      <c r="JJ110">
        <v>30.5258</v>
      </c>
      <c r="JK110">
        <v>30</v>
      </c>
      <c r="JL110">
        <v>30.4309</v>
      </c>
      <c r="JM110">
        <v>30.3285</v>
      </c>
      <c r="JN110">
        <v>47.2845</v>
      </c>
      <c r="JO110">
        <v>34.4282</v>
      </c>
      <c r="JP110">
        <v>0</v>
      </c>
      <c r="JQ110">
        <v>28.9656</v>
      </c>
      <c r="JR110">
        <v>1175.7</v>
      </c>
      <c r="JS110">
        <v>16.3892</v>
      </c>
      <c r="JT110">
        <v>100.003</v>
      </c>
      <c r="JU110">
        <v>100.11</v>
      </c>
    </row>
    <row r="111" spans="1:281">
      <c r="A111">
        <v>95</v>
      </c>
      <c r="B111">
        <v>1652371956.6</v>
      </c>
      <c r="C111">
        <v>3863</v>
      </c>
      <c r="D111" t="s">
        <v>657</v>
      </c>
      <c r="E111" t="s">
        <v>658</v>
      </c>
      <c r="F111">
        <v>5</v>
      </c>
      <c r="G111" t="s">
        <v>518</v>
      </c>
      <c r="H111" t="s">
        <v>414</v>
      </c>
      <c r="I111">
        <v>1652371949.1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1175.49296246788</v>
      </c>
      <c r="AK111">
        <v>1104.789393939394</v>
      </c>
      <c r="AL111">
        <v>3.521163208941175</v>
      </c>
      <c r="AM111">
        <v>65.95105977519088</v>
      </c>
      <c r="AN111">
        <f>(AP111 - AO111 + DI111*1E3/(8.314*(DK111+273.15)) * AR111/DH111 * AQ111) * DH111/(100*CV111) * 1000/(1000 - AP111)</f>
        <v>0</v>
      </c>
      <c r="AO111">
        <v>16.10817763588594</v>
      </c>
      <c r="AP111">
        <v>24.12544965034967</v>
      </c>
      <c r="AQ111">
        <v>-0.007783980181445268</v>
      </c>
      <c r="AR111">
        <v>81.26040297655408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417</v>
      </c>
      <c r="AY111" t="s">
        <v>417</v>
      </c>
      <c r="AZ111">
        <v>0</v>
      </c>
      <c r="BA111">
        <v>0</v>
      </c>
      <c r="BB111">
        <f>1-AZ111/BA111</f>
        <v>0</v>
      </c>
      <c r="BC111">
        <v>0</v>
      </c>
      <c r="BD111" t="s">
        <v>417</v>
      </c>
      <c r="BE111" t="s">
        <v>417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1393</v>
      </c>
      <c r="CA111">
        <v>300</v>
      </c>
      <c r="CB111">
        <v>300</v>
      </c>
      <c r="CC111">
        <v>300</v>
      </c>
      <c r="CD111">
        <v>10378</v>
      </c>
      <c r="CE111">
        <v>2050</v>
      </c>
      <c r="CF111">
        <v>-0.00730649</v>
      </c>
      <c r="CG111">
        <v>-4.53</v>
      </c>
      <c r="CH111" t="s">
        <v>417</v>
      </c>
      <c r="CI111" t="s">
        <v>417</v>
      </c>
      <c r="CJ111" t="s">
        <v>417</v>
      </c>
      <c r="CK111" t="s">
        <v>417</v>
      </c>
      <c r="CL111" t="s">
        <v>417</v>
      </c>
      <c r="CM111" t="s">
        <v>417</v>
      </c>
      <c r="CN111" t="s">
        <v>417</v>
      </c>
      <c r="CO111" t="s">
        <v>417</v>
      </c>
      <c r="CP111" t="s">
        <v>417</v>
      </c>
      <c r="CQ111" t="s">
        <v>417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418</v>
      </c>
      <c r="CY111">
        <v>2</v>
      </c>
      <c r="CZ111" t="b">
        <v>1</v>
      </c>
      <c r="DA111">
        <v>1652371949.1</v>
      </c>
      <c r="DB111">
        <v>1054.193333333333</v>
      </c>
      <c r="DC111">
        <v>1144.296666666667</v>
      </c>
      <c r="DD111">
        <v>24.16963703703704</v>
      </c>
      <c r="DE111">
        <v>16.01160740740741</v>
      </c>
      <c r="DF111">
        <v>1055.423333333333</v>
      </c>
      <c r="DG111">
        <v>24.1300962962963</v>
      </c>
      <c r="DH111">
        <v>400.0797037037037</v>
      </c>
      <c r="DI111">
        <v>90.41007407407407</v>
      </c>
      <c r="DJ111">
        <v>0.1000096592592593</v>
      </c>
      <c r="DK111">
        <v>31.05905555555555</v>
      </c>
      <c r="DL111">
        <v>30.04293703703704</v>
      </c>
      <c r="DM111">
        <v>999.9000000000001</v>
      </c>
      <c r="DN111">
        <v>0</v>
      </c>
      <c r="DO111">
        <v>0</v>
      </c>
      <c r="DP111">
        <v>10006.70777777778</v>
      </c>
      <c r="DQ111">
        <v>0</v>
      </c>
      <c r="DR111">
        <v>496.3922962962963</v>
      </c>
      <c r="DS111">
        <v>-90.1031962962963</v>
      </c>
      <c r="DT111">
        <v>1080.303333333333</v>
      </c>
      <c r="DU111">
        <v>1162.918888888889</v>
      </c>
      <c r="DV111">
        <v>8.158037777777778</v>
      </c>
      <c r="DW111">
        <v>1144.296666666667</v>
      </c>
      <c r="DX111">
        <v>16.01160740740741</v>
      </c>
      <c r="DY111">
        <v>2.18518</v>
      </c>
      <c r="DZ111">
        <v>1.44761037037037</v>
      </c>
      <c r="EA111">
        <v>18.85406296296296</v>
      </c>
      <c r="EB111">
        <v>12.42487037037037</v>
      </c>
      <c r="EC111">
        <v>1499.995185185185</v>
      </c>
      <c r="ED111">
        <v>0.9730057037037037</v>
      </c>
      <c r="EE111">
        <v>0.02699417407407408</v>
      </c>
      <c r="EF111">
        <v>0</v>
      </c>
      <c r="EG111">
        <v>1053.414814814815</v>
      </c>
      <c r="EH111">
        <v>5.00097</v>
      </c>
      <c r="EI111">
        <v>16753.96296296296</v>
      </c>
      <c r="EJ111">
        <v>12491.57037037037</v>
      </c>
      <c r="EK111">
        <v>39.56199999999999</v>
      </c>
      <c r="EL111">
        <v>41.125</v>
      </c>
      <c r="EM111">
        <v>39.81199999999999</v>
      </c>
      <c r="EN111">
        <v>40.88418518518519</v>
      </c>
      <c r="EO111">
        <v>40.75</v>
      </c>
      <c r="EP111">
        <v>1454.635185185185</v>
      </c>
      <c r="EQ111">
        <v>40.35999999999999</v>
      </c>
      <c r="ER111">
        <v>0</v>
      </c>
      <c r="ES111">
        <v>790.5999999046326</v>
      </c>
      <c r="ET111">
        <v>0</v>
      </c>
      <c r="EU111">
        <v>1053.366538461538</v>
      </c>
      <c r="EV111">
        <v>-65.4499144308264</v>
      </c>
      <c r="EW111">
        <v>-589.8837604525698</v>
      </c>
      <c r="EX111">
        <v>16753.69615384615</v>
      </c>
      <c r="EY111">
        <v>15</v>
      </c>
      <c r="EZ111">
        <v>1652371289.6</v>
      </c>
      <c r="FA111" t="s">
        <v>515</v>
      </c>
      <c r="FB111">
        <v>1652371289.6</v>
      </c>
      <c r="FC111">
        <v>1652371275.1</v>
      </c>
      <c r="FD111">
        <v>24</v>
      </c>
      <c r="FE111">
        <v>0.442</v>
      </c>
      <c r="FF111">
        <v>0.001</v>
      </c>
      <c r="FG111">
        <v>-2.63</v>
      </c>
      <c r="FH111">
        <v>0.007</v>
      </c>
      <c r="FI111">
        <v>1620</v>
      </c>
      <c r="FJ111">
        <v>22</v>
      </c>
      <c r="FK111">
        <v>0.08</v>
      </c>
      <c r="FL111">
        <v>0.04</v>
      </c>
      <c r="FM111">
        <v>-90.18773999999999</v>
      </c>
      <c r="FN111">
        <v>1.454026266416677</v>
      </c>
      <c r="FO111">
        <v>0.1738614028472102</v>
      </c>
      <c r="FP111">
        <v>-1</v>
      </c>
      <c r="FQ111">
        <v>8.35929625</v>
      </c>
      <c r="FR111">
        <v>-3.138845741088179</v>
      </c>
      <c r="FS111">
        <v>0.3030847173538078</v>
      </c>
      <c r="FT111">
        <v>0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1</v>
      </c>
      <c r="GA111" t="s">
        <v>432</v>
      </c>
      <c r="GB111">
        <v>2.69604</v>
      </c>
      <c r="GC111">
        <v>2.70501</v>
      </c>
      <c r="GD111">
        <v>0.179947</v>
      </c>
      <c r="GE111">
        <v>0.187184</v>
      </c>
      <c r="GF111">
        <v>0.106497</v>
      </c>
      <c r="GG111">
        <v>0.07969179999999999</v>
      </c>
      <c r="GH111">
        <v>25790.4</v>
      </c>
      <c r="GI111">
        <v>25673.5</v>
      </c>
      <c r="GJ111">
        <v>29257</v>
      </c>
      <c r="GK111">
        <v>29230.6</v>
      </c>
      <c r="GL111">
        <v>34611.3</v>
      </c>
      <c r="GM111">
        <v>35811.9</v>
      </c>
      <c r="GN111">
        <v>41178.8</v>
      </c>
      <c r="GO111">
        <v>41705.5</v>
      </c>
      <c r="GP111">
        <v>1.72438</v>
      </c>
      <c r="GQ111">
        <v>2.03682</v>
      </c>
      <c r="GR111">
        <v>0.0723824</v>
      </c>
      <c r="GS111">
        <v>0</v>
      </c>
      <c r="GT111">
        <v>28.8298</v>
      </c>
      <c r="GU111">
        <v>999.9</v>
      </c>
      <c r="GV111">
        <v>44.9</v>
      </c>
      <c r="GW111">
        <v>32.8</v>
      </c>
      <c r="GX111">
        <v>24.8081</v>
      </c>
      <c r="GY111">
        <v>63.3979</v>
      </c>
      <c r="GZ111">
        <v>29.4351</v>
      </c>
      <c r="HA111">
        <v>1</v>
      </c>
      <c r="HB111">
        <v>0.237807</v>
      </c>
      <c r="HC111">
        <v>0.848494</v>
      </c>
      <c r="HD111">
        <v>20.3791</v>
      </c>
      <c r="HE111">
        <v>5.21684</v>
      </c>
      <c r="HF111">
        <v>12.0099</v>
      </c>
      <c r="HG111">
        <v>4.98795</v>
      </c>
      <c r="HH111">
        <v>3.2886</v>
      </c>
      <c r="HI111">
        <v>2714.8</v>
      </c>
      <c r="HJ111">
        <v>9999</v>
      </c>
      <c r="HK111">
        <v>9999</v>
      </c>
      <c r="HL111">
        <v>49.9</v>
      </c>
      <c r="HM111">
        <v>1.86721</v>
      </c>
      <c r="HN111">
        <v>1.86616</v>
      </c>
      <c r="HO111">
        <v>1.86576</v>
      </c>
      <c r="HP111">
        <v>1.86569</v>
      </c>
      <c r="HQ111">
        <v>1.86741</v>
      </c>
      <c r="HR111">
        <v>1.86998</v>
      </c>
      <c r="HS111">
        <v>1.86863</v>
      </c>
      <c r="HT111">
        <v>1.87002</v>
      </c>
      <c r="HU111">
        <v>0</v>
      </c>
      <c r="HV111">
        <v>0</v>
      </c>
      <c r="HW111">
        <v>0</v>
      </c>
      <c r="HX111">
        <v>0</v>
      </c>
      <c r="HY111" t="s">
        <v>421</v>
      </c>
      <c r="HZ111" t="s">
        <v>422</v>
      </c>
      <c r="IA111" t="s">
        <v>423</v>
      </c>
      <c r="IB111" t="s">
        <v>423</v>
      </c>
      <c r="IC111" t="s">
        <v>423</v>
      </c>
      <c r="ID111" t="s">
        <v>423</v>
      </c>
      <c r="IE111">
        <v>0</v>
      </c>
      <c r="IF111">
        <v>100</v>
      </c>
      <c r="IG111">
        <v>100</v>
      </c>
      <c r="IH111">
        <v>-1.29</v>
      </c>
      <c r="II111">
        <v>0.039</v>
      </c>
      <c r="IJ111">
        <v>1.257309091789605</v>
      </c>
      <c r="IK111">
        <v>-0.002185601614162945</v>
      </c>
      <c r="IL111">
        <v>-2.252308143750626E-07</v>
      </c>
      <c r="IM111">
        <v>5.915558436307541E-11</v>
      </c>
      <c r="IN111">
        <v>-0.118683452207699</v>
      </c>
      <c r="IO111">
        <v>-0.007570214193104963</v>
      </c>
      <c r="IP111">
        <v>0.0009214429922928372</v>
      </c>
      <c r="IQ111">
        <v>-1.392260276065805E-05</v>
      </c>
      <c r="IR111">
        <v>17</v>
      </c>
      <c r="IS111">
        <v>2272</v>
      </c>
      <c r="IT111">
        <v>1</v>
      </c>
      <c r="IU111">
        <v>31</v>
      </c>
      <c r="IV111">
        <v>11.1</v>
      </c>
      <c r="IW111">
        <v>11.4</v>
      </c>
      <c r="IX111">
        <v>2.39258</v>
      </c>
      <c r="IY111">
        <v>2.20215</v>
      </c>
      <c r="IZ111">
        <v>1.39648</v>
      </c>
      <c r="JA111">
        <v>2.35474</v>
      </c>
      <c r="JB111">
        <v>1.49536</v>
      </c>
      <c r="JC111">
        <v>2.29858</v>
      </c>
      <c r="JD111">
        <v>36.2929</v>
      </c>
      <c r="JE111">
        <v>15.3491</v>
      </c>
      <c r="JF111">
        <v>18</v>
      </c>
      <c r="JG111">
        <v>387.149</v>
      </c>
      <c r="JH111">
        <v>569.855</v>
      </c>
      <c r="JI111">
        <v>28.9335</v>
      </c>
      <c r="JJ111">
        <v>30.525</v>
      </c>
      <c r="JK111">
        <v>29.9999</v>
      </c>
      <c r="JL111">
        <v>30.4309</v>
      </c>
      <c r="JM111">
        <v>30.3285</v>
      </c>
      <c r="JN111">
        <v>47.8767</v>
      </c>
      <c r="JO111">
        <v>33.5145</v>
      </c>
      <c r="JP111">
        <v>0</v>
      </c>
      <c r="JQ111">
        <v>28.9336</v>
      </c>
      <c r="JR111">
        <v>1189.06</v>
      </c>
      <c r="JS111">
        <v>16.6479</v>
      </c>
      <c r="JT111">
        <v>100.004</v>
      </c>
      <c r="JU111">
        <v>100.112</v>
      </c>
    </row>
    <row r="112" spans="1:281">
      <c r="A112">
        <v>96</v>
      </c>
      <c r="B112">
        <v>1652371961.6</v>
      </c>
      <c r="C112">
        <v>3868</v>
      </c>
      <c r="D112" t="s">
        <v>659</v>
      </c>
      <c r="E112" t="s">
        <v>660</v>
      </c>
      <c r="F112">
        <v>5</v>
      </c>
      <c r="G112" t="s">
        <v>518</v>
      </c>
      <c r="H112" t="s">
        <v>414</v>
      </c>
      <c r="I112">
        <v>1652371953.814285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1192.582714211134</v>
      </c>
      <c r="AK112">
        <v>1122.104848484848</v>
      </c>
      <c r="AL112">
        <v>3.45581244781135</v>
      </c>
      <c r="AM112">
        <v>65.95105977519088</v>
      </c>
      <c r="AN112">
        <f>(AP112 - AO112 + DI112*1E3/(8.314*(DK112+273.15)) * AR112/DH112 * AQ112) * DH112/(100*CV112) * 1000/(1000 - AP112)</f>
        <v>0</v>
      </c>
      <c r="AO112">
        <v>16.36425132676255</v>
      </c>
      <c r="AP112">
        <v>24.10409930069932</v>
      </c>
      <c r="AQ112">
        <v>-0.003392016816959811</v>
      </c>
      <c r="AR112">
        <v>81.26040297655408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417</v>
      </c>
      <c r="AY112" t="s">
        <v>417</v>
      </c>
      <c r="AZ112">
        <v>0</v>
      </c>
      <c r="BA112">
        <v>0</v>
      </c>
      <c r="BB112">
        <f>1-AZ112/BA112</f>
        <v>0</v>
      </c>
      <c r="BC112">
        <v>0</v>
      </c>
      <c r="BD112" t="s">
        <v>417</v>
      </c>
      <c r="BE112" t="s">
        <v>417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1393</v>
      </c>
      <c r="CA112">
        <v>300</v>
      </c>
      <c r="CB112">
        <v>300</v>
      </c>
      <c r="CC112">
        <v>300</v>
      </c>
      <c r="CD112">
        <v>10378</v>
      </c>
      <c r="CE112">
        <v>2050</v>
      </c>
      <c r="CF112">
        <v>-0.00730649</v>
      </c>
      <c r="CG112">
        <v>-4.53</v>
      </c>
      <c r="CH112" t="s">
        <v>417</v>
      </c>
      <c r="CI112" t="s">
        <v>417</v>
      </c>
      <c r="CJ112" t="s">
        <v>417</v>
      </c>
      <c r="CK112" t="s">
        <v>417</v>
      </c>
      <c r="CL112" t="s">
        <v>417</v>
      </c>
      <c r="CM112" t="s">
        <v>417</v>
      </c>
      <c r="CN112" t="s">
        <v>417</v>
      </c>
      <c r="CO112" t="s">
        <v>417</v>
      </c>
      <c r="CP112" t="s">
        <v>417</v>
      </c>
      <c r="CQ112" t="s">
        <v>417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418</v>
      </c>
      <c r="CY112">
        <v>2</v>
      </c>
      <c r="CZ112" t="b">
        <v>1</v>
      </c>
      <c r="DA112">
        <v>1652371953.814285</v>
      </c>
      <c r="DB112">
        <v>1070.250714285714</v>
      </c>
      <c r="DC112">
        <v>1160.039642857143</v>
      </c>
      <c r="DD112">
        <v>24.14372857142857</v>
      </c>
      <c r="DE112">
        <v>16.22361071428572</v>
      </c>
      <c r="DF112">
        <v>1071.520714285714</v>
      </c>
      <c r="DG112">
        <v>24.10450714285714</v>
      </c>
      <c r="DH112">
        <v>400.0838214285714</v>
      </c>
      <c r="DI112">
        <v>90.41148928571428</v>
      </c>
      <c r="DJ112">
        <v>0.1000101392857143</v>
      </c>
      <c r="DK112">
        <v>31.032325</v>
      </c>
      <c r="DL112">
        <v>30.02180357142857</v>
      </c>
      <c r="DM112">
        <v>999.9000000000002</v>
      </c>
      <c r="DN112">
        <v>0</v>
      </c>
      <c r="DO112">
        <v>0</v>
      </c>
      <c r="DP112">
        <v>10004.26321428571</v>
      </c>
      <c r="DQ112">
        <v>0</v>
      </c>
      <c r="DR112">
        <v>512.6412142857143</v>
      </c>
      <c r="DS112">
        <v>-89.78908214285715</v>
      </c>
      <c r="DT112">
        <v>1096.729285714286</v>
      </c>
      <c r="DU112">
        <v>1179.1725</v>
      </c>
      <c r="DV112">
        <v>7.92012892857143</v>
      </c>
      <c r="DW112">
        <v>1160.039642857143</v>
      </c>
      <c r="DX112">
        <v>16.22361071428572</v>
      </c>
      <c r="DY112">
        <v>2.1828725</v>
      </c>
      <c r="DZ112">
        <v>1.4668</v>
      </c>
      <c r="EA112">
        <v>18.83714642857143</v>
      </c>
      <c r="EB112">
        <v>12.62543928571429</v>
      </c>
      <c r="EC112">
        <v>1500.006071428572</v>
      </c>
      <c r="ED112">
        <v>0.9730057499999999</v>
      </c>
      <c r="EE112">
        <v>0.026994125</v>
      </c>
      <c r="EF112">
        <v>0</v>
      </c>
      <c r="EG112">
        <v>1048.485714285714</v>
      </c>
      <c r="EH112">
        <v>5.00097</v>
      </c>
      <c r="EI112">
        <v>16701.71785714286</v>
      </c>
      <c r="EJ112">
        <v>12491.67142857143</v>
      </c>
      <c r="EK112">
        <v>39.56199999999999</v>
      </c>
      <c r="EL112">
        <v>41.125</v>
      </c>
      <c r="EM112">
        <v>39.80757142857142</v>
      </c>
      <c r="EN112">
        <v>40.88385714285715</v>
      </c>
      <c r="EO112">
        <v>40.75</v>
      </c>
      <c r="EP112">
        <v>1454.646071428572</v>
      </c>
      <c r="EQ112">
        <v>40.35999999999999</v>
      </c>
      <c r="ER112">
        <v>0</v>
      </c>
      <c r="ES112">
        <v>795.3999998569489</v>
      </c>
      <c r="ET112">
        <v>0</v>
      </c>
      <c r="EU112">
        <v>1048.310769230769</v>
      </c>
      <c r="EV112">
        <v>-60.84717952332464</v>
      </c>
      <c r="EW112">
        <v>-587.3880349778974</v>
      </c>
      <c r="EX112">
        <v>16700.60384615384</v>
      </c>
      <c r="EY112">
        <v>15</v>
      </c>
      <c r="EZ112">
        <v>1652371289.6</v>
      </c>
      <c r="FA112" t="s">
        <v>515</v>
      </c>
      <c r="FB112">
        <v>1652371289.6</v>
      </c>
      <c r="FC112">
        <v>1652371275.1</v>
      </c>
      <c r="FD112">
        <v>24</v>
      </c>
      <c r="FE112">
        <v>0.442</v>
      </c>
      <c r="FF112">
        <v>0.001</v>
      </c>
      <c r="FG112">
        <v>-2.63</v>
      </c>
      <c r="FH112">
        <v>0.007</v>
      </c>
      <c r="FI112">
        <v>1620</v>
      </c>
      <c r="FJ112">
        <v>22</v>
      </c>
      <c r="FK112">
        <v>0.08</v>
      </c>
      <c r="FL112">
        <v>0.04</v>
      </c>
      <c r="FM112">
        <v>-89.93047249999999</v>
      </c>
      <c r="FN112">
        <v>3.772684052533176</v>
      </c>
      <c r="FO112">
        <v>0.3755005372749152</v>
      </c>
      <c r="FP112">
        <v>-1</v>
      </c>
      <c r="FQ112">
        <v>8.043239</v>
      </c>
      <c r="FR112">
        <v>-2.992078198874299</v>
      </c>
      <c r="FS112">
        <v>0.2882830197982532</v>
      </c>
      <c r="FT112">
        <v>0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1</v>
      </c>
      <c r="GA112" t="s">
        <v>432</v>
      </c>
      <c r="GB112">
        <v>2.69608</v>
      </c>
      <c r="GC112">
        <v>2.70518</v>
      </c>
      <c r="GD112">
        <v>0.181749</v>
      </c>
      <c r="GE112">
        <v>0.188875</v>
      </c>
      <c r="GF112">
        <v>0.106435</v>
      </c>
      <c r="GG112">
        <v>0.0804812</v>
      </c>
      <c r="GH112">
        <v>25733.8</v>
      </c>
      <c r="GI112">
        <v>25620.2</v>
      </c>
      <c r="GJ112">
        <v>29257.1</v>
      </c>
      <c r="GK112">
        <v>29230.9</v>
      </c>
      <c r="GL112">
        <v>34613.6</v>
      </c>
      <c r="GM112">
        <v>35781.6</v>
      </c>
      <c r="GN112">
        <v>41178.6</v>
      </c>
      <c r="GO112">
        <v>41706.2</v>
      </c>
      <c r="GP112">
        <v>1.7245</v>
      </c>
      <c r="GQ112">
        <v>2.03713</v>
      </c>
      <c r="GR112">
        <v>0.0715181</v>
      </c>
      <c r="GS112">
        <v>0</v>
      </c>
      <c r="GT112">
        <v>28.8217</v>
      </c>
      <c r="GU112">
        <v>999.9</v>
      </c>
      <c r="GV112">
        <v>44.9</v>
      </c>
      <c r="GW112">
        <v>32.8</v>
      </c>
      <c r="GX112">
        <v>24.809</v>
      </c>
      <c r="GY112">
        <v>63.2879</v>
      </c>
      <c r="GZ112">
        <v>29.4391</v>
      </c>
      <c r="HA112">
        <v>1</v>
      </c>
      <c r="HB112">
        <v>0.237503</v>
      </c>
      <c r="HC112">
        <v>0.741906</v>
      </c>
      <c r="HD112">
        <v>20.38</v>
      </c>
      <c r="HE112">
        <v>5.21729</v>
      </c>
      <c r="HF112">
        <v>12.0099</v>
      </c>
      <c r="HG112">
        <v>4.9879</v>
      </c>
      <c r="HH112">
        <v>3.2886</v>
      </c>
      <c r="HI112">
        <v>2715</v>
      </c>
      <c r="HJ112">
        <v>9999</v>
      </c>
      <c r="HK112">
        <v>9999</v>
      </c>
      <c r="HL112">
        <v>49.9</v>
      </c>
      <c r="HM112">
        <v>1.86722</v>
      </c>
      <c r="HN112">
        <v>1.86615</v>
      </c>
      <c r="HO112">
        <v>1.86578</v>
      </c>
      <c r="HP112">
        <v>1.86568</v>
      </c>
      <c r="HQ112">
        <v>1.86739</v>
      </c>
      <c r="HR112">
        <v>1.86997</v>
      </c>
      <c r="HS112">
        <v>1.86863</v>
      </c>
      <c r="HT112">
        <v>1.86999</v>
      </c>
      <c r="HU112">
        <v>0</v>
      </c>
      <c r="HV112">
        <v>0</v>
      </c>
      <c r="HW112">
        <v>0</v>
      </c>
      <c r="HX112">
        <v>0</v>
      </c>
      <c r="HY112" t="s">
        <v>421</v>
      </c>
      <c r="HZ112" t="s">
        <v>422</v>
      </c>
      <c r="IA112" t="s">
        <v>423</v>
      </c>
      <c r="IB112" t="s">
        <v>423</v>
      </c>
      <c r="IC112" t="s">
        <v>423</v>
      </c>
      <c r="ID112" t="s">
        <v>423</v>
      </c>
      <c r="IE112">
        <v>0</v>
      </c>
      <c r="IF112">
        <v>100</v>
      </c>
      <c r="IG112">
        <v>100</v>
      </c>
      <c r="IH112">
        <v>-1.33</v>
      </c>
      <c r="II112">
        <v>0.0387</v>
      </c>
      <c r="IJ112">
        <v>1.257309091789605</v>
      </c>
      <c r="IK112">
        <v>-0.002185601614162945</v>
      </c>
      <c r="IL112">
        <v>-2.252308143750626E-07</v>
      </c>
      <c r="IM112">
        <v>5.915558436307541E-11</v>
      </c>
      <c r="IN112">
        <v>-0.118683452207699</v>
      </c>
      <c r="IO112">
        <v>-0.007570214193104963</v>
      </c>
      <c r="IP112">
        <v>0.0009214429922928372</v>
      </c>
      <c r="IQ112">
        <v>-1.392260276065805E-05</v>
      </c>
      <c r="IR112">
        <v>17</v>
      </c>
      <c r="IS112">
        <v>2272</v>
      </c>
      <c r="IT112">
        <v>1</v>
      </c>
      <c r="IU112">
        <v>31</v>
      </c>
      <c r="IV112">
        <v>11.2</v>
      </c>
      <c r="IW112">
        <v>11.4</v>
      </c>
      <c r="IX112">
        <v>2.41821</v>
      </c>
      <c r="IY112">
        <v>2.20337</v>
      </c>
      <c r="IZ112">
        <v>1.39648</v>
      </c>
      <c r="JA112">
        <v>2.35352</v>
      </c>
      <c r="JB112">
        <v>1.49536</v>
      </c>
      <c r="JC112">
        <v>2.28027</v>
      </c>
      <c r="JD112">
        <v>36.2929</v>
      </c>
      <c r="JE112">
        <v>15.3404</v>
      </c>
      <c r="JF112">
        <v>18</v>
      </c>
      <c r="JG112">
        <v>387.213</v>
      </c>
      <c r="JH112">
        <v>570.061</v>
      </c>
      <c r="JI112">
        <v>28.9078</v>
      </c>
      <c r="JJ112">
        <v>30.523</v>
      </c>
      <c r="JK112">
        <v>29.9997</v>
      </c>
      <c r="JL112">
        <v>30.4304</v>
      </c>
      <c r="JM112">
        <v>30.3262</v>
      </c>
      <c r="JN112">
        <v>48.3839</v>
      </c>
      <c r="JO112">
        <v>32.8614</v>
      </c>
      <c r="JP112">
        <v>0</v>
      </c>
      <c r="JQ112">
        <v>28.9249</v>
      </c>
      <c r="JR112">
        <v>1209.09</v>
      </c>
      <c r="JS112">
        <v>16.9073</v>
      </c>
      <c r="JT112">
        <v>100.004</v>
      </c>
      <c r="JU112">
        <v>100.113</v>
      </c>
    </row>
    <row r="113" spans="1:281">
      <c r="A113">
        <v>97</v>
      </c>
      <c r="B113">
        <v>1652371966.6</v>
      </c>
      <c r="C113">
        <v>3873</v>
      </c>
      <c r="D113" t="s">
        <v>661</v>
      </c>
      <c r="E113" t="s">
        <v>662</v>
      </c>
      <c r="F113">
        <v>5</v>
      </c>
      <c r="G113" t="s">
        <v>518</v>
      </c>
      <c r="H113" t="s">
        <v>414</v>
      </c>
      <c r="I113">
        <v>1652371959.1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1209.876819346113</v>
      </c>
      <c r="AK113">
        <v>1139.734363636363</v>
      </c>
      <c r="AL113">
        <v>3.539830954676485</v>
      </c>
      <c r="AM113">
        <v>65.95105977519088</v>
      </c>
      <c r="AN113">
        <f>(AP113 - AO113 + DI113*1E3/(8.314*(DK113+273.15)) * AR113/DH113 * AQ113) * DH113/(100*CV113) * 1000/(1000 - AP113)</f>
        <v>0</v>
      </c>
      <c r="AO113">
        <v>16.58920982358104</v>
      </c>
      <c r="AP113">
        <v>24.08740909090911</v>
      </c>
      <c r="AQ113">
        <v>-0.005391499098794663</v>
      </c>
      <c r="AR113">
        <v>81.26040297655408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417</v>
      </c>
      <c r="AY113" t="s">
        <v>417</v>
      </c>
      <c r="AZ113">
        <v>0</v>
      </c>
      <c r="BA113">
        <v>0</v>
      </c>
      <c r="BB113">
        <f>1-AZ113/BA113</f>
        <v>0</v>
      </c>
      <c r="BC113">
        <v>0</v>
      </c>
      <c r="BD113" t="s">
        <v>417</v>
      </c>
      <c r="BE113" t="s">
        <v>417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1393</v>
      </c>
      <c r="CA113">
        <v>300</v>
      </c>
      <c r="CB113">
        <v>300</v>
      </c>
      <c r="CC113">
        <v>300</v>
      </c>
      <c r="CD113">
        <v>10378</v>
      </c>
      <c r="CE113">
        <v>2050</v>
      </c>
      <c r="CF113">
        <v>-0.00730649</v>
      </c>
      <c r="CG113">
        <v>-4.53</v>
      </c>
      <c r="CH113" t="s">
        <v>417</v>
      </c>
      <c r="CI113" t="s">
        <v>417</v>
      </c>
      <c r="CJ113" t="s">
        <v>417</v>
      </c>
      <c r="CK113" t="s">
        <v>417</v>
      </c>
      <c r="CL113" t="s">
        <v>417</v>
      </c>
      <c r="CM113" t="s">
        <v>417</v>
      </c>
      <c r="CN113" t="s">
        <v>417</v>
      </c>
      <c r="CO113" t="s">
        <v>417</v>
      </c>
      <c r="CP113" t="s">
        <v>417</v>
      </c>
      <c r="CQ113" t="s">
        <v>417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418</v>
      </c>
      <c r="CY113">
        <v>2</v>
      </c>
      <c r="CZ113" t="b">
        <v>1</v>
      </c>
      <c r="DA113">
        <v>1652371959.1</v>
      </c>
      <c r="DB113">
        <v>1088.307777777778</v>
      </c>
      <c r="DC113">
        <v>1177.707777777778</v>
      </c>
      <c r="DD113">
        <v>24.11544814814815</v>
      </c>
      <c r="DE113">
        <v>16.45908518518518</v>
      </c>
      <c r="DF113">
        <v>1089.622962962963</v>
      </c>
      <c r="DG113">
        <v>24.07657777777778</v>
      </c>
      <c r="DH113">
        <v>400.0712592592593</v>
      </c>
      <c r="DI113">
        <v>90.41223333333333</v>
      </c>
      <c r="DJ113">
        <v>0.1000043037037037</v>
      </c>
      <c r="DK113">
        <v>31.00275555555556</v>
      </c>
      <c r="DL113">
        <v>30.00184814814814</v>
      </c>
      <c r="DM113">
        <v>999.9000000000001</v>
      </c>
      <c r="DN113">
        <v>0</v>
      </c>
      <c r="DO113">
        <v>0</v>
      </c>
      <c r="DP113">
        <v>9991.532222222222</v>
      </c>
      <c r="DQ113">
        <v>0</v>
      </c>
      <c r="DR113">
        <v>539.1224074074073</v>
      </c>
      <c r="DS113">
        <v>-89.40043703703702</v>
      </c>
      <c r="DT113">
        <v>1115.200740740741</v>
      </c>
      <c r="DU113">
        <v>1197.419259259259</v>
      </c>
      <c r="DV113">
        <v>7.65637074074074</v>
      </c>
      <c r="DW113">
        <v>1177.707777777778</v>
      </c>
      <c r="DX113">
        <v>16.45908518518518</v>
      </c>
      <c r="DY113">
        <v>2.180332592592593</v>
      </c>
      <c r="DZ113">
        <v>1.488102222222222</v>
      </c>
      <c r="EA113">
        <v>18.81852222222222</v>
      </c>
      <c r="EB113">
        <v>12.84542222222222</v>
      </c>
      <c r="EC113">
        <v>1499.990370370371</v>
      </c>
      <c r="ED113">
        <v>0.9730057037037037</v>
      </c>
      <c r="EE113">
        <v>0.02699417407407408</v>
      </c>
      <c r="EF113">
        <v>0</v>
      </c>
      <c r="EG113">
        <v>1043.290740740741</v>
      </c>
      <c r="EH113">
        <v>5.00097</v>
      </c>
      <c r="EI113">
        <v>16664.54444444444</v>
      </c>
      <c r="EJ113">
        <v>12491.55185185185</v>
      </c>
      <c r="EK113">
        <v>39.56199999999999</v>
      </c>
      <c r="EL113">
        <v>41.12033333333333</v>
      </c>
      <c r="EM113">
        <v>39.79362962962963</v>
      </c>
      <c r="EN113">
        <v>40.87959259259259</v>
      </c>
      <c r="EO113">
        <v>40.75</v>
      </c>
      <c r="EP113">
        <v>1454.630370370371</v>
      </c>
      <c r="EQ113">
        <v>40.35999999999999</v>
      </c>
      <c r="ER113">
        <v>0</v>
      </c>
      <c r="ES113">
        <v>800.7999999523163</v>
      </c>
      <c r="ET113">
        <v>0</v>
      </c>
      <c r="EU113">
        <v>1042.7436</v>
      </c>
      <c r="EV113">
        <v>-55.41615382402501</v>
      </c>
      <c r="EW113">
        <v>-384.8153846752853</v>
      </c>
      <c r="EX113">
        <v>16662.252</v>
      </c>
      <c r="EY113">
        <v>15</v>
      </c>
      <c r="EZ113">
        <v>1652371289.6</v>
      </c>
      <c r="FA113" t="s">
        <v>515</v>
      </c>
      <c r="FB113">
        <v>1652371289.6</v>
      </c>
      <c r="FC113">
        <v>1652371275.1</v>
      </c>
      <c r="FD113">
        <v>24</v>
      </c>
      <c r="FE113">
        <v>0.442</v>
      </c>
      <c r="FF113">
        <v>0.001</v>
      </c>
      <c r="FG113">
        <v>-2.63</v>
      </c>
      <c r="FH113">
        <v>0.007</v>
      </c>
      <c r="FI113">
        <v>1620</v>
      </c>
      <c r="FJ113">
        <v>22</v>
      </c>
      <c r="FK113">
        <v>0.08</v>
      </c>
      <c r="FL113">
        <v>0.04</v>
      </c>
      <c r="FM113">
        <v>-89.66211250000001</v>
      </c>
      <c r="FN113">
        <v>4.422133958724102</v>
      </c>
      <c r="FO113">
        <v>0.4347824963056244</v>
      </c>
      <c r="FP113">
        <v>-1</v>
      </c>
      <c r="FQ113">
        <v>7.841306749999999</v>
      </c>
      <c r="FR113">
        <v>-3.015860375234523</v>
      </c>
      <c r="FS113">
        <v>0.2905816382050619</v>
      </c>
      <c r="FT113">
        <v>0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1</v>
      </c>
      <c r="GA113" t="s">
        <v>432</v>
      </c>
      <c r="GB113">
        <v>2.69617</v>
      </c>
      <c r="GC113">
        <v>2.70497</v>
      </c>
      <c r="GD113">
        <v>0.183551</v>
      </c>
      <c r="GE113">
        <v>0.190569</v>
      </c>
      <c r="GF113">
        <v>0.10639</v>
      </c>
      <c r="GG113">
        <v>0.0812684</v>
      </c>
      <c r="GH113">
        <v>25676.6</v>
      </c>
      <c r="GI113">
        <v>25566.9</v>
      </c>
      <c r="GJ113">
        <v>29256.5</v>
      </c>
      <c r="GK113">
        <v>29231.2</v>
      </c>
      <c r="GL113">
        <v>34614.9</v>
      </c>
      <c r="GM113">
        <v>35751</v>
      </c>
      <c r="GN113">
        <v>41178.1</v>
      </c>
      <c r="GO113">
        <v>41706.4</v>
      </c>
      <c r="GP113">
        <v>1.72442</v>
      </c>
      <c r="GQ113">
        <v>2.03735</v>
      </c>
      <c r="GR113">
        <v>0.07189810000000001</v>
      </c>
      <c r="GS113">
        <v>0</v>
      </c>
      <c r="GT113">
        <v>28.8103</v>
      </c>
      <c r="GU113">
        <v>999.9</v>
      </c>
      <c r="GV113">
        <v>44.9</v>
      </c>
      <c r="GW113">
        <v>32.8</v>
      </c>
      <c r="GX113">
        <v>24.8077</v>
      </c>
      <c r="GY113">
        <v>63.4779</v>
      </c>
      <c r="GZ113">
        <v>28.8942</v>
      </c>
      <c r="HA113">
        <v>1</v>
      </c>
      <c r="HB113">
        <v>0.237248</v>
      </c>
      <c r="HC113">
        <v>-1.79586</v>
      </c>
      <c r="HD113">
        <v>20.3584</v>
      </c>
      <c r="HE113">
        <v>5.21579</v>
      </c>
      <c r="HF113">
        <v>12.0099</v>
      </c>
      <c r="HG113">
        <v>4.98755</v>
      </c>
      <c r="HH113">
        <v>3.28815</v>
      </c>
      <c r="HI113">
        <v>2715</v>
      </c>
      <c r="HJ113">
        <v>9999</v>
      </c>
      <c r="HK113">
        <v>9999</v>
      </c>
      <c r="HL113">
        <v>49.9</v>
      </c>
      <c r="HM113">
        <v>1.86721</v>
      </c>
      <c r="HN113">
        <v>1.86615</v>
      </c>
      <c r="HO113">
        <v>1.86574</v>
      </c>
      <c r="HP113">
        <v>1.86569</v>
      </c>
      <c r="HQ113">
        <v>1.86739</v>
      </c>
      <c r="HR113">
        <v>1.86996</v>
      </c>
      <c r="HS113">
        <v>1.86862</v>
      </c>
      <c r="HT113">
        <v>1.86998</v>
      </c>
      <c r="HU113">
        <v>0</v>
      </c>
      <c r="HV113">
        <v>0</v>
      </c>
      <c r="HW113">
        <v>0</v>
      </c>
      <c r="HX113">
        <v>0</v>
      </c>
      <c r="HY113" t="s">
        <v>421</v>
      </c>
      <c r="HZ113" t="s">
        <v>422</v>
      </c>
      <c r="IA113" t="s">
        <v>423</v>
      </c>
      <c r="IB113" t="s">
        <v>423</v>
      </c>
      <c r="IC113" t="s">
        <v>423</v>
      </c>
      <c r="ID113" t="s">
        <v>423</v>
      </c>
      <c r="IE113">
        <v>0</v>
      </c>
      <c r="IF113">
        <v>100</v>
      </c>
      <c r="IG113">
        <v>100</v>
      </c>
      <c r="IH113">
        <v>-1.38</v>
      </c>
      <c r="II113">
        <v>0.0386</v>
      </c>
      <c r="IJ113">
        <v>1.257309091789605</v>
      </c>
      <c r="IK113">
        <v>-0.002185601614162945</v>
      </c>
      <c r="IL113">
        <v>-2.252308143750626E-07</v>
      </c>
      <c r="IM113">
        <v>5.915558436307541E-11</v>
      </c>
      <c r="IN113">
        <v>-0.118683452207699</v>
      </c>
      <c r="IO113">
        <v>-0.007570214193104963</v>
      </c>
      <c r="IP113">
        <v>0.0009214429922928372</v>
      </c>
      <c r="IQ113">
        <v>-1.392260276065805E-05</v>
      </c>
      <c r="IR113">
        <v>17</v>
      </c>
      <c r="IS113">
        <v>2272</v>
      </c>
      <c r="IT113">
        <v>1</v>
      </c>
      <c r="IU113">
        <v>31</v>
      </c>
      <c r="IV113">
        <v>11.3</v>
      </c>
      <c r="IW113">
        <v>11.5</v>
      </c>
      <c r="IX113">
        <v>2.44629</v>
      </c>
      <c r="IY113">
        <v>2.20703</v>
      </c>
      <c r="IZ113">
        <v>1.39648</v>
      </c>
      <c r="JA113">
        <v>2.35352</v>
      </c>
      <c r="JB113">
        <v>1.49536</v>
      </c>
      <c r="JC113">
        <v>2.26685</v>
      </c>
      <c r="JD113">
        <v>36.2929</v>
      </c>
      <c r="JE113">
        <v>15.3228</v>
      </c>
      <c r="JF113">
        <v>18</v>
      </c>
      <c r="JG113">
        <v>387.16</v>
      </c>
      <c r="JH113">
        <v>570.228</v>
      </c>
      <c r="JI113">
        <v>29.0129</v>
      </c>
      <c r="JJ113">
        <v>30.5204</v>
      </c>
      <c r="JK113">
        <v>30</v>
      </c>
      <c r="JL113">
        <v>30.4283</v>
      </c>
      <c r="JM113">
        <v>30.3259</v>
      </c>
      <c r="JN113">
        <v>48.9599</v>
      </c>
      <c r="JO113">
        <v>32.2464</v>
      </c>
      <c r="JP113">
        <v>0</v>
      </c>
      <c r="JQ113">
        <v>29.775</v>
      </c>
      <c r="JR113">
        <v>1222.45</v>
      </c>
      <c r="JS113">
        <v>17.0238</v>
      </c>
      <c r="JT113">
        <v>100.002</v>
      </c>
      <c r="JU113">
        <v>100.114</v>
      </c>
    </row>
    <row r="114" spans="1:281">
      <c r="A114">
        <v>98</v>
      </c>
      <c r="B114">
        <v>1652371971.6</v>
      </c>
      <c r="C114">
        <v>3878</v>
      </c>
      <c r="D114" t="s">
        <v>663</v>
      </c>
      <c r="E114" t="s">
        <v>664</v>
      </c>
      <c r="F114">
        <v>5</v>
      </c>
      <c r="G114" t="s">
        <v>518</v>
      </c>
      <c r="H114" t="s">
        <v>414</v>
      </c>
      <c r="I114">
        <v>1652371963.814285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1227.451498089184</v>
      </c>
      <c r="AK114">
        <v>1157.366787878788</v>
      </c>
      <c r="AL114">
        <v>3.540046888047191</v>
      </c>
      <c r="AM114">
        <v>65.95105977519088</v>
      </c>
      <c r="AN114">
        <f>(AP114 - AO114 + DI114*1E3/(8.314*(DK114+273.15)) * AR114/DH114 * AQ114) * DH114/(100*CV114) * 1000/(1000 - AP114)</f>
        <v>0</v>
      </c>
      <c r="AO114">
        <v>16.80756701973215</v>
      </c>
      <c r="AP114">
        <v>24.07425454545455</v>
      </c>
      <c r="AQ114">
        <v>6.241371475925975E-05</v>
      </c>
      <c r="AR114">
        <v>81.26040297655408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417</v>
      </c>
      <c r="AY114" t="s">
        <v>417</v>
      </c>
      <c r="AZ114">
        <v>0</v>
      </c>
      <c r="BA114">
        <v>0</v>
      </c>
      <c r="BB114">
        <f>1-AZ114/BA114</f>
        <v>0</v>
      </c>
      <c r="BC114">
        <v>0</v>
      </c>
      <c r="BD114" t="s">
        <v>417</v>
      </c>
      <c r="BE114" t="s">
        <v>417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1393</v>
      </c>
      <c r="CA114">
        <v>300</v>
      </c>
      <c r="CB114">
        <v>300</v>
      </c>
      <c r="CC114">
        <v>300</v>
      </c>
      <c r="CD114">
        <v>10378</v>
      </c>
      <c r="CE114">
        <v>2050</v>
      </c>
      <c r="CF114">
        <v>-0.00730649</v>
      </c>
      <c r="CG114">
        <v>-4.53</v>
      </c>
      <c r="CH114" t="s">
        <v>417</v>
      </c>
      <c r="CI114" t="s">
        <v>417</v>
      </c>
      <c r="CJ114" t="s">
        <v>417</v>
      </c>
      <c r="CK114" t="s">
        <v>417</v>
      </c>
      <c r="CL114" t="s">
        <v>417</v>
      </c>
      <c r="CM114" t="s">
        <v>417</v>
      </c>
      <c r="CN114" t="s">
        <v>417</v>
      </c>
      <c r="CO114" t="s">
        <v>417</v>
      </c>
      <c r="CP114" t="s">
        <v>417</v>
      </c>
      <c r="CQ114" t="s">
        <v>417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418</v>
      </c>
      <c r="CY114">
        <v>2</v>
      </c>
      <c r="CZ114" t="b">
        <v>1</v>
      </c>
      <c r="DA114">
        <v>1652371963.814285</v>
      </c>
      <c r="DB114">
        <v>1104.445357142857</v>
      </c>
      <c r="DC114">
        <v>1193.476785714286</v>
      </c>
      <c r="DD114">
        <v>24.09690000000001</v>
      </c>
      <c r="DE114">
        <v>16.66314285714286</v>
      </c>
      <c r="DF114">
        <v>1105.800357142857</v>
      </c>
      <c r="DG114">
        <v>24.05826071428571</v>
      </c>
      <c r="DH114">
        <v>400.0798571428571</v>
      </c>
      <c r="DI114">
        <v>90.41196428571429</v>
      </c>
      <c r="DJ114">
        <v>0.1000103035714286</v>
      </c>
      <c r="DK114">
        <v>30.98266428571429</v>
      </c>
      <c r="DL114">
        <v>29.98928214285715</v>
      </c>
      <c r="DM114">
        <v>999.9000000000002</v>
      </c>
      <c r="DN114">
        <v>0</v>
      </c>
      <c r="DO114">
        <v>0</v>
      </c>
      <c r="DP114">
        <v>9990.180714285712</v>
      </c>
      <c r="DQ114">
        <v>0</v>
      </c>
      <c r="DR114">
        <v>574.8181071428572</v>
      </c>
      <c r="DS114">
        <v>-89.03161428571427</v>
      </c>
      <c r="DT114">
        <v>1131.716071428571</v>
      </c>
      <c r="DU114">
        <v>1213.703571428571</v>
      </c>
      <c r="DV114">
        <v>7.433754642857144</v>
      </c>
      <c r="DW114">
        <v>1193.476785714286</v>
      </c>
      <c r="DX114">
        <v>16.66314285714286</v>
      </c>
      <c r="DY114">
        <v>2.178648571428571</v>
      </c>
      <c r="DZ114">
        <v>1.5065475</v>
      </c>
      <c r="EA114">
        <v>18.80616428571429</v>
      </c>
      <c r="EB114">
        <v>13.03398571428571</v>
      </c>
      <c r="EC114">
        <v>1499.986785714286</v>
      </c>
      <c r="ED114">
        <v>0.9730057499999999</v>
      </c>
      <c r="EE114">
        <v>0.02699412500000001</v>
      </c>
      <c r="EF114">
        <v>0</v>
      </c>
      <c r="EG114">
        <v>1038.967857142857</v>
      </c>
      <c r="EH114">
        <v>5.00097</v>
      </c>
      <c r="EI114">
        <v>16640.80714285715</v>
      </c>
      <c r="EJ114">
        <v>12491.52857142857</v>
      </c>
      <c r="EK114">
        <v>39.56199999999999</v>
      </c>
      <c r="EL114">
        <v>41.10924999999999</v>
      </c>
      <c r="EM114">
        <v>39.77878571428572</v>
      </c>
      <c r="EN114">
        <v>40.875</v>
      </c>
      <c r="EO114">
        <v>40.75</v>
      </c>
      <c r="EP114">
        <v>1454.626785714286</v>
      </c>
      <c r="EQ114">
        <v>40.35999999999999</v>
      </c>
      <c r="ER114">
        <v>0</v>
      </c>
      <c r="ES114">
        <v>805.5999999046326</v>
      </c>
      <c r="ET114">
        <v>0</v>
      </c>
      <c r="EU114">
        <v>1038.3756</v>
      </c>
      <c r="EV114">
        <v>-53.50769221591312</v>
      </c>
      <c r="EW114">
        <v>2.792307592637738</v>
      </c>
      <c r="EX114">
        <v>16640.072</v>
      </c>
      <c r="EY114">
        <v>15</v>
      </c>
      <c r="EZ114">
        <v>1652371289.6</v>
      </c>
      <c r="FA114" t="s">
        <v>515</v>
      </c>
      <c r="FB114">
        <v>1652371289.6</v>
      </c>
      <c r="FC114">
        <v>1652371275.1</v>
      </c>
      <c r="FD114">
        <v>24</v>
      </c>
      <c r="FE114">
        <v>0.442</v>
      </c>
      <c r="FF114">
        <v>0.001</v>
      </c>
      <c r="FG114">
        <v>-2.63</v>
      </c>
      <c r="FH114">
        <v>0.007</v>
      </c>
      <c r="FI114">
        <v>1620</v>
      </c>
      <c r="FJ114">
        <v>22</v>
      </c>
      <c r="FK114">
        <v>0.08</v>
      </c>
      <c r="FL114">
        <v>0.04</v>
      </c>
      <c r="FM114">
        <v>-89.30667073170731</v>
      </c>
      <c r="FN114">
        <v>4.59342229965151</v>
      </c>
      <c r="FO114">
        <v>0.4655250580056597</v>
      </c>
      <c r="FP114">
        <v>-1</v>
      </c>
      <c r="FQ114">
        <v>7.593367073170731</v>
      </c>
      <c r="FR114">
        <v>-2.913581184668985</v>
      </c>
      <c r="FS114">
        <v>0.2885799223383351</v>
      </c>
      <c r="FT114">
        <v>0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1</v>
      </c>
      <c r="GA114" t="s">
        <v>432</v>
      </c>
      <c r="GB114">
        <v>2.69583</v>
      </c>
      <c r="GC114">
        <v>2.7051</v>
      </c>
      <c r="GD114">
        <v>0.185341</v>
      </c>
      <c r="GE114">
        <v>0.192193</v>
      </c>
      <c r="GF114">
        <v>0.10634</v>
      </c>
      <c r="GG114">
        <v>0.08179939999999999</v>
      </c>
      <c r="GH114">
        <v>25621.1</v>
      </c>
      <c r="GI114">
        <v>25515.7</v>
      </c>
      <c r="GJ114">
        <v>29257.5</v>
      </c>
      <c r="GK114">
        <v>29231.4</v>
      </c>
      <c r="GL114">
        <v>34617.8</v>
      </c>
      <c r="GM114">
        <v>35730.5</v>
      </c>
      <c r="GN114">
        <v>41179.1</v>
      </c>
      <c r="GO114">
        <v>41706.7</v>
      </c>
      <c r="GP114">
        <v>1.72432</v>
      </c>
      <c r="GQ114">
        <v>2.03815</v>
      </c>
      <c r="GR114">
        <v>0.0733212</v>
      </c>
      <c r="GS114">
        <v>0</v>
      </c>
      <c r="GT114">
        <v>28.8006</v>
      </c>
      <c r="GU114">
        <v>999.9</v>
      </c>
      <c r="GV114">
        <v>44.9</v>
      </c>
      <c r="GW114">
        <v>32.8</v>
      </c>
      <c r="GX114">
        <v>24.8075</v>
      </c>
      <c r="GY114">
        <v>63.4579</v>
      </c>
      <c r="GZ114">
        <v>28.9583</v>
      </c>
      <c r="HA114">
        <v>1</v>
      </c>
      <c r="HB114">
        <v>0.237759</v>
      </c>
      <c r="HC114">
        <v>-1.2851</v>
      </c>
      <c r="HD114">
        <v>20.3753</v>
      </c>
      <c r="HE114">
        <v>5.21624</v>
      </c>
      <c r="HF114">
        <v>12.0099</v>
      </c>
      <c r="HG114">
        <v>4.9876</v>
      </c>
      <c r="HH114">
        <v>3.28835</v>
      </c>
      <c r="HI114">
        <v>2715.2</v>
      </c>
      <c r="HJ114">
        <v>9999</v>
      </c>
      <c r="HK114">
        <v>9999</v>
      </c>
      <c r="HL114">
        <v>49.9</v>
      </c>
      <c r="HM114">
        <v>1.8672</v>
      </c>
      <c r="HN114">
        <v>1.86616</v>
      </c>
      <c r="HO114">
        <v>1.86576</v>
      </c>
      <c r="HP114">
        <v>1.86568</v>
      </c>
      <c r="HQ114">
        <v>1.86742</v>
      </c>
      <c r="HR114">
        <v>1.86998</v>
      </c>
      <c r="HS114">
        <v>1.86862</v>
      </c>
      <c r="HT114">
        <v>1.86999</v>
      </c>
      <c r="HU114">
        <v>0</v>
      </c>
      <c r="HV114">
        <v>0</v>
      </c>
      <c r="HW114">
        <v>0</v>
      </c>
      <c r="HX114">
        <v>0</v>
      </c>
      <c r="HY114" t="s">
        <v>421</v>
      </c>
      <c r="HZ114" t="s">
        <v>422</v>
      </c>
      <c r="IA114" t="s">
        <v>423</v>
      </c>
      <c r="IB114" t="s">
        <v>423</v>
      </c>
      <c r="IC114" t="s">
        <v>423</v>
      </c>
      <c r="ID114" t="s">
        <v>423</v>
      </c>
      <c r="IE114">
        <v>0</v>
      </c>
      <c r="IF114">
        <v>100</v>
      </c>
      <c r="IG114">
        <v>100</v>
      </c>
      <c r="IH114">
        <v>-1.42</v>
      </c>
      <c r="II114">
        <v>0.0384</v>
      </c>
      <c r="IJ114">
        <v>1.257309091789605</v>
      </c>
      <c r="IK114">
        <v>-0.002185601614162945</v>
      </c>
      <c r="IL114">
        <v>-2.252308143750626E-07</v>
      </c>
      <c r="IM114">
        <v>5.915558436307541E-11</v>
      </c>
      <c r="IN114">
        <v>-0.118683452207699</v>
      </c>
      <c r="IO114">
        <v>-0.007570214193104963</v>
      </c>
      <c r="IP114">
        <v>0.0009214429922928372</v>
      </c>
      <c r="IQ114">
        <v>-1.392260276065805E-05</v>
      </c>
      <c r="IR114">
        <v>17</v>
      </c>
      <c r="IS114">
        <v>2272</v>
      </c>
      <c r="IT114">
        <v>1</v>
      </c>
      <c r="IU114">
        <v>31</v>
      </c>
      <c r="IV114">
        <v>11.4</v>
      </c>
      <c r="IW114">
        <v>11.6</v>
      </c>
      <c r="IX114">
        <v>2.47192</v>
      </c>
      <c r="IY114">
        <v>2.20459</v>
      </c>
      <c r="IZ114">
        <v>1.39648</v>
      </c>
      <c r="JA114">
        <v>2.35352</v>
      </c>
      <c r="JB114">
        <v>1.49536</v>
      </c>
      <c r="JC114">
        <v>2.29126</v>
      </c>
      <c r="JD114">
        <v>36.3165</v>
      </c>
      <c r="JE114">
        <v>15.3316</v>
      </c>
      <c r="JF114">
        <v>18</v>
      </c>
      <c r="JG114">
        <v>387.106</v>
      </c>
      <c r="JH114">
        <v>570.825</v>
      </c>
      <c r="JI114">
        <v>29.7529</v>
      </c>
      <c r="JJ114">
        <v>30.5184</v>
      </c>
      <c r="JK114">
        <v>30</v>
      </c>
      <c r="JL114">
        <v>30.4283</v>
      </c>
      <c r="JM114">
        <v>30.3248</v>
      </c>
      <c r="JN114">
        <v>49.476</v>
      </c>
      <c r="JO114">
        <v>31.6703</v>
      </c>
      <c r="JP114">
        <v>0</v>
      </c>
      <c r="JQ114">
        <v>29.7877</v>
      </c>
      <c r="JR114">
        <v>1242.49</v>
      </c>
      <c r="JS114">
        <v>17.2547</v>
      </c>
      <c r="JT114">
        <v>100.005</v>
      </c>
      <c r="JU114">
        <v>100.114</v>
      </c>
    </row>
    <row r="115" spans="1:281">
      <c r="A115">
        <v>99</v>
      </c>
      <c r="B115">
        <v>1652371976.6</v>
      </c>
      <c r="C115">
        <v>3883</v>
      </c>
      <c r="D115" t="s">
        <v>665</v>
      </c>
      <c r="E115" t="s">
        <v>666</v>
      </c>
      <c r="F115">
        <v>5</v>
      </c>
      <c r="G115" t="s">
        <v>518</v>
      </c>
      <c r="H115" t="s">
        <v>414</v>
      </c>
      <c r="I115">
        <v>1652371969.1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1244.295992434919</v>
      </c>
      <c r="AK115">
        <v>1174.700424242424</v>
      </c>
      <c r="AL115">
        <v>3.476387856210108</v>
      </c>
      <c r="AM115">
        <v>65.95105977519088</v>
      </c>
      <c r="AN115">
        <f>(AP115 - AO115 + DI115*1E3/(8.314*(DK115+273.15)) * AR115/DH115 * AQ115) * DH115/(100*CV115) * 1000/(1000 - AP115)</f>
        <v>0</v>
      </c>
      <c r="AO115">
        <v>16.97228485381995</v>
      </c>
      <c r="AP115">
        <v>24.06192447552449</v>
      </c>
      <c r="AQ115">
        <v>-0.003967642032824023</v>
      </c>
      <c r="AR115">
        <v>81.26040297655408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417</v>
      </c>
      <c r="AY115" t="s">
        <v>417</v>
      </c>
      <c r="AZ115">
        <v>0</v>
      </c>
      <c r="BA115">
        <v>0</v>
      </c>
      <c r="BB115">
        <f>1-AZ115/BA115</f>
        <v>0</v>
      </c>
      <c r="BC115">
        <v>0</v>
      </c>
      <c r="BD115" t="s">
        <v>417</v>
      </c>
      <c r="BE115" t="s">
        <v>417</v>
      </c>
      <c r="BF115">
        <v>0</v>
      </c>
      <c r="BG115">
        <v>0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1393</v>
      </c>
      <c r="CA115">
        <v>300</v>
      </c>
      <c r="CB115">
        <v>300</v>
      </c>
      <c r="CC115">
        <v>300</v>
      </c>
      <c r="CD115">
        <v>10378</v>
      </c>
      <c r="CE115">
        <v>2050</v>
      </c>
      <c r="CF115">
        <v>-0.00730649</v>
      </c>
      <c r="CG115">
        <v>-4.53</v>
      </c>
      <c r="CH115" t="s">
        <v>417</v>
      </c>
      <c r="CI115" t="s">
        <v>417</v>
      </c>
      <c r="CJ115" t="s">
        <v>417</v>
      </c>
      <c r="CK115" t="s">
        <v>417</v>
      </c>
      <c r="CL115" t="s">
        <v>417</v>
      </c>
      <c r="CM115" t="s">
        <v>417</v>
      </c>
      <c r="CN115" t="s">
        <v>417</v>
      </c>
      <c r="CO115" t="s">
        <v>417</v>
      </c>
      <c r="CP115" t="s">
        <v>417</v>
      </c>
      <c r="CQ115" t="s">
        <v>417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418</v>
      </c>
      <c r="CY115">
        <v>2</v>
      </c>
      <c r="CZ115" t="b">
        <v>1</v>
      </c>
      <c r="DA115">
        <v>1652371969.1</v>
      </c>
      <c r="DB115">
        <v>1122.544074074074</v>
      </c>
      <c r="DC115">
        <v>1211.13037037037</v>
      </c>
      <c r="DD115">
        <v>24.07981851851852</v>
      </c>
      <c r="DE115">
        <v>16.87873333333333</v>
      </c>
      <c r="DF115">
        <v>1123.944074074074</v>
      </c>
      <c r="DG115">
        <v>24.04138148148149</v>
      </c>
      <c r="DH115">
        <v>400.075037037037</v>
      </c>
      <c r="DI115">
        <v>90.4112962962963</v>
      </c>
      <c r="DJ115">
        <v>0.1000154925925926</v>
      </c>
      <c r="DK115">
        <v>30.97508148148148</v>
      </c>
      <c r="DL115">
        <v>29.99412962962963</v>
      </c>
      <c r="DM115">
        <v>999.9000000000001</v>
      </c>
      <c r="DN115">
        <v>0</v>
      </c>
      <c r="DO115">
        <v>0</v>
      </c>
      <c r="DP115">
        <v>9987.826666666668</v>
      </c>
      <c r="DQ115">
        <v>0</v>
      </c>
      <c r="DR115">
        <v>626.0019259259259</v>
      </c>
      <c r="DS115">
        <v>-88.58621481481484</v>
      </c>
      <c r="DT115">
        <v>1150.242222222222</v>
      </c>
      <c r="DU115">
        <v>1231.926296296296</v>
      </c>
      <c r="DV115">
        <v>7.201077037037038</v>
      </c>
      <c r="DW115">
        <v>1211.13037037037</v>
      </c>
      <c r="DX115">
        <v>16.87873333333333</v>
      </c>
      <c r="DY115">
        <v>2.177088148148148</v>
      </c>
      <c r="DZ115">
        <v>1.526028518518518</v>
      </c>
      <c r="EA115">
        <v>18.7947</v>
      </c>
      <c r="EB115">
        <v>13.23084814814815</v>
      </c>
      <c r="EC115">
        <v>1499.987407407408</v>
      </c>
      <c r="ED115">
        <v>0.9730058888888888</v>
      </c>
      <c r="EE115">
        <v>0.02699397777777778</v>
      </c>
      <c r="EF115">
        <v>0</v>
      </c>
      <c r="EG115">
        <v>1034.217407407408</v>
      </c>
      <c r="EH115">
        <v>5.00097</v>
      </c>
      <c r="EI115">
        <v>16630.77407407407</v>
      </c>
      <c r="EJ115">
        <v>12491.52962962963</v>
      </c>
      <c r="EK115">
        <v>39.5574074074074</v>
      </c>
      <c r="EL115">
        <v>41.104</v>
      </c>
      <c r="EM115">
        <v>39.76148148148148</v>
      </c>
      <c r="EN115">
        <v>40.875</v>
      </c>
      <c r="EO115">
        <v>40.75</v>
      </c>
      <c r="EP115">
        <v>1454.627407407407</v>
      </c>
      <c r="EQ115">
        <v>40.35962962962962</v>
      </c>
      <c r="ER115">
        <v>0</v>
      </c>
      <c r="ES115">
        <v>810.3999998569489</v>
      </c>
      <c r="ET115">
        <v>0</v>
      </c>
      <c r="EU115">
        <v>1034.0984</v>
      </c>
      <c r="EV115">
        <v>-53.14384624066565</v>
      </c>
      <c r="EW115">
        <v>-185.2846153891381</v>
      </c>
      <c r="EX115">
        <v>16630.14</v>
      </c>
      <c r="EY115">
        <v>15</v>
      </c>
      <c r="EZ115">
        <v>1652371289.6</v>
      </c>
      <c r="FA115" t="s">
        <v>515</v>
      </c>
      <c r="FB115">
        <v>1652371289.6</v>
      </c>
      <c r="FC115">
        <v>1652371275.1</v>
      </c>
      <c r="FD115">
        <v>24</v>
      </c>
      <c r="FE115">
        <v>0.442</v>
      </c>
      <c r="FF115">
        <v>0.001</v>
      </c>
      <c r="FG115">
        <v>-2.63</v>
      </c>
      <c r="FH115">
        <v>0.007</v>
      </c>
      <c r="FI115">
        <v>1620</v>
      </c>
      <c r="FJ115">
        <v>22</v>
      </c>
      <c r="FK115">
        <v>0.08</v>
      </c>
      <c r="FL115">
        <v>0.04</v>
      </c>
      <c r="FM115">
        <v>-88.85843414634148</v>
      </c>
      <c r="FN115">
        <v>4.942078745644681</v>
      </c>
      <c r="FO115">
        <v>0.5034549044206905</v>
      </c>
      <c r="FP115">
        <v>-1</v>
      </c>
      <c r="FQ115">
        <v>7.357774146341463</v>
      </c>
      <c r="FR115">
        <v>-2.62125742160281</v>
      </c>
      <c r="FS115">
        <v>0.2591785252318263</v>
      </c>
      <c r="FT115">
        <v>0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1</v>
      </c>
      <c r="GA115" t="s">
        <v>432</v>
      </c>
      <c r="GB115">
        <v>2.69603</v>
      </c>
      <c r="GC115">
        <v>2.70512</v>
      </c>
      <c r="GD115">
        <v>0.18709</v>
      </c>
      <c r="GE115">
        <v>0.193847</v>
      </c>
      <c r="GF115">
        <v>0.106304</v>
      </c>
      <c r="GG115">
        <v>0.0825467</v>
      </c>
      <c r="GH115">
        <v>25566</v>
      </c>
      <c r="GI115">
        <v>25463.3</v>
      </c>
      <c r="GJ115">
        <v>29257.5</v>
      </c>
      <c r="GK115">
        <v>29231.3</v>
      </c>
      <c r="GL115">
        <v>34619.4</v>
      </c>
      <c r="GM115">
        <v>35701</v>
      </c>
      <c r="GN115">
        <v>41179.4</v>
      </c>
      <c r="GO115">
        <v>41706.5</v>
      </c>
      <c r="GP115">
        <v>1.72405</v>
      </c>
      <c r="GQ115">
        <v>2.03865</v>
      </c>
      <c r="GR115">
        <v>0.0760332</v>
      </c>
      <c r="GS115">
        <v>0</v>
      </c>
      <c r="GT115">
        <v>28.7915</v>
      </c>
      <c r="GU115">
        <v>999.9</v>
      </c>
      <c r="GV115">
        <v>44.9</v>
      </c>
      <c r="GW115">
        <v>32.8</v>
      </c>
      <c r="GX115">
        <v>24.8102</v>
      </c>
      <c r="GY115">
        <v>63.6479</v>
      </c>
      <c r="GZ115">
        <v>28.8822</v>
      </c>
      <c r="HA115">
        <v>1</v>
      </c>
      <c r="HB115">
        <v>0.235755</v>
      </c>
      <c r="HC115">
        <v>-0.513151</v>
      </c>
      <c r="HD115">
        <v>20.3803</v>
      </c>
      <c r="HE115">
        <v>5.21669</v>
      </c>
      <c r="HF115">
        <v>12.0099</v>
      </c>
      <c r="HG115">
        <v>4.9876</v>
      </c>
      <c r="HH115">
        <v>3.28845</v>
      </c>
      <c r="HI115">
        <v>2715.2</v>
      </c>
      <c r="HJ115">
        <v>9999</v>
      </c>
      <c r="HK115">
        <v>9999</v>
      </c>
      <c r="HL115">
        <v>49.9</v>
      </c>
      <c r="HM115">
        <v>1.86722</v>
      </c>
      <c r="HN115">
        <v>1.86615</v>
      </c>
      <c r="HO115">
        <v>1.86572</v>
      </c>
      <c r="HP115">
        <v>1.86568</v>
      </c>
      <c r="HQ115">
        <v>1.86741</v>
      </c>
      <c r="HR115">
        <v>1.86998</v>
      </c>
      <c r="HS115">
        <v>1.86863</v>
      </c>
      <c r="HT115">
        <v>1.87001</v>
      </c>
      <c r="HU115">
        <v>0</v>
      </c>
      <c r="HV115">
        <v>0</v>
      </c>
      <c r="HW115">
        <v>0</v>
      </c>
      <c r="HX115">
        <v>0</v>
      </c>
      <c r="HY115" t="s">
        <v>421</v>
      </c>
      <c r="HZ115" t="s">
        <v>422</v>
      </c>
      <c r="IA115" t="s">
        <v>423</v>
      </c>
      <c r="IB115" t="s">
        <v>423</v>
      </c>
      <c r="IC115" t="s">
        <v>423</v>
      </c>
      <c r="ID115" t="s">
        <v>423</v>
      </c>
      <c r="IE115">
        <v>0</v>
      </c>
      <c r="IF115">
        <v>100</v>
      </c>
      <c r="IG115">
        <v>100</v>
      </c>
      <c r="IH115">
        <v>-1.46</v>
      </c>
      <c r="II115">
        <v>0.0382</v>
      </c>
      <c r="IJ115">
        <v>1.257309091789605</v>
      </c>
      <c r="IK115">
        <v>-0.002185601614162945</v>
      </c>
      <c r="IL115">
        <v>-2.252308143750626E-07</v>
      </c>
      <c r="IM115">
        <v>5.915558436307541E-11</v>
      </c>
      <c r="IN115">
        <v>-0.118683452207699</v>
      </c>
      <c r="IO115">
        <v>-0.007570214193104963</v>
      </c>
      <c r="IP115">
        <v>0.0009214429922928372</v>
      </c>
      <c r="IQ115">
        <v>-1.392260276065805E-05</v>
      </c>
      <c r="IR115">
        <v>17</v>
      </c>
      <c r="IS115">
        <v>2272</v>
      </c>
      <c r="IT115">
        <v>1</v>
      </c>
      <c r="IU115">
        <v>31</v>
      </c>
      <c r="IV115">
        <v>11.4</v>
      </c>
      <c r="IW115">
        <v>11.7</v>
      </c>
      <c r="IX115">
        <v>2.5</v>
      </c>
      <c r="IY115">
        <v>2.20093</v>
      </c>
      <c r="IZ115">
        <v>1.39648</v>
      </c>
      <c r="JA115">
        <v>2.35352</v>
      </c>
      <c r="JB115">
        <v>1.49536</v>
      </c>
      <c r="JC115">
        <v>2.34619</v>
      </c>
      <c r="JD115">
        <v>36.3165</v>
      </c>
      <c r="JE115">
        <v>15.3404</v>
      </c>
      <c r="JF115">
        <v>18</v>
      </c>
      <c r="JG115">
        <v>386.945</v>
      </c>
      <c r="JH115">
        <v>571.189</v>
      </c>
      <c r="JI115">
        <v>29.8809</v>
      </c>
      <c r="JJ115">
        <v>30.5164</v>
      </c>
      <c r="JK115">
        <v>29.9991</v>
      </c>
      <c r="JL115">
        <v>30.4256</v>
      </c>
      <c r="JM115">
        <v>30.3233</v>
      </c>
      <c r="JN115">
        <v>50.0625</v>
      </c>
      <c r="JO115">
        <v>30.7528</v>
      </c>
      <c r="JP115">
        <v>0</v>
      </c>
      <c r="JQ115">
        <v>29.7891</v>
      </c>
      <c r="JR115">
        <v>1255.85</v>
      </c>
      <c r="JS115">
        <v>17.4761</v>
      </c>
      <c r="JT115">
        <v>100.006</v>
      </c>
      <c r="JU115">
        <v>100.114</v>
      </c>
    </row>
    <row r="116" spans="1:281">
      <c r="A116">
        <v>100</v>
      </c>
      <c r="B116">
        <v>1652371981.6</v>
      </c>
      <c r="C116">
        <v>3888</v>
      </c>
      <c r="D116" t="s">
        <v>667</v>
      </c>
      <c r="E116" t="s">
        <v>668</v>
      </c>
      <c r="F116">
        <v>5</v>
      </c>
      <c r="G116" t="s">
        <v>518</v>
      </c>
      <c r="H116" t="s">
        <v>414</v>
      </c>
      <c r="I116">
        <v>1652371973.814285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1261.562877784016</v>
      </c>
      <c r="AK116">
        <v>1192.027696969697</v>
      </c>
      <c r="AL116">
        <v>3.465362433894617</v>
      </c>
      <c r="AM116">
        <v>65.95105977519088</v>
      </c>
      <c r="AN116">
        <f>(AP116 - AO116 + DI116*1E3/(8.314*(DK116+273.15)) * AR116/DH116 * AQ116) * DH116/(100*CV116) * 1000/(1000 - AP116)</f>
        <v>0</v>
      </c>
      <c r="AO116">
        <v>17.18530164298767</v>
      </c>
      <c r="AP116">
        <v>24.05810419580422</v>
      </c>
      <c r="AQ116">
        <v>-0.001021792343074493</v>
      </c>
      <c r="AR116">
        <v>81.26040297655408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417</v>
      </c>
      <c r="AY116" t="s">
        <v>417</v>
      </c>
      <c r="AZ116">
        <v>0</v>
      </c>
      <c r="BA116">
        <v>0</v>
      </c>
      <c r="BB116">
        <f>1-AZ116/BA116</f>
        <v>0</v>
      </c>
      <c r="BC116">
        <v>0</v>
      </c>
      <c r="BD116" t="s">
        <v>417</v>
      </c>
      <c r="BE116" t="s">
        <v>417</v>
      </c>
      <c r="BF116">
        <v>0</v>
      </c>
      <c r="BG116">
        <v>0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1393</v>
      </c>
      <c r="CA116">
        <v>300</v>
      </c>
      <c r="CB116">
        <v>300</v>
      </c>
      <c r="CC116">
        <v>300</v>
      </c>
      <c r="CD116">
        <v>10378</v>
      </c>
      <c r="CE116">
        <v>2050</v>
      </c>
      <c r="CF116">
        <v>-0.00730649</v>
      </c>
      <c r="CG116">
        <v>-4.53</v>
      </c>
      <c r="CH116" t="s">
        <v>417</v>
      </c>
      <c r="CI116" t="s">
        <v>417</v>
      </c>
      <c r="CJ116" t="s">
        <v>417</v>
      </c>
      <c r="CK116" t="s">
        <v>417</v>
      </c>
      <c r="CL116" t="s">
        <v>417</v>
      </c>
      <c r="CM116" t="s">
        <v>417</v>
      </c>
      <c r="CN116" t="s">
        <v>417</v>
      </c>
      <c r="CO116" t="s">
        <v>417</v>
      </c>
      <c r="CP116" t="s">
        <v>417</v>
      </c>
      <c r="CQ116" t="s">
        <v>417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418</v>
      </c>
      <c r="CY116">
        <v>2</v>
      </c>
      <c r="CZ116" t="b">
        <v>1</v>
      </c>
      <c r="DA116">
        <v>1652371973.814285</v>
      </c>
      <c r="DB116">
        <v>1138.622857142857</v>
      </c>
      <c r="DC116">
        <v>1226.881071428571</v>
      </c>
      <c r="DD116">
        <v>24.06879642857143</v>
      </c>
      <c r="DE116">
        <v>17.06393928571429</v>
      </c>
      <c r="DF116">
        <v>1140.062142857143</v>
      </c>
      <c r="DG116">
        <v>24.03048928571429</v>
      </c>
      <c r="DH116">
        <v>400.0743928571429</v>
      </c>
      <c r="DI116">
        <v>90.410625</v>
      </c>
      <c r="DJ116">
        <v>0.09999741428571429</v>
      </c>
      <c r="DK116">
        <v>30.98278928571429</v>
      </c>
      <c r="DL116">
        <v>30.01389642857142</v>
      </c>
      <c r="DM116">
        <v>999.9000000000002</v>
      </c>
      <c r="DN116">
        <v>0</v>
      </c>
      <c r="DO116">
        <v>0</v>
      </c>
      <c r="DP116">
        <v>10000.87285714286</v>
      </c>
      <c r="DQ116">
        <v>0</v>
      </c>
      <c r="DR116">
        <v>667.1633928571429</v>
      </c>
      <c r="DS116">
        <v>-88.25857857142857</v>
      </c>
      <c r="DT116">
        <v>1166.704285714286</v>
      </c>
      <c r="DU116">
        <v>1248.183571428572</v>
      </c>
      <c r="DV116">
        <v>7.004842500000001</v>
      </c>
      <c r="DW116">
        <v>1226.881071428571</v>
      </c>
      <c r="DX116">
        <v>17.06393928571429</v>
      </c>
      <c r="DY116">
        <v>2.176075714285715</v>
      </c>
      <c r="DZ116">
        <v>1.542761428571428</v>
      </c>
      <c r="EA116">
        <v>18.78725</v>
      </c>
      <c r="EB116">
        <v>13.39791071428571</v>
      </c>
      <c r="EC116">
        <v>1500.001785714285</v>
      </c>
      <c r="ED116">
        <v>0.9730062857142856</v>
      </c>
      <c r="EE116">
        <v>0.02699355714285715</v>
      </c>
      <c r="EF116">
        <v>0</v>
      </c>
      <c r="EG116">
        <v>1030.114285714286</v>
      </c>
      <c r="EH116">
        <v>5.00097</v>
      </c>
      <c r="EI116">
        <v>16601.63928571429</v>
      </c>
      <c r="EJ116">
        <v>12491.64285714286</v>
      </c>
      <c r="EK116">
        <v>39.55757142857142</v>
      </c>
      <c r="EL116">
        <v>41.09799999999999</v>
      </c>
      <c r="EM116">
        <v>39.75664285714286</v>
      </c>
      <c r="EN116">
        <v>40.875</v>
      </c>
      <c r="EO116">
        <v>40.73875</v>
      </c>
      <c r="EP116">
        <v>1454.641785714286</v>
      </c>
      <c r="EQ116">
        <v>40.35714285714285</v>
      </c>
      <c r="ER116">
        <v>0</v>
      </c>
      <c r="ES116">
        <v>815.7999999523163</v>
      </c>
      <c r="ET116">
        <v>0</v>
      </c>
      <c r="EU116">
        <v>1029.71</v>
      </c>
      <c r="EV116">
        <v>-50.83760688439123</v>
      </c>
      <c r="EW116">
        <v>-576.1059834332132</v>
      </c>
      <c r="EX116">
        <v>16596.89615384615</v>
      </c>
      <c r="EY116">
        <v>15</v>
      </c>
      <c r="EZ116">
        <v>1652371289.6</v>
      </c>
      <c r="FA116" t="s">
        <v>515</v>
      </c>
      <c r="FB116">
        <v>1652371289.6</v>
      </c>
      <c r="FC116">
        <v>1652371275.1</v>
      </c>
      <c r="FD116">
        <v>24</v>
      </c>
      <c r="FE116">
        <v>0.442</v>
      </c>
      <c r="FF116">
        <v>0.001</v>
      </c>
      <c r="FG116">
        <v>-2.63</v>
      </c>
      <c r="FH116">
        <v>0.007</v>
      </c>
      <c r="FI116">
        <v>1620</v>
      </c>
      <c r="FJ116">
        <v>22</v>
      </c>
      <c r="FK116">
        <v>0.08</v>
      </c>
      <c r="FL116">
        <v>0.04</v>
      </c>
      <c r="FM116">
        <v>-88.440485</v>
      </c>
      <c r="FN116">
        <v>4.614947842401608</v>
      </c>
      <c r="FO116">
        <v>0.4668713514181392</v>
      </c>
      <c r="FP116">
        <v>-1</v>
      </c>
      <c r="FQ116">
        <v>7.105273249999999</v>
      </c>
      <c r="FR116">
        <v>-2.509724240150105</v>
      </c>
      <c r="FS116">
        <v>0.241866021635817</v>
      </c>
      <c r="FT116">
        <v>0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1</v>
      </c>
      <c r="GA116" t="s">
        <v>432</v>
      </c>
      <c r="GB116">
        <v>2.6962</v>
      </c>
      <c r="GC116">
        <v>2.70517</v>
      </c>
      <c r="GD116">
        <v>0.188832</v>
      </c>
      <c r="GE116">
        <v>0.19551</v>
      </c>
      <c r="GF116">
        <v>0.106303</v>
      </c>
      <c r="GG116">
        <v>0.08329449999999999</v>
      </c>
      <c r="GH116">
        <v>25511.3</v>
      </c>
      <c r="GI116">
        <v>25410.7</v>
      </c>
      <c r="GJ116">
        <v>29257.7</v>
      </c>
      <c r="GK116">
        <v>29231.3</v>
      </c>
      <c r="GL116">
        <v>34619.5</v>
      </c>
      <c r="GM116">
        <v>35671.7</v>
      </c>
      <c r="GN116">
        <v>41179.4</v>
      </c>
      <c r="GO116">
        <v>41706.5</v>
      </c>
      <c r="GP116">
        <v>1.72403</v>
      </c>
      <c r="GQ116">
        <v>2.03863</v>
      </c>
      <c r="GR116">
        <v>0.0781901</v>
      </c>
      <c r="GS116">
        <v>0</v>
      </c>
      <c r="GT116">
        <v>28.7855</v>
      </c>
      <c r="GU116">
        <v>999.9</v>
      </c>
      <c r="GV116">
        <v>44.9</v>
      </c>
      <c r="GW116">
        <v>32.8</v>
      </c>
      <c r="GX116">
        <v>24.8097</v>
      </c>
      <c r="GY116">
        <v>63.5979</v>
      </c>
      <c r="GZ116">
        <v>28.7981</v>
      </c>
      <c r="HA116">
        <v>1</v>
      </c>
      <c r="HB116">
        <v>0.235206</v>
      </c>
      <c r="HC116">
        <v>-0.216111</v>
      </c>
      <c r="HD116">
        <v>20.3815</v>
      </c>
      <c r="HE116">
        <v>5.21669</v>
      </c>
      <c r="HF116">
        <v>12.0099</v>
      </c>
      <c r="HG116">
        <v>4.9873</v>
      </c>
      <c r="HH116">
        <v>3.28828</v>
      </c>
      <c r="HI116">
        <v>2715.5</v>
      </c>
      <c r="HJ116">
        <v>9999</v>
      </c>
      <c r="HK116">
        <v>9999</v>
      </c>
      <c r="HL116">
        <v>49.9</v>
      </c>
      <c r="HM116">
        <v>1.8672</v>
      </c>
      <c r="HN116">
        <v>1.86615</v>
      </c>
      <c r="HO116">
        <v>1.86575</v>
      </c>
      <c r="HP116">
        <v>1.86569</v>
      </c>
      <c r="HQ116">
        <v>1.8674</v>
      </c>
      <c r="HR116">
        <v>1.86997</v>
      </c>
      <c r="HS116">
        <v>1.86862</v>
      </c>
      <c r="HT116">
        <v>1.86998</v>
      </c>
      <c r="HU116">
        <v>0</v>
      </c>
      <c r="HV116">
        <v>0</v>
      </c>
      <c r="HW116">
        <v>0</v>
      </c>
      <c r="HX116">
        <v>0</v>
      </c>
      <c r="HY116" t="s">
        <v>421</v>
      </c>
      <c r="HZ116" t="s">
        <v>422</v>
      </c>
      <c r="IA116" t="s">
        <v>423</v>
      </c>
      <c r="IB116" t="s">
        <v>423</v>
      </c>
      <c r="IC116" t="s">
        <v>423</v>
      </c>
      <c r="ID116" t="s">
        <v>423</v>
      </c>
      <c r="IE116">
        <v>0</v>
      </c>
      <c r="IF116">
        <v>100</v>
      </c>
      <c r="IG116">
        <v>100</v>
      </c>
      <c r="IH116">
        <v>-1.5</v>
      </c>
      <c r="II116">
        <v>0.0382</v>
      </c>
      <c r="IJ116">
        <v>1.257309091789605</v>
      </c>
      <c r="IK116">
        <v>-0.002185601614162945</v>
      </c>
      <c r="IL116">
        <v>-2.252308143750626E-07</v>
      </c>
      <c r="IM116">
        <v>5.915558436307541E-11</v>
      </c>
      <c r="IN116">
        <v>-0.118683452207699</v>
      </c>
      <c r="IO116">
        <v>-0.007570214193104963</v>
      </c>
      <c r="IP116">
        <v>0.0009214429922928372</v>
      </c>
      <c r="IQ116">
        <v>-1.392260276065805E-05</v>
      </c>
      <c r="IR116">
        <v>17</v>
      </c>
      <c r="IS116">
        <v>2272</v>
      </c>
      <c r="IT116">
        <v>1</v>
      </c>
      <c r="IU116">
        <v>31</v>
      </c>
      <c r="IV116">
        <v>11.5</v>
      </c>
      <c r="IW116">
        <v>11.8</v>
      </c>
      <c r="IX116">
        <v>2.52686</v>
      </c>
      <c r="IY116">
        <v>2.20093</v>
      </c>
      <c r="IZ116">
        <v>1.39648</v>
      </c>
      <c r="JA116">
        <v>2.35352</v>
      </c>
      <c r="JB116">
        <v>1.49536</v>
      </c>
      <c r="JC116">
        <v>2.34375</v>
      </c>
      <c r="JD116">
        <v>36.3165</v>
      </c>
      <c r="JE116">
        <v>15.3404</v>
      </c>
      <c r="JF116">
        <v>18</v>
      </c>
      <c r="JG116">
        <v>386.931</v>
      </c>
      <c r="JH116">
        <v>571.17</v>
      </c>
      <c r="JI116">
        <v>29.8835</v>
      </c>
      <c r="JJ116">
        <v>30.5144</v>
      </c>
      <c r="JK116">
        <v>29.9994</v>
      </c>
      <c r="JL116">
        <v>30.4256</v>
      </c>
      <c r="JM116">
        <v>30.3233</v>
      </c>
      <c r="JN116">
        <v>50.561</v>
      </c>
      <c r="JO116">
        <v>30.1277</v>
      </c>
      <c r="JP116">
        <v>0</v>
      </c>
      <c r="JQ116">
        <v>29.8316</v>
      </c>
      <c r="JR116">
        <v>1275.88</v>
      </c>
      <c r="JS116">
        <v>17.6796</v>
      </c>
      <c r="JT116">
        <v>100.006</v>
      </c>
      <c r="JU116">
        <v>100.114</v>
      </c>
    </row>
    <row r="117" spans="1:281">
      <c r="A117">
        <v>101</v>
      </c>
      <c r="B117">
        <v>1652371986.6</v>
      </c>
      <c r="C117">
        <v>3893</v>
      </c>
      <c r="D117" t="s">
        <v>669</v>
      </c>
      <c r="E117" t="s">
        <v>670</v>
      </c>
      <c r="F117">
        <v>5</v>
      </c>
      <c r="G117" t="s">
        <v>518</v>
      </c>
      <c r="H117" t="s">
        <v>414</v>
      </c>
      <c r="I117">
        <v>1652371979.1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1279.205549348676</v>
      </c>
      <c r="AK117">
        <v>1209.481757575758</v>
      </c>
      <c r="AL117">
        <v>3.481673941807165</v>
      </c>
      <c r="AM117">
        <v>65.95105977519088</v>
      </c>
      <c r="AN117">
        <f>(AP117 - AO117 + DI117*1E3/(8.314*(DK117+273.15)) * AR117/DH117 * AQ117) * DH117/(100*CV117) * 1000/(1000 - AP117)</f>
        <v>0</v>
      </c>
      <c r="AO117">
        <v>17.40107747828518</v>
      </c>
      <c r="AP117">
        <v>24.07456223776225</v>
      </c>
      <c r="AQ117">
        <v>0.0007683737810546995</v>
      </c>
      <c r="AR117">
        <v>81.26040297655408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417</v>
      </c>
      <c r="AY117" t="s">
        <v>417</v>
      </c>
      <c r="AZ117">
        <v>0</v>
      </c>
      <c r="BA117">
        <v>0</v>
      </c>
      <c r="BB117">
        <f>1-AZ117/BA117</f>
        <v>0</v>
      </c>
      <c r="BC117">
        <v>0</v>
      </c>
      <c r="BD117" t="s">
        <v>417</v>
      </c>
      <c r="BE117" t="s">
        <v>417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1393</v>
      </c>
      <c r="CA117">
        <v>300</v>
      </c>
      <c r="CB117">
        <v>300</v>
      </c>
      <c r="CC117">
        <v>300</v>
      </c>
      <c r="CD117">
        <v>10378</v>
      </c>
      <c r="CE117">
        <v>2050</v>
      </c>
      <c r="CF117">
        <v>-0.00730649</v>
      </c>
      <c r="CG117">
        <v>-4.53</v>
      </c>
      <c r="CH117" t="s">
        <v>417</v>
      </c>
      <c r="CI117" t="s">
        <v>417</v>
      </c>
      <c r="CJ117" t="s">
        <v>417</v>
      </c>
      <c r="CK117" t="s">
        <v>417</v>
      </c>
      <c r="CL117" t="s">
        <v>417</v>
      </c>
      <c r="CM117" t="s">
        <v>417</v>
      </c>
      <c r="CN117" t="s">
        <v>417</v>
      </c>
      <c r="CO117" t="s">
        <v>417</v>
      </c>
      <c r="CP117" t="s">
        <v>417</v>
      </c>
      <c r="CQ117" t="s">
        <v>417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418</v>
      </c>
      <c r="CY117">
        <v>2</v>
      </c>
      <c r="CZ117" t="b">
        <v>1</v>
      </c>
      <c r="DA117">
        <v>1652371979.1</v>
      </c>
      <c r="DB117">
        <v>1156.58962962963</v>
      </c>
      <c r="DC117">
        <v>1244.578888888889</v>
      </c>
      <c r="DD117">
        <v>24.06388518518518</v>
      </c>
      <c r="DE117">
        <v>17.28348148148148</v>
      </c>
      <c r="DF117">
        <v>1158.074074074074</v>
      </c>
      <c r="DG117">
        <v>24.02563703703704</v>
      </c>
      <c r="DH117">
        <v>400.0696296296296</v>
      </c>
      <c r="DI117">
        <v>90.40978888888888</v>
      </c>
      <c r="DJ117">
        <v>0.09993632222222221</v>
      </c>
      <c r="DK117">
        <v>30.99784444444445</v>
      </c>
      <c r="DL117">
        <v>30.04542592592593</v>
      </c>
      <c r="DM117">
        <v>999.9000000000001</v>
      </c>
      <c r="DN117">
        <v>0</v>
      </c>
      <c r="DO117">
        <v>0</v>
      </c>
      <c r="DP117">
        <v>10014.93222222222</v>
      </c>
      <c r="DQ117">
        <v>0</v>
      </c>
      <c r="DR117">
        <v>696.627666666667</v>
      </c>
      <c r="DS117">
        <v>-87.98936296296297</v>
      </c>
      <c r="DT117">
        <v>1185.108518518519</v>
      </c>
      <c r="DU117">
        <v>1266.471481481482</v>
      </c>
      <c r="DV117">
        <v>6.780398148148148</v>
      </c>
      <c r="DW117">
        <v>1244.578888888889</v>
      </c>
      <c r="DX117">
        <v>17.28348148148148</v>
      </c>
      <c r="DY117">
        <v>2.175611111111111</v>
      </c>
      <c r="DZ117">
        <v>1.562594814814815</v>
      </c>
      <c r="EA117">
        <v>18.78383333333333</v>
      </c>
      <c r="EB117">
        <v>13.59406666666667</v>
      </c>
      <c r="EC117">
        <v>1499.978518518519</v>
      </c>
      <c r="ED117">
        <v>0.973006074074074</v>
      </c>
      <c r="EE117">
        <v>0.02699378148148148</v>
      </c>
      <c r="EF117">
        <v>0</v>
      </c>
      <c r="EG117">
        <v>1025.767037037037</v>
      </c>
      <c r="EH117">
        <v>5.00097</v>
      </c>
      <c r="EI117">
        <v>16557.16666666667</v>
      </c>
      <c r="EJ117">
        <v>12491.43333333333</v>
      </c>
      <c r="EK117">
        <v>39.55281481481481</v>
      </c>
      <c r="EL117">
        <v>41.09699999999999</v>
      </c>
      <c r="EM117">
        <v>39.75</v>
      </c>
      <c r="EN117">
        <v>40.875</v>
      </c>
      <c r="EO117">
        <v>40.72666666666666</v>
      </c>
      <c r="EP117">
        <v>1454.618518518518</v>
      </c>
      <c r="EQ117">
        <v>40.3537037037037</v>
      </c>
      <c r="ER117">
        <v>0</v>
      </c>
      <c r="ES117">
        <v>820.5999999046326</v>
      </c>
      <c r="ET117">
        <v>0</v>
      </c>
      <c r="EU117">
        <v>1025.770384615385</v>
      </c>
      <c r="EV117">
        <v>-47.05880335169439</v>
      </c>
      <c r="EW117">
        <v>-559.8598282048758</v>
      </c>
      <c r="EX117">
        <v>16556.70384615385</v>
      </c>
      <c r="EY117">
        <v>15</v>
      </c>
      <c r="EZ117">
        <v>1652371289.6</v>
      </c>
      <c r="FA117" t="s">
        <v>515</v>
      </c>
      <c r="FB117">
        <v>1652371289.6</v>
      </c>
      <c r="FC117">
        <v>1652371275.1</v>
      </c>
      <c r="FD117">
        <v>24</v>
      </c>
      <c r="FE117">
        <v>0.442</v>
      </c>
      <c r="FF117">
        <v>0.001</v>
      </c>
      <c r="FG117">
        <v>-2.63</v>
      </c>
      <c r="FH117">
        <v>0.007</v>
      </c>
      <c r="FI117">
        <v>1620</v>
      </c>
      <c r="FJ117">
        <v>22</v>
      </c>
      <c r="FK117">
        <v>0.08</v>
      </c>
      <c r="FL117">
        <v>0.04</v>
      </c>
      <c r="FM117">
        <v>-88.2267425</v>
      </c>
      <c r="FN117">
        <v>3.303020262664336</v>
      </c>
      <c r="FO117">
        <v>0.3730784266662305</v>
      </c>
      <c r="FP117">
        <v>-1</v>
      </c>
      <c r="FQ117">
        <v>6.939495500000001</v>
      </c>
      <c r="FR117">
        <v>-2.52279737335838</v>
      </c>
      <c r="FS117">
        <v>0.2430684467794</v>
      </c>
      <c r="FT117">
        <v>0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1</v>
      </c>
      <c r="GA117" t="s">
        <v>432</v>
      </c>
      <c r="GB117">
        <v>2.69592</v>
      </c>
      <c r="GC117">
        <v>2.70533</v>
      </c>
      <c r="GD117">
        <v>0.190565</v>
      </c>
      <c r="GE117">
        <v>0.197153</v>
      </c>
      <c r="GF117">
        <v>0.106352</v>
      </c>
      <c r="GG117">
        <v>0.0840438</v>
      </c>
      <c r="GH117">
        <v>25457.3</v>
      </c>
      <c r="GI117">
        <v>25359</v>
      </c>
      <c r="GJ117">
        <v>29258.3</v>
      </c>
      <c r="GK117">
        <v>29231.6</v>
      </c>
      <c r="GL117">
        <v>34618.9</v>
      </c>
      <c r="GM117">
        <v>35642.4</v>
      </c>
      <c r="GN117">
        <v>41180.9</v>
      </c>
      <c r="GO117">
        <v>41706.6</v>
      </c>
      <c r="GP117">
        <v>1.72383</v>
      </c>
      <c r="GQ117">
        <v>2.03927</v>
      </c>
      <c r="GR117">
        <v>0.08019800000000001</v>
      </c>
      <c r="GS117">
        <v>0</v>
      </c>
      <c r="GT117">
        <v>28.7828</v>
      </c>
      <c r="GU117">
        <v>999.9</v>
      </c>
      <c r="GV117">
        <v>44.9</v>
      </c>
      <c r="GW117">
        <v>32.8</v>
      </c>
      <c r="GX117">
        <v>24.8108</v>
      </c>
      <c r="GY117">
        <v>62.8879</v>
      </c>
      <c r="GZ117">
        <v>29.2788</v>
      </c>
      <c r="HA117">
        <v>1</v>
      </c>
      <c r="HB117">
        <v>0.235025</v>
      </c>
      <c r="HC117">
        <v>0.136416</v>
      </c>
      <c r="HD117">
        <v>20.3816</v>
      </c>
      <c r="HE117">
        <v>5.21624</v>
      </c>
      <c r="HF117">
        <v>12.0099</v>
      </c>
      <c r="HG117">
        <v>4.98765</v>
      </c>
      <c r="HH117">
        <v>3.28833</v>
      </c>
      <c r="HI117">
        <v>2715.5</v>
      </c>
      <c r="HJ117">
        <v>9999</v>
      </c>
      <c r="HK117">
        <v>9999</v>
      </c>
      <c r="HL117">
        <v>49.9</v>
      </c>
      <c r="HM117">
        <v>1.86721</v>
      </c>
      <c r="HN117">
        <v>1.86615</v>
      </c>
      <c r="HO117">
        <v>1.86575</v>
      </c>
      <c r="HP117">
        <v>1.86567</v>
      </c>
      <c r="HQ117">
        <v>1.8674</v>
      </c>
      <c r="HR117">
        <v>1.86997</v>
      </c>
      <c r="HS117">
        <v>1.86863</v>
      </c>
      <c r="HT117">
        <v>1.86997</v>
      </c>
      <c r="HU117">
        <v>0</v>
      </c>
      <c r="HV117">
        <v>0</v>
      </c>
      <c r="HW117">
        <v>0</v>
      </c>
      <c r="HX117">
        <v>0</v>
      </c>
      <c r="HY117" t="s">
        <v>421</v>
      </c>
      <c r="HZ117" t="s">
        <v>422</v>
      </c>
      <c r="IA117" t="s">
        <v>423</v>
      </c>
      <c r="IB117" t="s">
        <v>423</v>
      </c>
      <c r="IC117" t="s">
        <v>423</v>
      </c>
      <c r="ID117" t="s">
        <v>423</v>
      </c>
      <c r="IE117">
        <v>0</v>
      </c>
      <c r="IF117">
        <v>100</v>
      </c>
      <c r="IG117">
        <v>100</v>
      </c>
      <c r="IH117">
        <v>-1.55</v>
      </c>
      <c r="II117">
        <v>0.0384</v>
      </c>
      <c r="IJ117">
        <v>1.257309091789605</v>
      </c>
      <c r="IK117">
        <v>-0.002185601614162945</v>
      </c>
      <c r="IL117">
        <v>-2.252308143750626E-07</v>
      </c>
      <c r="IM117">
        <v>5.915558436307541E-11</v>
      </c>
      <c r="IN117">
        <v>-0.118683452207699</v>
      </c>
      <c r="IO117">
        <v>-0.007570214193104963</v>
      </c>
      <c r="IP117">
        <v>0.0009214429922928372</v>
      </c>
      <c r="IQ117">
        <v>-1.392260276065805E-05</v>
      </c>
      <c r="IR117">
        <v>17</v>
      </c>
      <c r="IS117">
        <v>2272</v>
      </c>
      <c r="IT117">
        <v>1</v>
      </c>
      <c r="IU117">
        <v>31</v>
      </c>
      <c r="IV117">
        <v>11.6</v>
      </c>
      <c r="IW117">
        <v>11.9</v>
      </c>
      <c r="IX117">
        <v>2.55493</v>
      </c>
      <c r="IY117">
        <v>2.20093</v>
      </c>
      <c r="IZ117">
        <v>1.39648</v>
      </c>
      <c r="JA117">
        <v>2.35352</v>
      </c>
      <c r="JB117">
        <v>1.49536</v>
      </c>
      <c r="JC117">
        <v>2.36084</v>
      </c>
      <c r="JD117">
        <v>36.34</v>
      </c>
      <c r="JE117">
        <v>15.3404</v>
      </c>
      <c r="JF117">
        <v>18</v>
      </c>
      <c r="JG117">
        <v>386.81</v>
      </c>
      <c r="JH117">
        <v>571.641</v>
      </c>
      <c r="JI117">
        <v>29.8745</v>
      </c>
      <c r="JJ117">
        <v>30.5118</v>
      </c>
      <c r="JK117">
        <v>29.9997</v>
      </c>
      <c r="JL117">
        <v>30.423</v>
      </c>
      <c r="JM117">
        <v>30.3209</v>
      </c>
      <c r="JN117">
        <v>51.1346</v>
      </c>
      <c r="JO117">
        <v>29.5059</v>
      </c>
      <c r="JP117">
        <v>0</v>
      </c>
      <c r="JQ117">
        <v>29.7697</v>
      </c>
      <c r="JR117">
        <v>1289.24</v>
      </c>
      <c r="JS117">
        <v>17.8811</v>
      </c>
      <c r="JT117">
        <v>100.009</v>
      </c>
      <c r="JU117">
        <v>100.115</v>
      </c>
    </row>
    <row r="118" spans="1:281">
      <c r="A118">
        <v>102</v>
      </c>
      <c r="B118">
        <v>1652371991.6</v>
      </c>
      <c r="C118">
        <v>3898</v>
      </c>
      <c r="D118" t="s">
        <v>671</v>
      </c>
      <c r="E118" t="s">
        <v>672</v>
      </c>
      <c r="F118">
        <v>5</v>
      </c>
      <c r="G118" t="s">
        <v>518</v>
      </c>
      <c r="H118" t="s">
        <v>414</v>
      </c>
      <c r="I118">
        <v>1652371983.814285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1296.585130925183</v>
      </c>
      <c r="AK118">
        <v>1227.009575757575</v>
      </c>
      <c r="AL118">
        <v>3.500016348727965</v>
      </c>
      <c r="AM118">
        <v>65.95105977519088</v>
      </c>
      <c r="AN118">
        <f>(AP118 - AO118 + DI118*1E3/(8.314*(DK118+273.15)) * AR118/DH118 * AQ118) * DH118/(100*CV118) * 1000/(1000 - AP118)</f>
        <v>0</v>
      </c>
      <c r="AO118">
        <v>17.62285565203992</v>
      </c>
      <c r="AP118">
        <v>24.10825454545456</v>
      </c>
      <c r="AQ118">
        <v>0.0005212815046977144</v>
      </c>
      <c r="AR118">
        <v>81.26040297655408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417</v>
      </c>
      <c r="AY118" t="s">
        <v>417</v>
      </c>
      <c r="AZ118">
        <v>0</v>
      </c>
      <c r="BA118">
        <v>0</v>
      </c>
      <c r="BB118">
        <f>1-AZ118/BA118</f>
        <v>0</v>
      </c>
      <c r="BC118">
        <v>0</v>
      </c>
      <c r="BD118" t="s">
        <v>417</v>
      </c>
      <c r="BE118" t="s">
        <v>417</v>
      </c>
      <c r="BF118">
        <v>0</v>
      </c>
      <c r="BG118">
        <v>0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417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1393</v>
      </c>
      <c r="CA118">
        <v>300</v>
      </c>
      <c r="CB118">
        <v>300</v>
      </c>
      <c r="CC118">
        <v>300</v>
      </c>
      <c r="CD118">
        <v>10378</v>
      </c>
      <c r="CE118">
        <v>2050</v>
      </c>
      <c r="CF118">
        <v>-0.00730649</v>
      </c>
      <c r="CG118">
        <v>-4.53</v>
      </c>
      <c r="CH118" t="s">
        <v>417</v>
      </c>
      <c r="CI118" t="s">
        <v>417</v>
      </c>
      <c r="CJ118" t="s">
        <v>417</v>
      </c>
      <c r="CK118" t="s">
        <v>417</v>
      </c>
      <c r="CL118" t="s">
        <v>417</v>
      </c>
      <c r="CM118" t="s">
        <v>417</v>
      </c>
      <c r="CN118" t="s">
        <v>417</v>
      </c>
      <c r="CO118" t="s">
        <v>417</v>
      </c>
      <c r="CP118" t="s">
        <v>417</v>
      </c>
      <c r="CQ118" t="s">
        <v>417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418</v>
      </c>
      <c r="CY118">
        <v>2</v>
      </c>
      <c r="CZ118" t="b">
        <v>1</v>
      </c>
      <c r="DA118">
        <v>1652371983.814285</v>
      </c>
      <c r="DB118">
        <v>1172.614285714286</v>
      </c>
      <c r="DC118">
        <v>1260.415714285714</v>
      </c>
      <c r="DD118">
        <v>24.07261071428571</v>
      </c>
      <c r="DE118">
        <v>17.48377142857143</v>
      </c>
      <c r="DF118">
        <v>1174.138928571429</v>
      </c>
      <c r="DG118">
        <v>24.03425714285714</v>
      </c>
      <c r="DH118">
        <v>400.07125</v>
      </c>
      <c r="DI118">
        <v>90.4085392857143</v>
      </c>
      <c r="DJ118">
        <v>0.0999879642857143</v>
      </c>
      <c r="DK118">
        <v>31.007225</v>
      </c>
      <c r="DL118">
        <v>30.07091785714286</v>
      </c>
      <c r="DM118">
        <v>999.9000000000002</v>
      </c>
      <c r="DN118">
        <v>0</v>
      </c>
      <c r="DO118">
        <v>0</v>
      </c>
      <c r="DP118">
        <v>10013.36857142857</v>
      </c>
      <c r="DQ118">
        <v>0</v>
      </c>
      <c r="DR118">
        <v>720.2569285714284</v>
      </c>
      <c r="DS118">
        <v>-87.80137857142857</v>
      </c>
      <c r="DT118">
        <v>1201.538214285714</v>
      </c>
      <c r="DU118">
        <v>1282.848214285714</v>
      </c>
      <c r="DV118">
        <v>6.588830357142856</v>
      </c>
      <c r="DW118">
        <v>1260.415714285714</v>
      </c>
      <c r="DX118">
        <v>17.48377142857143</v>
      </c>
      <c r="DY118">
        <v>2.176369642857142</v>
      </c>
      <c r="DZ118">
        <v>1.580681785714285</v>
      </c>
      <c r="EA118">
        <v>18.78940714285714</v>
      </c>
      <c r="EB118">
        <v>13.77094642857143</v>
      </c>
      <c r="EC118">
        <v>1499.974642857143</v>
      </c>
      <c r="ED118">
        <v>0.9730064642857142</v>
      </c>
      <c r="EE118">
        <v>0.02699336785714286</v>
      </c>
      <c r="EF118">
        <v>0</v>
      </c>
      <c r="EG118">
        <v>1022.305714285714</v>
      </c>
      <c r="EH118">
        <v>5.00097</v>
      </c>
      <c r="EI118">
        <v>16516.28928571428</v>
      </c>
      <c r="EJ118">
        <v>12491.39642857143</v>
      </c>
      <c r="EK118">
        <v>39.55314285714285</v>
      </c>
      <c r="EL118">
        <v>41.08674999999999</v>
      </c>
      <c r="EM118">
        <v>39.75</v>
      </c>
      <c r="EN118">
        <v>40.875</v>
      </c>
      <c r="EO118">
        <v>40.70724999999999</v>
      </c>
      <c r="EP118">
        <v>1454.616428571428</v>
      </c>
      <c r="EQ118">
        <v>40.35107142857142</v>
      </c>
      <c r="ER118">
        <v>0</v>
      </c>
      <c r="ES118">
        <v>826</v>
      </c>
      <c r="ET118">
        <v>0</v>
      </c>
      <c r="EU118">
        <v>1021.6564</v>
      </c>
      <c r="EV118">
        <v>-40.46384608169604</v>
      </c>
      <c r="EW118">
        <v>-402.7384611106739</v>
      </c>
      <c r="EX118">
        <v>16507.616</v>
      </c>
      <c r="EY118">
        <v>15</v>
      </c>
      <c r="EZ118">
        <v>1652371289.6</v>
      </c>
      <c r="FA118" t="s">
        <v>515</v>
      </c>
      <c r="FB118">
        <v>1652371289.6</v>
      </c>
      <c r="FC118">
        <v>1652371275.1</v>
      </c>
      <c r="FD118">
        <v>24</v>
      </c>
      <c r="FE118">
        <v>0.442</v>
      </c>
      <c r="FF118">
        <v>0.001</v>
      </c>
      <c r="FG118">
        <v>-2.63</v>
      </c>
      <c r="FH118">
        <v>0.007</v>
      </c>
      <c r="FI118">
        <v>1620</v>
      </c>
      <c r="FJ118">
        <v>22</v>
      </c>
      <c r="FK118">
        <v>0.08</v>
      </c>
      <c r="FL118">
        <v>0.04</v>
      </c>
      <c r="FM118">
        <v>-87.91766585365852</v>
      </c>
      <c r="FN118">
        <v>1.977788153310072</v>
      </c>
      <c r="FO118">
        <v>0.2283176569881616</v>
      </c>
      <c r="FP118">
        <v>-1</v>
      </c>
      <c r="FQ118">
        <v>6.722062195121952</v>
      </c>
      <c r="FR118">
        <v>-2.489274146341444</v>
      </c>
      <c r="FS118">
        <v>0.2457369279605207</v>
      </c>
      <c r="FT118">
        <v>0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1</v>
      </c>
      <c r="GA118" t="s">
        <v>432</v>
      </c>
      <c r="GB118">
        <v>2.6962</v>
      </c>
      <c r="GC118">
        <v>2.7051</v>
      </c>
      <c r="GD118">
        <v>0.192284</v>
      </c>
      <c r="GE118">
        <v>0.198726</v>
      </c>
      <c r="GF118">
        <v>0.106454</v>
      </c>
      <c r="GG118">
        <v>0.084686</v>
      </c>
      <c r="GH118">
        <v>25402.6</v>
      </c>
      <c r="GI118">
        <v>25308.8</v>
      </c>
      <c r="GJ118">
        <v>29257.7</v>
      </c>
      <c r="GK118">
        <v>29231.1</v>
      </c>
      <c r="GL118">
        <v>34613.9</v>
      </c>
      <c r="GM118">
        <v>35616.8</v>
      </c>
      <c r="GN118">
        <v>41179.6</v>
      </c>
      <c r="GO118">
        <v>41706.1</v>
      </c>
      <c r="GP118">
        <v>1.7237</v>
      </c>
      <c r="GQ118">
        <v>2.0396</v>
      </c>
      <c r="GR118">
        <v>0.0810213</v>
      </c>
      <c r="GS118">
        <v>0</v>
      </c>
      <c r="GT118">
        <v>28.7797</v>
      </c>
      <c r="GU118">
        <v>999.9</v>
      </c>
      <c r="GV118">
        <v>44.9</v>
      </c>
      <c r="GW118">
        <v>32.8</v>
      </c>
      <c r="GX118">
        <v>24.811</v>
      </c>
      <c r="GY118">
        <v>63.2879</v>
      </c>
      <c r="GZ118">
        <v>29.4351</v>
      </c>
      <c r="HA118">
        <v>1</v>
      </c>
      <c r="HB118">
        <v>0.234947</v>
      </c>
      <c r="HC118">
        <v>0.424474</v>
      </c>
      <c r="HD118">
        <v>20.3811</v>
      </c>
      <c r="HE118">
        <v>5.21729</v>
      </c>
      <c r="HF118">
        <v>12.0099</v>
      </c>
      <c r="HG118">
        <v>4.9876</v>
      </c>
      <c r="HH118">
        <v>3.2883</v>
      </c>
      <c r="HI118">
        <v>2715.5</v>
      </c>
      <c r="HJ118">
        <v>9999</v>
      </c>
      <c r="HK118">
        <v>9999</v>
      </c>
      <c r="HL118">
        <v>49.9</v>
      </c>
      <c r="HM118">
        <v>1.86721</v>
      </c>
      <c r="HN118">
        <v>1.86615</v>
      </c>
      <c r="HO118">
        <v>1.86578</v>
      </c>
      <c r="HP118">
        <v>1.86568</v>
      </c>
      <c r="HQ118">
        <v>1.8674</v>
      </c>
      <c r="HR118">
        <v>1.86999</v>
      </c>
      <c r="HS118">
        <v>1.86861</v>
      </c>
      <c r="HT118">
        <v>1.86997</v>
      </c>
      <c r="HU118">
        <v>0</v>
      </c>
      <c r="HV118">
        <v>0</v>
      </c>
      <c r="HW118">
        <v>0</v>
      </c>
      <c r="HX118">
        <v>0</v>
      </c>
      <c r="HY118" t="s">
        <v>421</v>
      </c>
      <c r="HZ118" t="s">
        <v>422</v>
      </c>
      <c r="IA118" t="s">
        <v>423</v>
      </c>
      <c r="IB118" t="s">
        <v>423</v>
      </c>
      <c r="IC118" t="s">
        <v>423</v>
      </c>
      <c r="ID118" t="s">
        <v>423</v>
      </c>
      <c r="IE118">
        <v>0</v>
      </c>
      <c r="IF118">
        <v>100</v>
      </c>
      <c r="IG118">
        <v>100</v>
      </c>
      <c r="IH118">
        <v>-1.59</v>
      </c>
      <c r="II118">
        <v>0.0388</v>
      </c>
      <c r="IJ118">
        <v>1.257309091789605</v>
      </c>
      <c r="IK118">
        <v>-0.002185601614162945</v>
      </c>
      <c r="IL118">
        <v>-2.252308143750626E-07</v>
      </c>
      <c r="IM118">
        <v>5.915558436307541E-11</v>
      </c>
      <c r="IN118">
        <v>-0.118683452207699</v>
      </c>
      <c r="IO118">
        <v>-0.007570214193104963</v>
      </c>
      <c r="IP118">
        <v>0.0009214429922928372</v>
      </c>
      <c r="IQ118">
        <v>-1.392260276065805E-05</v>
      </c>
      <c r="IR118">
        <v>17</v>
      </c>
      <c r="IS118">
        <v>2272</v>
      </c>
      <c r="IT118">
        <v>1</v>
      </c>
      <c r="IU118">
        <v>31</v>
      </c>
      <c r="IV118">
        <v>11.7</v>
      </c>
      <c r="IW118">
        <v>11.9</v>
      </c>
      <c r="IX118">
        <v>2.58057</v>
      </c>
      <c r="IY118">
        <v>2.19971</v>
      </c>
      <c r="IZ118">
        <v>1.39648</v>
      </c>
      <c r="JA118">
        <v>2.35352</v>
      </c>
      <c r="JB118">
        <v>1.49536</v>
      </c>
      <c r="JC118">
        <v>2.37549</v>
      </c>
      <c r="JD118">
        <v>36.34</v>
      </c>
      <c r="JE118">
        <v>15.3404</v>
      </c>
      <c r="JF118">
        <v>18</v>
      </c>
      <c r="JG118">
        <v>386.742</v>
      </c>
      <c r="JH118">
        <v>571.885</v>
      </c>
      <c r="JI118">
        <v>29.7886</v>
      </c>
      <c r="JJ118">
        <v>30.5091</v>
      </c>
      <c r="JK118">
        <v>30.0001</v>
      </c>
      <c r="JL118">
        <v>30.423</v>
      </c>
      <c r="JM118">
        <v>30.3207</v>
      </c>
      <c r="JN118">
        <v>51.6419</v>
      </c>
      <c r="JO118">
        <v>28.906</v>
      </c>
      <c r="JP118">
        <v>0</v>
      </c>
      <c r="JQ118">
        <v>29.6807</v>
      </c>
      <c r="JR118">
        <v>1309.29</v>
      </c>
      <c r="JS118">
        <v>18.0569</v>
      </c>
      <c r="JT118">
        <v>100.006</v>
      </c>
      <c r="JU118">
        <v>100.113</v>
      </c>
    </row>
    <row r="119" spans="1:281">
      <c r="A119">
        <v>103</v>
      </c>
      <c r="B119">
        <v>1652371996.6</v>
      </c>
      <c r="C119">
        <v>3903</v>
      </c>
      <c r="D119" t="s">
        <v>673</v>
      </c>
      <c r="E119" t="s">
        <v>674</v>
      </c>
      <c r="F119">
        <v>5</v>
      </c>
      <c r="G119" t="s">
        <v>518</v>
      </c>
      <c r="H119" t="s">
        <v>414</v>
      </c>
      <c r="I119">
        <v>1652371989.1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1313.507570455033</v>
      </c>
      <c r="AK119">
        <v>1244.146727272727</v>
      </c>
      <c r="AL119">
        <v>3.416647440422805</v>
      </c>
      <c r="AM119">
        <v>65.95105977519088</v>
      </c>
      <c r="AN119">
        <f>(AP119 - AO119 + DI119*1E3/(8.314*(DK119+273.15)) * AR119/DH119 * AQ119) * DH119/(100*CV119) * 1000/(1000 - AP119)</f>
        <v>0</v>
      </c>
      <c r="AO119">
        <v>17.81343748086577</v>
      </c>
      <c r="AP119">
        <v>24.14187342657343</v>
      </c>
      <c r="AQ119">
        <v>0.005470703427146408</v>
      </c>
      <c r="AR119">
        <v>81.26040297655408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417</v>
      </c>
      <c r="AY119" t="s">
        <v>417</v>
      </c>
      <c r="AZ119">
        <v>0</v>
      </c>
      <c r="BA119">
        <v>0</v>
      </c>
      <c r="BB119">
        <f>1-AZ119/BA119</f>
        <v>0</v>
      </c>
      <c r="BC119">
        <v>0</v>
      </c>
      <c r="BD119" t="s">
        <v>417</v>
      </c>
      <c r="BE119" t="s">
        <v>417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417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1393</v>
      </c>
      <c r="CA119">
        <v>300</v>
      </c>
      <c r="CB119">
        <v>300</v>
      </c>
      <c r="CC119">
        <v>300</v>
      </c>
      <c r="CD119">
        <v>10378</v>
      </c>
      <c r="CE119">
        <v>2050</v>
      </c>
      <c r="CF119">
        <v>-0.00730649</v>
      </c>
      <c r="CG119">
        <v>-4.53</v>
      </c>
      <c r="CH119" t="s">
        <v>417</v>
      </c>
      <c r="CI119" t="s">
        <v>417</v>
      </c>
      <c r="CJ119" t="s">
        <v>417</v>
      </c>
      <c r="CK119" t="s">
        <v>417</v>
      </c>
      <c r="CL119" t="s">
        <v>417</v>
      </c>
      <c r="CM119" t="s">
        <v>417</v>
      </c>
      <c r="CN119" t="s">
        <v>417</v>
      </c>
      <c r="CO119" t="s">
        <v>417</v>
      </c>
      <c r="CP119" t="s">
        <v>417</v>
      </c>
      <c r="CQ119" t="s">
        <v>417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418</v>
      </c>
      <c r="CY119">
        <v>2</v>
      </c>
      <c r="CZ119" t="b">
        <v>1</v>
      </c>
      <c r="DA119">
        <v>1652371989.1</v>
      </c>
      <c r="DB119">
        <v>1190.532222222222</v>
      </c>
      <c r="DC119">
        <v>1278.162962962963</v>
      </c>
      <c r="DD119">
        <v>24.09618518518518</v>
      </c>
      <c r="DE119">
        <v>17.70501851851852</v>
      </c>
      <c r="DF119">
        <v>1192.101481481481</v>
      </c>
      <c r="DG119">
        <v>24.05755185185185</v>
      </c>
      <c r="DH119">
        <v>400.0806296296296</v>
      </c>
      <c r="DI119">
        <v>90.40680740740743</v>
      </c>
      <c r="DJ119">
        <v>0.1000203185185185</v>
      </c>
      <c r="DK119">
        <v>31.01028518518519</v>
      </c>
      <c r="DL119">
        <v>30.09041111111111</v>
      </c>
      <c r="DM119">
        <v>999.9000000000001</v>
      </c>
      <c r="DN119">
        <v>0</v>
      </c>
      <c r="DO119">
        <v>0</v>
      </c>
      <c r="DP119">
        <v>10003.05222222222</v>
      </c>
      <c r="DQ119">
        <v>0</v>
      </c>
      <c r="DR119">
        <v>746.6314444444444</v>
      </c>
      <c r="DS119">
        <v>-87.63037037037037</v>
      </c>
      <c r="DT119">
        <v>1219.927407407407</v>
      </c>
      <c r="DU119">
        <v>1301.203333333333</v>
      </c>
      <c r="DV119">
        <v>6.391169629629632</v>
      </c>
      <c r="DW119">
        <v>1278.162962962963</v>
      </c>
      <c r="DX119">
        <v>17.70501851851852</v>
      </c>
      <c r="DY119">
        <v>2.17846</v>
      </c>
      <c r="DZ119">
        <v>1.600653333333333</v>
      </c>
      <c r="EA119">
        <v>18.80476666666667</v>
      </c>
      <c r="EB119">
        <v>13.96441851851852</v>
      </c>
      <c r="EC119">
        <v>1499.957777777778</v>
      </c>
      <c r="ED119">
        <v>0.9730064444444444</v>
      </c>
      <c r="EE119">
        <v>0.02699338888888889</v>
      </c>
      <c r="EF119">
        <v>0</v>
      </c>
      <c r="EG119">
        <v>1019.021481481482</v>
      </c>
      <c r="EH119">
        <v>5.00097</v>
      </c>
      <c r="EI119">
        <v>16477.86666666666</v>
      </c>
      <c r="EJ119">
        <v>12491.25925925926</v>
      </c>
      <c r="EK119">
        <v>39.54133333333333</v>
      </c>
      <c r="EL119">
        <v>41.07599999999999</v>
      </c>
      <c r="EM119">
        <v>39.75</v>
      </c>
      <c r="EN119">
        <v>40.875</v>
      </c>
      <c r="EO119">
        <v>40.69866666666666</v>
      </c>
      <c r="EP119">
        <v>1454.602592592592</v>
      </c>
      <c r="EQ119">
        <v>40.35</v>
      </c>
      <c r="ER119">
        <v>0</v>
      </c>
      <c r="ES119">
        <v>830.7999999523163</v>
      </c>
      <c r="ET119">
        <v>0</v>
      </c>
      <c r="EU119">
        <v>1018.7448</v>
      </c>
      <c r="EV119">
        <v>-32.01999999834742</v>
      </c>
      <c r="EW119">
        <v>-464.6923077503421</v>
      </c>
      <c r="EX119">
        <v>16473.612</v>
      </c>
      <c r="EY119">
        <v>15</v>
      </c>
      <c r="EZ119">
        <v>1652371289.6</v>
      </c>
      <c r="FA119" t="s">
        <v>515</v>
      </c>
      <c r="FB119">
        <v>1652371289.6</v>
      </c>
      <c r="FC119">
        <v>1652371275.1</v>
      </c>
      <c r="FD119">
        <v>24</v>
      </c>
      <c r="FE119">
        <v>0.442</v>
      </c>
      <c r="FF119">
        <v>0.001</v>
      </c>
      <c r="FG119">
        <v>-2.63</v>
      </c>
      <c r="FH119">
        <v>0.007</v>
      </c>
      <c r="FI119">
        <v>1620</v>
      </c>
      <c r="FJ119">
        <v>22</v>
      </c>
      <c r="FK119">
        <v>0.08</v>
      </c>
      <c r="FL119">
        <v>0.04</v>
      </c>
      <c r="FM119">
        <v>-87.72466585365854</v>
      </c>
      <c r="FN119">
        <v>2.37043902439023</v>
      </c>
      <c r="FO119">
        <v>0.2937778849118767</v>
      </c>
      <c r="FP119">
        <v>-1</v>
      </c>
      <c r="FQ119">
        <v>6.525189756097561</v>
      </c>
      <c r="FR119">
        <v>-2.28017832752612</v>
      </c>
      <c r="FS119">
        <v>0.2252452162453266</v>
      </c>
      <c r="FT119">
        <v>0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1</v>
      </c>
      <c r="GA119" t="s">
        <v>432</v>
      </c>
      <c r="GB119">
        <v>2.69604</v>
      </c>
      <c r="GC119">
        <v>2.70499</v>
      </c>
      <c r="GD119">
        <v>0.193964</v>
      </c>
      <c r="GE119">
        <v>0.200379</v>
      </c>
      <c r="GF119">
        <v>0.106559</v>
      </c>
      <c r="GG119">
        <v>0.0853331</v>
      </c>
      <c r="GH119">
        <v>25349.7</v>
      </c>
      <c r="GI119">
        <v>25256.6</v>
      </c>
      <c r="GJ119">
        <v>29257.8</v>
      </c>
      <c r="GK119">
        <v>29231.2</v>
      </c>
      <c r="GL119">
        <v>34609.8</v>
      </c>
      <c r="GM119">
        <v>35591.7</v>
      </c>
      <c r="GN119">
        <v>41179.6</v>
      </c>
      <c r="GO119">
        <v>41706.3</v>
      </c>
      <c r="GP119">
        <v>1.72327</v>
      </c>
      <c r="GQ119">
        <v>2.03988</v>
      </c>
      <c r="GR119">
        <v>0.08111450000000001</v>
      </c>
      <c r="GS119">
        <v>0</v>
      </c>
      <c r="GT119">
        <v>28.7762</v>
      </c>
      <c r="GU119">
        <v>999.9</v>
      </c>
      <c r="GV119">
        <v>44.9</v>
      </c>
      <c r="GW119">
        <v>32.8</v>
      </c>
      <c r="GX119">
        <v>24.8093</v>
      </c>
      <c r="GY119">
        <v>63.5979</v>
      </c>
      <c r="GZ119">
        <v>29.5032</v>
      </c>
      <c r="HA119">
        <v>1</v>
      </c>
      <c r="HB119">
        <v>0.23564</v>
      </c>
      <c r="HC119">
        <v>0.60808</v>
      </c>
      <c r="HD119">
        <v>20.3804</v>
      </c>
      <c r="HE119">
        <v>5.21744</v>
      </c>
      <c r="HF119">
        <v>12.0099</v>
      </c>
      <c r="HG119">
        <v>4.98845</v>
      </c>
      <c r="HH119">
        <v>3.28848</v>
      </c>
      <c r="HI119">
        <v>2715.7</v>
      </c>
      <c r="HJ119">
        <v>9999</v>
      </c>
      <c r="HK119">
        <v>9999</v>
      </c>
      <c r="HL119">
        <v>49.9</v>
      </c>
      <c r="HM119">
        <v>1.86722</v>
      </c>
      <c r="HN119">
        <v>1.86616</v>
      </c>
      <c r="HO119">
        <v>1.86576</v>
      </c>
      <c r="HP119">
        <v>1.86569</v>
      </c>
      <c r="HQ119">
        <v>1.8674</v>
      </c>
      <c r="HR119">
        <v>1.86997</v>
      </c>
      <c r="HS119">
        <v>1.86861</v>
      </c>
      <c r="HT119">
        <v>1.86996</v>
      </c>
      <c r="HU119">
        <v>0</v>
      </c>
      <c r="HV119">
        <v>0</v>
      </c>
      <c r="HW119">
        <v>0</v>
      </c>
      <c r="HX119">
        <v>0</v>
      </c>
      <c r="HY119" t="s">
        <v>421</v>
      </c>
      <c r="HZ119" t="s">
        <v>422</v>
      </c>
      <c r="IA119" t="s">
        <v>423</v>
      </c>
      <c r="IB119" t="s">
        <v>423</v>
      </c>
      <c r="IC119" t="s">
        <v>423</v>
      </c>
      <c r="ID119" t="s">
        <v>423</v>
      </c>
      <c r="IE119">
        <v>0</v>
      </c>
      <c r="IF119">
        <v>100</v>
      </c>
      <c r="IG119">
        <v>100</v>
      </c>
      <c r="IH119">
        <v>-1.63</v>
      </c>
      <c r="II119">
        <v>0.0392</v>
      </c>
      <c r="IJ119">
        <v>1.257309091789605</v>
      </c>
      <c r="IK119">
        <v>-0.002185601614162945</v>
      </c>
      <c r="IL119">
        <v>-2.252308143750626E-07</v>
      </c>
      <c r="IM119">
        <v>5.915558436307541E-11</v>
      </c>
      <c r="IN119">
        <v>-0.118683452207699</v>
      </c>
      <c r="IO119">
        <v>-0.007570214193104963</v>
      </c>
      <c r="IP119">
        <v>0.0009214429922928372</v>
      </c>
      <c r="IQ119">
        <v>-1.392260276065805E-05</v>
      </c>
      <c r="IR119">
        <v>17</v>
      </c>
      <c r="IS119">
        <v>2272</v>
      </c>
      <c r="IT119">
        <v>1</v>
      </c>
      <c r="IU119">
        <v>31</v>
      </c>
      <c r="IV119">
        <v>11.8</v>
      </c>
      <c r="IW119">
        <v>12</v>
      </c>
      <c r="IX119">
        <v>2.60864</v>
      </c>
      <c r="IY119">
        <v>2.1936</v>
      </c>
      <c r="IZ119">
        <v>1.39648</v>
      </c>
      <c r="JA119">
        <v>2.35352</v>
      </c>
      <c r="JB119">
        <v>1.49536</v>
      </c>
      <c r="JC119">
        <v>2.38525</v>
      </c>
      <c r="JD119">
        <v>36.34</v>
      </c>
      <c r="JE119">
        <v>15.3404</v>
      </c>
      <c r="JF119">
        <v>18</v>
      </c>
      <c r="JG119">
        <v>386.513</v>
      </c>
      <c r="JH119">
        <v>572.0940000000001</v>
      </c>
      <c r="JI119">
        <v>29.6725</v>
      </c>
      <c r="JJ119">
        <v>30.507</v>
      </c>
      <c r="JK119">
        <v>30.0002</v>
      </c>
      <c r="JL119">
        <v>30.4224</v>
      </c>
      <c r="JM119">
        <v>30.3207</v>
      </c>
      <c r="JN119">
        <v>52.2081</v>
      </c>
      <c r="JO119">
        <v>28.2907</v>
      </c>
      <c r="JP119">
        <v>0</v>
      </c>
      <c r="JQ119">
        <v>29.5804</v>
      </c>
      <c r="JR119">
        <v>1322.65</v>
      </c>
      <c r="JS119">
        <v>18.2281</v>
      </c>
      <c r="JT119">
        <v>100.006</v>
      </c>
      <c r="JU119">
        <v>100.114</v>
      </c>
    </row>
    <row r="120" spans="1:281">
      <c r="A120">
        <v>104</v>
      </c>
      <c r="B120">
        <v>1652372001.6</v>
      </c>
      <c r="C120">
        <v>3908</v>
      </c>
      <c r="D120" t="s">
        <v>675</v>
      </c>
      <c r="E120" t="s">
        <v>676</v>
      </c>
      <c r="F120">
        <v>5</v>
      </c>
      <c r="G120" t="s">
        <v>518</v>
      </c>
      <c r="H120" t="s">
        <v>414</v>
      </c>
      <c r="I120">
        <v>1652371993.814285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1331.072644802596</v>
      </c>
      <c r="AK120">
        <v>1261.423757575758</v>
      </c>
      <c r="AL120">
        <v>3.442916736251389</v>
      </c>
      <c r="AM120">
        <v>65.95105977519088</v>
      </c>
      <c r="AN120">
        <f>(AP120 - AO120 + DI120*1E3/(8.314*(DK120+273.15)) * AR120/DH120 * AQ120) * DH120/(100*CV120) * 1000/(1000 - AP120)</f>
        <v>0</v>
      </c>
      <c r="AO120">
        <v>17.99969248984535</v>
      </c>
      <c r="AP120">
        <v>24.1695013986014</v>
      </c>
      <c r="AQ120">
        <v>0.005257890553416144</v>
      </c>
      <c r="AR120">
        <v>81.26040297655408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417</v>
      </c>
      <c r="AY120" t="s">
        <v>417</v>
      </c>
      <c r="AZ120">
        <v>0</v>
      </c>
      <c r="BA120">
        <v>0</v>
      </c>
      <c r="BB120">
        <f>1-AZ120/BA120</f>
        <v>0</v>
      </c>
      <c r="BC120">
        <v>0</v>
      </c>
      <c r="BD120" t="s">
        <v>417</v>
      </c>
      <c r="BE120" t="s">
        <v>417</v>
      </c>
      <c r="BF120">
        <v>0</v>
      </c>
      <c r="BG120">
        <v>0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417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1393</v>
      </c>
      <c r="CA120">
        <v>300</v>
      </c>
      <c r="CB120">
        <v>300</v>
      </c>
      <c r="CC120">
        <v>300</v>
      </c>
      <c r="CD120">
        <v>10378</v>
      </c>
      <c r="CE120">
        <v>2050</v>
      </c>
      <c r="CF120">
        <v>-0.00730649</v>
      </c>
      <c r="CG120">
        <v>-4.53</v>
      </c>
      <c r="CH120" t="s">
        <v>417</v>
      </c>
      <c r="CI120" t="s">
        <v>417</v>
      </c>
      <c r="CJ120" t="s">
        <v>417</v>
      </c>
      <c r="CK120" t="s">
        <v>417</v>
      </c>
      <c r="CL120" t="s">
        <v>417</v>
      </c>
      <c r="CM120" t="s">
        <v>417</v>
      </c>
      <c r="CN120" t="s">
        <v>417</v>
      </c>
      <c r="CO120" t="s">
        <v>417</v>
      </c>
      <c r="CP120" t="s">
        <v>417</v>
      </c>
      <c r="CQ120" t="s">
        <v>417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418</v>
      </c>
      <c r="CY120">
        <v>2</v>
      </c>
      <c r="CZ120" t="b">
        <v>1</v>
      </c>
      <c r="DA120">
        <v>1652371993.814285</v>
      </c>
      <c r="DB120">
        <v>1206.465</v>
      </c>
      <c r="DC120">
        <v>1293.906071428571</v>
      </c>
      <c r="DD120">
        <v>24.12395357142858</v>
      </c>
      <c r="DE120">
        <v>17.88863214285714</v>
      </c>
      <c r="DF120">
        <v>1208.073928571428</v>
      </c>
      <c r="DG120">
        <v>24.08497500000001</v>
      </c>
      <c r="DH120">
        <v>400.0730714285715</v>
      </c>
      <c r="DI120">
        <v>90.40669642857142</v>
      </c>
      <c r="DJ120">
        <v>0.09999921071428572</v>
      </c>
      <c r="DK120">
        <v>31.00639285714286</v>
      </c>
      <c r="DL120">
        <v>30.09531428571428</v>
      </c>
      <c r="DM120">
        <v>999.9000000000002</v>
      </c>
      <c r="DN120">
        <v>0</v>
      </c>
      <c r="DO120">
        <v>0</v>
      </c>
      <c r="DP120">
        <v>9997.025357142857</v>
      </c>
      <c r="DQ120">
        <v>0</v>
      </c>
      <c r="DR120">
        <v>762.5208928571428</v>
      </c>
      <c r="DS120">
        <v>-87.44043214285715</v>
      </c>
      <c r="DT120">
        <v>1236.288571428571</v>
      </c>
      <c r="DU120">
        <v>1317.476428571429</v>
      </c>
      <c r="DV120">
        <v>6.235325714285714</v>
      </c>
      <c r="DW120">
        <v>1293.906071428571</v>
      </c>
      <c r="DX120">
        <v>17.88863214285714</v>
      </c>
      <c r="DY120">
        <v>2.180968214285715</v>
      </c>
      <c r="DZ120">
        <v>1.617252142857143</v>
      </c>
      <c r="EA120">
        <v>18.82318214285714</v>
      </c>
      <c r="EB120">
        <v>14.12358928571428</v>
      </c>
      <c r="EC120">
        <v>1499.982857142857</v>
      </c>
      <c r="ED120">
        <v>0.9730069999999998</v>
      </c>
      <c r="EE120">
        <v>0.02699280000000001</v>
      </c>
      <c r="EF120">
        <v>0</v>
      </c>
      <c r="EG120">
        <v>1016.721071428571</v>
      </c>
      <c r="EH120">
        <v>5.00097</v>
      </c>
      <c r="EI120">
        <v>16429.37142857143</v>
      </c>
      <c r="EJ120">
        <v>12491.47857142857</v>
      </c>
      <c r="EK120">
        <v>39.54649999999999</v>
      </c>
      <c r="EL120">
        <v>41.06874999999999</v>
      </c>
      <c r="EM120">
        <v>39.75</v>
      </c>
      <c r="EN120">
        <v>40.875</v>
      </c>
      <c r="EO120">
        <v>40.68924999999999</v>
      </c>
      <c r="EP120">
        <v>1454.629642857142</v>
      </c>
      <c r="EQ120">
        <v>40.35</v>
      </c>
      <c r="ER120">
        <v>0</v>
      </c>
      <c r="ES120">
        <v>835.5999999046326</v>
      </c>
      <c r="ET120">
        <v>0</v>
      </c>
      <c r="EU120">
        <v>1016.4556</v>
      </c>
      <c r="EV120">
        <v>-25.03307689442905</v>
      </c>
      <c r="EW120">
        <v>-733.3923067894533</v>
      </c>
      <c r="EX120">
        <v>16422.448</v>
      </c>
      <c r="EY120">
        <v>15</v>
      </c>
      <c r="EZ120">
        <v>1652371289.6</v>
      </c>
      <c r="FA120" t="s">
        <v>515</v>
      </c>
      <c r="FB120">
        <v>1652371289.6</v>
      </c>
      <c r="FC120">
        <v>1652371275.1</v>
      </c>
      <c r="FD120">
        <v>24</v>
      </c>
      <c r="FE120">
        <v>0.442</v>
      </c>
      <c r="FF120">
        <v>0.001</v>
      </c>
      <c r="FG120">
        <v>-2.63</v>
      </c>
      <c r="FH120">
        <v>0.007</v>
      </c>
      <c r="FI120">
        <v>1620</v>
      </c>
      <c r="FJ120">
        <v>22</v>
      </c>
      <c r="FK120">
        <v>0.08</v>
      </c>
      <c r="FL120">
        <v>0.04</v>
      </c>
      <c r="FM120">
        <v>-87.58659756097562</v>
      </c>
      <c r="FN120">
        <v>2.311519860627168</v>
      </c>
      <c r="FO120">
        <v>0.2948171169268765</v>
      </c>
      <c r="FP120">
        <v>-1</v>
      </c>
      <c r="FQ120">
        <v>6.347547073170732</v>
      </c>
      <c r="FR120">
        <v>-2.019045156794435</v>
      </c>
      <c r="FS120">
        <v>0.1997401931075796</v>
      </c>
      <c r="FT120">
        <v>0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1</v>
      </c>
      <c r="GA120" t="s">
        <v>432</v>
      </c>
      <c r="GB120">
        <v>2.69582</v>
      </c>
      <c r="GC120">
        <v>2.70512</v>
      </c>
      <c r="GD120">
        <v>0.195644</v>
      </c>
      <c r="GE120">
        <v>0.201964</v>
      </c>
      <c r="GF120">
        <v>0.106648</v>
      </c>
      <c r="GG120">
        <v>0.0859134</v>
      </c>
      <c r="GH120">
        <v>25296.9</v>
      </c>
      <c r="GI120">
        <v>25206.7</v>
      </c>
      <c r="GJ120">
        <v>29257.9</v>
      </c>
      <c r="GK120">
        <v>29231.5</v>
      </c>
      <c r="GL120">
        <v>34606.5</v>
      </c>
      <c r="GM120">
        <v>35569.3</v>
      </c>
      <c r="GN120">
        <v>41179.9</v>
      </c>
      <c r="GO120">
        <v>41706.7</v>
      </c>
      <c r="GP120">
        <v>1.7231</v>
      </c>
      <c r="GQ120">
        <v>2.04025</v>
      </c>
      <c r="GR120">
        <v>0.0808537</v>
      </c>
      <c r="GS120">
        <v>0</v>
      </c>
      <c r="GT120">
        <v>28.773</v>
      </c>
      <c r="GU120">
        <v>999.9</v>
      </c>
      <c r="GV120">
        <v>44.9</v>
      </c>
      <c r="GW120">
        <v>32.8</v>
      </c>
      <c r="GX120">
        <v>24.8107</v>
      </c>
      <c r="GY120">
        <v>63.3379</v>
      </c>
      <c r="GZ120">
        <v>29.3349</v>
      </c>
      <c r="HA120">
        <v>1</v>
      </c>
      <c r="HB120">
        <v>0.235467</v>
      </c>
      <c r="HC120">
        <v>0.691051</v>
      </c>
      <c r="HD120">
        <v>20.3798</v>
      </c>
      <c r="HE120">
        <v>5.21714</v>
      </c>
      <c r="HF120">
        <v>12.0099</v>
      </c>
      <c r="HG120">
        <v>4.9877</v>
      </c>
      <c r="HH120">
        <v>3.28842</v>
      </c>
      <c r="HI120">
        <v>2715.7</v>
      </c>
      <c r="HJ120">
        <v>9999</v>
      </c>
      <c r="HK120">
        <v>9999</v>
      </c>
      <c r="HL120">
        <v>49.9</v>
      </c>
      <c r="HM120">
        <v>1.86721</v>
      </c>
      <c r="HN120">
        <v>1.86616</v>
      </c>
      <c r="HO120">
        <v>1.86575</v>
      </c>
      <c r="HP120">
        <v>1.86569</v>
      </c>
      <c r="HQ120">
        <v>1.8674</v>
      </c>
      <c r="HR120">
        <v>1.87</v>
      </c>
      <c r="HS120">
        <v>1.86863</v>
      </c>
      <c r="HT120">
        <v>1.86997</v>
      </c>
      <c r="HU120">
        <v>0</v>
      </c>
      <c r="HV120">
        <v>0</v>
      </c>
      <c r="HW120">
        <v>0</v>
      </c>
      <c r="HX120">
        <v>0</v>
      </c>
      <c r="HY120" t="s">
        <v>421</v>
      </c>
      <c r="HZ120" t="s">
        <v>422</v>
      </c>
      <c r="IA120" t="s">
        <v>423</v>
      </c>
      <c r="IB120" t="s">
        <v>423</v>
      </c>
      <c r="IC120" t="s">
        <v>423</v>
      </c>
      <c r="ID120" t="s">
        <v>423</v>
      </c>
      <c r="IE120">
        <v>0</v>
      </c>
      <c r="IF120">
        <v>100</v>
      </c>
      <c r="IG120">
        <v>100</v>
      </c>
      <c r="IH120">
        <v>-1.67</v>
      </c>
      <c r="II120">
        <v>0.0396</v>
      </c>
      <c r="IJ120">
        <v>1.257309091789605</v>
      </c>
      <c r="IK120">
        <v>-0.002185601614162945</v>
      </c>
      <c r="IL120">
        <v>-2.252308143750626E-07</v>
      </c>
      <c r="IM120">
        <v>5.915558436307541E-11</v>
      </c>
      <c r="IN120">
        <v>-0.118683452207699</v>
      </c>
      <c r="IO120">
        <v>-0.007570214193104963</v>
      </c>
      <c r="IP120">
        <v>0.0009214429922928372</v>
      </c>
      <c r="IQ120">
        <v>-1.392260276065805E-05</v>
      </c>
      <c r="IR120">
        <v>17</v>
      </c>
      <c r="IS120">
        <v>2272</v>
      </c>
      <c r="IT120">
        <v>1</v>
      </c>
      <c r="IU120">
        <v>31</v>
      </c>
      <c r="IV120">
        <v>11.9</v>
      </c>
      <c r="IW120">
        <v>12.1</v>
      </c>
      <c r="IX120">
        <v>2.63428</v>
      </c>
      <c r="IY120">
        <v>2.19482</v>
      </c>
      <c r="IZ120">
        <v>1.39648</v>
      </c>
      <c r="JA120">
        <v>2.35352</v>
      </c>
      <c r="JB120">
        <v>1.49536</v>
      </c>
      <c r="JC120">
        <v>2.34985</v>
      </c>
      <c r="JD120">
        <v>36.34</v>
      </c>
      <c r="JE120">
        <v>15.3404</v>
      </c>
      <c r="JF120">
        <v>18</v>
      </c>
      <c r="JG120">
        <v>386.407</v>
      </c>
      <c r="JH120">
        <v>572.354</v>
      </c>
      <c r="JI120">
        <v>29.5554</v>
      </c>
      <c r="JJ120">
        <v>30.5045</v>
      </c>
      <c r="JK120">
        <v>30</v>
      </c>
      <c r="JL120">
        <v>30.4204</v>
      </c>
      <c r="JM120">
        <v>30.3181</v>
      </c>
      <c r="JN120">
        <v>52.707</v>
      </c>
      <c r="JO120">
        <v>27.9945</v>
      </c>
      <c r="JP120">
        <v>0</v>
      </c>
      <c r="JQ120">
        <v>29.4853</v>
      </c>
      <c r="JR120">
        <v>1342.68</v>
      </c>
      <c r="JS120">
        <v>18.3931</v>
      </c>
      <c r="JT120">
        <v>100.007</v>
      </c>
      <c r="JU120">
        <v>100.115</v>
      </c>
    </row>
    <row r="121" spans="1:281">
      <c r="A121">
        <v>105</v>
      </c>
      <c r="B121">
        <v>1652372006.6</v>
      </c>
      <c r="C121">
        <v>3913</v>
      </c>
      <c r="D121" t="s">
        <v>677</v>
      </c>
      <c r="E121" t="s">
        <v>678</v>
      </c>
      <c r="F121">
        <v>5</v>
      </c>
      <c r="G121" t="s">
        <v>518</v>
      </c>
      <c r="H121" t="s">
        <v>414</v>
      </c>
      <c r="I121">
        <v>1652371999.1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1348.325295005235</v>
      </c>
      <c r="AK121">
        <v>1278.679696969696</v>
      </c>
      <c r="AL121">
        <v>3.441723347680155</v>
      </c>
      <c r="AM121">
        <v>65.95105977519088</v>
      </c>
      <c r="AN121">
        <f>(AP121 - AO121 + DI121*1E3/(8.314*(DK121+273.15)) * AR121/DH121 * AQ121) * DH121/(100*CV121) * 1000/(1000 - AP121)</f>
        <v>0</v>
      </c>
      <c r="AO121">
        <v>18.17160707751775</v>
      </c>
      <c r="AP121">
        <v>24.19786643356645</v>
      </c>
      <c r="AQ121">
        <v>0.002953642132864986</v>
      </c>
      <c r="AR121">
        <v>81.26040297655408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417</v>
      </c>
      <c r="AY121" t="s">
        <v>417</v>
      </c>
      <c r="AZ121">
        <v>0</v>
      </c>
      <c r="BA121">
        <v>0</v>
      </c>
      <c r="BB121">
        <f>1-AZ121/BA121</f>
        <v>0</v>
      </c>
      <c r="BC121">
        <v>0</v>
      </c>
      <c r="BD121" t="s">
        <v>417</v>
      </c>
      <c r="BE121" t="s">
        <v>417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417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1393</v>
      </c>
      <c r="CA121">
        <v>300</v>
      </c>
      <c r="CB121">
        <v>300</v>
      </c>
      <c r="CC121">
        <v>300</v>
      </c>
      <c r="CD121">
        <v>10378</v>
      </c>
      <c r="CE121">
        <v>2050</v>
      </c>
      <c r="CF121">
        <v>-0.00730649</v>
      </c>
      <c r="CG121">
        <v>-4.53</v>
      </c>
      <c r="CH121" t="s">
        <v>417</v>
      </c>
      <c r="CI121" t="s">
        <v>417</v>
      </c>
      <c r="CJ121" t="s">
        <v>417</v>
      </c>
      <c r="CK121" t="s">
        <v>417</v>
      </c>
      <c r="CL121" t="s">
        <v>417</v>
      </c>
      <c r="CM121" t="s">
        <v>417</v>
      </c>
      <c r="CN121" t="s">
        <v>417</v>
      </c>
      <c r="CO121" t="s">
        <v>417</v>
      </c>
      <c r="CP121" t="s">
        <v>417</v>
      </c>
      <c r="CQ121" t="s">
        <v>417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418</v>
      </c>
      <c r="CY121">
        <v>2</v>
      </c>
      <c r="CZ121" t="b">
        <v>1</v>
      </c>
      <c r="DA121">
        <v>1652371999.1</v>
      </c>
      <c r="DB121">
        <v>1224.247037037037</v>
      </c>
      <c r="DC121">
        <v>1311.605555555556</v>
      </c>
      <c r="DD121">
        <v>24.15695925925926</v>
      </c>
      <c r="DE121">
        <v>18.08096666666667</v>
      </c>
      <c r="DF121">
        <v>1225.898888888889</v>
      </c>
      <c r="DG121">
        <v>24.11756296296296</v>
      </c>
      <c r="DH121">
        <v>400.0682592592593</v>
      </c>
      <c r="DI121">
        <v>90.40715555555555</v>
      </c>
      <c r="DJ121">
        <v>0.09996241111111112</v>
      </c>
      <c r="DK121">
        <v>30.99671851851852</v>
      </c>
      <c r="DL121">
        <v>30.08997037037037</v>
      </c>
      <c r="DM121">
        <v>999.9000000000001</v>
      </c>
      <c r="DN121">
        <v>0</v>
      </c>
      <c r="DO121">
        <v>0</v>
      </c>
      <c r="DP121">
        <v>9990.573333333336</v>
      </c>
      <c r="DQ121">
        <v>0</v>
      </c>
      <c r="DR121">
        <v>747.2154814814813</v>
      </c>
      <c r="DS121">
        <v>-87.35784444444444</v>
      </c>
      <c r="DT121">
        <v>1254.553333333333</v>
      </c>
      <c r="DU121">
        <v>1335.759259259259</v>
      </c>
      <c r="DV121">
        <v>6.075991481481481</v>
      </c>
      <c r="DW121">
        <v>1311.605555555556</v>
      </c>
      <c r="DX121">
        <v>18.08096666666667</v>
      </c>
      <c r="DY121">
        <v>2.183962222222223</v>
      </c>
      <c r="DZ121">
        <v>1.634648148148148</v>
      </c>
      <c r="EA121">
        <v>18.84514814814815</v>
      </c>
      <c r="EB121">
        <v>14.28890740740741</v>
      </c>
      <c r="EC121">
        <v>1499.988518518519</v>
      </c>
      <c r="ED121">
        <v>0.973007222222222</v>
      </c>
      <c r="EE121">
        <v>0.02699260370370371</v>
      </c>
      <c r="EF121">
        <v>0</v>
      </c>
      <c r="EG121">
        <v>1014.765925925926</v>
      </c>
      <c r="EH121">
        <v>5.00097</v>
      </c>
      <c r="EI121">
        <v>16359.83333333333</v>
      </c>
      <c r="EJ121">
        <v>12491.53703703704</v>
      </c>
      <c r="EK121">
        <v>39.52985185185185</v>
      </c>
      <c r="EL121">
        <v>41.06433333333332</v>
      </c>
      <c r="EM121">
        <v>39.75</v>
      </c>
      <c r="EN121">
        <v>40.875</v>
      </c>
      <c r="EO121">
        <v>40.68933333333333</v>
      </c>
      <c r="EP121">
        <v>1454.637037037038</v>
      </c>
      <c r="EQ121">
        <v>40.35</v>
      </c>
      <c r="ER121">
        <v>0</v>
      </c>
      <c r="ES121">
        <v>840.3999998569489</v>
      </c>
      <c r="ET121">
        <v>0</v>
      </c>
      <c r="EU121">
        <v>1014.74</v>
      </c>
      <c r="EV121">
        <v>-18.70692310396619</v>
      </c>
      <c r="EW121">
        <v>-906.7153863940869</v>
      </c>
      <c r="EX121">
        <v>16359.104</v>
      </c>
      <c r="EY121">
        <v>15</v>
      </c>
      <c r="EZ121">
        <v>1652371289.6</v>
      </c>
      <c r="FA121" t="s">
        <v>515</v>
      </c>
      <c r="FB121">
        <v>1652371289.6</v>
      </c>
      <c r="FC121">
        <v>1652371275.1</v>
      </c>
      <c r="FD121">
        <v>24</v>
      </c>
      <c r="FE121">
        <v>0.442</v>
      </c>
      <c r="FF121">
        <v>0.001</v>
      </c>
      <c r="FG121">
        <v>-2.63</v>
      </c>
      <c r="FH121">
        <v>0.007</v>
      </c>
      <c r="FI121">
        <v>1620</v>
      </c>
      <c r="FJ121">
        <v>22</v>
      </c>
      <c r="FK121">
        <v>0.08</v>
      </c>
      <c r="FL121">
        <v>0.04</v>
      </c>
      <c r="FM121">
        <v>-87.4224</v>
      </c>
      <c r="FN121">
        <v>1.203447386759575</v>
      </c>
      <c r="FO121">
        <v>0.2098129259660591</v>
      </c>
      <c r="FP121">
        <v>-1</v>
      </c>
      <c r="FQ121">
        <v>6.184262195121952</v>
      </c>
      <c r="FR121">
        <v>-1.81605031358886</v>
      </c>
      <c r="FS121">
        <v>0.17932426788162</v>
      </c>
      <c r="FT121">
        <v>0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1</v>
      </c>
      <c r="GA121" t="s">
        <v>432</v>
      </c>
      <c r="GB121">
        <v>2.69593</v>
      </c>
      <c r="GC121">
        <v>2.70507</v>
      </c>
      <c r="GD121">
        <v>0.197299</v>
      </c>
      <c r="GE121">
        <v>0.203557</v>
      </c>
      <c r="GF121">
        <v>0.106738</v>
      </c>
      <c r="GG121">
        <v>0.0865446</v>
      </c>
      <c r="GH121">
        <v>25245</v>
      </c>
      <c r="GI121">
        <v>25156</v>
      </c>
      <c r="GJ121">
        <v>29258.1</v>
      </c>
      <c r="GK121">
        <v>29231.1</v>
      </c>
      <c r="GL121">
        <v>34603.1</v>
      </c>
      <c r="GM121">
        <v>35544.1</v>
      </c>
      <c r="GN121">
        <v>41180</v>
      </c>
      <c r="GO121">
        <v>41706.1</v>
      </c>
      <c r="GP121">
        <v>1.72318</v>
      </c>
      <c r="GQ121">
        <v>2.04032</v>
      </c>
      <c r="GR121">
        <v>0.0799187</v>
      </c>
      <c r="GS121">
        <v>0</v>
      </c>
      <c r="GT121">
        <v>28.7688</v>
      </c>
      <c r="GU121">
        <v>999.9</v>
      </c>
      <c r="GV121">
        <v>44.9</v>
      </c>
      <c r="GW121">
        <v>32.8</v>
      </c>
      <c r="GX121">
        <v>24.8108</v>
      </c>
      <c r="GY121">
        <v>63.3479</v>
      </c>
      <c r="GZ121">
        <v>29.5633</v>
      </c>
      <c r="HA121">
        <v>1</v>
      </c>
      <c r="HB121">
        <v>0.235175</v>
      </c>
      <c r="HC121">
        <v>0.713137</v>
      </c>
      <c r="HD121">
        <v>20.3797</v>
      </c>
      <c r="HE121">
        <v>5.21774</v>
      </c>
      <c r="HF121">
        <v>12.0099</v>
      </c>
      <c r="HG121">
        <v>4.9886</v>
      </c>
      <c r="HH121">
        <v>3.28845</v>
      </c>
      <c r="HI121">
        <v>2715.9</v>
      </c>
      <c r="HJ121">
        <v>9999</v>
      </c>
      <c r="HK121">
        <v>9999</v>
      </c>
      <c r="HL121">
        <v>50</v>
      </c>
      <c r="HM121">
        <v>1.86721</v>
      </c>
      <c r="HN121">
        <v>1.86616</v>
      </c>
      <c r="HO121">
        <v>1.86576</v>
      </c>
      <c r="HP121">
        <v>1.86569</v>
      </c>
      <c r="HQ121">
        <v>1.86741</v>
      </c>
      <c r="HR121">
        <v>1.87</v>
      </c>
      <c r="HS121">
        <v>1.8686</v>
      </c>
      <c r="HT121">
        <v>1.86998</v>
      </c>
      <c r="HU121">
        <v>0</v>
      </c>
      <c r="HV121">
        <v>0</v>
      </c>
      <c r="HW121">
        <v>0</v>
      </c>
      <c r="HX121">
        <v>0</v>
      </c>
      <c r="HY121" t="s">
        <v>421</v>
      </c>
      <c r="HZ121" t="s">
        <v>422</v>
      </c>
      <c r="IA121" t="s">
        <v>423</v>
      </c>
      <c r="IB121" t="s">
        <v>423</v>
      </c>
      <c r="IC121" t="s">
        <v>423</v>
      </c>
      <c r="ID121" t="s">
        <v>423</v>
      </c>
      <c r="IE121">
        <v>0</v>
      </c>
      <c r="IF121">
        <v>100</v>
      </c>
      <c r="IG121">
        <v>100</v>
      </c>
      <c r="IH121">
        <v>-1.71</v>
      </c>
      <c r="II121">
        <v>0.04</v>
      </c>
      <c r="IJ121">
        <v>1.257309091789605</v>
      </c>
      <c r="IK121">
        <v>-0.002185601614162945</v>
      </c>
      <c r="IL121">
        <v>-2.252308143750626E-07</v>
      </c>
      <c r="IM121">
        <v>5.915558436307541E-11</v>
      </c>
      <c r="IN121">
        <v>-0.118683452207699</v>
      </c>
      <c r="IO121">
        <v>-0.007570214193104963</v>
      </c>
      <c r="IP121">
        <v>0.0009214429922928372</v>
      </c>
      <c r="IQ121">
        <v>-1.392260276065805E-05</v>
      </c>
      <c r="IR121">
        <v>17</v>
      </c>
      <c r="IS121">
        <v>2272</v>
      </c>
      <c r="IT121">
        <v>1</v>
      </c>
      <c r="IU121">
        <v>31</v>
      </c>
      <c r="IV121">
        <v>11.9</v>
      </c>
      <c r="IW121">
        <v>12.2</v>
      </c>
      <c r="IX121">
        <v>2.65991</v>
      </c>
      <c r="IY121">
        <v>2.19727</v>
      </c>
      <c r="IZ121">
        <v>1.39648</v>
      </c>
      <c r="JA121">
        <v>2.35352</v>
      </c>
      <c r="JB121">
        <v>1.49536</v>
      </c>
      <c r="JC121">
        <v>2.28882</v>
      </c>
      <c r="JD121">
        <v>36.34</v>
      </c>
      <c r="JE121">
        <v>15.3316</v>
      </c>
      <c r="JF121">
        <v>18</v>
      </c>
      <c r="JG121">
        <v>386.44</v>
      </c>
      <c r="JH121">
        <v>572.4109999999999</v>
      </c>
      <c r="JI121">
        <v>29.4487</v>
      </c>
      <c r="JJ121">
        <v>30.5012</v>
      </c>
      <c r="JK121">
        <v>30</v>
      </c>
      <c r="JL121">
        <v>30.4191</v>
      </c>
      <c r="JM121">
        <v>30.3181</v>
      </c>
      <c r="JN121">
        <v>53.2726</v>
      </c>
      <c r="JO121">
        <v>27.4043</v>
      </c>
      <c r="JP121">
        <v>0</v>
      </c>
      <c r="JQ121">
        <v>29.3991</v>
      </c>
      <c r="JR121">
        <v>1356.04</v>
      </c>
      <c r="JS121">
        <v>18.5497</v>
      </c>
      <c r="JT121">
        <v>100.007</v>
      </c>
      <c r="JU121">
        <v>100.113</v>
      </c>
    </row>
    <row r="122" spans="1:281">
      <c r="A122">
        <v>106</v>
      </c>
      <c r="B122">
        <v>1652372011.6</v>
      </c>
      <c r="C122">
        <v>3918</v>
      </c>
      <c r="D122" t="s">
        <v>679</v>
      </c>
      <c r="E122" t="s">
        <v>680</v>
      </c>
      <c r="F122">
        <v>5</v>
      </c>
      <c r="G122" t="s">
        <v>518</v>
      </c>
      <c r="H122" t="s">
        <v>414</v>
      </c>
      <c r="I122">
        <v>1652372003.814285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1365.741663428626</v>
      </c>
      <c r="AK122">
        <v>1295.771999999999</v>
      </c>
      <c r="AL122">
        <v>3.426137786625218</v>
      </c>
      <c r="AM122">
        <v>65.95105977519088</v>
      </c>
      <c r="AN122">
        <f>(AP122 - AO122 + DI122*1E3/(8.314*(DK122+273.15)) * AR122/DH122 * AQ122) * DH122/(100*CV122) * 1000/(1000 - AP122)</f>
        <v>0</v>
      </c>
      <c r="AO122">
        <v>18.35560853728757</v>
      </c>
      <c r="AP122">
        <v>24.2300202797203</v>
      </c>
      <c r="AQ122">
        <v>0.009568819098246129</v>
      </c>
      <c r="AR122">
        <v>81.26040297655408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417</v>
      </c>
      <c r="AY122" t="s">
        <v>417</v>
      </c>
      <c r="AZ122">
        <v>0</v>
      </c>
      <c r="BA122">
        <v>0</v>
      </c>
      <c r="BB122">
        <f>1-AZ122/BA122</f>
        <v>0</v>
      </c>
      <c r="BC122">
        <v>0</v>
      </c>
      <c r="BD122" t="s">
        <v>417</v>
      </c>
      <c r="BE122" t="s">
        <v>417</v>
      </c>
      <c r="BF122">
        <v>0</v>
      </c>
      <c r="BG122">
        <v>0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417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1393</v>
      </c>
      <c r="CA122">
        <v>300</v>
      </c>
      <c r="CB122">
        <v>300</v>
      </c>
      <c r="CC122">
        <v>300</v>
      </c>
      <c r="CD122">
        <v>10378</v>
      </c>
      <c r="CE122">
        <v>2050</v>
      </c>
      <c r="CF122">
        <v>-0.00730649</v>
      </c>
      <c r="CG122">
        <v>-4.53</v>
      </c>
      <c r="CH122" t="s">
        <v>417</v>
      </c>
      <c r="CI122" t="s">
        <v>417</v>
      </c>
      <c r="CJ122" t="s">
        <v>417</v>
      </c>
      <c r="CK122" t="s">
        <v>417</v>
      </c>
      <c r="CL122" t="s">
        <v>417</v>
      </c>
      <c r="CM122" t="s">
        <v>417</v>
      </c>
      <c r="CN122" t="s">
        <v>417</v>
      </c>
      <c r="CO122" t="s">
        <v>417</v>
      </c>
      <c r="CP122" t="s">
        <v>417</v>
      </c>
      <c r="CQ122" t="s">
        <v>417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418</v>
      </c>
      <c r="CY122">
        <v>2</v>
      </c>
      <c r="CZ122" t="b">
        <v>1</v>
      </c>
      <c r="DA122">
        <v>1652372003.814285</v>
      </c>
      <c r="DB122">
        <v>1240.045</v>
      </c>
      <c r="DC122">
        <v>1327.430714285714</v>
      </c>
      <c r="DD122">
        <v>24.18638214285714</v>
      </c>
      <c r="DE122">
        <v>18.23954285714286</v>
      </c>
      <c r="DF122">
        <v>1241.735714285714</v>
      </c>
      <c r="DG122">
        <v>24.14662142857143</v>
      </c>
      <c r="DH122">
        <v>400.0751071428571</v>
      </c>
      <c r="DI122">
        <v>90.4080142857143</v>
      </c>
      <c r="DJ122">
        <v>0.09997663214285715</v>
      </c>
      <c r="DK122">
        <v>30.98593928571428</v>
      </c>
      <c r="DL122">
        <v>30.08245000000001</v>
      </c>
      <c r="DM122">
        <v>999.9000000000002</v>
      </c>
      <c r="DN122">
        <v>0</v>
      </c>
      <c r="DO122">
        <v>0</v>
      </c>
      <c r="DP122">
        <v>9990.218214285715</v>
      </c>
      <c r="DQ122">
        <v>0</v>
      </c>
      <c r="DR122">
        <v>718.7673928571429</v>
      </c>
      <c r="DS122">
        <v>-87.38475000000001</v>
      </c>
      <c r="DT122">
        <v>1270.781071428572</v>
      </c>
      <c r="DU122">
        <v>1352.093571428571</v>
      </c>
      <c r="DV122">
        <v>5.946842857142856</v>
      </c>
      <c r="DW122">
        <v>1327.430714285714</v>
      </c>
      <c r="DX122">
        <v>18.23954285714286</v>
      </c>
      <c r="DY122">
        <v>2.1866425</v>
      </c>
      <c r="DZ122">
        <v>1.649000357142857</v>
      </c>
      <c r="EA122">
        <v>18.86478928571429</v>
      </c>
      <c r="EB122">
        <v>14.42403571428572</v>
      </c>
      <c r="EC122">
        <v>1500.005</v>
      </c>
      <c r="ED122">
        <v>0.9730076428571428</v>
      </c>
      <c r="EE122">
        <v>0.02699223214285715</v>
      </c>
      <c r="EF122">
        <v>0</v>
      </c>
      <c r="EG122">
        <v>1013.523571428571</v>
      </c>
      <c r="EH122">
        <v>5.00097</v>
      </c>
      <c r="EI122">
        <v>16309.52857142857</v>
      </c>
      <c r="EJ122">
        <v>12491.66785714286</v>
      </c>
      <c r="EK122">
        <v>39.52878571428571</v>
      </c>
      <c r="EL122">
        <v>41.06649999999998</v>
      </c>
      <c r="EM122">
        <v>39.75</v>
      </c>
      <c r="EN122">
        <v>40.875</v>
      </c>
      <c r="EO122">
        <v>40.68699999999999</v>
      </c>
      <c r="EP122">
        <v>1454.653928571429</v>
      </c>
      <c r="EQ122">
        <v>40.35</v>
      </c>
      <c r="ER122">
        <v>0</v>
      </c>
      <c r="ES122">
        <v>845.7999999523163</v>
      </c>
      <c r="ET122">
        <v>0</v>
      </c>
      <c r="EU122">
        <v>1013.405384615384</v>
      </c>
      <c r="EV122">
        <v>-12.37948719041292</v>
      </c>
      <c r="EW122">
        <v>-520.7555558305513</v>
      </c>
      <c r="EX122">
        <v>16305.61923076923</v>
      </c>
      <c r="EY122">
        <v>15</v>
      </c>
      <c r="EZ122">
        <v>1652371289.6</v>
      </c>
      <c r="FA122" t="s">
        <v>515</v>
      </c>
      <c r="FB122">
        <v>1652371289.6</v>
      </c>
      <c r="FC122">
        <v>1652371275.1</v>
      </c>
      <c r="FD122">
        <v>24</v>
      </c>
      <c r="FE122">
        <v>0.442</v>
      </c>
      <c r="FF122">
        <v>0.001</v>
      </c>
      <c r="FG122">
        <v>-2.63</v>
      </c>
      <c r="FH122">
        <v>0.007</v>
      </c>
      <c r="FI122">
        <v>1620</v>
      </c>
      <c r="FJ122">
        <v>22</v>
      </c>
      <c r="FK122">
        <v>0.08</v>
      </c>
      <c r="FL122">
        <v>0.04</v>
      </c>
      <c r="FM122">
        <v>-87.38957499999999</v>
      </c>
      <c r="FN122">
        <v>-0.2432285178234893</v>
      </c>
      <c r="FO122">
        <v>0.1463163571682938</v>
      </c>
      <c r="FP122">
        <v>-1</v>
      </c>
      <c r="FQ122">
        <v>6.0156695</v>
      </c>
      <c r="FR122">
        <v>-1.682241050656668</v>
      </c>
      <c r="FS122">
        <v>0.1621504470538086</v>
      </c>
      <c r="FT122">
        <v>0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1</v>
      </c>
      <c r="GA122" t="s">
        <v>432</v>
      </c>
      <c r="GB122">
        <v>2.69611</v>
      </c>
      <c r="GC122">
        <v>2.70508</v>
      </c>
      <c r="GD122">
        <v>0.198941</v>
      </c>
      <c r="GE122">
        <v>0.205116</v>
      </c>
      <c r="GF122">
        <v>0.10683</v>
      </c>
      <c r="GG122">
        <v>0.08700919999999999</v>
      </c>
      <c r="GH122">
        <v>25193.1</v>
      </c>
      <c r="GI122">
        <v>25107.4</v>
      </c>
      <c r="GJ122">
        <v>29257.9</v>
      </c>
      <c r="GK122">
        <v>29231.9</v>
      </c>
      <c r="GL122">
        <v>34599.1</v>
      </c>
      <c r="GM122">
        <v>35526.9</v>
      </c>
      <c r="GN122">
        <v>41179.5</v>
      </c>
      <c r="GO122">
        <v>41707.3</v>
      </c>
      <c r="GP122">
        <v>1.7231</v>
      </c>
      <c r="GQ122">
        <v>2.041</v>
      </c>
      <c r="GR122">
        <v>0.0804141</v>
      </c>
      <c r="GS122">
        <v>0</v>
      </c>
      <c r="GT122">
        <v>28.7656</v>
      </c>
      <c r="GU122">
        <v>999.9</v>
      </c>
      <c r="GV122">
        <v>44.9</v>
      </c>
      <c r="GW122">
        <v>32.8</v>
      </c>
      <c r="GX122">
        <v>24.8115</v>
      </c>
      <c r="GY122">
        <v>63.3879</v>
      </c>
      <c r="GZ122">
        <v>29.0304</v>
      </c>
      <c r="HA122">
        <v>1</v>
      </c>
      <c r="HB122">
        <v>0.234949</v>
      </c>
      <c r="HC122">
        <v>0.699167</v>
      </c>
      <c r="HD122">
        <v>20.3799</v>
      </c>
      <c r="HE122">
        <v>5.21744</v>
      </c>
      <c r="HF122">
        <v>12.0099</v>
      </c>
      <c r="HG122">
        <v>4.98815</v>
      </c>
      <c r="HH122">
        <v>3.28863</v>
      </c>
      <c r="HI122">
        <v>2715.9</v>
      </c>
      <c r="HJ122">
        <v>9999</v>
      </c>
      <c r="HK122">
        <v>9999</v>
      </c>
      <c r="HL122">
        <v>50</v>
      </c>
      <c r="HM122">
        <v>1.86722</v>
      </c>
      <c r="HN122">
        <v>1.86615</v>
      </c>
      <c r="HO122">
        <v>1.86576</v>
      </c>
      <c r="HP122">
        <v>1.86569</v>
      </c>
      <c r="HQ122">
        <v>1.86741</v>
      </c>
      <c r="HR122">
        <v>1.86999</v>
      </c>
      <c r="HS122">
        <v>1.8686</v>
      </c>
      <c r="HT122">
        <v>1.86999</v>
      </c>
      <c r="HU122">
        <v>0</v>
      </c>
      <c r="HV122">
        <v>0</v>
      </c>
      <c r="HW122">
        <v>0</v>
      </c>
      <c r="HX122">
        <v>0</v>
      </c>
      <c r="HY122" t="s">
        <v>421</v>
      </c>
      <c r="HZ122" t="s">
        <v>422</v>
      </c>
      <c r="IA122" t="s">
        <v>423</v>
      </c>
      <c r="IB122" t="s">
        <v>423</v>
      </c>
      <c r="IC122" t="s">
        <v>423</v>
      </c>
      <c r="ID122" t="s">
        <v>423</v>
      </c>
      <c r="IE122">
        <v>0</v>
      </c>
      <c r="IF122">
        <v>100</v>
      </c>
      <c r="IG122">
        <v>100</v>
      </c>
      <c r="IH122">
        <v>-1.75</v>
      </c>
      <c r="II122">
        <v>0.0404</v>
      </c>
      <c r="IJ122">
        <v>1.257309091789605</v>
      </c>
      <c r="IK122">
        <v>-0.002185601614162945</v>
      </c>
      <c r="IL122">
        <v>-2.252308143750626E-07</v>
      </c>
      <c r="IM122">
        <v>5.915558436307541E-11</v>
      </c>
      <c r="IN122">
        <v>-0.118683452207699</v>
      </c>
      <c r="IO122">
        <v>-0.007570214193104963</v>
      </c>
      <c r="IP122">
        <v>0.0009214429922928372</v>
      </c>
      <c r="IQ122">
        <v>-1.392260276065805E-05</v>
      </c>
      <c r="IR122">
        <v>17</v>
      </c>
      <c r="IS122">
        <v>2272</v>
      </c>
      <c r="IT122">
        <v>1</v>
      </c>
      <c r="IU122">
        <v>31</v>
      </c>
      <c r="IV122">
        <v>12</v>
      </c>
      <c r="IW122">
        <v>12.3</v>
      </c>
      <c r="IX122">
        <v>2.68677</v>
      </c>
      <c r="IY122">
        <v>2.19604</v>
      </c>
      <c r="IZ122">
        <v>1.39648</v>
      </c>
      <c r="JA122">
        <v>2.35352</v>
      </c>
      <c r="JB122">
        <v>1.49536</v>
      </c>
      <c r="JC122">
        <v>2.29736</v>
      </c>
      <c r="JD122">
        <v>36.3635</v>
      </c>
      <c r="JE122">
        <v>15.3316</v>
      </c>
      <c r="JF122">
        <v>18</v>
      </c>
      <c r="JG122">
        <v>386.391</v>
      </c>
      <c r="JH122">
        <v>572.9</v>
      </c>
      <c r="JI122">
        <v>29.3584</v>
      </c>
      <c r="JJ122">
        <v>30.4986</v>
      </c>
      <c r="JK122">
        <v>30.0001</v>
      </c>
      <c r="JL122">
        <v>30.4178</v>
      </c>
      <c r="JM122">
        <v>30.3155</v>
      </c>
      <c r="JN122">
        <v>53.7701</v>
      </c>
      <c r="JO122">
        <v>27.0942</v>
      </c>
      <c r="JP122">
        <v>0</v>
      </c>
      <c r="JQ122">
        <v>29.3242</v>
      </c>
      <c r="JR122">
        <v>1369.41</v>
      </c>
      <c r="JS122">
        <v>18.6968</v>
      </c>
      <c r="JT122">
        <v>100.006</v>
      </c>
      <c r="JU122">
        <v>100.116</v>
      </c>
    </row>
    <row r="123" spans="1:281">
      <c r="A123">
        <v>107</v>
      </c>
      <c r="B123">
        <v>1652372016.6</v>
      </c>
      <c r="C123">
        <v>3923</v>
      </c>
      <c r="D123" t="s">
        <v>681</v>
      </c>
      <c r="E123" t="s">
        <v>682</v>
      </c>
      <c r="F123">
        <v>5</v>
      </c>
      <c r="G123" t="s">
        <v>518</v>
      </c>
      <c r="H123" t="s">
        <v>414</v>
      </c>
      <c r="I123">
        <v>1652372009.1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1382.772719165096</v>
      </c>
      <c r="AK123">
        <v>1312.879333333334</v>
      </c>
      <c r="AL123">
        <v>3.405939640740886</v>
      </c>
      <c r="AM123">
        <v>65.95105977519088</v>
      </c>
      <c r="AN123">
        <f>(AP123 - AO123 + DI123*1E3/(8.314*(DK123+273.15)) * AR123/DH123 * AQ123) * DH123/(100*CV123) * 1000/(1000 - AP123)</f>
        <v>0</v>
      </c>
      <c r="AO123">
        <v>18.50125326121569</v>
      </c>
      <c r="AP123">
        <v>24.25774545454546</v>
      </c>
      <c r="AQ123">
        <v>0.005033363871481383</v>
      </c>
      <c r="AR123">
        <v>81.26040297655408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417</v>
      </c>
      <c r="AY123" t="s">
        <v>417</v>
      </c>
      <c r="AZ123">
        <v>0</v>
      </c>
      <c r="BA123">
        <v>0</v>
      </c>
      <c r="BB123">
        <f>1-AZ123/BA123</f>
        <v>0</v>
      </c>
      <c r="BC123">
        <v>0</v>
      </c>
      <c r="BD123" t="s">
        <v>417</v>
      </c>
      <c r="BE123" t="s">
        <v>417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417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1393</v>
      </c>
      <c r="CA123">
        <v>300</v>
      </c>
      <c r="CB123">
        <v>300</v>
      </c>
      <c r="CC123">
        <v>300</v>
      </c>
      <c r="CD123">
        <v>10378</v>
      </c>
      <c r="CE123">
        <v>2050</v>
      </c>
      <c r="CF123">
        <v>-0.00730649</v>
      </c>
      <c r="CG123">
        <v>-4.53</v>
      </c>
      <c r="CH123" t="s">
        <v>417</v>
      </c>
      <c r="CI123" t="s">
        <v>417</v>
      </c>
      <c r="CJ123" t="s">
        <v>417</v>
      </c>
      <c r="CK123" t="s">
        <v>417</v>
      </c>
      <c r="CL123" t="s">
        <v>417</v>
      </c>
      <c r="CM123" t="s">
        <v>417</v>
      </c>
      <c r="CN123" t="s">
        <v>417</v>
      </c>
      <c r="CO123" t="s">
        <v>417</v>
      </c>
      <c r="CP123" t="s">
        <v>417</v>
      </c>
      <c r="CQ123" t="s">
        <v>417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418</v>
      </c>
      <c r="CY123">
        <v>2</v>
      </c>
      <c r="CZ123" t="b">
        <v>1</v>
      </c>
      <c r="DA123">
        <v>1652372009.1</v>
      </c>
      <c r="DB123">
        <v>1257.726296296296</v>
      </c>
      <c r="DC123">
        <v>1345.117777777778</v>
      </c>
      <c r="DD123">
        <v>24.21731481481481</v>
      </c>
      <c r="DE123">
        <v>18.41594814814815</v>
      </c>
      <c r="DF123">
        <v>1259.46037037037</v>
      </c>
      <c r="DG123">
        <v>24.17716296296296</v>
      </c>
      <c r="DH123">
        <v>400.0656296296297</v>
      </c>
      <c r="DI123">
        <v>90.40767037037038</v>
      </c>
      <c r="DJ123">
        <v>0.1000127518518519</v>
      </c>
      <c r="DK123">
        <v>30.9729</v>
      </c>
      <c r="DL123">
        <v>30.07695185185185</v>
      </c>
      <c r="DM123">
        <v>999.9000000000001</v>
      </c>
      <c r="DN123">
        <v>0</v>
      </c>
      <c r="DO123">
        <v>0</v>
      </c>
      <c r="DP123">
        <v>9988.628518518517</v>
      </c>
      <c r="DQ123">
        <v>0</v>
      </c>
      <c r="DR123">
        <v>690.66</v>
      </c>
      <c r="DS123">
        <v>-87.39120740740742</v>
      </c>
      <c r="DT123">
        <v>1288.941481481481</v>
      </c>
      <c r="DU123">
        <v>1370.355185185185</v>
      </c>
      <c r="DV123">
        <v>5.80137037037037</v>
      </c>
      <c r="DW123">
        <v>1345.117777777778</v>
      </c>
      <c r="DX123">
        <v>18.41594814814815</v>
      </c>
      <c r="DY123">
        <v>2.189430740740741</v>
      </c>
      <c r="DZ123">
        <v>1.664942222222222</v>
      </c>
      <c r="EA123">
        <v>18.88518888888889</v>
      </c>
      <c r="EB123">
        <v>14.573</v>
      </c>
      <c r="EC123">
        <v>1499.999259259259</v>
      </c>
      <c r="ED123">
        <v>0.9730076666666664</v>
      </c>
      <c r="EE123">
        <v>0.02699221111111112</v>
      </c>
      <c r="EF123">
        <v>0</v>
      </c>
      <c r="EG123">
        <v>1012.534814814815</v>
      </c>
      <c r="EH123">
        <v>5.00097</v>
      </c>
      <c r="EI123">
        <v>16271.45185185185</v>
      </c>
      <c r="EJ123">
        <v>12491.61111111111</v>
      </c>
      <c r="EK123">
        <v>39.50918518518519</v>
      </c>
      <c r="EL123">
        <v>41.06666666666666</v>
      </c>
      <c r="EM123">
        <v>39.75</v>
      </c>
      <c r="EN123">
        <v>40.875</v>
      </c>
      <c r="EO123">
        <v>40.68699999999999</v>
      </c>
      <c r="EP123">
        <v>1454.649259259259</v>
      </c>
      <c r="EQ123">
        <v>40.35</v>
      </c>
      <c r="ER123">
        <v>0</v>
      </c>
      <c r="ES123">
        <v>850.5999999046326</v>
      </c>
      <c r="ET123">
        <v>0</v>
      </c>
      <c r="EU123">
        <v>1012.548076923077</v>
      </c>
      <c r="EV123">
        <v>-8.930940166338834</v>
      </c>
      <c r="EW123">
        <v>-186.3213674693797</v>
      </c>
      <c r="EX123">
        <v>16272.31153846154</v>
      </c>
      <c r="EY123">
        <v>15</v>
      </c>
      <c r="EZ123">
        <v>1652371289.6</v>
      </c>
      <c r="FA123" t="s">
        <v>515</v>
      </c>
      <c r="FB123">
        <v>1652371289.6</v>
      </c>
      <c r="FC123">
        <v>1652371275.1</v>
      </c>
      <c r="FD123">
        <v>24</v>
      </c>
      <c r="FE123">
        <v>0.442</v>
      </c>
      <c r="FF123">
        <v>0.001</v>
      </c>
      <c r="FG123">
        <v>-2.63</v>
      </c>
      <c r="FH123">
        <v>0.007</v>
      </c>
      <c r="FI123">
        <v>1620</v>
      </c>
      <c r="FJ123">
        <v>22</v>
      </c>
      <c r="FK123">
        <v>0.08</v>
      </c>
      <c r="FL123">
        <v>0.04</v>
      </c>
      <c r="FM123">
        <v>-87.38855121951218</v>
      </c>
      <c r="FN123">
        <v>0.08563902438994958</v>
      </c>
      <c r="FO123">
        <v>0.1234997997864494</v>
      </c>
      <c r="FP123">
        <v>-1</v>
      </c>
      <c r="FQ123">
        <v>5.898151707317073</v>
      </c>
      <c r="FR123">
        <v>-1.64485421602787</v>
      </c>
      <c r="FS123">
        <v>0.1624346628107773</v>
      </c>
      <c r="FT123">
        <v>0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1</v>
      </c>
      <c r="GA123" t="s">
        <v>432</v>
      </c>
      <c r="GB123">
        <v>2.69623</v>
      </c>
      <c r="GC123">
        <v>2.70508</v>
      </c>
      <c r="GD123">
        <v>0.200557</v>
      </c>
      <c r="GE123">
        <v>0.20669</v>
      </c>
      <c r="GF123">
        <v>0.106914</v>
      </c>
      <c r="GG123">
        <v>0.08754430000000001</v>
      </c>
      <c r="GH123">
        <v>25142.8</v>
      </c>
      <c r="GI123">
        <v>25057.5</v>
      </c>
      <c r="GJ123">
        <v>29258.5</v>
      </c>
      <c r="GK123">
        <v>29231.8</v>
      </c>
      <c r="GL123">
        <v>34596.7</v>
      </c>
      <c r="GM123">
        <v>35505.9</v>
      </c>
      <c r="GN123">
        <v>41180.5</v>
      </c>
      <c r="GO123">
        <v>41707.3</v>
      </c>
      <c r="GP123">
        <v>1.72308</v>
      </c>
      <c r="GQ123">
        <v>2.04095</v>
      </c>
      <c r="GR123">
        <v>0.0807345</v>
      </c>
      <c r="GS123">
        <v>0</v>
      </c>
      <c r="GT123">
        <v>28.7625</v>
      </c>
      <c r="GU123">
        <v>999.9</v>
      </c>
      <c r="GV123">
        <v>44.9</v>
      </c>
      <c r="GW123">
        <v>32.8</v>
      </c>
      <c r="GX123">
        <v>24.8091</v>
      </c>
      <c r="GY123">
        <v>63.6079</v>
      </c>
      <c r="GZ123">
        <v>28.8622</v>
      </c>
      <c r="HA123">
        <v>1</v>
      </c>
      <c r="HB123">
        <v>0.234817</v>
      </c>
      <c r="HC123">
        <v>0.701059</v>
      </c>
      <c r="HD123">
        <v>20.38</v>
      </c>
      <c r="HE123">
        <v>5.21639</v>
      </c>
      <c r="HF123">
        <v>12.0099</v>
      </c>
      <c r="HG123">
        <v>4.98815</v>
      </c>
      <c r="HH123">
        <v>3.2884</v>
      </c>
      <c r="HI123">
        <v>2716.1</v>
      </c>
      <c r="HJ123">
        <v>9999</v>
      </c>
      <c r="HK123">
        <v>9999</v>
      </c>
      <c r="HL123">
        <v>50</v>
      </c>
      <c r="HM123">
        <v>1.86722</v>
      </c>
      <c r="HN123">
        <v>1.86615</v>
      </c>
      <c r="HO123">
        <v>1.86578</v>
      </c>
      <c r="HP123">
        <v>1.86569</v>
      </c>
      <c r="HQ123">
        <v>1.86743</v>
      </c>
      <c r="HR123">
        <v>1.86997</v>
      </c>
      <c r="HS123">
        <v>1.86865</v>
      </c>
      <c r="HT123">
        <v>1.86998</v>
      </c>
      <c r="HU123">
        <v>0</v>
      </c>
      <c r="HV123">
        <v>0</v>
      </c>
      <c r="HW123">
        <v>0</v>
      </c>
      <c r="HX123">
        <v>0</v>
      </c>
      <c r="HY123" t="s">
        <v>421</v>
      </c>
      <c r="HZ123" t="s">
        <v>422</v>
      </c>
      <c r="IA123" t="s">
        <v>423</v>
      </c>
      <c r="IB123" t="s">
        <v>423</v>
      </c>
      <c r="IC123" t="s">
        <v>423</v>
      </c>
      <c r="ID123" t="s">
        <v>423</v>
      </c>
      <c r="IE123">
        <v>0</v>
      </c>
      <c r="IF123">
        <v>100</v>
      </c>
      <c r="IG123">
        <v>100</v>
      </c>
      <c r="IH123">
        <v>-1.79</v>
      </c>
      <c r="II123">
        <v>0.0407</v>
      </c>
      <c r="IJ123">
        <v>1.257309091789605</v>
      </c>
      <c r="IK123">
        <v>-0.002185601614162945</v>
      </c>
      <c r="IL123">
        <v>-2.252308143750626E-07</v>
      </c>
      <c r="IM123">
        <v>5.915558436307541E-11</v>
      </c>
      <c r="IN123">
        <v>-0.118683452207699</v>
      </c>
      <c r="IO123">
        <v>-0.007570214193104963</v>
      </c>
      <c r="IP123">
        <v>0.0009214429922928372</v>
      </c>
      <c r="IQ123">
        <v>-1.392260276065805E-05</v>
      </c>
      <c r="IR123">
        <v>17</v>
      </c>
      <c r="IS123">
        <v>2272</v>
      </c>
      <c r="IT123">
        <v>1</v>
      </c>
      <c r="IU123">
        <v>31</v>
      </c>
      <c r="IV123">
        <v>12.1</v>
      </c>
      <c r="IW123">
        <v>12.4</v>
      </c>
      <c r="IX123">
        <v>2.71606</v>
      </c>
      <c r="IY123">
        <v>2.20337</v>
      </c>
      <c r="IZ123">
        <v>1.39648</v>
      </c>
      <c r="JA123">
        <v>2.35352</v>
      </c>
      <c r="JB123">
        <v>1.49536</v>
      </c>
      <c r="JC123">
        <v>2.27539</v>
      </c>
      <c r="JD123">
        <v>36.3635</v>
      </c>
      <c r="JE123">
        <v>15.3316</v>
      </c>
      <c r="JF123">
        <v>18</v>
      </c>
      <c r="JG123">
        <v>386.364</v>
      </c>
      <c r="JH123">
        <v>572.8579999999999</v>
      </c>
      <c r="JI123">
        <v>29.283</v>
      </c>
      <c r="JJ123">
        <v>30.4959</v>
      </c>
      <c r="JK123">
        <v>30</v>
      </c>
      <c r="JL123">
        <v>30.4152</v>
      </c>
      <c r="JM123">
        <v>30.3151</v>
      </c>
      <c r="JN123">
        <v>54.3365</v>
      </c>
      <c r="JO123">
        <v>26.8105</v>
      </c>
      <c r="JP123">
        <v>0</v>
      </c>
      <c r="JQ123">
        <v>29.2494</v>
      </c>
      <c r="JR123">
        <v>1389.56</v>
      </c>
      <c r="JS123">
        <v>18.8402</v>
      </c>
      <c r="JT123">
        <v>100.008</v>
      </c>
      <c r="JU123">
        <v>100.116</v>
      </c>
    </row>
    <row r="124" spans="1:281">
      <c r="A124">
        <v>108</v>
      </c>
      <c r="B124">
        <v>1652372021.6</v>
      </c>
      <c r="C124">
        <v>3928</v>
      </c>
      <c r="D124" t="s">
        <v>683</v>
      </c>
      <c r="E124" t="s">
        <v>684</v>
      </c>
      <c r="F124">
        <v>5</v>
      </c>
      <c r="G124" t="s">
        <v>518</v>
      </c>
      <c r="H124" t="s">
        <v>414</v>
      </c>
      <c r="I124">
        <v>1652372013.814285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1400.185200918749</v>
      </c>
      <c r="AK124">
        <v>1330.034363636363</v>
      </c>
      <c r="AL124">
        <v>3.439830954676514</v>
      </c>
      <c r="AM124">
        <v>65.95105977519088</v>
      </c>
      <c r="AN124">
        <f>(AP124 - AO124 + DI124*1E3/(8.314*(DK124+273.15)) * AR124/DH124 * AQ124) * DH124/(100*CV124) * 1000/(1000 - AP124)</f>
        <v>0</v>
      </c>
      <c r="AO124">
        <v>18.65558269936666</v>
      </c>
      <c r="AP124">
        <v>24.2814174825175</v>
      </c>
      <c r="AQ124">
        <v>0.007214962795475373</v>
      </c>
      <c r="AR124">
        <v>81.26040297655408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417</v>
      </c>
      <c r="AY124" t="s">
        <v>417</v>
      </c>
      <c r="AZ124">
        <v>0</v>
      </c>
      <c r="BA124">
        <v>0</v>
      </c>
      <c r="BB124">
        <f>1-AZ124/BA124</f>
        <v>0</v>
      </c>
      <c r="BC124">
        <v>0</v>
      </c>
      <c r="BD124" t="s">
        <v>417</v>
      </c>
      <c r="BE124" t="s">
        <v>417</v>
      </c>
      <c r="BF124">
        <v>0</v>
      </c>
      <c r="BG124">
        <v>0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417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1393</v>
      </c>
      <c r="CA124">
        <v>300</v>
      </c>
      <c r="CB124">
        <v>300</v>
      </c>
      <c r="CC124">
        <v>300</v>
      </c>
      <c r="CD124">
        <v>10378</v>
      </c>
      <c r="CE124">
        <v>2050</v>
      </c>
      <c r="CF124">
        <v>-0.00730649</v>
      </c>
      <c r="CG124">
        <v>-4.53</v>
      </c>
      <c r="CH124" t="s">
        <v>417</v>
      </c>
      <c r="CI124" t="s">
        <v>417</v>
      </c>
      <c r="CJ124" t="s">
        <v>417</v>
      </c>
      <c r="CK124" t="s">
        <v>417</v>
      </c>
      <c r="CL124" t="s">
        <v>417</v>
      </c>
      <c r="CM124" t="s">
        <v>417</v>
      </c>
      <c r="CN124" t="s">
        <v>417</v>
      </c>
      <c r="CO124" t="s">
        <v>417</v>
      </c>
      <c r="CP124" t="s">
        <v>417</v>
      </c>
      <c r="CQ124" t="s">
        <v>417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418</v>
      </c>
      <c r="CY124">
        <v>2</v>
      </c>
      <c r="CZ124" t="b">
        <v>1</v>
      </c>
      <c r="DA124">
        <v>1652372013.814285</v>
      </c>
      <c r="DB124">
        <v>1273.436071428571</v>
      </c>
      <c r="DC124">
        <v>1360.919285714286</v>
      </c>
      <c r="DD124">
        <v>24.24496785714286</v>
      </c>
      <c r="DE124">
        <v>18.55743928571428</v>
      </c>
      <c r="DF124">
        <v>1275.208928571428</v>
      </c>
      <c r="DG124">
        <v>24.20447857142857</v>
      </c>
      <c r="DH124">
        <v>400.0612142857144</v>
      </c>
      <c r="DI124">
        <v>90.40601428571428</v>
      </c>
      <c r="DJ124">
        <v>0.09998234285714284</v>
      </c>
      <c r="DK124">
        <v>30.96038928571429</v>
      </c>
      <c r="DL124">
        <v>30.07093928571428</v>
      </c>
      <c r="DM124">
        <v>999.9000000000002</v>
      </c>
      <c r="DN124">
        <v>0</v>
      </c>
      <c r="DO124">
        <v>0</v>
      </c>
      <c r="DP124">
        <v>9996.606428571427</v>
      </c>
      <c r="DQ124">
        <v>0</v>
      </c>
      <c r="DR124">
        <v>682.2441785714285</v>
      </c>
      <c r="DS124">
        <v>-87.48283214285716</v>
      </c>
      <c r="DT124">
        <v>1305.0775</v>
      </c>
      <c r="DU124">
        <v>1386.653214285714</v>
      </c>
      <c r="DV124">
        <v>5.687536428571429</v>
      </c>
      <c r="DW124">
        <v>1360.919285714286</v>
      </c>
      <c r="DX124">
        <v>18.55743928571428</v>
      </c>
      <c r="DY124">
        <v>2.191891785714286</v>
      </c>
      <c r="DZ124">
        <v>1.677703571428571</v>
      </c>
      <c r="EA124">
        <v>18.90316785714285</v>
      </c>
      <c r="EB124">
        <v>14.69132857142857</v>
      </c>
      <c r="EC124">
        <v>1499.981071428572</v>
      </c>
      <c r="ED124">
        <v>0.9730074285714283</v>
      </c>
      <c r="EE124">
        <v>0.02699242142857144</v>
      </c>
      <c r="EF124">
        <v>0</v>
      </c>
      <c r="EG124">
        <v>1011.957142857143</v>
      </c>
      <c r="EH124">
        <v>5.00097</v>
      </c>
      <c r="EI124">
        <v>16256.64285714286</v>
      </c>
      <c r="EJ124">
        <v>12491.45714285714</v>
      </c>
      <c r="EK124">
        <v>39.50885714285715</v>
      </c>
      <c r="EL124">
        <v>41.06649999999998</v>
      </c>
      <c r="EM124">
        <v>39.75</v>
      </c>
      <c r="EN124">
        <v>40.875</v>
      </c>
      <c r="EO124">
        <v>40.68699999999999</v>
      </c>
      <c r="EP124">
        <v>1454.631071428571</v>
      </c>
      <c r="EQ124">
        <v>40.35</v>
      </c>
      <c r="ER124">
        <v>0</v>
      </c>
      <c r="ES124">
        <v>855.3999998569489</v>
      </c>
      <c r="ET124">
        <v>0</v>
      </c>
      <c r="EU124">
        <v>1011.936538461538</v>
      </c>
      <c r="EV124">
        <v>-6.337435905741977</v>
      </c>
      <c r="EW124">
        <v>-185.4017096007687</v>
      </c>
      <c r="EX124">
        <v>16256.83076923077</v>
      </c>
      <c r="EY124">
        <v>15</v>
      </c>
      <c r="EZ124">
        <v>1652371289.6</v>
      </c>
      <c r="FA124" t="s">
        <v>515</v>
      </c>
      <c r="FB124">
        <v>1652371289.6</v>
      </c>
      <c r="FC124">
        <v>1652371275.1</v>
      </c>
      <c r="FD124">
        <v>24</v>
      </c>
      <c r="FE124">
        <v>0.442</v>
      </c>
      <c r="FF124">
        <v>0.001</v>
      </c>
      <c r="FG124">
        <v>-2.63</v>
      </c>
      <c r="FH124">
        <v>0.007</v>
      </c>
      <c r="FI124">
        <v>1620</v>
      </c>
      <c r="FJ124">
        <v>22</v>
      </c>
      <c r="FK124">
        <v>0.08</v>
      </c>
      <c r="FL124">
        <v>0.04</v>
      </c>
      <c r="FM124">
        <v>-87.4374175</v>
      </c>
      <c r="FN124">
        <v>-0.8546712945590211</v>
      </c>
      <c r="FO124">
        <v>0.1313982912512553</v>
      </c>
      <c r="FP124">
        <v>-1</v>
      </c>
      <c r="FQ124">
        <v>5.74946275</v>
      </c>
      <c r="FR124">
        <v>-1.4758792120075</v>
      </c>
      <c r="FS124">
        <v>0.1425510459798085</v>
      </c>
      <c r="FT124">
        <v>0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1</v>
      </c>
      <c r="GA124" t="s">
        <v>432</v>
      </c>
      <c r="GB124">
        <v>2.69606</v>
      </c>
      <c r="GC124">
        <v>2.7052</v>
      </c>
      <c r="GD124">
        <v>0.202174</v>
      </c>
      <c r="GE124">
        <v>0.208244</v>
      </c>
      <c r="GF124">
        <v>0.106978</v>
      </c>
      <c r="GG124">
        <v>0.0879096</v>
      </c>
      <c r="GH124">
        <v>25091.6</v>
      </c>
      <c r="GI124">
        <v>25008.4</v>
      </c>
      <c r="GJ124">
        <v>29258.2</v>
      </c>
      <c r="GK124">
        <v>29231.9</v>
      </c>
      <c r="GL124">
        <v>34594</v>
      </c>
      <c r="GM124">
        <v>35491.7</v>
      </c>
      <c r="GN124">
        <v>41180.2</v>
      </c>
      <c r="GO124">
        <v>41707.4</v>
      </c>
      <c r="GP124">
        <v>1.7229</v>
      </c>
      <c r="GQ124">
        <v>2.04107</v>
      </c>
      <c r="GR124">
        <v>0.07956100000000001</v>
      </c>
      <c r="GS124">
        <v>0</v>
      </c>
      <c r="GT124">
        <v>28.7582</v>
      </c>
      <c r="GU124">
        <v>999.9</v>
      </c>
      <c r="GV124">
        <v>44.9</v>
      </c>
      <c r="GW124">
        <v>32.8</v>
      </c>
      <c r="GX124">
        <v>24.813</v>
      </c>
      <c r="GY124">
        <v>63.4079</v>
      </c>
      <c r="GZ124">
        <v>28.73</v>
      </c>
      <c r="HA124">
        <v>1</v>
      </c>
      <c r="HB124">
        <v>0.234741</v>
      </c>
      <c r="HC124">
        <v>0.7271840000000001</v>
      </c>
      <c r="HD124">
        <v>20.3801</v>
      </c>
      <c r="HE124">
        <v>5.21714</v>
      </c>
      <c r="HF124">
        <v>12.0099</v>
      </c>
      <c r="HG124">
        <v>4.9884</v>
      </c>
      <c r="HH124">
        <v>3.2886</v>
      </c>
      <c r="HI124">
        <v>2716.1</v>
      </c>
      <c r="HJ124">
        <v>9999</v>
      </c>
      <c r="HK124">
        <v>9999</v>
      </c>
      <c r="HL124">
        <v>50</v>
      </c>
      <c r="HM124">
        <v>1.86722</v>
      </c>
      <c r="HN124">
        <v>1.86615</v>
      </c>
      <c r="HO124">
        <v>1.8658</v>
      </c>
      <c r="HP124">
        <v>1.86567</v>
      </c>
      <c r="HQ124">
        <v>1.86745</v>
      </c>
      <c r="HR124">
        <v>1.86998</v>
      </c>
      <c r="HS124">
        <v>1.86861</v>
      </c>
      <c r="HT124">
        <v>1.86998</v>
      </c>
      <c r="HU124">
        <v>0</v>
      </c>
      <c r="HV124">
        <v>0</v>
      </c>
      <c r="HW124">
        <v>0</v>
      </c>
      <c r="HX124">
        <v>0</v>
      </c>
      <c r="HY124" t="s">
        <v>421</v>
      </c>
      <c r="HZ124" t="s">
        <v>422</v>
      </c>
      <c r="IA124" t="s">
        <v>423</v>
      </c>
      <c r="IB124" t="s">
        <v>423</v>
      </c>
      <c r="IC124" t="s">
        <v>423</v>
      </c>
      <c r="ID124" t="s">
        <v>423</v>
      </c>
      <c r="IE124">
        <v>0</v>
      </c>
      <c r="IF124">
        <v>100</v>
      </c>
      <c r="IG124">
        <v>100</v>
      </c>
      <c r="IH124">
        <v>-1.84</v>
      </c>
      <c r="II124">
        <v>0.0409</v>
      </c>
      <c r="IJ124">
        <v>1.257309091789605</v>
      </c>
      <c r="IK124">
        <v>-0.002185601614162945</v>
      </c>
      <c r="IL124">
        <v>-2.252308143750626E-07</v>
      </c>
      <c r="IM124">
        <v>5.915558436307541E-11</v>
      </c>
      <c r="IN124">
        <v>-0.118683452207699</v>
      </c>
      <c r="IO124">
        <v>-0.007570214193104963</v>
      </c>
      <c r="IP124">
        <v>0.0009214429922928372</v>
      </c>
      <c r="IQ124">
        <v>-1.392260276065805E-05</v>
      </c>
      <c r="IR124">
        <v>17</v>
      </c>
      <c r="IS124">
        <v>2272</v>
      </c>
      <c r="IT124">
        <v>1</v>
      </c>
      <c r="IU124">
        <v>31</v>
      </c>
      <c r="IV124">
        <v>12.2</v>
      </c>
      <c r="IW124">
        <v>12.4</v>
      </c>
      <c r="IX124">
        <v>2.73804</v>
      </c>
      <c r="IY124">
        <v>2.19727</v>
      </c>
      <c r="IZ124">
        <v>1.39648</v>
      </c>
      <c r="JA124">
        <v>2.35352</v>
      </c>
      <c r="JB124">
        <v>1.49536</v>
      </c>
      <c r="JC124">
        <v>2.34985</v>
      </c>
      <c r="JD124">
        <v>36.3871</v>
      </c>
      <c r="JE124">
        <v>15.3316</v>
      </c>
      <c r="JF124">
        <v>18</v>
      </c>
      <c r="JG124">
        <v>386.267</v>
      </c>
      <c r="JH124">
        <v>572.932</v>
      </c>
      <c r="JI124">
        <v>29.2121</v>
      </c>
      <c r="JJ124">
        <v>30.4932</v>
      </c>
      <c r="JK124">
        <v>29.9999</v>
      </c>
      <c r="JL124">
        <v>30.4145</v>
      </c>
      <c r="JM124">
        <v>30.3129</v>
      </c>
      <c r="JN124">
        <v>54.8312</v>
      </c>
      <c r="JO124">
        <v>26.2424</v>
      </c>
      <c r="JP124">
        <v>0</v>
      </c>
      <c r="JQ124">
        <v>29.1773</v>
      </c>
      <c r="JR124">
        <v>1403</v>
      </c>
      <c r="JS124">
        <v>18.9848</v>
      </c>
      <c r="JT124">
        <v>100.008</v>
      </c>
      <c r="JU124">
        <v>100.116</v>
      </c>
    </row>
    <row r="125" spans="1:281">
      <c r="A125">
        <v>109</v>
      </c>
      <c r="B125">
        <v>1652372026.6</v>
      </c>
      <c r="C125">
        <v>3933</v>
      </c>
      <c r="D125" t="s">
        <v>685</v>
      </c>
      <c r="E125" t="s">
        <v>686</v>
      </c>
      <c r="F125">
        <v>5</v>
      </c>
      <c r="G125" t="s">
        <v>518</v>
      </c>
      <c r="H125" t="s">
        <v>414</v>
      </c>
      <c r="I125">
        <v>1652372019.1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1417.567435559852</v>
      </c>
      <c r="AK125">
        <v>1347.221575757576</v>
      </c>
      <c r="AL125">
        <v>3.432945477123133</v>
      </c>
      <c r="AM125">
        <v>65.95105977519088</v>
      </c>
      <c r="AN125">
        <f>(AP125 - AO125 + DI125*1E3/(8.314*(DK125+273.15)) * AR125/DH125 * AQ125) * DH125/(100*CV125) * 1000/(1000 - AP125)</f>
        <v>0</v>
      </c>
      <c r="AO125">
        <v>18.77182845203626</v>
      </c>
      <c r="AP125">
        <v>24.29934125874128</v>
      </c>
      <c r="AQ125">
        <v>0.0005735197214731327</v>
      </c>
      <c r="AR125">
        <v>81.26040297655408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417</v>
      </c>
      <c r="AY125" t="s">
        <v>417</v>
      </c>
      <c r="AZ125">
        <v>0</v>
      </c>
      <c r="BA125">
        <v>0</v>
      </c>
      <c r="BB125">
        <f>1-AZ125/BA125</f>
        <v>0</v>
      </c>
      <c r="BC125">
        <v>0</v>
      </c>
      <c r="BD125" t="s">
        <v>417</v>
      </c>
      <c r="BE125" t="s">
        <v>417</v>
      </c>
      <c r="BF125">
        <v>0</v>
      </c>
      <c r="BG125">
        <v>0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417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1393</v>
      </c>
      <c r="CA125">
        <v>300</v>
      </c>
      <c r="CB125">
        <v>300</v>
      </c>
      <c r="CC125">
        <v>300</v>
      </c>
      <c r="CD125">
        <v>10378</v>
      </c>
      <c r="CE125">
        <v>2050</v>
      </c>
      <c r="CF125">
        <v>-0.00730649</v>
      </c>
      <c r="CG125">
        <v>-4.53</v>
      </c>
      <c r="CH125" t="s">
        <v>417</v>
      </c>
      <c r="CI125" t="s">
        <v>417</v>
      </c>
      <c r="CJ125" t="s">
        <v>417</v>
      </c>
      <c r="CK125" t="s">
        <v>417</v>
      </c>
      <c r="CL125" t="s">
        <v>417</v>
      </c>
      <c r="CM125" t="s">
        <v>417</v>
      </c>
      <c r="CN125" t="s">
        <v>417</v>
      </c>
      <c r="CO125" t="s">
        <v>417</v>
      </c>
      <c r="CP125" t="s">
        <v>417</v>
      </c>
      <c r="CQ125" t="s">
        <v>417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418</v>
      </c>
      <c r="CY125">
        <v>2</v>
      </c>
      <c r="CZ125" t="b">
        <v>1</v>
      </c>
      <c r="DA125">
        <v>1652372019.1</v>
      </c>
      <c r="DB125">
        <v>1291.094444444444</v>
      </c>
      <c r="DC125">
        <v>1378.595555555556</v>
      </c>
      <c r="DD125">
        <v>24.27017037037037</v>
      </c>
      <c r="DE125">
        <v>18.71035185185185</v>
      </c>
      <c r="DF125">
        <v>1292.911481481481</v>
      </c>
      <c r="DG125">
        <v>24.22936666666666</v>
      </c>
      <c r="DH125">
        <v>400.0539629629629</v>
      </c>
      <c r="DI125">
        <v>90.40409629629629</v>
      </c>
      <c r="DJ125">
        <v>0.09996943703703705</v>
      </c>
      <c r="DK125">
        <v>30.94541481481481</v>
      </c>
      <c r="DL125">
        <v>30.06310740740741</v>
      </c>
      <c r="DM125">
        <v>999.9000000000001</v>
      </c>
      <c r="DN125">
        <v>0</v>
      </c>
      <c r="DO125">
        <v>0</v>
      </c>
      <c r="DP125">
        <v>10000.20888888889</v>
      </c>
      <c r="DQ125">
        <v>0</v>
      </c>
      <c r="DR125">
        <v>688.0130740740742</v>
      </c>
      <c r="DS125">
        <v>-87.50055555555555</v>
      </c>
      <c r="DT125">
        <v>1323.209629629629</v>
      </c>
      <c r="DU125">
        <v>1404.882222222222</v>
      </c>
      <c r="DV125">
        <v>5.55982</v>
      </c>
      <c r="DW125">
        <v>1378.595555555556</v>
      </c>
      <c r="DX125">
        <v>18.71035185185185</v>
      </c>
      <c r="DY125">
        <v>2.194124074074074</v>
      </c>
      <c r="DZ125">
        <v>1.691492222222222</v>
      </c>
      <c r="EA125">
        <v>18.91945925925926</v>
      </c>
      <c r="EB125">
        <v>14.81831481481482</v>
      </c>
      <c r="EC125">
        <v>1499.976296296296</v>
      </c>
      <c r="ED125">
        <v>0.9730066296296295</v>
      </c>
      <c r="EE125">
        <v>0.02699318518518519</v>
      </c>
      <c r="EF125">
        <v>0</v>
      </c>
      <c r="EG125">
        <v>1011.6</v>
      </c>
      <c r="EH125">
        <v>5.00097</v>
      </c>
      <c r="EI125">
        <v>16260.88518518518</v>
      </c>
      <c r="EJ125">
        <v>12491.41481481481</v>
      </c>
      <c r="EK125">
        <v>39.5</v>
      </c>
      <c r="EL125">
        <v>41.06199999999999</v>
      </c>
      <c r="EM125">
        <v>39.75</v>
      </c>
      <c r="EN125">
        <v>40.875</v>
      </c>
      <c r="EO125">
        <v>40.68699999999999</v>
      </c>
      <c r="EP125">
        <v>1454.624444444444</v>
      </c>
      <c r="EQ125">
        <v>40.35111111111111</v>
      </c>
      <c r="ER125">
        <v>0</v>
      </c>
      <c r="ES125">
        <v>860.7999999523163</v>
      </c>
      <c r="ET125">
        <v>0</v>
      </c>
      <c r="EU125">
        <v>1011.5828</v>
      </c>
      <c r="EV125">
        <v>-1.328461530882676</v>
      </c>
      <c r="EW125">
        <v>244.9230768649744</v>
      </c>
      <c r="EX125">
        <v>16263.244</v>
      </c>
      <c r="EY125">
        <v>15</v>
      </c>
      <c r="EZ125">
        <v>1652371289.6</v>
      </c>
      <c r="FA125" t="s">
        <v>515</v>
      </c>
      <c r="FB125">
        <v>1652371289.6</v>
      </c>
      <c r="FC125">
        <v>1652371275.1</v>
      </c>
      <c r="FD125">
        <v>24</v>
      </c>
      <c r="FE125">
        <v>0.442</v>
      </c>
      <c r="FF125">
        <v>0.001</v>
      </c>
      <c r="FG125">
        <v>-2.63</v>
      </c>
      <c r="FH125">
        <v>0.007</v>
      </c>
      <c r="FI125">
        <v>1620</v>
      </c>
      <c r="FJ125">
        <v>22</v>
      </c>
      <c r="FK125">
        <v>0.08</v>
      </c>
      <c r="FL125">
        <v>0.04</v>
      </c>
      <c r="FM125">
        <v>-87.5046725</v>
      </c>
      <c r="FN125">
        <v>-0.7901234521573418</v>
      </c>
      <c r="FO125">
        <v>0.1377474155610546</v>
      </c>
      <c r="FP125">
        <v>-1</v>
      </c>
      <c r="FQ125">
        <v>5.65105275</v>
      </c>
      <c r="FR125">
        <v>-1.40498060037524</v>
      </c>
      <c r="FS125">
        <v>0.1355751126311076</v>
      </c>
      <c r="FT125">
        <v>0</v>
      </c>
      <c r="FU125">
        <v>0</v>
      </c>
      <c r="FV125">
        <v>0</v>
      </c>
      <c r="FW125">
        <v>0</v>
      </c>
      <c r="FX125">
        <v>-1</v>
      </c>
      <c r="FY125">
        <v>0</v>
      </c>
      <c r="FZ125">
        <v>1</v>
      </c>
      <c r="GA125" t="s">
        <v>432</v>
      </c>
      <c r="GB125">
        <v>2.69585</v>
      </c>
      <c r="GC125">
        <v>2.70505</v>
      </c>
      <c r="GD125">
        <v>0.203784</v>
      </c>
      <c r="GE125">
        <v>0.20974</v>
      </c>
      <c r="GF125">
        <v>0.107038</v>
      </c>
      <c r="GG125">
        <v>0.0884374</v>
      </c>
      <c r="GH125">
        <v>25040.6</v>
      </c>
      <c r="GI125">
        <v>24960.9</v>
      </c>
      <c r="GJ125">
        <v>29257.9</v>
      </c>
      <c r="GK125">
        <v>29231.7</v>
      </c>
      <c r="GL125">
        <v>34591.2</v>
      </c>
      <c r="GM125">
        <v>35470.9</v>
      </c>
      <c r="GN125">
        <v>41179.6</v>
      </c>
      <c r="GO125">
        <v>41707.2</v>
      </c>
      <c r="GP125">
        <v>1.7227</v>
      </c>
      <c r="GQ125">
        <v>2.04152</v>
      </c>
      <c r="GR125">
        <v>0.07912520000000001</v>
      </c>
      <c r="GS125">
        <v>0</v>
      </c>
      <c r="GT125">
        <v>28.7526</v>
      </c>
      <c r="GU125">
        <v>999.9</v>
      </c>
      <c r="GV125">
        <v>44.9</v>
      </c>
      <c r="GW125">
        <v>32.8</v>
      </c>
      <c r="GX125">
        <v>24.8099</v>
      </c>
      <c r="GY125">
        <v>63.3879</v>
      </c>
      <c r="GZ125">
        <v>29.0986</v>
      </c>
      <c r="HA125">
        <v>1</v>
      </c>
      <c r="HB125">
        <v>0.234629</v>
      </c>
      <c r="HC125">
        <v>0.715714</v>
      </c>
      <c r="HD125">
        <v>20.3798</v>
      </c>
      <c r="HE125">
        <v>5.21564</v>
      </c>
      <c r="HF125">
        <v>12.0099</v>
      </c>
      <c r="HG125">
        <v>4.98755</v>
      </c>
      <c r="HH125">
        <v>3.28808</v>
      </c>
      <c r="HI125">
        <v>2716.3</v>
      </c>
      <c r="HJ125">
        <v>9999</v>
      </c>
      <c r="HK125">
        <v>9999</v>
      </c>
      <c r="HL125">
        <v>50</v>
      </c>
      <c r="HM125">
        <v>1.86722</v>
      </c>
      <c r="HN125">
        <v>1.86615</v>
      </c>
      <c r="HO125">
        <v>1.86578</v>
      </c>
      <c r="HP125">
        <v>1.86568</v>
      </c>
      <c r="HQ125">
        <v>1.86744</v>
      </c>
      <c r="HR125">
        <v>1.86999</v>
      </c>
      <c r="HS125">
        <v>1.86863</v>
      </c>
      <c r="HT125">
        <v>1.86998</v>
      </c>
      <c r="HU125">
        <v>0</v>
      </c>
      <c r="HV125">
        <v>0</v>
      </c>
      <c r="HW125">
        <v>0</v>
      </c>
      <c r="HX125">
        <v>0</v>
      </c>
      <c r="HY125" t="s">
        <v>421</v>
      </c>
      <c r="HZ125" t="s">
        <v>422</v>
      </c>
      <c r="IA125" t="s">
        <v>423</v>
      </c>
      <c r="IB125" t="s">
        <v>423</v>
      </c>
      <c r="IC125" t="s">
        <v>423</v>
      </c>
      <c r="ID125" t="s">
        <v>423</v>
      </c>
      <c r="IE125">
        <v>0</v>
      </c>
      <c r="IF125">
        <v>100</v>
      </c>
      <c r="IG125">
        <v>100</v>
      </c>
      <c r="IH125">
        <v>-1.88</v>
      </c>
      <c r="II125">
        <v>0.0412</v>
      </c>
      <c r="IJ125">
        <v>1.257309091789605</v>
      </c>
      <c r="IK125">
        <v>-0.002185601614162945</v>
      </c>
      <c r="IL125">
        <v>-2.252308143750626E-07</v>
      </c>
      <c r="IM125">
        <v>5.915558436307541E-11</v>
      </c>
      <c r="IN125">
        <v>-0.118683452207699</v>
      </c>
      <c r="IO125">
        <v>-0.007570214193104963</v>
      </c>
      <c r="IP125">
        <v>0.0009214429922928372</v>
      </c>
      <c r="IQ125">
        <v>-1.392260276065805E-05</v>
      </c>
      <c r="IR125">
        <v>17</v>
      </c>
      <c r="IS125">
        <v>2272</v>
      </c>
      <c r="IT125">
        <v>1</v>
      </c>
      <c r="IU125">
        <v>31</v>
      </c>
      <c r="IV125">
        <v>12.3</v>
      </c>
      <c r="IW125">
        <v>12.5</v>
      </c>
      <c r="IX125">
        <v>2.76855</v>
      </c>
      <c r="IY125">
        <v>2.19727</v>
      </c>
      <c r="IZ125">
        <v>1.39648</v>
      </c>
      <c r="JA125">
        <v>2.35352</v>
      </c>
      <c r="JB125">
        <v>1.49536</v>
      </c>
      <c r="JC125">
        <v>2.36206</v>
      </c>
      <c r="JD125">
        <v>36.3871</v>
      </c>
      <c r="JE125">
        <v>15.3316</v>
      </c>
      <c r="JF125">
        <v>18</v>
      </c>
      <c r="JG125">
        <v>386.148</v>
      </c>
      <c r="JH125">
        <v>573.274</v>
      </c>
      <c r="JI125">
        <v>29.1446</v>
      </c>
      <c r="JJ125">
        <v>30.4906</v>
      </c>
      <c r="JK125">
        <v>29.9998</v>
      </c>
      <c r="JL125">
        <v>30.4125</v>
      </c>
      <c r="JM125">
        <v>30.3129</v>
      </c>
      <c r="JN125">
        <v>55.389</v>
      </c>
      <c r="JO125">
        <v>25.6799</v>
      </c>
      <c r="JP125">
        <v>0</v>
      </c>
      <c r="JQ125">
        <v>29.122</v>
      </c>
      <c r="JR125">
        <v>1423.05</v>
      </c>
      <c r="JS125">
        <v>19.1236</v>
      </c>
      <c r="JT125">
        <v>100.006</v>
      </c>
      <c r="JU125">
        <v>100.116</v>
      </c>
    </row>
    <row r="126" spans="1:281">
      <c r="A126">
        <v>110</v>
      </c>
      <c r="B126">
        <v>1652372031.6</v>
      </c>
      <c r="C126">
        <v>3938</v>
      </c>
      <c r="D126" t="s">
        <v>687</v>
      </c>
      <c r="E126" t="s">
        <v>688</v>
      </c>
      <c r="F126">
        <v>5</v>
      </c>
      <c r="G126" t="s">
        <v>518</v>
      </c>
      <c r="H126" t="s">
        <v>414</v>
      </c>
      <c r="I126">
        <v>1652372023.814285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1434.209967848404</v>
      </c>
      <c r="AK126">
        <v>1364.106484848485</v>
      </c>
      <c r="AL126">
        <v>3.376015629348887</v>
      </c>
      <c r="AM126">
        <v>65.95105977519088</v>
      </c>
      <c r="AN126">
        <f>(AP126 - AO126 + DI126*1E3/(8.314*(DK126+273.15)) * AR126/DH126 * AQ126) * DH126/(100*CV126) * 1000/(1000 - AP126)</f>
        <v>0</v>
      </c>
      <c r="AO126">
        <v>18.92427602045135</v>
      </c>
      <c r="AP126">
        <v>24.32080139860142</v>
      </c>
      <c r="AQ126">
        <v>0.003840590938047938</v>
      </c>
      <c r="AR126">
        <v>81.26040297655408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417</v>
      </c>
      <c r="AY126" t="s">
        <v>417</v>
      </c>
      <c r="AZ126">
        <v>0</v>
      </c>
      <c r="BA126">
        <v>0</v>
      </c>
      <c r="BB126">
        <f>1-AZ126/BA126</f>
        <v>0</v>
      </c>
      <c r="BC126">
        <v>0</v>
      </c>
      <c r="BD126" t="s">
        <v>417</v>
      </c>
      <c r="BE126" t="s">
        <v>417</v>
      </c>
      <c r="BF126">
        <v>0</v>
      </c>
      <c r="BG126">
        <v>0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417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1393</v>
      </c>
      <c r="CA126">
        <v>300</v>
      </c>
      <c r="CB126">
        <v>300</v>
      </c>
      <c r="CC126">
        <v>300</v>
      </c>
      <c r="CD126">
        <v>10378</v>
      </c>
      <c r="CE126">
        <v>2050</v>
      </c>
      <c r="CF126">
        <v>-0.00730649</v>
      </c>
      <c r="CG126">
        <v>-4.53</v>
      </c>
      <c r="CH126" t="s">
        <v>417</v>
      </c>
      <c r="CI126" t="s">
        <v>417</v>
      </c>
      <c r="CJ126" t="s">
        <v>417</v>
      </c>
      <c r="CK126" t="s">
        <v>417</v>
      </c>
      <c r="CL126" t="s">
        <v>417</v>
      </c>
      <c r="CM126" t="s">
        <v>417</v>
      </c>
      <c r="CN126" t="s">
        <v>417</v>
      </c>
      <c r="CO126" t="s">
        <v>417</v>
      </c>
      <c r="CP126" t="s">
        <v>417</v>
      </c>
      <c r="CQ126" t="s">
        <v>417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418</v>
      </c>
      <c r="CY126">
        <v>2</v>
      </c>
      <c r="CZ126" t="b">
        <v>1</v>
      </c>
      <c r="DA126">
        <v>1652372023.814285</v>
      </c>
      <c r="DB126">
        <v>1306.7825</v>
      </c>
      <c r="DC126">
        <v>1394.316785714286</v>
      </c>
      <c r="DD126">
        <v>24.29117857142857</v>
      </c>
      <c r="DE126">
        <v>18.83908571428572</v>
      </c>
      <c r="DF126">
        <v>1308.638571428572</v>
      </c>
      <c r="DG126">
        <v>24.25012142857143</v>
      </c>
      <c r="DH126">
        <v>400.0717142857144</v>
      </c>
      <c r="DI126">
        <v>90.40321785714285</v>
      </c>
      <c r="DJ126">
        <v>0.09998222500000001</v>
      </c>
      <c r="DK126">
        <v>30.93163928571429</v>
      </c>
      <c r="DL126">
        <v>30.05022499999999</v>
      </c>
      <c r="DM126">
        <v>999.9000000000002</v>
      </c>
      <c r="DN126">
        <v>0</v>
      </c>
      <c r="DO126">
        <v>0</v>
      </c>
      <c r="DP126">
        <v>10004.19928571429</v>
      </c>
      <c r="DQ126">
        <v>0</v>
      </c>
      <c r="DR126">
        <v>716.9208571428572</v>
      </c>
      <c r="DS126">
        <v>-87.533625</v>
      </c>
      <c r="DT126">
        <v>1339.3175</v>
      </c>
      <c r="DU126">
        <v>1421.09</v>
      </c>
      <c r="DV126">
        <v>5.452093571428572</v>
      </c>
      <c r="DW126">
        <v>1394.316785714286</v>
      </c>
      <c r="DX126">
        <v>18.83908571428572</v>
      </c>
      <c r="DY126">
        <v>2.196001428571429</v>
      </c>
      <c r="DZ126">
        <v>1.703114642857143</v>
      </c>
      <c r="EA126">
        <v>18.93315714285714</v>
      </c>
      <c r="EB126">
        <v>14.92454642857143</v>
      </c>
      <c r="EC126">
        <v>1499.973928571428</v>
      </c>
      <c r="ED126">
        <v>0.9730066428571427</v>
      </c>
      <c r="EE126">
        <v>0.02699317142857144</v>
      </c>
      <c r="EF126">
        <v>0</v>
      </c>
      <c r="EG126">
        <v>1011.592857142857</v>
      </c>
      <c r="EH126">
        <v>5.00097</v>
      </c>
      <c r="EI126">
        <v>16290.74642857143</v>
      </c>
      <c r="EJ126">
        <v>12491.4</v>
      </c>
      <c r="EK126">
        <v>39.50442857142856</v>
      </c>
      <c r="EL126">
        <v>41.06199999999999</v>
      </c>
      <c r="EM126">
        <v>39.75</v>
      </c>
      <c r="EN126">
        <v>40.875</v>
      </c>
      <c r="EO126">
        <v>40.68699999999999</v>
      </c>
      <c r="EP126">
        <v>1454.622142857143</v>
      </c>
      <c r="EQ126">
        <v>40.35107142857142</v>
      </c>
      <c r="ER126">
        <v>0</v>
      </c>
      <c r="ES126">
        <v>865.5999999046326</v>
      </c>
      <c r="ET126">
        <v>0</v>
      </c>
      <c r="EU126">
        <v>1011.592</v>
      </c>
      <c r="EV126">
        <v>2.321538463245787</v>
      </c>
      <c r="EW126">
        <v>661.0076908856627</v>
      </c>
      <c r="EX126">
        <v>16294.896</v>
      </c>
      <c r="EY126">
        <v>15</v>
      </c>
      <c r="EZ126">
        <v>1652371289.6</v>
      </c>
      <c r="FA126" t="s">
        <v>515</v>
      </c>
      <c r="FB126">
        <v>1652371289.6</v>
      </c>
      <c r="FC126">
        <v>1652371275.1</v>
      </c>
      <c r="FD126">
        <v>24</v>
      </c>
      <c r="FE126">
        <v>0.442</v>
      </c>
      <c r="FF126">
        <v>0.001</v>
      </c>
      <c r="FG126">
        <v>-2.63</v>
      </c>
      <c r="FH126">
        <v>0.007</v>
      </c>
      <c r="FI126">
        <v>1620</v>
      </c>
      <c r="FJ126">
        <v>22</v>
      </c>
      <c r="FK126">
        <v>0.08</v>
      </c>
      <c r="FL126">
        <v>0.04</v>
      </c>
      <c r="FM126">
        <v>-87.47427073170732</v>
      </c>
      <c r="FN126">
        <v>-0.2634062717769315</v>
      </c>
      <c r="FO126">
        <v>0.1875923385557899</v>
      </c>
      <c r="FP126">
        <v>-1</v>
      </c>
      <c r="FQ126">
        <v>5.525772926829268</v>
      </c>
      <c r="FR126">
        <v>-1.398178536585375</v>
      </c>
      <c r="FS126">
        <v>0.1382100748373852</v>
      </c>
      <c r="FT126">
        <v>0</v>
      </c>
      <c r="FU126">
        <v>0</v>
      </c>
      <c r="FV126">
        <v>0</v>
      </c>
      <c r="FW126">
        <v>0</v>
      </c>
      <c r="FX126">
        <v>-1</v>
      </c>
      <c r="FY126">
        <v>0</v>
      </c>
      <c r="FZ126">
        <v>1</v>
      </c>
      <c r="GA126" t="s">
        <v>432</v>
      </c>
      <c r="GB126">
        <v>2.69588</v>
      </c>
      <c r="GC126">
        <v>2.70521</v>
      </c>
      <c r="GD126">
        <v>0.20536</v>
      </c>
      <c r="GE126">
        <v>0.211317</v>
      </c>
      <c r="GF126">
        <v>0.107105</v>
      </c>
      <c r="GG126">
        <v>0.0889171</v>
      </c>
      <c r="GH126">
        <v>24991.3</v>
      </c>
      <c r="GI126">
        <v>24911.4</v>
      </c>
      <c r="GJ126">
        <v>29258.2</v>
      </c>
      <c r="GK126">
        <v>29232.1</v>
      </c>
      <c r="GL126">
        <v>34588.9</v>
      </c>
      <c r="GM126">
        <v>35452.3</v>
      </c>
      <c r="GN126">
        <v>41180</v>
      </c>
      <c r="GO126">
        <v>41707.5</v>
      </c>
      <c r="GP126">
        <v>1.7228</v>
      </c>
      <c r="GQ126">
        <v>2.04175</v>
      </c>
      <c r="GR126">
        <v>0.0794083</v>
      </c>
      <c r="GS126">
        <v>0</v>
      </c>
      <c r="GT126">
        <v>28.7473</v>
      </c>
      <c r="GU126">
        <v>999.9</v>
      </c>
      <c r="GV126">
        <v>44.9</v>
      </c>
      <c r="GW126">
        <v>32.9</v>
      </c>
      <c r="GX126">
        <v>24.951</v>
      </c>
      <c r="GY126">
        <v>63.4279</v>
      </c>
      <c r="GZ126">
        <v>29.363</v>
      </c>
      <c r="HA126">
        <v>1</v>
      </c>
      <c r="HB126">
        <v>0.234012</v>
      </c>
      <c r="HC126">
        <v>0.671639</v>
      </c>
      <c r="HD126">
        <v>20.3801</v>
      </c>
      <c r="HE126">
        <v>5.21654</v>
      </c>
      <c r="HF126">
        <v>12.0099</v>
      </c>
      <c r="HG126">
        <v>4.9883</v>
      </c>
      <c r="HH126">
        <v>3.2886</v>
      </c>
      <c r="HI126">
        <v>2716.3</v>
      </c>
      <c r="HJ126">
        <v>9999</v>
      </c>
      <c r="HK126">
        <v>9999</v>
      </c>
      <c r="HL126">
        <v>50</v>
      </c>
      <c r="HM126">
        <v>1.86722</v>
      </c>
      <c r="HN126">
        <v>1.86615</v>
      </c>
      <c r="HO126">
        <v>1.86579</v>
      </c>
      <c r="HP126">
        <v>1.86569</v>
      </c>
      <c r="HQ126">
        <v>1.86744</v>
      </c>
      <c r="HR126">
        <v>1.86999</v>
      </c>
      <c r="HS126">
        <v>1.86862</v>
      </c>
      <c r="HT126">
        <v>1.86999</v>
      </c>
      <c r="HU126">
        <v>0</v>
      </c>
      <c r="HV126">
        <v>0</v>
      </c>
      <c r="HW126">
        <v>0</v>
      </c>
      <c r="HX126">
        <v>0</v>
      </c>
      <c r="HY126" t="s">
        <v>421</v>
      </c>
      <c r="HZ126" t="s">
        <v>422</v>
      </c>
      <c r="IA126" t="s">
        <v>423</v>
      </c>
      <c r="IB126" t="s">
        <v>423</v>
      </c>
      <c r="IC126" t="s">
        <v>423</v>
      </c>
      <c r="ID126" t="s">
        <v>423</v>
      </c>
      <c r="IE126">
        <v>0</v>
      </c>
      <c r="IF126">
        <v>100</v>
      </c>
      <c r="IG126">
        <v>100</v>
      </c>
      <c r="IH126">
        <v>-1.92</v>
      </c>
      <c r="II126">
        <v>0.0414</v>
      </c>
      <c r="IJ126">
        <v>1.257309091789605</v>
      </c>
      <c r="IK126">
        <v>-0.002185601614162945</v>
      </c>
      <c r="IL126">
        <v>-2.252308143750626E-07</v>
      </c>
      <c r="IM126">
        <v>5.915558436307541E-11</v>
      </c>
      <c r="IN126">
        <v>-0.118683452207699</v>
      </c>
      <c r="IO126">
        <v>-0.007570214193104963</v>
      </c>
      <c r="IP126">
        <v>0.0009214429922928372</v>
      </c>
      <c r="IQ126">
        <v>-1.392260276065805E-05</v>
      </c>
      <c r="IR126">
        <v>17</v>
      </c>
      <c r="IS126">
        <v>2272</v>
      </c>
      <c r="IT126">
        <v>1</v>
      </c>
      <c r="IU126">
        <v>31</v>
      </c>
      <c r="IV126">
        <v>12.4</v>
      </c>
      <c r="IW126">
        <v>12.6</v>
      </c>
      <c r="IX126">
        <v>2.79297</v>
      </c>
      <c r="IY126">
        <v>2.19482</v>
      </c>
      <c r="IZ126">
        <v>1.39648</v>
      </c>
      <c r="JA126">
        <v>2.35352</v>
      </c>
      <c r="JB126">
        <v>1.49536</v>
      </c>
      <c r="JC126">
        <v>2.38647</v>
      </c>
      <c r="JD126">
        <v>36.3871</v>
      </c>
      <c r="JE126">
        <v>15.3404</v>
      </c>
      <c r="JF126">
        <v>18</v>
      </c>
      <c r="JG126">
        <v>386.198</v>
      </c>
      <c r="JH126">
        <v>573.4349999999999</v>
      </c>
      <c r="JI126">
        <v>29.0923</v>
      </c>
      <c r="JJ126">
        <v>30.488</v>
      </c>
      <c r="JK126">
        <v>29.9997</v>
      </c>
      <c r="JL126">
        <v>30.4119</v>
      </c>
      <c r="JM126">
        <v>30.3118</v>
      </c>
      <c r="JN126">
        <v>55.8912</v>
      </c>
      <c r="JO126">
        <v>25.3689</v>
      </c>
      <c r="JP126">
        <v>0</v>
      </c>
      <c r="JQ126">
        <v>29.0825</v>
      </c>
      <c r="JR126">
        <v>1436.69</v>
      </c>
      <c r="JS126">
        <v>19.2481</v>
      </c>
      <c r="JT126">
        <v>100.007</v>
      </c>
      <c r="JU126">
        <v>100.117</v>
      </c>
    </row>
    <row r="127" spans="1:281">
      <c r="A127">
        <v>111</v>
      </c>
      <c r="B127">
        <v>1652372036.5</v>
      </c>
      <c r="C127">
        <v>3942.900000095367</v>
      </c>
      <c r="D127" t="s">
        <v>689</v>
      </c>
      <c r="E127" t="s">
        <v>690</v>
      </c>
      <c r="F127">
        <v>5</v>
      </c>
      <c r="G127" t="s">
        <v>518</v>
      </c>
      <c r="H127" t="s">
        <v>414</v>
      </c>
      <c r="I127">
        <v>1652372029.096296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1452.135781140594</v>
      </c>
      <c r="AK127">
        <v>1381.473140183909</v>
      </c>
      <c r="AL127">
        <v>3.484968136133243</v>
      </c>
      <c r="AM127">
        <v>65.95105977519088</v>
      </c>
      <c r="AN127">
        <f>(AP127 - AO127 + DI127*1E3/(8.314*(DK127+273.15)) * AR127/DH127 * AQ127) * DH127/(100*CV127) * 1000/(1000 - AP127)</f>
        <v>0</v>
      </c>
      <c r="AO127">
        <v>19.06972064217825</v>
      </c>
      <c r="AP127">
        <v>24.34999503955525</v>
      </c>
      <c r="AQ127">
        <v>0.006558894145288806</v>
      </c>
      <c r="AR127">
        <v>81.26040297655408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417</v>
      </c>
      <c r="AY127" t="s">
        <v>417</v>
      </c>
      <c r="AZ127">
        <v>0</v>
      </c>
      <c r="BA127">
        <v>0</v>
      </c>
      <c r="BB127">
        <f>1-AZ127/BA127</f>
        <v>0</v>
      </c>
      <c r="BC127">
        <v>0</v>
      </c>
      <c r="BD127" t="s">
        <v>417</v>
      </c>
      <c r="BE127" t="s">
        <v>417</v>
      </c>
      <c r="BF127">
        <v>0</v>
      </c>
      <c r="BG127">
        <v>0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417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1393</v>
      </c>
      <c r="CA127">
        <v>300</v>
      </c>
      <c r="CB127">
        <v>300</v>
      </c>
      <c r="CC127">
        <v>300</v>
      </c>
      <c r="CD127">
        <v>10378</v>
      </c>
      <c r="CE127">
        <v>2050</v>
      </c>
      <c r="CF127">
        <v>-0.00730649</v>
      </c>
      <c r="CG127">
        <v>-4.53</v>
      </c>
      <c r="CH127" t="s">
        <v>417</v>
      </c>
      <c r="CI127" t="s">
        <v>417</v>
      </c>
      <c r="CJ127" t="s">
        <v>417</v>
      </c>
      <c r="CK127" t="s">
        <v>417</v>
      </c>
      <c r="CL127" t="s">
        <v>417</v>
      </c>
      <c r="CM127" t="s">
        <v>417</v>
      </c>
      <c r="CN127" t="s">
        <v>417</v>
      </c>
      <c r="CO127" t="s">
        <v>417</v>
      </c>
      <c r="CP127" t="s">
        <v>417</v>
      </c>
      <c r="CQ127" t="s">
        <v>417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418</v>
      </c>
      <c r="CY127">
        <v>2</v>
      </c>
      <c r="CZ127" t="b">
        <v>1</v>
      </c>
      <c r="DA127">
        <v>1652372029.096296</v>
      </c>
      <c r="DB127">
        <v>1324.371111111111</v>
      </c>
      <c r="DC127">
        <v>1412.043333333333</v>
      </c>
      <c r="DD127">
        <v>24.3140925925926</v>
      </c>
      <c r="DE127">
        <v>18.98462222222222</v>
      </c>
      <c r="DF127">
        <v>1326.270740740741</v>
      </c>
      <c r="DG127">
        <v>24.27274444444445</v>
      </c>
      <c r="DH127">
        <v>400.0911481481482</v>
      </c>
      <c r="DI127">
        <v>90.40303333333334</v>
      </c>
      <c r="DJ127">
        <v>0.1000163962962963</v>
      </c>
      <c r="DK127">
        <v>30.91507037037037</v>
      </c>
      <c r="DL127">
        <v>30.03851481481482</v>
      </c>
      <c r="DM127">
        <v>999.9000000000001</v>
      </c>
      <c r="DN127">
        <v>0</v>
      </c>
      <c r="DO127">
        <v>0</v>
      </c>
      <c r="DP127">
        <v>10001.87407407407</v>
      </c>
      <c r="DQ127">
        <v>0</v>
      </c>
      <c r="DR127">
        <v>755.5175185185186</v>
      </c>
      <c r="DS127">
        <v>-87.67236296296298</v>
      </c>
      <c r="DT127">
        <v>1357.375925925926</v>
      </c>
      <c r="DU127">
        <v>1439.370740740741</v>
      </c>
      <c r="DV127">
        <v>5.329465925925926</v>
      </c>
      <c r="DW127">
        <v>1412.043333333333</v>
      </c>
      <c r="DX127">
        <v>18.98462222222222</v>
      </c>
      <c r="DY127">
        <v>2.198068148148149</v>
      </c>
      <c r="DZ127">
        <v>1.716268518518518</v>
      </c>
      <c r="EA127">
        <v>18.94822592592593</v>
      </c>
      <c r="EB127">
        <v>15.0441</v>
      </c>
      <c r="EC127">
        <v>1499.978518518519</v>
      </c>
      <c r="ED127">
        <v>0.9730066296296295</v>
      </c>
      <c r="EE127">
        <v>0.02699320000000001</v>
      </c>
      <c r="EF127">
        <v>0</v>
      </c>
      <c r="EG127">
        <v>1011.842962962963</v>
      </c>
      <c r="EH127">
        <v>5.00097</v>
      </c>
      <c r="EI127">
        <v>16323.35555555556</v>
      </c>
      <c r="EJ127">
        <v>12491.43703703704</v>
      </c>
      <c r="EK127">
        <v>39.50459259259259</v>
      </c>
      <c r="EL127">
        <v>41.06199999999999</v>
      </c>
      <c r="EM127">
        <v>39.75</v>
      </c>
      <c r="EN127">
        <v>40.875</v>
      </c>
      <c r="EO127">
        <v>40.68699999999999</v>
      </c>
      <c r="EP127">
        <v>1454.626666666667</v>
      </c>
      <c r="EQ127">
        <v>40.35111111111111</v>
      </c>
      <c r="ER127">
        <v>0</v>
      </c>
      <c r="ES127">
        <v>870.3999998569489</v>
      </c>
      <c r="ET127">
        <v>0</v>
      </c>
      <c r="EU127">
        <v>1011.8492</v>
      </c>
      <c r="EV127">
        <v>4.067692320004098</v>
      </c>
      <c r="EW127">
        <v>262.6000002689764</v>
      </c>
      <c r="EX127">
        <v>16324.684</v>
      </c>
      <c r="EY127">
        <v>15</v>
      </c>
      <c r="EZ127">
        <v>1652371289.6</v>
      </c>
      <c r="FA127" t="s">
        <v>515</v>
      </c>
      <c r="FB127">
        <v>1652371289.6</v>
      </c>
      <c r="FC127">
        <v>1652371275.1</v>
      </c>
      <c r="FD127">
        <v>24</v>
      </c>
      <c r="FE127">
        <v>0.442</v>
      </c>
      <c r="FF127">
        <v>0.001</v>
      </c>
      <c r="FG127">
        <v>-2.63</v>
      </c>
      <c r="FH127">
        <v>0.007</v>
      </c>
      <c r="FI127">
        <v>1620</v>
      </c>
      <c r="FJ127">
        <v>22</v>
      </c>
      <c r="FK127">
        <v>0.08</v>
      </c>
      <c r="FL127">
        <v>0.04</v>
      </c>
      <c r="FM127">
        <v>-87.64250999999999</v>
      </c>
      <c r="FN127">
        <v>-1.27653448525286</v>
      </c>
      <c r="FO127">
        <v>0.2765317520647494</v>
      </c>
      <c r="FP127">
        <v>-1</v>
      </c>
      <c r="FQ127">
        <v>5.3949055</v>
      </c>
      <c r="FR127">
        <v>-1.396841999380849</v>
      </c>
      <c r="FS127">
        <v>0.1346676296284672</v>
      </c>
      <c r="FT127">
        <v>0</v>
      </c>
      <c r="FU127">
        <v>0</v>
      </c>
      <c r="FV127">
        <v>0</v>
      </c>
      <c r="FW127">
        <v>0</v>
      </c>
      <c r="FX127">
        <v>-1</v>
      </c>
      <c r="FY127">
        <v>0</v>
      </c>
      <c r="FZ127">
        <v>1</v>
      </c>
      <c r="GA127" t="s">
        <v>432</v>
      </c>
      <c r="GB127">
        <v>2.69583</v>
      </c>
      <c r="GC127">
        <v>2.70499</v>
      </c>
      <c r="GD127">
        <v>0.20695</v>
      </c>
      <c r="GE127">
        <v>0.212811</v>
      </c>
      <c r="GF127">
        <v>0.107186</v>
      </c>
      <c r="GG127">
        <v>0.08927939999999999</v>
      </c>
      <c r="GH127">
        <v>24941.4</v>
      </c>
      <c r="GI127">
        <v>24864.5</v>
      </c>
      <c r="GJ127">
        <v>29258.5</v>
      </c>
      <c r="GK127">
        <v>29232.6</v>
      </c>
      <c r="GL127">
        <v>34585.8</v>
      </c>
      <c r="GM127">
        <v>35438.6</v>
      </c>
      <c r="GN127">
        <v>41180</v>
      </c>
      <c r="GO127">
        <v>41708.1</v>
      </c>
      <c r="GP127">
        <v>1.72265</v>
      </c>
      <c r="GQ127">
        <v>2.04215</v>
      </c>
      <c r="GR127">
        <v>0.07857749999999999</v>
      </c>
      <c r="GS127">
        <v>0</v>
      </c>
      <c r="GT127">
        <v>28.7411</v>
      </c>
      <c r="GU127">
        <v>999.9</v>
      </c>
      <c r="GV127">
        <v>44.9</v>
      </c>
      <c r="GW127">
        <v>32.9</v>
      </c>
      <c r="GX127">
        <v>24.9515</v>
      </c>
      <c r="GY127">
        <v>63.4079</v>
      </c>
      <c r="GZ127">
        <v>29.5312</v>
      </c>
      <c r="HA127">
        <v>1</v>
      </c>
      <c r="HB127">
        <v>0.233798</v>
      </c>
      <c r="HC127">
        <v>0.636223</v>
      </c>
      <c r="HD127">
        <v>20.3805</v>
      </c>
      <c r="HE127">
        <v>5.21624</v>
      </c>
      <c r="HF127">
        <v>12.0099</v>
      </c>
      <c r="HG127">
        <v>4.9877</v>
      </c>
      <c r="HH127">
        <v>3.28828</v>
      </c>
      <c r="HI127">
        <v>2716.6</v>
      </c>
      <c r="HJ127">
        <v>9999</v>
      </c>
      <c r="HK127">
        <v>9999</v>
      </c>
      <c r="HL127">
        <v>50</v>
      </c>
      <c r="HM127">
        <v>1.86722</v>
      </c>
      <c r="HN127">
        <v>1.86616</v>
      </c>
      <c r="HO127">
        <v>1.86574</v>
      </c>
      <c r="HP127">
        <v>1.86569</v>
      </c>
      <c r="HQ127">
        <v>1.8674</v>
      </c>
      <c r="HR127">
        <v>1.86998</v>
      </c>
      <c r="HS127">
        <v>1.86861</v>
      </c>
      <c r="HT127">
        <v>1.86998</v>
      </c>
      <c r="HU127">
        <v>0</v>
      </c>
      <c r="HV127">
        <v>0</v>
      </c>
      <c r="HW127">
        <v>0</v>
      </c>
      <c r="HX127">
        <v>0</v>
      </c>
      <c r="HY127" t="s">
        <v>421</v>
      </c>
      <c r="HZ127" t="s">
        <v>422</v>
      </c>
      <c r="IA127" t="s">
        <v>423</v>
      </c>
      <c r="IB127" t="s">
        <v>423</v>
      </c>
      <c r="IC127" t="s">
        <v>423</v>
      </c>
      <c r="ID127" t="s">
        <v>423</v>
      </c>
      <c r="IE127">
        <v>0</v>
      </c>
      <c r="IF127">
        <v>100</v>
      </c>
      <c r="IG127">
        <v>100</v>
      </c>
      <c r="IH127">
        <v>-1.96</v>
      </c>
      <c r="II127">
        <v>0.0418</v>
      </c>
      <c r="IJ127">
        <v>1.257309091789605</v>
      </c>
      <c r="IK127">
        <v>-0.002185601614162945</v>
      </c>
      <c r="IL127">
        <v>-2.252308143750626E-07</v>
      </c>
      <c r="IM127">
        <v>5.915558436307541E-11</v>
      </c>
      <c r="IN127">
        <v>-0.118683452207699</v>
      </c>
      <c r="IO127">
        <v>-0.007570214193104963</v>
      </c>
      <c r="IP127">
        <v>0.0009214429922928372</v>
      </c>
      <c r="IQ127">
        <v>-1.392260276065805E-05</v>
      </c>
      <c r="IR127">
        <v>17</v>
      </c>
      <c r="IS127">
        <v>2272</v>
      </c>
      <c r="IT127">
        <v>1</v>
      </c>
      <c r="IU127">
        <v>31</v>
      </c>
      <c r="IV127">
        <v>12.4</v>
      </c>
      <c r="IW127">
        <v>12.7</v>
      </c>
      <c r="IX127">
        <v>2.81982</v>
      </c>
      <c r="IY127">
        <v>2.17041</v>
      </c>
      <c r="IZ127">
        <v>1.39648</v>
      </c>
      <c r="JA127">
        <v>2.35352</v>
      </c>
      <c r="JB127">
        <v>1.49536</v>
      </c>
      <c r="JC127">
        <v>2.34863</v>
      </c>
      <c r="JD127">
        <v>36.3871</v>
      </c>
      <c r="JE127">
        <v>15.3228</v>
      </c>
      <c r="JF127">
        <v>18</v>
      </c>
      <c r="JG127">
        <v>386.106</v>
      </c>
      <c r="JH127">
        <v>573.724</v>
      </c>
      <c r="JI127">
        <v>29.0552</v>
      </c>
      <c r="JJ127">
        <v>30.4853</v>
      </c>
      <c r="JK127">
        <v>29.9997</v>
      </c>
      <c r="JL127">
        <v>30.4099</v>
      </c>
      <c r="JM127">
        <v>30.3103</v>
      </c>
      <c r="JN127">
        <v>56.4541</v>
      </c>
      <c r="JO127">
        <v>25.0682</v>
      </c>
      <c r="JP127">
        <v>0</v>
      </c>
      <c r="JQ127">
        <v>29.0471</v>
      </c>
      <c r="JR127">
        <v>1456.82</v>
      </c>
      <c r="JS127">
        <v>19.371</v>
      </c>
      <c r="JT127">
        <v>100.008</v>
      </c>
      <c r="JU127">
        <v>100.118</v>
      </c>
    </row>
    <row r="128" spans="1:281">
      <c r="A128">
        <v>112</v>
      </c>
      <c r="B128">
        <v>1652372041.5</v>
      </c>
      <c r="C128">
        <v>3947.900000095367</v>
      </c>
      <c r="D128" t="s">
        <v>691</v>
      </c>
      <c r="E128" t="s">
        <v>692</v>
      </c>
      <c r="F128">
        <v>5</v>
      </c>
      <c r="G128" t="s">
        <v>518</v>
      </c>
      <c r="H128" t="s">
        <v>414</v>
      </c>
      <c r="I128">
        <v>1652372033.778572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1468.938664698603</v>
      </c>
      <c r="AK128">
        <v>1398.215333333334</v>
      </c>
      <c r="AL128">
        <v>3.358171922839612</v>
      </c>
      <c r="AM128">
        <v>65.95105977519088</v>
      </c>
      <c r="AN128">
        <f>(AP128 - AO128 + DI128*1E3/(8.314*(DK128+273.15)) * AR128/DH128 * AQ128) * DH128/(100*CV128) * 1000/(1000 - AP128)</f>
        <v>0</v>
      </c>
      <c r="AO128">
        <v>19.18103948736815</v>
      </c>
      <c r="AP128">
        <v>24.37262078183667</v>
      </c>
      <c r="AQ128">
        <v>0.002468615949264623</v>
      </c>
      <c r="AR128">
        <v>81.26040297655408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417</v>
      </c>
      <c r="AY128" t="s">
        <v>417</v>
      </c>
      <c r="AZ128">
        <v>0</v>
      </c>
      <c r="BA128">
        <v>0</v>
      </c>
      <c r="BB128">
        <f>1-AZ128/BA128</f>
        <v>0</v>
      </c>
      <c r="BC128">
        <v>0</v>
      </c>
      <c r="BD128" t="s">
        <v>417</v>
      </c>
      <c r="BE128" t="s">
        <v>417</v>
      </c>
      <c r="BF128">
        <v>0</v>
      </c>
      <c r="BG128">
        <v>0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417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1393</v>
      </c>
      <c r="CA128">
        <v>300</v>
      </c>
      <c r="CB128">
        <v>300</v>
      </c>
      <c r="CC128">
        <v>300</v>
      </c>
      <c r="CD128">
        <v>10378</v>
      </c>
      <c r="CE128">
        <v>2050</v>
      </c>
      <c r="CF128">
        <v>-0.00730649</v>
      </c>
      <c r="CG128">
        <v>-4.53</v>
      </c>
      <c r="CH128" t="s">
        <v>417</v>
      </c>
      <c r="CI128" t="s">
        <v>417</v>
      </c>
      <c r="CJ128" t="s">
        <v>417</v>
      </c>
      <c r="CK128" t="s">
        <v>417</v>
      </c>
      <c r="CL128" t="s">
        <v>417</v>
      </c>
      <c r="CM128" t="s">
        <v>417</v>
      </c>
      <c r="CN128" t="s">
        <v>417</v>
      </c>
      <c r="CO128" t="s">
        <v>417</v>
      </c>
      <c r="CP128" t="s">
        <v>417</v>
      </c>
      <c r="CQ128" t="s">
        <v>417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418</v>
      </c>
      <c r="CY128">
        <v>2</v>
      </c>
      <c r="CZ128" t="b">
        <v>1</v>
      </c>
      <c r="DA128">
        <v>1652372033.778572</v>
      </c>
      <c r="DB128">
        <v>1340.033928571429</v>
      </c>
      <c r="DC128">
        <v>1427.856071428572</v>
      </c>
      <c r="DD128">
        <v>24.33698214285714</v>
      </c>
      <c r="DE128">
        <v>19.10625</v>
      </c>
      <c r="DF128">
        <v>1341.9725</v>
      </c>
      <c r="DG128">
        <v>24.29535357142857</v>
      </c>
      <c r="DH128">
        <v>400.0771785714286</v>
      </c>
      <c r="DI128">
        <v>90.40236428571427</v>
      </c>
      <c r="DJ128">
        <v>0.09997213571428573</v>
      </c>
      <c r="DK128">
        <v>30.89911785714286</v>
      </c>
      <c r="DL128">
        <v>30.02353571428571</v>
      </c>
      <c r="DM128">
        <v>999.9000000000002</v>
      </c>
      <c r="DN128">
        <v>0</v>
      </c>
      <c r="DO128">
        <v>0</v>
      </c>
      <c r="DP128">
        <v>10010.73821428572</v>
      </c>
      <c r="DQ128">
        <v>0</v>
      </c>
      <c r="DR128">
        <v>786.4844999999999</v>
      </c>
      <c r="DS128">
        <v>-87.82272142857143</v>
      </c>
      <c r="DT128">
        <v>1373.460714285714</v>
      </c>
      <c r="DU128">
        <v>1455.671071428571</v>
      </c>
      <c r="DV128">
        <v>5.230726428571429</v>
      </c>
      <c r="DW128">
        <v>1427.856071428572</v>
      </c>
      <c r="DX128">
        <v>19.10625</v>
      </c>
      <c r="DY128">
        <v>2.200121071428571</v>
      </c>
      <c r="DZ128">
        <v>1.727251785714285</v>
      </c>
      <c r="EA128">
        <v>18.96318214285714</v>
      </c>
      <c r="EB128">
        <v>15.14329642857143</v>
      </c>
      <c r="EC128">
        <v>1499.996428571429</v>
      </c>
      <c r="ED128">
        <v>0.9730076428571426</v>
      </c>
      <c r="EE128">
        <v>0.02699224642857144</v>
      </c>
      <c r="EF128">
        <v>0</v>
      </c>
      <c r="EG128">
        <v>1012.362142857143</v>
      </c>
      <c r="EH128">
        <v>5.00097</v>
      </c>
      <c r="EI128">
        <v>16356.87142857142</v>
      </c>
      <c r="EJ128">
        <v>12491.59642857143</v>
      </c>
      <c r="EK128">
        <v>39.50442857142857</v>
      </c>
      <c r="EL128">
        <v>41.06199999999999</v>
      </c>
      <c r="EM128">
        <v>39.75</v>
      </c>
      <c r="EN128">
        <v>40.875</v>
      </c>
      <c r="EO128">
        <v>40.68699999999999</v>
      </c>
      <c r="EP128">
        <v>1454.646428571428</v>
      </c>
      <c r="EQ128">
        <v>40.35</v>
      </c>
      <c r="ER128">
        <v>0</v>
      </c>
      <c r="ES128">
        <v>875.7999999523163</v>
      </c>
      <c r="ET128">
        <v>0</v>
      </c>
      <c r="EU128">
        <v>1012.447692307692</v>
      </c>
      <c r="EV128">
        <v>8.837606851201262</v>
      </c>
      <c r="EW128">
        <v>290.4957269265213</v>
      </c>
      <c r="EX128">
        <v>16361.34615384615</v>
      </c>
      <c r="EY128">
        <v>15</v>
      </c>
      <c r="EZ128">
        <v>1652371289.6</v>
      </c>
      <c r="FA128" t="s">
        <v>515</v>
      </c>
      <c r="FB128">
        <v>1652371289.6</v>
      </c>
      <c r="FC128">
        <v>1652371275.1</v>
      </c>
      <c r="FD128">
        <v>24</v>
      </c>
      <c r="FE128">
        <v>0.442</v>
      </c>
      <c r="FF128">
        <v>0.001</v>
      </c>
      <c r="FG128">
        <v>-2.63</v>
      </c>
      <c r="FH128">
        <v>0.007</v>
      </c>
      <c r="FI128">
        <v>1620</v>
      </c>
      <c r="FJ128">
        <v>22</v>
      </c>
      <c r="FK128">
        <v>0.08</v>
      </c>
      <c r="FL128">
        <v>0.04</v>
      </c>
      <c r="FM128">
        <v>-87.69435853658537</v>
      </c>
      <c r="FN128">
        <v>-1.623841544218071</v>
      </c>
      <c r="FO128">
        <v>0.3188876589215899</v>
      </c>
      <c r="FP128">
        <v>-1</v>
      </c>
      <c r="FQ128">
        <v>5.312543658536585</v>
      </c>
      <c r="FR128">
        <v>-1.330861890637679</v>
      </c>
      <c r="FS128">
        <v>0.1311123487097081</v>
      </c>
      <c r="FT128">
        <v>0</v>
      </c>
      <c r="FU128">
        <v>0</v>
      </c>
      <c r="FV128">
        <v>0</v>
      </c>
      <c r="FW128">
        <v>0</v>
      </c>
      <c r="FX128">
        <v>-1</v>
      </c>
      <c r="FY128">
        <v>0</v>
      </c>
      <c r="FZ128">
        <v>1</v>
      </c>
      <c r="GA128" t="s">
        <v>432</v>
      </c>
      <c r="GB128">
        <v>2.69594</v>
      </c>
      <c r="GC128">
        <v>2.70517</v>
      </c>
      <c r="GD128">
        <v>0.208499</v>
      </c>
      <c r="GE128">
        <v>0.2144</v>
      </c>
      <c r="GF128">
        <v>0.107257</v>
      </c>
      <c r="GG128">
        <v>0.0896299</v>
      </c>
      <c r="GH128">
        <v>24892.9</v>
      </c>
      <c r="GI128">
        <v>24814.5</v>
      </c>
      <c r="GJ128">
        <v>29258.8</v>
      </c>
      <c r="GK128">
        <v>29232.8</v>
      </c>
      <c r="GL128">
        <v>34583.7</v>
      </c>
      <c r="GM128">
        <v>35425</v>
      </c>
      <c r="GN128">
        <v>41180.9</v>
      </c>
      <c r="GO128">
        <v>41708.2</v>
      </c>
      <c r="GP128">
        <v>1.72257</v>
      </c>
      <c r="GQ128">
        <v>2.04207</v>
      </c>
      <c r="GR128">
        <v>0.07702779999999999</v>
      </c>
      <c r="GS128">
        <v>0</v>
      </c>
      <c r="GT128">
        <v>28.7349</v>
      </c>
      <c r="GU128">
        <v>999.9</v>
      </c>
      <c r="GV128">
        <v>44.9</v>
      </c>
      <c r="GW128">
        <v>32.9</v>
      </c>
      <c r="GX128">
        <v>24.952</v>
      </c>
      <c r="GY128">
        <v>63.3879</v>
      </c>
      <c r="GZ128">
        <v>29.2588</v>
      </c>
      <c r="HA128">
        <v>1</v>
      </c>
      <c r="HB128">
        <v>0.233478</v>
      </c>
      <c r="HC128">
        <v>0.576403</v>
      </c>
      <c r="HD128">
        <v>20.3806</v>
      </c>
      <c r="HE128">
        <v>5.21504</v>
      </c>
      <c r="HF128">
        <v>12.0099</v>
      </c>
      <c r="HG128">
        <v>4.98785</v>
      </c>
      <c r="HH128">
        <v>3.28815</v>
      </c>
      <c r="HI128">
        <v>2716.6</v>
      </c>
      <c r="HJ128">
        <v>9999</v>
      </c>
      <c r="HK128">
        <v>9999</v>
      </c>
      <c r="HL128">
        <v>50</v>
      </c>
      <c r="HM128">
        <v>1.86722</v>
      </c>
      <c r="HN128">
        <v>1.86616</v>
      </c>
      <c r="HO128">
        <v>1.86576</v>
      </c>
      <c r="HP128">
        <v>1.86568</v>
      </c>
      <c r="HQ128">
        <v>1.86744</v>
      </c>
      <c r="HR128">
        <v>1.86998</v>
      </c>
      <c r="HS128">
        <v>1.86864</v>
      </c>
      <c r="HT128">
        <v>1.86998</v>
      </c>
      <c r="HU128">
        <v>0</v>
      </c>
      <c r="HV128">
        <v>0</v>
      </c>
      <c r="HW128">
        <v>0</v>
      </c>
      <c r="HX128">
        <v>0</v>
      </c>
      <c r="HY128" t="s">
        <v>421</v>
      </c>
      <c r="HZ128" t="s">
        <v>422</v>
      </c>
      <c r="IA128" t="s">
        <v>423</v>
      </c>
      <c r="IB128" t="s">
        <v>423</v>
      </c>
      <c r="IC128" t="s">
        <v>423</v>
      </c>
      <c r="ID128" t="s">
        <v>423</v>
      </c>
      <c r="IE128">
        <v>0</v>
      </c>
      <c r="IF128">
        <v>100</v>
      </c>
      <c r="IG128">
        <v>100</v>
      </c>
      <c r="IH128">
        <v>-2</v>
      </c>
      <c r="II128">
        <v>0.0421</v>
      </c>
      <c r="IJ128">
        <v>1.257309091789605</v>
      </c>
      <c r="IK128">
        <v>-0.002185601614162945</v>
      </c>
      <c r="IL128">
        <v>-2.252308143750626E-07</v>
      </c>
      <c r="IM128">
        <v>5.915558436307541E-11</v>
      </c>
      <c r="IN128">
        <v>-0.118683452207699</v>
      </c>
      <c r="IO128">
        <v>-0.007570214193104963</v>
      </c>
      <c r="IP128">
        <v>0.0009214429922928372</v>
      </c>
      <c r="IQ128">
        <v>-1.392260276065805E-05</v>
      </c>
      <c r="IR128">
        <v>17</v>
      </c>
      <c r="IS128">
        <v>2272</v>
      </c>
      <c r="IT128">
        <v>1</v>
      </c>
      <c r="IU128">
        <v>31</v>
      </c>
      <c r="IV128">
        <v>12.5</v>
      </c>
      <c r="IW128">
        <v>12.8</v>
      </c>
      <c r="IX128">
        <v>2.84424</v>
      </c>
      <c r="IY128">
        <v>2.1936</v>
      </c>
      <c r="IZ128">
        <v>1.39648</v>
      </c>
      <c r="JA128">
        <v>2.35352</v>
      </c>
      <c r="JB128">
        <v>1.49536</v>
      </c>
      <c r="JC128">
        <v>2.31689</v>
      </c>
      <c r="JD128">
        <v>36.4107</v>
      </c>
      <c r="JE128">
        <v>15.3316</v>
      </c>
      <c r="JF128">
        <v>18</v>
      </c>
      <c r="JG128">
        <v>386.055</v>
      </c>
      <c r="JH128">
        <v>573.651</v>
      </c>
      <c r="JI128">
        <v>29.0254</v>
      </c>
      <c r="JJ128">
        <v>30.4827</v>
      </c>
      <c r="JK128">
        <v>29.9998</v>
      </c>
      <c r="JL128">
        <v>30.408</v>
      </c>
      <c r="JM128">
        <v>30.3085</v>
      </c>
      <c r="JN128">
        <v>56.9038</v>
      </c>
      <c r="JO128">
        <v>24.7813</v>
      </c>
      <c r="JP128">
        <v>0</v>
      </c>
      <c r="JQ128">
        <v>29.0295</v>
      </c>
      <c r="JR128">
        <v>1470.19</v>
      </c>
      <c r="JS128">
        <v>19.3706</v>
      </c>
      <c r="JT128">
        <v>100.009</v>
      </c>
      <c r="JU128">
        <v>100.119</v>
      </c>
    </row>
    <row r="129" spans="1:281">
      <c r="A129">
        <v>113</v>
      </c>
      <c r="B129">
        <v>1652372046.5</v>
      </c>
      <c r="C129">
        <v>3952.900000095367</v>
      </c>
      <c r="D129" t="s">
        <v>693</v>
      </c>
      <c r="E129" t="s">
        <v>694</v>
      </c>
      <c r="F129">
        <v>5</v>
      </c>
      <c r="G129" t="s">
        <v>518</v>
      </c>
      <c r="H129" t="s">
        <v>414</v>
      </c>
      <c r="I129">
        <v>1652372038.746429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1486.749596186036</v>
      </c>
      <c r="AK129">
        <v>1415.432484848485</v>
      </c>
      <c r="AL129">
        <v>3.446312227291582</v>
      </c>
      <c r="AM129">
        <v>65.95105977519088</v>
      </c>
      <c r="AN129">
        <f>(AP129 - AO129 + DI129*1E3/(8.314*(DK129+273.15)) * AR129/DH129 * AQ129) * DH129/(100*CV129) * 1000/(1000 - AP129)</f>
        <v>0</v>
      </c>
      <c r="AO129">
        <v>19.28599554329159</v>
      </c>
      <c r="AP129">
        <v>24.38670069930069</v>
      </c>
      <c r="AQ129">
        <v>0.00173094947938301</v>
      </c>
      <c r="AR129">
        <v>81.26040297655408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417</v>
      </c>
      <c r="AY129" t="s">
        <v>417</v>
      </c>
      <c r="AZ129">
        <v>0</v>
      </c>
      <c r="BA129">
        <v>0</v>
      </c>
      <c r="BB129">
        <f>1-AZ129/BA129</f>
        <v>0</v>
      </c>
      <c r="BC129">
        <v>0</v>
      </c>
      <c r="BD129" t="s">
        <v>417</v>
      </c>
      <c r="BE129" t="s">
        <v>417</v>
      </c>
      <c r="BF129">
        <v>0</v>
      </c>
      <c r="BG129">
        <v>0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417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1393</v>
      </c>
      <c r="CA129">
        <v>300</v>
      </c>
      <c r="CB129">
        <v>300</v>
      </c>
      <c r="CC129">
        <v>300</v>
      </c>
      <c r="CD129">
        <v>10378</v>
      </c>
      <c r="CE129">
        <v>2050</v>
      </c>
      <c r="CF129">
        <v>-0.00730649</v>
      </c>
      <c r="CG129">
        <v>-4.53</v>
      </c>
      <c r="CH129" t="s">
        <v>417</v>
      </c>
      <c r="CI129" t="s">
        <v>417</v>
      </c>
      <c r="CJ129" t="s">
        <v>417</v>
      </c>
      <c r="CK129" t="s">
        <v>417</v>
      </c>
      <c r="CL129" t="s">
        <v>417</v>
      </c>
      <c r="CM129" t="s">
        <v>417</v>
      </c>
      <c r="CN129" t="s">
        <v>417</v>
      </c>
      <c r="CO129" t="s">
        <v>417</v>
      </c>
      <c r="CP129" t="s">
        <v>417</v>
      </c>
      <c r="CQ129" t="s">
        <v>417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418</v>
      </c>
      <c r="CY129">
        <v>2</v>
      </c>
      <c r="CZ129" t="b">
        <v>1</v>
      </c>
      <c r="DA129">
        <v>1652372038.746429</v>
      </c>
      <c r="DB129">
        <v>1356.656071428572</v>
      </c>
      <c r="DC129">
        <v>1444.700714285714</v>
      </c>
      <c r="DD129">
        <v>24.36013214285714</v>
      </c>
      <c r="DE129">
        <v>19.21366785714286</v>
      </c>
      <c r="DF129">
        <v>1358.635357142857</v>
      </c>
      <c r="DG129">
        <v>24.31821428571429</v>
      </c>
      <c r="DH129">
        <v>400.0777857142857</v>
      </c>
      <c r="DI129">
        <v>90.40176785714287</v>
      </c>
      <c r="DJ129">
        <v>0.1000081142857143</v>
      </c>
      <c r="DK129">
        <v>30.88223214285714</v>
      </c>
      <c r="DL129">
        <v>30.00865</v>
      </c>
      <c r="DM129">
        <v>999.9000000000002</v>
      </c>
      <c r="DN129">
        <v>0</v>
      </c>
      <c r="DO129">
        <v>0</v>
      </c>
      <c r="DP129">
        <v>10005.87321428571</v>
      </c>
      <c r="DQ129">
        <v>0</v>
      </c>
      <c r="DR129">
        <v>816.1082142857142</v>
      </c>
      <c r="DS129">
        <v>-88.04523928571429</v>
      </c>
      <c r="DT129">
        <v>1390.529285714286</v>
      </c>
      <c r="DU129">
        <v>1473.004285714286</v>
      </c>
      <c r="DV129">
        <v>5.146460357142858</v>
      </c>
      <c r="DW129">
        <v>1444.700714285714</v>
      </c>
      <c r="DX129">
        <v>19.21366785714286</v>
      </c>
      <c r="DY129">
        <v>2.202199285714286</v>
      </c>
      <c r="DZ129">
        <v>1.736951071428571</v>
      </c>
      <c r="EA129">
        <v>18.97831071428572</v>
      </c>
      <c r="EB129">
        <v>15.23051428571429</v>
      </c>
      <c r="EC129">
        <v>1499.994285714286</v>
      </c>
      <c r="ED129">
        <v>0.9730074285714283</v>
      </c>
      <c r="EE129">
        <v>0.02699243571428572</v>
      </c>
      <c r="EF129">
        <v>0</v>
      </c>
      <c r="EG129">
        <v>1013.075</v>
      </c>
      <c r="EH129">
        <v>5.00097</v>
      </c>
      <c r="EI129">
        <v>16384.24285714285</v>
      </c>
      <c r="EJ129">
        <v>12491.58214285714</v>
      </c>
      <c r="EK129">
        <v>39.50221428571428</v>
      </c>
      <c r="EL129">
        <v>41.06874999999999</v>
      </c>
      <c r="EM129">
        <v>39.75</v>
      </c>
      <c r="EN129">
        <v>40.8705</v>
      </c>
      <c r="EO129">
        <v>40.68699999999999</v>
      </c>
      <c r="EP129">
        <v>1454.643928571428</v>
      </c>
      <c r="EQ129">
        <v>40.35</v>
      </c>
      <c r="ER129">
        <v>0</v>
      </c>
      <c r="ES129">
        <v>880.5999999046326</v>
      </c>
      <c r="ET129">
        <v>0</v>
      </c>
      <c r="EU129">
        <v>1013.176153846154</v>
      </c>
      <c r="EV129">
        <v>11.32170938665582</v>
      </c>
      <c r="EW129">
        <v>585.4017085964889</v>
      </c>
      <c r="EX129">
        <v>16387.44615384615</v>
      </c>
      <c r="EY129">
        <v>15</v>
      </c>
      <c r="EZ129">
        <v>1652371289.6</v>
      </c>
      <c r="FA129" t="s">
        <v>515</v>
      </c>
      <c r="FB129">
        <v>1652371289.6</v>
      </c>
      <c r="FC129">
        <v>1652371275.1</v>
      </c>
      <c r="FD129">
        <v>24</v>
      </c>
      <c r="FE129">
        <v>0.442</v>
      </c>
      <c r="FF129">
        <v>0.001</v>
      </c>
      <c r="FG129">
        <v>-2.63</v>
      </c>
      <c r="FH129">
        <v>0.007</v>
      </c>
      <c r="FI129">
        <v>1620</v>
      </c>
      <c r="FJ129">
        <v>22</v>
      </c>
      <c r="FK129">
        <v>0.08</v>
      </c>
      <c r="FL129">
        <v>0.04</v>
      </c>
      <c r="FM129">
        <v>-87.87269512195122</v>
      </c>
      <c r="FN129">
        <v>-3.123683184491505</v>
      </c>
      <c r="FO129">
        <v>0.4414383176264688</v>
      </c>
      <c r="FP129">
        <v>-1</v>
      </c>
      <c r="FQ129">
        <v>5.204538048780488</v>
      </c>
      <c r="FR129">
        <v>-1.062963874389438</v>
      </c>
      <c r="FS129">
        <v>0.1053326167773703</v>
      </c>
      <c r="FT129">
        <v>0</v>
      </c>
      <c r="FU129">
        <v>0</v>
      </c>
      <c r="FV129">
        <v>0</v>
      </c>
      <c r="FW129">
        <v>0</v>
      </c>
      <c r="FX129">
        <v>-1</v>
      </c>
      <c r="FY129">
        <v>0</v>
      </c>
      <c r="FZ129">
        <v>1</v>
      </c>
      <c r="GA129" t="s">
        <v>432</v>
      </c>
      <c r="GB129">
        <v>2.69617</v>
      </c>
      <c r="GC129">
        <v>2.70523</v>
      </c>
      <c r="GD129">
        <v>0.210067</v>
      </c>
      <c r="GE129">
        <v>0.215816</v>
      </c>
      <c r="GF129">
        <v>0.107296</v>
      </c>
      <c r="GG129">
        <v>0.08974699999999999</v>
      </c>
      <c r="GH129">
        <v>24844.2</v>
      </c>
      <c r="GI129">
        <v>24769.8</v>
      </c>
      <c r="GJ129">
        <v>29259.5</v>
      </c>
      <c r="GK129">
        <v>29233</v>
      </c>
      <c r="GL129">
        <v>34582.7</v>
      </c>
      <c r="GM129">
        <v>35420.5</v>
      </c>
      <c r="GN129">
        <v>41181.5</v>
      </c>
      <c r="GO129">
        <v>41708.3</v>
      </c>
      <c r="GP129">
        <v>1.72292</v>
      </c>
      <c r="GQ129">
        <v>2.04212</v>
      </c>
      <c r="GR129">
        <v>0.0769943</v>
      </c>
      <c r="GS129">
        <v>0</v>
      </c>
      <c r="GT129">
        <v>28.7304</v>
      </c>
      <c r="GU129">
        <v>999.9</v>
      </c>
      <c r="GV129">
        <v>44.9</v>
      </c>
      <c r="GW129">
        <v>32.9</v>
      </c>
      <c r="GX129">
        <v>24.9544</v>
      </c>
      <c r="GY129">
        <v>63.4579</v>
      </c>
      <c r="GZ129">
        <v>29.0345</v>
      </c>
      <c r="HA129">
        <v>1</v>
      </c>
      <c r="HB129">
        <v>0.233491</v>
      </c>
      <c r="HC129">
        <v>-0.65329</v>
      </c>
      <c r="HD129">
        <v>20.3776</v>
      </c>
      <c r="HE129">
        <v>5.21594</v>
      </c>
      <c r="HF129">
        <v>12.0099</v>
      </c>
      <c r="HG129">
        <v>4.9879</v>
      </c>
      <c r="HH129">
        <v>3.28838</v>
      </c>
      <c r="HI129">
        <v>2716.8</v>
      </c>
      <c r="HJ129">
        <v>9999</v>
      </c>
      <c r="HK129">
        <v>9999</v>
      </c>
      <c r="HL129">
        <v>50</v>
      </c>
      <c r="HM129">
        <v>1.86721</v>
      </c>
      <c r="HN129">
        <v>1.86615</v>
      </c>
      <c r="HO129">
        <v>1.86575</v>
      </c>
      <c r="HP129">
        <v>1.86568</v>
      </c>
      <c r="HQ129">
        <v>1.86746</v>
      </c>
      <c r="HR129">
        <v>1.86996</v>
      </c>
      <c r="HS129">
        <v>1.86864</v>
      </c>
      <c r="HT129">
        <v>1.86997</v>
      </c>
      <c r="HU129">
        <v>0</v>
      </c>
      <c r="HV129">
        <v>0</v>
      </c>
      <c r="HW129">
        <v>0</v>
      </c>
      <c r="HX129">
        <v>0</v>
      </c>
      <c r="HY129" t="s">
        <v>421</v>
      </c>
      <c r="HZ129" t="s">
        <v>422</v>
      </c>
      <c r="IA129" t="s">
        <v>423</v>
      </c>
      <c r="IB129" t="s">
        <v>423</v>
      </c>
      <c r="IC129" t="s">
        <v>423</v>
      </c>
      <c r="ID129" t="s">
        <v>423</v>
      </c>
      <c r="IE129">
        <v>0</v>
      </c>
      <c r="IF129">
        <v>100</v>
      </c>
      <c r="IG129">
        <v>100</v>
      </c>
      <c r="IH129">
        <v>-2.05</v>
      </c>
      <c r="II129">
        <v>0.0422</v>
      </c>
      <c r="IJ129">
        <v>1.257309091789605</v>
      </c>
      <c r="IK129">
        <v>-0.002185601614162945</v>
      </c>
      <c r="IL129">
        <v>-2.252308143750626E-07</v>
      </c>
      <c r="IM129">
        <v>5.915558436307541E-11</v>
      </c>
      <c r="IN129">
        <v>-0.118683452207699</v>
      </c>
      <c r="IO129">
        <v>-0.007570214193104963</v>
      </c>
      <c r="IP129">
        <v>0.0009214429922928372</v>
      </c>
      <c r="IQ129">
        <v>-1.392260276065805E-05</v>
      </c>
      <c r="IR129">
        <v>17</v>
      </c>
      <c r="IS129">
        <v>2272</v>
      </c>
      <c r="IT129">
        <v>1</v>
      </c>
      <c r="IU129">
        <v>31</v>
      </c>
      <c r="IV129">
        <v>12.6</v>
      </c>
      <c r="IW129">
        <v>12.9</v>
      </c>
      <c r="IX129">
        <v>2.87231</v>
      </c>
      <c r="IY129">
        <v>2.19727</v>
      </c>
      <c r="IZ129">
        <v>1.39648</v>
      </c>
      <c r="JA129">
        <v>2.35352</v>
      </c>
      <c r="JB129">
        <v>1.49536</v>
      </c>
      <c r="JC129">
        <v>2.28149</v>
      </c>
      <c r="JD129">
        <v>36.4107</v>
      </c>
      <c r="JE129">
        <v>15.3228</v>
      </c>
      <c r="JF129">
        <v>18</v>
      </c>
      <c r="JG129">
        <v>386.236</v>
      </c>
      <c r="JH129">
        <v>573.6799999999999</v>
      </c>
      <c r="JI129">
        <v>29.0614</v>
      </c>
      <c r="JJ129">
        <v>30.48</v>
      </c>
      <c r="JK129">
        <v>29.9999</v>
      </c>
      <c r="JL129">
        <v>30.4072</v>
      </c>
      <c r="JM129">
        <v>30.3077</v>
      </c>
      <c r="JN129">
        <v>57.4779</v>
      </c>
      <c r="JO129">
        <v>24.4665</v>
      </c>
      <c r="JP129">
        <v>0</v>
      </c>
      <c r="JQ129">
        <v>29.4241</v>
      </c>
      <c r="JR129">
        <v>1490.23</v>
      </c>
      <c r="JS129">
        <v>19.4571</v>
      </c>
      <c r="JT129">
        <v>100.011</v>
      </c>
      <c r="JU129">
        <v>100.119</v>
      </c>
    </row>
    <row r="130" spans="1:281">
      <c r="A130">
        <v>114</v>
      </c>
      <c r="B130">
        <v>1652372051.5</v>
      </c>
      <c r="C130">
        <v>3957.900000095367</v>
      </c>
      <c r="D130" t="s">
        <v>695</v>
      </c>
      <c r="E130" t="s">
        <v>696</v>
      </c>
      <c r="F130">
        <v>5</v>
      </c>
      <c r="G130" t="s">
        <v>518</v>
      </c>
      <c r="H130" t="s">
        <v>414</v>
      </c>
      <c r="I130">
        <v>1652372043.717857</v>
      </c>
      <c r="J130">
        <f>(K130)/1000</f>
        <v>0</v>
      </c>
      <c r="K130">
        <f>IF(CZ130, AN130, AH130)</f>
        <v>0</v>
      </c>
      <c r="L130">
        <f>IF(CZ130, AI130, AG130)</f>
        <v>0</v>
      </c>
      <c r="M130">
        <f>DB130 - IF(AU130&gt;1, L130*CV130*100.0/(AW130*DP130), 0)</f>
        <v>0</v>
      </c>
      <c r="N130">
        <f>((T130-J130/2)*M130-L130)/(T130+J130/2)</f>
        <v>0</v>
      </c>
      <c r="O130">
        <f>N130*(DI130+DJ130)/1000.0</f>
        <v>0</v>
      </c>
      <c r="P130">
        <f>(DB130 - IF(AU130&gt;1, L130*CV130*100.0/(AW130*DP130), 0))*(DI130+DJ130)/1000.0</f>
        <v>0</v>
      </c>
      <c r="Q130">
        <f>2.0/((1/S130-1/R130)+SIGN(S130)*SQRT((1/S130-1/R130)*(1/S130-1/R130) + 4*CW130/((CW130+1)*(CW130+1))*(2*1/S130*1/R130-1/R130*1/R130)))</f>
        <v>0</v>
      </c>
      <c r="R130">
        <f>IF(LEFT(CX130,1)&lt;&gt;"0",IF(LEFT(CX130,1)="1",3.0,CY130),$D$5+$E$5*(DP130*DI130/($K$5*1000))+$F$5*(DP130*DI130/($K$5*1000))*MAX(MIN(CV130,$J$5),$I$5)*MAX(MIN(CV130,$J$5),$I$5)+$G$5*MAX(MIN(CV130,$J$5),$I$5)*(DP130*DI130/($K$5*1000))+$H$5*(DP130*DI130/($K$5*1000))*(DP130*DI130/($K$5*1000)))</f>
        <v>0</v>
      </c>
      <c r="S130">
        <f>J130*(1000-(1000*0.61365*exp(17.502*W130/(240.97+W130))/(DI130+DJ130)+DD130)/2)/(1000*0.61365*exp(17.502*W130/(240.97+W130))/(DI130+DJ130)-DD130)</f>
        <v>0</v>
      </c>
      <c r="T130">
        <f>1/((CW130+1)/(Q130/1.6)+1/(R130/1.37)) + CW130/((CW130+1)/(Q130/1.6) + CW130/(R130/1.37))</f>
        <v>0</v>
      </c>
      <c r="U130">
        <f>(CR130*CU130)</f>
        <v>0</v>
      </c>
      <c r="V130">
        <f>(DK130+(U130+2*0.95*5.67E-8*(((DK130+$B$7)+273)^4-(DK130+273)^4)-44100*J130)/(1.84*29.3*R130+8*0.95*5.67E-8*(DK130+273)^3))</f>
        <v>0</v>
      </c>
      <c r="W130">
        <f>($C$7*DL130+$D$7*DM130+$E$7*V130)</f>
        <v>0</v>
      </c>
      <c r="X130">
        <f>0.61365*exp(17.502*W130/(240.97+W130))</f>
        <v>0</v>
      </c>
      <c r="Y130">
        <f>(Z130/AA130*100)</f>
        <v>0</v>
      </c>
      <c r="Z130">
        <f>DD130*(DI130+DJ130)/1000</f>
        <v>0</v>
      </c>
      <c r="AA130">
        <f>0.61365*exp(17.502*DK130/(240.97+DK130))</f>
        <v>0</v>
      </c>
      <c r="AB130">
        <f>(X130-DD130*(DI130+DJ130)/1000)</f>
        <v>0</v>
      </c>
      <c r="AC130">
        <f>(-J130*44100)</f>
        <v>0</v>
      </c>
      <c r="AD130">
        <f>2*29.3*R130*0.92*(DK130-W130)</f>
        <v>0</v>
      </c>
      <c r="AE130">
        <f>2*0.95*5.67E-8*(((DK130+$B$7)+273)^4-(W130+273)^4)</f>
        <v>0</v>
      </c>
      <c r="AF130">
        <f>U130+AE130+AC130+AD130</f>
        <v>0</v>
      </c>
      <c r="AG130">
        <f>DH130*AU130*(DC130-DB130*(1000-AU130*DE130)/(1000-AU130*DD130))/(100*CV130)</f>
        <v>0</v>
      </c>
      <c r="AH130">
        <f>1000*DH130*AU130*(DD130-DE130)/(100*CV130*(1000-AU130*DD130))</f>
        <v>0</v>
      </c>
      <c r="AI130">
        <f>(AJ130 - AK130 - DI130*1E3/(8.314*(DK130+273.15)) * AM130/DH130 * AL130) * DH130/(100*CV130) * (1000 - DE130)/1000</f>
        <v>0</v>
      </c>
      <c r="AJ130">
        <v>1503.224640095742</v>
      </c>
      <c r="AK130">
        <v>1432.071999999999</v>
      </c>
      <c r="AL130">
        <v>3.320494743826948</v>
      </c>
      <c r="AM130">
        <v>65.95105977519088</v>
      </c>
      <c r="AN130">
        <f>(AP130 - AO130 + DI130*1E3/(8.314*(DK130+273.15)) * AR130/DH130 * AQ130) * DH130/(100*CV130) * 1000/(1000 - AP130)</f>
        <v>0</v>
      </c>
      <c r="AO130">
        <v>19.3217366180952</v>
      </c>
      <c r="AP130">
        <v>24.38205454545455</v>
      </c>
      <c r="AQ130">
        <v>-0.0002353737199543893</v>
      </c>
      <c r="AR130">
        <v>81.26040297655408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MAX(0,($B$13+$C$13*DP130)/(1+$D$13*DP130)*DI130/(DK130+273)*$E$13)</f>
        <v>0</v>
      </c>
      <c r="AX130" t="s">
        <v>417</v>
      </c>
      <c r="AY130" t="s">
        <v>417</v>
      </c>
      <c r="AZ130">
        <v>0</v>
      </c>
      <c r="BA130">
        <v>0</v>
      </c>
      <c r="BB130">
        <f>1-AZ130/BA130</f>
        <v>0</v>
      </c>
      <c r="BC130">
        <v>0</v>
      </c>
      <c r="BD130" t="s">
        <v>417</v>
      </c>
      <c r="BE130" t="s">
        <v>417</v>
      </c>
      <c r="BF130">
        <v>0</v>
      </c>
      <c r="BG130">
        <v>0</v>
      </c>
      <c r="BH130">
        <f>1-BF130/BG130</f>
        <v>0</v>
      </c>
      <c r="BI130">
        <v>0.5</v>
      </c>
      <c r="BJ130">
        <f>CS130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417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1393</v>
      </c>
      <c r="CA130">
        <v>300</v>
      </c>
      <c r="CB130">
        <v>300</v>
      </c>
      <c r="CC130">
        <v>300</v>
      </c>
      <c r="CD130">
        <v>10378</v>
      </c>
      <c r="CE130">
        <v>2050</v>
      </c>
      <c r="CF130">
        <v>-0.00730649</v>
      </c>
      <c r="CG130">
        <v>-4.53</v>
      </c>
      <c r="CH130" t="s">
        <v>417</v>
      </c>
      <c r="CI130" t="s">
        <v>417</v>
      </c>
      <c r="CJ130" t="s">
        <v>417</v>
      </c>
      <c r="CK130" t="s">
        <v>417</v>
      </c>
      <c r="CL130" t="s">
        <v>417</v>
      </c>
      <c r="CM130" t="s">
        <v>417</v>
      </c>
      <c r="CN130" t="s">
        <v>417</v>
      </c>
      <c r="CO130" t="s">
        <v>417</v>
      </c>
      <c r="CP130" t="s">
        <v>417</v>
      </c>
      <c r="CQ130" t="s">
        <v>417</v>
      </c>
      <c r="CR130">
        <f>$B$11*DQ130+$C$11*DR130+$F$11*EC130*(1-EF130)</f>
        <v>0</v>
      </c>
      <c r="CS130">
        <f>CR130*CT130</f>
        <v>0</v>
      </c>
      <c r="CT130">
        <f>($B$11*$D$9+$C$11*$D$9+$F$11*((EP130+EH130)/MAX(EP130+EH130+EQ130, 0.1)*$I$9+EQ130/MAX(EP130+EH130+EQ130, 0.1)*$J$9))/($B$11+$C$11+$F$11)</f>
        <v>0</v>
      </c>
      <c r="CU130">
        <f>($B$11*$K$9+$C$11*$K$9+$F$11*((EP130+EH130)/MAX(EP130+EH130+EQ130, 0.1)*$P$9+EQ130/MAX(EP130+EH130+EQ130, 0.1)*$Q$9))/($B$11+$C$11+$F$11)</f>
        <v>0</v>
      </c>
      <c r="CV130">
        <v>6</v>
      </c>
      <c r="CW130">
        <v>0.5</v>
      </c>
      <c r="CX130" t="s">
        <v>418</v>
      </c>
      <c r="CY130">
        <v>2</v>
      </c>
      <c r="CZ130" t="b">
        <v>1</v>
      </c>
      <c r="DA130">
        <v>1652372043.717857</v>
      </c>
      <c r="DB130">
        <v>1373.223571428572</v>
      </c>
      <c r="DC130">
        <v>1461.389642857143</v>
      </c>
      <c r="DD130">
        <v>24.37561071428572</v>
      </c>
      <c r="DE130">
        <v>19.29673214285714</v>
      </c>
      <c r="DF130">
        <v>1375.243571428572</v>
      </c>
      <c r="DG130">
        <v>24.3335</v>
      </c>
      <c r="DH130">
        <v>400.0577857142858</v>
      </c>
      <c r="DI130">
        <v>90.40158214285714</v>
      </c>
      <c r="DJ130">
        <v>0.09996908214285714</v>
      </c>
      <c r="DK130">
        <v>30.86840357142857</v>
      </c>
      <c r="DL130">
        <v>29.99377857142857</v>
      </c>
      <c r="DM130">
        <v>999.9000000000002</v>
      </c>
      <c r="DN130">
        <v>0</v>
      </c>
      <c r="DO130">
        <v>0</v>
      </c>
      <c r="DP130">
        <v>10009.68964285715</v>
      </c>
      <c r="DQ130">
        <v>0</v>
      </c>
      <c r="DR130">
        <v>841.8235000000002</v>
      </c>
      <c r="DS130">
        <v>-88.16711428571429</v>
      </c>
      <c r="DT130">
        <v>1407.532857142857</v>
      </c>
      <c r="DU130">
        <v>1490.146785714286</v>
      </c>
      <c r="DV130">
        <v>5.0788825</v>
      </c>
      <c r="DW130">
        <v>1461.389642857143</v>
      </c>
      <c r="DX130">
        <v>19.29673214285714</v>
      </c>
      <c r="DY130">
        <v>2.203594285714286</v>
      </c>
      <c r="DZ130">
        <v>1.744456428571429</v>
      </c>
      <c r="EA130">
        <v>18.98846428571429</v>
      </c>
      <c r="EB130">
        <v>15.29770357142857</v>
      </c>
      <c r="EC130">
        <v>1500.001785714286</v>
      </c>
      <c r="ED130">
        <v>0.9730074285714283</v>
      </c>
      <c r="EE130">
        <v>0.02699242142857144</v>
      </c>
      <c r="EF130">
        <v>0</v>
      </c>
      <c r="EG130">
        <v>1014.108928571429</v>
      </c>
      <c r="EH130">
        <v>5.00097</v>
      </c>
      <c r="EI130">
        <v>16428.625</v>
      </c>
      <c r="EJ130">
        <v>12491.65357142857</v>
      </c>
      <c r="EK130">
        <v>39.5</v>
      </c>
      <c r="EL130">
        <v>41.06874999999999</v>
      </c>
      <c r="EM130">
        <v>39.75</v>
      </c>
      <c r="EN130">
        <v>40.8705</v>
      </c>
      <c r="EO130">
        <v>40.68699999999999</v>
      </c>
      <c r="EP130">
        <v>1454.649642857142</v>
      </c>
      <c r="EQ130">
        <v>40.35</v>
      </c>
      <c r="ER130">
        <v>0</v>
      </c>
      <c r="ES130">
        <v>885.3999998569489</v>
      </c>
      <c r="ET130">
        <v>0</v>
      </c>
      <c r="EU130">
        <v>1014.191153846154</v>
      </c>
      <c r="EV130">
        <v>13.03623931580255</v>
      </c>
      <c r="EW130">
        <v>482.9777783443968</v>
      </c>
      <c r="EX130">
        <v>16429.93461538462</v>
      </c>
      <c r="EY130">
        <v>15</v>
      </c>
      <c r="EZ130">
        <v>1652371289.6</v>
      </c>
      <c r="FA130" t="s">
        <v>515</v>
      </c>
      <c r="FB130">
        <v>1652371289.6</v>
      </c>
      <c r="FC130">
        <v>1652371275.1</v>
      </c>
      <c r="FD130">
        <v>24</v>
      </c>
      <c r="FE130">
        <v>0.442</v>
      </c>
      <c r="FF130">
        <v>0.001</v>
      </c>
      <c r="FG130">
        <v>-2.63</v>
      </c>
      <c r="FH130">
        <v>0.007</v>
      </c>
      <c r="FI130">
        <v>1620</v>
      </c>
      <c r="FJ130">
        <v>22</v>
      </c>
      <c r="FK130">
        <v>0.08</v>
      </c>
      <c r="FL130">
        <v>0.04</v>
      </c>
      <c r="FM130">
        <v>-88.08704878048781</v>
      </c>
      <c r="FN130">
        <v>-1.422238046822547</v>
      </c>
      <c r="FO130">
        <v>0.3651468986866301</v>
      </c>
      <c r="FP130">
        <v>-1</v>
      </c>
      <c r="FQ130">
        <v>5.126372926829268</v>
      </c>
      <c r="FR130">
        <v>-0.8103744411988585</v>
      </c>
      <c r="FS130">
        <v>0.08087075896050624</v>
      </c>
      <c r="FT130">
        <v>0</v>
      </c>
      <c r="FU130">
        <v>0</v>
      </c>
      <c r="FV130">
        <v>0</v>
      </c>
      <c r="FW130">
        <v>0</v>
      </c>
      <c r="FX130">
        <v>-1</v>
      </c>
      <c r="FY130">
        <v>0</v>
      </c>
      <c r="FZ130">
        <v>1</v>
      </c>
      <c r="GA130" t="s">
        <v>432</v>
      </c>
      <c r="GB130">
        <v>2.69614</v>
      </c>
      <c r="GC130">
        <v>2.70524</v>
      </c>
      <c r="GD130">
        <v>0.211584</v>
      </c>
      <c r="GE130">
        <v>0.217391</v>
      </c>
      <c r="GF130">
        <v>0.107288</v>
      </c>
      <c r="GG130">
        <v>0.09005920000000001</v>
      </c>
      <c r="GH130">
        <v>24796</v>
      </c>
      <c r="GI130">
        <v>24720</v>
      </c>
      <c r="GJ130">
        <v>29259</v>
      </c>
      <c r="GK130">
        <v>29233</v>
      </c>
      <c r="GL130">
        <v>34582.7</v>
      </c>
      <c r="GM130">
        <v>35408.4</v>
      </c>
      <c r="GN130">
        <v>41181</v>
      </c>
      <c r="GO130">
        <v>41708.5</v>
      </c>
      <c r="GP130">
        <v>1.7229</v>
      </c>
      <c r="GQ130">
        <v>2.04238</v>
      </c>
      <c r="GR130">
        <v>0.0769012</v>
      </c>
      <c r="GS130">
        <v>0</v>
      </c>
      <c r="GT130">
        <v>28.7268</v>
      </c>
      <c r="GU130">
        <v>999.9</v>
      </c>
      <c r="GV130">
        <v>44.9</v>
      </c>
      <c r="GW130">
        <v>32.9</v>
      </c>
      <c r="GX130">
        <v>24.9524</v>
      </c>
      <c r="GY130">
        <v>63.0479</v>
      </c>
      <c r="GZ130">
        <v>28.738</v>
      </c>
      <c r="HA130">
        <v>1</v>
      </c>
      <c r="HB130">
        <v>0.232462</v>
      </c>
      <c r="HC130">
        <v>-0.489109</v>
      </c>
      <c r="HD130">
        <v>20.3807</v>
      </c>
      <c r="HE130">
        <v>5.21579</v>
      </c>
      <c r="HF130">
        <v>12.0099</v>
      </c>
      <c r="HG130">
        <v>4.98805</v>
      </c>
      <c r="HH130">
        <v>3.28838</v>
      </c>
      <c r="HI130">
        <v>2716.8</v>
      </c>
      <c r="HJ130">
        <v>9999</v>
      </c>
      <c r="HK130">
        <v>9999</v>
      </c>
      <c r="HL130">
        <v>50</v>
      </c>
      <c r="HM130">
        <v>1.86722</v>
      </c>
      <c r="HN130">
        <v>1.86616</v>
      </c>
      <c r="HO130">
        <v>1.86576</v>
      </c>
      <c r="HP130">
        <v>1.86568</v>
      </c>
      <c r="HQ130">
        <v>1.86744</v>
      </c>
      <c r="HR130">
        <v>1.86997</v>
      </c>
      <c r="HS130">
        <v>1.86863</v>
      </c>
      <c r="HT130">
        <v>1.86998</v>
      </c>
      <c r="HU130">
        <v>0</v>
      </c>
      <c r="HV130">
        <v>0</v>
      </c>
      <c r="HW130">
        <v>0</v>
      </c>
      <c r="HX130">
        <v>0</v>
      </c>
      <c r="HY130" t="s">
        <v>421</v>
      </c>
      <c r="HZ130" t="s">
        <v>422</v>
      </c>
      <c r="IA130" t="s">
        <v>423</v>
      </c>
      <c r="IB130" t="s">
        <v>423</v>
      </c>
      <c r="IC130" t="s">
        <v>423</v>
      </c>
      <c r="ID130" t="s">
        <v>423</v>
      </c>
      <c r="IE130">
        <v>0</v>
      </c>
      <c r="IF130">
        <v>100</v>
      </c>
      <c r="IG130">
        <v>100</v>
      </c>
      <c r="IH130">
        <v>-2.08</v>
      </c>
      <c r="II130">
        <v>0.0423</v>
      </c>
      <c r="IJ130">
        <v>1.257309091789605</v>
      </c>
      <c r="IK130">
        <v>-0.002185601614162945</v>
      </c>
      <c r="IL130">
        <v>-2.252308143750626E-07</v>
      </c>
      <c r="IM130">
        <v>5.915558436307541E-11</v>
      </c>
      <c r="IN130">
        <v>-0.118683452207699</v>
      </c>
      <c r="IO130">
        <v>-0.007570214193104963</v>
      </c>
      <c r="IP130">
        <v>0.0009214429922928372</v>
      </c>
      <c r="IQ130">
        <v>-1.392260276065805E-05</v>
      </c>
      <c r="IR130">
        <v>17</v>
      </c>
      <c r="IS130">
        <v>2272</v>
      </c>
      <c r="IT130">
        <v>1</v>
      </c>
      <c r="IU130">
        <v>31</v>
      </c>
      <c r="IV130">
        <v>12.7</v>
      </c>
      <c r="IW130">
        <v>12.9</v>
      </c>
      <c r="IX130">
        <v>2.89551</v>
      </c>
      <c r="IY130">
        <v>2.19849</v>
      </c>
      <c r="IZ130">
        <v>1.39648</v>
      </c>
      <c r="JA130">
        <v>2.35352</v>
      </c>
      <c r="JB130">
        <v>1.49536</v>
      </c>
      <c r="JC130">
        <v>2.30957</v>
      </c>
      <c r="JD130">
        <v>36.4107</v>
      </c>
      <c r="JE130">
        <v>15.3316</v>
      </c>
      <c r="JF130">
        <v>18</v>
      </c>
      <c r="JG130">
        <v>386.208</v>
      </c>
      <c r="JH130">
        <v>573.848</v>
      </c>
      <c r="JI130">
        <v>29.4057</v>
      </c>
      <c r="JJ130">
        <v>30.478</v>
      </c>
      <c r="JK130">
        <v>29.9995</v>
      </c>
      <c r="JL130">
        <v>30.4046</v>
      </c>
      <c r="JM130">
        <v>30.3053</v>
      </c>
      <c r="JN130">
        <v>57.9559</v>
      </c>
      <c r="JO130">
        <v>24.1856</v>
      </c>
      <c r="JP130">
        <v>0</v>
      </c>
      <c r="JQ130">
        <v>29.4342</v>
      </c>
      <c r="JR130">
        <v>1503.6</v>
      </c>
      <c r="JS130">
        <v>19.5477</v>
      </c>
      <c r="JT130">
        <v>100.01</v>
      </c>
      <c r="JU130">
        <v>100.119</v>
      </c>
    </row>
    <row r="131" spans="1:281">
      <c r="A131">
        <v>115</v>
      </c>
      <c r="B131">
        <v>1652372056.5</v>
      </c>
      <c r="C131">
        <v>3962.900000095367</v>
      </c>
      <c r="D131" t="s">
        <v>697</v>
      </c>
      <c r="E131" t="s">
        <v>698</v>
      </c>
      <c r="F131">
        <v>5</v>
      </c>
      <c r="G131" t="s">
        <v>518</v>
      </c>
      <c r="H131" t="s">
        <v>414</v>
      </c>
      <c r="I131">
        <v>1652372049</v>
      </c>
      <c r="J131">
        <f>(K131)/1000</f>
        <v>0</v>
      </c>
      <c r="K131">
        <f>IF(CZ131, AN131, AH131)</f>
        <v>0</v>
      </c>
      <c r="L131">
        <f>IF(CZ131, AI131, AG131)</f>
        <v>0</v>
      </c>
      <c r="M131">
        <f>DB131 - IF(AU131&gt;1, L131*CV131*100.0/(AW131*DP131), 0)</f>
        <v>0</v>
      </c>
      <c r="N131">
        <f>((T131-J131/2)*M131-L131)/(T131+J131/2)</f>
        <v>0</v>
      </c>
      <c r="O131">
        <f>N131*(DI131+DJ131)/1000.0</f>
        <v>0</v>
      </c>
      <c r="P131">
        <f>(DB131 - IF(AU131&gt;1, L131*CV131*100.0/(AW131*DP131), 0))*(DI131+DJ131)/1000.0</f>
        <v>0</v>
      </c>
      <c r="Q131">
        <f>2.0/((1/S131-1/R131)+SIGN(S131)*SQRT((1/S131-1/R131)*(1/S131-1/R131) + 4*CW131/((CW131+1)*(CW131+1))*(2*1/S131*1/R131-1/R131*1/R131)))</f>
        <v>0</v>
      </c>
      <c r="R131">
        <f>IF(LEFT(CX131,1)&lt;&gt;"0",IF(LEFT(CX131,1)="1",3.0,CY131),$D$5+$E$5*(DP131*DI131/($K$5*1000))+$F$5*(DP131*DI131/($K$5*1000))*MAX(MIN(CV131,$J$5),$I$5)*MAX(MIN(CV131,$J$5),$I$5)+$G$5*MAX(MIN(CV131,$J$5),$I$5)*(DP131*DI131/($K$5*1000))+$H$5*(DP131*DI131/($K$5*1000))*(DP131*DI131/($K$5*1000)))</f>
        <v>0</v>
      </c>
      <c r="S131">
        <f>J131*(1000-(1000*0.61365*exp(17.502*W131/(240.97+W131))/(DI131+DJ131)+DD131)/2)/(1000*0.61365*exp(17.502*W131/(240.97+W131))/(DI131+DJ131)-DD131)</f>
        <v>0</v>
      </c>
      <c r="T131">
        <f>1/((CW131+1)/(Q131/1.6)+1/(R131/1.37)) + CW131/((CW131+1)/(Q131/1.6) + CW131/(R131/1.37))</f>
        <v>0</v>
      </c>
      <c r="U131">
        <f>(CR131*CU131)</f>
        <v>0</v>
      </c>
      <c r="V131">
        <f>(DK131+(U131+2*0.95*5.67E-8*(((DK131+$B$7)+273)^4-(DK131+273)^4)-44100*J131)/(1.84*29.3*R131+8*0.95*5.67E-8*(DK131+273)^3))</f>
        <v>0</v>
      </c>
      <c r="W131">
        <f>($C$7*DL131+$D$7*DM131+$E$7*V131)</f>
        <v>0</v>
      </c>
      <c r="X131">
        <f>0.61365*exp(17.502*W131/(240.97+W131))</f>
        <v>0</v>
      </c>
      <c r="Y131">
        <f>(Z131/AA131*100)</f>
        <v>0</v>
      </c>
      <c r="Z131">
        <f>DD131*(DI131+DJ131)/1000</f>
        <v>0</v>
      </c>
      <c r="AA131">
        <f>0.61365*exp(17.502*DK131/(240.97+DK131))</f>
        <v>0</v>
      </c>
      <c r="AB131">
        <f>(X131-DD131*(DI131+DJ131)/1000)</f>
        <v>0</v>
      </c>
      <c r="AC131">
        <f>(-J131*44100)</f>
        <v>0</v>
      </c>
      <c r="AD131">
        <f>2*29.3*R131*0.92*(DK131-W131)</f>
        <v>0</v>
      </c>
      <c r="AE131">
        <f>2*0.95*5.67E-8*(((DK131+$B$7)+273)^4-(W131+273)^4)</f>
        <v>0</v>
      </c>
      <c r="AF131">
        <f>U131+AE131+AC131+AD131</f>
        <v>0</v>
      </c>
      <c r="AG131">
        <f>DH131*AU131*(DC131-DB131*(1000-AU131*DE131)/(1000-AU131*DD131))/(100*CV131)</f>
        <v>0</v>
      </c>
      <c r="AH131">
        <f>1000*DH131*AU131*(DD131-DE131)/(100*CV131*(1000-AU131*DD131))</f>
        <v>0</v>
      </c>
      <c r="AI131">
        <f>(AJ131 - AK131 - DI131*1E3/(8.314*(DK131+273.15)) * AM131/DH131 * AL131) * DH131/(100*CV131) * (1000 - DE131)/1000</f>
        <v>0</v>
      </c>
      <c r="AJ131">
        <v>1521.241059923972</v>
      </c>
      <c r="AK131">
        <v>1449.312484848484</v>
      </c>
      <c r="AL131">
        <v>3.457099612476672</v>
      </c>
      <c r="AM131">
        <v>65.95105977519088</v>
      </c>
      <c r="AN131">
        <f>(AP131 - AO131 + DI131*1E3/(8.314*(DK131+273.15)) * AR131/DH131 * AQ131) * DH131/(100*CV131) * 1000/(1000 - AP131)</f>
        <v>0</v>
      </c>
      <c r="AO131">
        <v>19.41316459990013</v>
      </c>
      <c r="AP131">
        <v>24.38783006993009</v>
      </c>
      <c r="AQ131">
        <v>0.0003781632159349922</v>
      </c>
      <c r="AR131">
        <v>81.26040297655408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MAX(0,($B$13+$C$13*DP131)/(1+$D$13*DP131)*DI131/(DK131+273)*$E$13)</f>
        <v>0</v>
      </c>
      <c r="AX131" t="s">
        <v>417</v>
      </c>
      <c r="AY131" t="s">
        <v>417</v>
      </c>
      <c r="AZ131">
        <v>0</v>
      </c>
      <c r="BA131">
        <v>0</v>
      </c>
      <c r="BB131">
        <f>1-AZ131/BA131</f>
        <v>0</v>
      </c>
      <c r="BC131">
        <v>0</v>
      </c>
      <c r="BD131" t="s">
        <v>417</v>
      </c>
      <c r="BE131" t="s">
        <v>417</v>
      </c>
      <c r="BF131">
        <v>0</v>
      </c>
      <c r="BG131">
        <v>0</v>
      </c>
      <c r="BH131">
        <f>1-BF131/BG131</f>
        <v>0</v>
      </c>
      <c r="BI131">
        <v>0.5</v>
      </c>
      <c r="BJ131">
        <f>CS131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417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1393</v>
      </c>
      <c r="CA131">
        <v>300</v>
      </c>
      <c r="CB131">
        <v>300</v>
      </c>
      <c r="CC131">
        <v>300</v>
      </c>
      <c r="CD131">
        <v>10378</v>
      </c>
      <c r="CE131">
        <v>2050</v>
      </c>
      <c r="CF131">
        <v>-0.00730649</v>
      </c>
      <c r="CG131">
        <v>-4.53</v>
      </c>
      <c r="CH131" t="s">
        <v>417</v>
      </c>
      <c r="CI131" t="s">
        <v>417</v>
      </c>
      <c r="CJ131" t="s">
        <v>417</v>
      </c>
      <c r="CK131" t="s">
        <v>417</v>
      </c>
      <c r="CL131" t="s">
        <v>417</v>
      </c>
      <c r="CM131" t="s">
        <v>417</v>
      </c>
      <c r="CN131" t="s">
        <v>417</v>
      </c>
      <c r="CO131" t="s">
        <v>417</v>
      </c>
      <c r="CP131" t="s">
        <v>417</v>
      </c>
      <c r="CQ131" t="s">
        <v>417</v>
      </c>
      <c r="CR131">
        <f>$B$11*DQ131+$C$11*DR131+$F$11*EC131*(1-EF131)</f>
        <v>0</v>
      </c>
      <c r="CS131">
        <f>CR131*CT131</f>
        <v>0</v>
      </c>
      <c r="CT131">
        <f>($B$11*$D$9+$C$11*$D$9+$F$11*((EP131+EH131)/MAX(EP131+EH131+EQ131, 0.1)*$I$9+EQ131/MAX(EP131+EH131+EQ131, 0.1)*$J$9))/($B$11+$C$11+$F$11)</f>
        <v>0</v>
      </c>
      <c r="CU131">
        <f>($B$11*$K$9+$C$11*$K$9+$F$11*((EP131+EH131)/MAX(EP131+EH131+EQ131, 0.1)*$P$9+EQ131/MAX(EP131+EH131+EQ131, 0.1)*$Q$9))/($B$11+$C$11+$F$11)</f>
        <v>0</v>
      </c>
      <c r="CV131">
        <v>6</v>
      </c>
      <c r="CW131">
        <v>0.5</v>
      </c>
      <c r="CX131" t="s">
        <v>418</v>
      </c>
      <c r="CY131">
        <v>2</v>
      </c>
      <c r="CZ131" t="b">
        <v>1</v>
      </c>
      <c r="DA131">
        <v>1652372049</v>
      </c>
      <c r="DB131">
        <v>1390.695185185185</v>
      </c>
      <c r="DC131">
        <v>1479.173703703703</v>
      </c>
      <c r="DD131">
        <v>24.38453703703703</v>
      </c>
      <c r="DE131">
        <v>19.3697037037037</v>
      </c>
      <c r="DF131">
        <v>1392.757777777777</v>
      </c>
      <c r="DG131">
        <v>24.34231481481481</v>
      </c>
      <c r="DH131">
        <v>400.0664814814815</v>
      </c>
      <c r="DI131">
        <v>90.40272962962965</v>
      </c>
      <c r="DJ131">
        <v>0.100055462962963</v>
      </c>
      <c r="DK131">
        <v>30.86125555555555</v>
      </c>
      <c r="DL131">
        <v>29.98617777777778</v>
      </c>
      <c r="DM131">
        <v>999.9000000000001</v>
      </c>
      <c r="DN131">
        <v>0</v>
      </c>
      <c r="DO131">
        <v>0</v>
      </c>
      <c r="DP131">
        <v>9998.541481481481</v>
      </c>
      <c r="DQ131">
        <v>0</v>
      </c>
      <c r="DR131">
        <v>871.6733703703704</v>
      </c>
      <c r="DS131">
        <v>-88.47966666666667</v>
      </c>
      <c r="DT131">
        <v>1425.454074074074</v>
      </c>
      <c r="DU131">
        <v>1508.391851851851</v>
      </c>
      <c r="DV131">
        <v>5.014845925925926</v>
      </c>
      <c r="DW131">
        <v>1479.173703703703</v>
      </c>
      <c r="DX131">
        <v>19.3697037037037</v>
      </c>
      <c r="DY131">
        <v>2.20442925925926</v>
      </c>
      <c r="DZ131">
        <v>1.751074444444444</v>
      </c>
      <c r="EA131">
        <v>18.99453703703704</v>
      </c>
      <c r="EB131">
        <v>15.35669259259259</v>
      </c>
      <c r="EC131">
        <v>1499.987037037037</v>
      </c>
      <c r="ED131">
        <v>0.973007222222222</v>
      </c>
      <c r="EE131">
        <v>0.02699260370370371</v>
      </c>
      <c r="EF131">
        <v>0</v>
      </c>
      <c r="EG131">
        <v>1015.278888888889</v>
      </c>
      <c r="EH131">
        <v>5.00097</v>
      </c>
      <c r="EI131">
        <v>16458.73333333333</v>
      </c>
      <c r="EJ131">
        <v>12491.52222222222</v>
      </c>
      <c r="EK131">
        <v>39.5</v>
      </c>
      <c r="EL131">
        <v>41.07366666666666</v>
      </c>
      <c r="EM131">
        <v>39.75</v>
      </c>
      <c r="EN131">
        <v>40.87033333333333</v>
      </c>
      <c r="EO131">
        <v>40.68699999999999</v>
      </c>
      <c r="EP131">
        <v>1454.634814814815</v>
      </c>
      <c r="EQ131">
        <v>40.35</v>
      </c>
      <c r="ER131">
        <v>0</v>
      </c>
      <c r="ES131">
        <v>890.7999999523163</v>
      </c>
      <c r="ET131">
        <v>0</v>
      </c>
      <c r="EU131">
        <v>1015.4168</v>
      </c>
      <c r="EV131">
        <v>14.23923076544439</v>
      </c>
      <c r="EW131">
        <v>180.5461539366325</v>
      </c>
      <c r="EX131">
        <v>16459.756</v>
      </c>
      <c r="EY131">
        <v>15</v>
      </c>
      <c r="EZ131">
        <v>1652371289.6</v>
      </c>
      <c r="FA131" t="s">
        <v>515</v>
      </c>
      <c r="FB131">
        <v>1652371289.6</v>
      </c>
      <c r="FC131">
        <v>1652371275.1</v>
      </c>
      <c r="FD131">
        <v>24</v>
      </c>
      <c r="FE131">
        <v>0.442</v>
      </c>
      <c r="FF131">
        <v>0.001</v>
      </c>
      <c r="FG131">
        <v>-2.63</v>
      </c>
      <c r="FH131">
        <v>0.007</v>
      </c>
      <c r="FI131">
        <v>1620</v>
      </c>
      <c r="FJ131">
        <v>22</v>
      </c>
      <c r="FK131">
        <v>0.08</v>
      </c>
      <c r="FL131">
        <v>0.04</v>
      </c>
      <c r="FM131">
        <v>-88.3491268292683</v>
      </c>
      <c r="FN131">
        <v>-3.649984386889574</v>
      </c>
      <c r="FO131">
        <v>0.5211858181925796</v>
      </c>
      <c r="FP131">
        <v>-1</v>
      </c>
      <c r="FQ131">
        <v>5.050046097560976</v>
      </c>
      <c r="FR131">
        <v>-0.7350465630114941</v>
      </c>
      <c r="FS131">
        <v>0.07337076100284654</v>
      </c>
      <c r="FT131">
        <v>0</v>
      </c>
      <c r="FU131">
        <v>0</v>
      </c>
      <c r="FV131">
        <v>0</v>
      </c>
      <c r="FW131">
        <v>0</v>
      </c>
      <c r="FX131">
        <v>-1</v>
      </c>
      <c r="FY131">
        <v>0</v>
      </c>
      <c r="FZ131">
        <v>1</v>
      </c>
      <c r="GA131" t="s">
        <v>432</v>
      </c>
      <c r="GB131">
        <v>2.696</v>
      </c>
      <c r="GC131">
        <v>2.70505</v>
      </c>
      <c r="GD131">
        <v>0.213142</v>
      </c>
      <c r="GE131">
        <v>0.21883</v>
      </c>
      <c r="GF131">
        <v>0.107303</v>
      </c>
      <c r="GG131">
        <v>0.0902516</v>
      </c>
      <c r="GH131">
        <v>24747.1</v>
      </c>
      <c r="GI131">
        <v>24674.2</v>
      </c>
      <c r="GJ131">
        <v>29259.2</v>
      </c>
      <c r="GK131">
        <v>29232.7</v>
      </c>
      <c r="GL131">
        <v>34582.3</v>
      </c>
      <c r="GM131">
        <v>35400.6</v>
      </c>
      <c r="GN131">
        <v>41181.2</v>
      </c>
      <c r="GO131">
        <v>41708.1</v>
      </c>
      <c r="GP131">
        <v>1.72287</v>
      </c>
      <c r="GQ131">
        <v>2.0427</v>
      </c>
      <c r="GR131">
        <v>0.0784956</v>
      </c>
      <c r="GS131">
        <v>0</v>
      </c>
      <c r="GT131">
        <v>28.7231</v>
      </c>
      <c r="GU131">
        <v>999.9</v>
      </c>
      <c r="GV131">
        <v>44.9</v>
      </c>
      <c r="GW131">
        <v>32.9</v>
      </c>
      <c r="GX131">
        <v>24.9518</v>
      </c>
      <c r="GY131">
        <v>63.4479</v>
      </c>
      <c r="GZ131">
        <v>28.9824</v>
      </c>
      <c r="HA131">
        <v>1</v>
      </c>
      <c r="HB131">
        <v>0.232086</v>
      </c>
      <c r="HC131">
        <v>-0.147958</v>
      </c>
      <c r="HD131">
        <v>20.3817</v>
      </c>
      <c r="HE131">
        <v>5.21624</v>
      </c>
      <c r="HF131">
        <v>12.0099</v>
      </c>
      <c r="HG131">
        <v>4.98835</v>
      </c>
      <c r="HH131">
        <v>3.28848</v>
      </c>
      <c r="HI131">
        <v>2717</v>
      </c>
      <c r="HJ131">
        <v>9999</v>
      </c>
      <c r="HK131">
        <v>9999</v>
      </c>
      <c r="HL131">
        <v>50</v>
      </c>
      <c r="HM131">
        <v>1.86721</v>
      </c>
      <c r="HN131">
        <v>1.86615</v>
      </c>
      <c r="HO131">
        <v>1.86578</v>
      </c>
      <c r="HP131">
        <v>1.86569</v>
      </c>
      <c r="HQ131">
        <v>1.86741</v>
      </c>
      <c r="HR131">
        <v>1.86996</v>
      </c>
      <c r="HS131">
        <v>1.86862</v>
      </c>
      <c r="HT131">
        <v>1.86996</v>
      </c>
      <c r="HU131">
        <v>0</v>
      </c>
      <c r="HV131">
        <v>0</v>
      </c>
      <c r="HW131">
        <v>0</v>
      </c>
      <c r="HX131">
        <v>0</v>
      </c>
      <c r="HY131" t="s">
        <v>421</v>
      </c>
      <c r="HZ131" t="s">
        <v>422</v>
      </c>
      <c r="IA131" t="s">
        <v>423</v>
      </c>
      <c r="IB131" t="s">
        <v>423</v>
      </c>
      <c r="IC131" t="s">
        <v>423</v>
      </c>
      <c r="ID131" t="s">
        <v>423</v>
      </c>
      <c r="IE131">
        <v>0</v>
      </c>
      <c r="IF131">
        <v>100</v>
      </c>
      <c r="IG131">
        <v>100</v>
      </c>
      <c r="IH131">
        <v>-2.13</v>
      </c>
      <c r="II131">
        <v>0.0422</v>
      </c>
      <c r="IJ131">
        <v>1.257309091789605</v>
      </c>
      <c r="IK131">
        <v>-0.002185601614162945</v>
      </c>
      <c r="IL131">
        <v>-2.252308143750626E-07</v>
      </c>
      <c r="IM131">
        <v>5.915558436307541E-11</v>
      </c>
      <c r="IN131">
        <v>-0.118683452207699</v>
      </c>
      <c r="IO131">
        <v>-0.007570214193104963</v>
      </c>
      <c r="IP131">
        <v>0.0009214429922928372</v>
      </c>
      <c r="IQ131">
        <v>-1.392260276065805E-05</v>
      </c>
      <c r="IR131">
        <v>17</v>
      </c>
      <c r="IS131">
        <v>2272</v>
      </c>
      <c r="IT131">
        <v>1</v>
      </c>
      <c r="IU131">
        <v>31</v>
      </c>
      <c r="IV131">
        <v>12.8</v>
      </c>
      <c r="IW131">
        <v>13</v>
      </c>
      <c r="IX131">
        <v>2.9248</v>
      </c>
      <c r="IY131">
        <v>2.19238</v>
      </c>
      <c r="IZ131">
        <v>1.39648</v>
      </c>
      <c r="JA131">
        <v>2.35352</v>
      </c>
      <c r="JB131">
        <v>1.49536</v>
      </c>
      <c r="JC131">
        <v>2.35352</v>
      </c>
      <c r="JD131">
        <v>36.4107</v>
      </c>
      <c r="JE131">
        <v>15.3316</v>
      </c>
      <c r="JF131">
        <v>18</v>
      </c>
      <c r="JG131">
        <v>386.194</v>
      </c>
      <c r="JH131">
        <v>574.093</v>
      </c>
      <c r="JI131">
        <v>29.4774</v>
      </c>
      <c r="JJ131">
        <v>30.4753</v>
      </c>
      <c r="JK131">
        <v>29.9997</v>
      </c>
      <c r="JL131">
        <v>30.4046</v>
      </c>
      <c r="JM131">
        <v>30.3051</v>
      </c>
      <c r="JN131">
        <v>58.5135</v>
      </c>
      <c r="JO131">
        <v>23.8713</v>
      </c>
      <c r="JP131">
        <v>0</v>
      </c>
      <c r="JQ131">
        <v>29.4471</v>
      </c>
      <c r="JR131">
        <v>1523.68</v>
      </c>
      <c r="JS131">
        <v>19.6355</v>
      </c>
      <c r="JT131">
        <v>100.011</v>
      </c>
      <c r="JU131">
        <v>100.118</v>
      </c>
    </row>
    <row r="132" spans="1:281">
      <c r="A132">
        <v>116</v>
      </c>
      <c r="B132">
        <v>1652372061.5</v>
      </c>
      <c r="C132">
        <v>3967.900000095367</v>
      </c>
      <c r="D132" t="s">
        <v>699</v>
      </c>
      <c r="E132" t="s">
        <v>700</v>
      </c>
      <c r="F132">
        <v>5</v>
      </c>
      <c r="G132" t="s">
        <v>518</v>
      </c>
      <c r="H132" t="s">
        <v>414</v>
      </c>
      <c r="I132">
        <v>1652372053.714286</v>
      </c>
      <c r="J132">
        <f>(K132)/1000</f>
        <v>0</v>
      </c>
      <c r="K132">
        <f>IF(CZ132, AN132, AH132)</f>
        <v>0</v>
      </c>
      <c r="L132">
        <f>IF(CZ132, AI132, AG132)</f>
        <v>0</v>
      </c>
      <c r="M132">
        <f>DB132 - IF(AU132&gt;1, L132*CV132*100.0/(AW132*DP132), 0)</f>
        <v>0</v>
      </c>
      <c r="N132">
        <f>((T132-J132/2)*M132-L132)/(T132+J132/2)</f>
        <v>0</v>
      </c>
      <c r="O132">
        <f>N132*(DI132+DJ132)/1000.0</f>
        <v>0</v>
      </c>
      <c r="P132">
        <f>(DB132 - IF(AU132&gt;1, L132*CV132*100.0/(AW132*DP132), 0))*(DI132+DJ132)/1000.0</f>
        <v>0</v>
      </c>
      <c r="Q132">
        <f>2.0/((1/S132-1/R132)+SIGN(S132)*SQRT((1/S132-1/R132)*(1/S132-1/R132) + 4*CW132/((CW132+1)*(CW132+1))*(2*1/S132*1/R132-1/R132*1/R132)))</f>
        <v>0</v>
      </c>
      <c r="R132">
        <f>IF(LEFT(CX132,1)&lt;&gt;"0",IF(LEFT(CX132,1)="1",3.0,CY132),$D$5+$E$5*(DP132*DI132/($K$5*1000))+$F$5*(DP132*DI132/($K$5*1000))*MAX(MIN(CV132,$J$5),$I$5)*MAX(MIN(CV132,$J$5),$I$5)+$G$5*MAX(MIN(CV132,$J$5),$I$5)*(DP132*DI132/($K$5*1000))+$H$5*(DP132*DI132/($K$5*1000))*(DP132*DI132/($K$5*1000)))</f>
        <v>0</v>
      </c>
      <c r="S132">
        <f>J132*(1000-(1000*0.61365*exp(17.502*W132/(240.97+W132))/(DI132+DJ132)+DD132)/2)/(1000*0.61365*exp(17.502*W132/(240.97+W132))/(DI132+DJ132)-DD132)</f>
        <v>0</v>
      </c>
      <c r="T132">
        <f>1/((CW132+1)/(Q132/1.6)+1/(R132/1.37)) + CW132/((CW132+1)/(Q132/1.6) + CW132/(R132/1.37))</f>
        <v>0</v>
      </c>
      <c r="U132">
        <f>(CR132*CU132)</f>
        <v>0</v>
      </c>
      <c r="V132">
        <f>(DK132+(U132+2*0.95*5.67E-8*(((DK132+$B$7)+273)^4-(DK132+273)^4)-44100*J132)/(1.84*29.3*R132+8*0.95*5.67E-8*(DK132+273)^3))</f>
        <v>0</v>
      </c>
      <c r="W132">
        <f>($C$7*DL132+$D$7*DM132+$E$7*V132)</f>
        <v>0</v>
      </c>
      <c r="X132">
        <f>0.61365*exp(17.502*W132/(240.97+W132))</f>
        <v>0</v>
      </c>
      <c r="Y132">
        <f>(Z132/AA132*100)</f>
        <v>0</v>
      </c>
      <c r="Z132">
        <f>DD132*(DI132+DJ132)/1000</f>
        <v>0</v>
      </c>
      <c r="AA132">
        <f>0.61365*exp(17.502*DK132/(240.97+DK132))</f>
        <v>0</v>
      </c>
      <c r="AB132">
        <f>(X132-DD132*(DI132+DJ132)/1000)</f>
        <v>0</v>
      </c>
      <c r="AC132">
        <f>(-J132*44100)</f>
        <v>0</v>
      </c>
      <c r="AD132">
        <f>2*29.3*R132*0.92*(DK132-W132)</f>
        <v>0</v>
      </c>
      <c r="AE132">
        <f>2*0.95*5.67E-8*(((DK132+$B$7)+273)^4-(W132+273)^4)</f>
        <v>0</v>
      </c>
      <c r="AF132">
        <f>U132+AE132+AC132+AD132</f>
        <v>0</v>
      </c>
      <c r="AG132">
        <f>DH132*AU132*(DC132-DB132*(1000-AU132*DE132)/(1000-AU132*DD132))/(100*CV132)</f>
        <v>0</v>
      </c>
      <c r="AH132">
        <f>1000*DH132*AU132*(DD132-DE132)/(100*CV132*(1000-AU132*DD132))</f>
        <v>0</v>
      </c>
      <c r="AI132">
        <f>(AJ132 - AK132 - DI132*1E3/(8.314*(DK132+273.15)) * AM132/DH132 * AL132) * DH132/(100*CV132) * (1000 - DE132)/1000</f>
        <v>0</v>
      </c>
      <c r="AJ132">
        <v>1537.759224809922</v>
      </c>
      <c r="AK132">
        <v>1465.967151515151</v>
      </c>
      <c r="AL132">
        <v>3.327753167620948</v>
      </c>
      <c r="AM132">
        <v>65.95105977519088</v>
      </c>
      <c r="AN132">
        <f>(AP132 - AO132 + DI132*1E3/(8.314*(DK132+273.15)) * AR132/DH132 * AQ132) * DH132/(100*CV132) * 1000/(1000 - AP132)</f>
        <v>0</v>
      </c>
      <c r="AO132">
        <v>19.47471069365186</v>
      </c>
      <c r="AP132">
        <v>24.38878741258742</v>
      </c>
      <c r="AQ132">
        <v>-2.449358248972529E-05</v>
      </c>
      <c r="AR132">
        <v>81.26040297655408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MAX(0,($B$13+$C$13*DP132)/(1+$D$13*DP132)*DI132/(DK132+273)*$E$13)</f>
        <v>0</v>
      </c>
      <c r="AX132" t="s">
        <v>417</v>
      </c>
      <c r="AY132" t="s">
        <v>417</v>
      </c>
      <c r="AZ132">
        <v>0</v>
      </c>
      <c r="BA132">
        <v>0</v>
      </c>
      <c r="BB132">
        <f>1-AZ132/BA132</f>
        <v>0</v>
      </c>
      <c r="BC132">
        <v>0</v>
      </c>
      <c r="BD132" t="s">
        <v>417</v>
      </c>
      <c r="BE132" t="s">
        <v>417</v>
      </c>
      <c r="BF132">
        <v>0</v>
      </c>
      <c r="BG132">
        <v>0</v>
      </c>
      <c r="BH132">
        <f>1-BF132/BG132</f>
        <v>0</v>
      </c>
      <c r="BI132">
        <v>0.5</v>
      </c>
      <c r="BJ132">
        <f>CS132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417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1393</v>
      </c>
      <c r="CA132">
        <v>300</v>
      </c>
      <c r="CB132">
        <v>300</v>
      </c>
      <c r="CC132">
        <v>300</v>
      </c>
      <c r="CD132">
        <v>10378</v>
      </c>
      <c r="CE132">
        <v>2050</v>
      </c>
      <c r="CF132">
        <v>-0.00730649</v>
      </c>
      <c r="CG132">
        <v>-4.53</v>
      </c>
      <c r="CH132" t="s">
        <v>417</v>
      </c>
      <c r="CI132" t="s">
        <v>417</v>
      </c>
      <c r="CJ132" t="s">
        <v>417</v>
      </c>
      <c r="CK132" t="s">
        <v>417</v>
      </c>
      <c r="CL132" t="s">
        <v>417</v>
      </c>
      <c r="CM132" t="s">
        <v>417</v>
      </c>
      <c r="CN132" t="s">
        <v>417</v>
      </c>
      <c r="CO132" t="s">
        <v>417</v>
      </c>
      <c r="CP132" t="s">
        <v>417</v>
      </c>
      <c r="CQ132" t="s">
        <v>417</v>
      </c>
      <c r="CR132">
        <f>$B$11*DQ132+$C$11*DR132+$F$11*EC132*(1-EF132)</f>
        <v>0</v>
      </c>
      <c r="CS132">
        <f>CR132*CT132</f>
        <v>0</v>
      </c>
      <c r="CT132">
        <f>($B$11*$D$9+$C$11*$D$9+$F$11*((EP132+EH132)/MAX(EP132+EH132+EQ132, 0.1)*$I$9+EQ132/MAX(EP132+EH132+EQ132, 0.1)*$J$9))/($B$11+$C$11+$F$11)</f>
        <v>0</v>
      </c>
      <c r="CU132">
        <f>($B$11*$K$9+$C$11*$K$9+$F$11*((EP132+EH132)/MAX(EP132+EH132+EQ132, 0.1)*$P$9+EQ132/MAX(EP132+EH132+EQ132, 0.1)*$Q$9))/($B$11+$C$11+$F$11)</f>
        <v>0</v>
      </c>
      <c r="CV132">
        <v>6</v>
      </c>
      <c r="CW132">
        <v>0.5</v>
      </c>
      <c r="CX132" t="s">
        <v>418</v>
      </c>
      <c r="CY132">
        <v>2</v>
      </c>
      <c r="CZ132" t="b">
        <v>1</v>
      </c>
      <c r="DA132">
        <v>1652372053.714286</v>
      </c>
      <c r="DB132">
        <v>1406.258571428571</v>
      </c>
      <c r="DC132">
        <v>1494.918214285714</v>
      </c>
      <c r="DD132">
        <v>24.38633928571429</v>
      </c>
      <c r="DE132">
        <v>19.43725357142857</v>
      </c>
      <c r="DF132">
        <v>1408.36</v>
      </c>
      <c r="DG132">
        <v>24.34409285714285</v>
      </c>
      <c r="DH132">
        <v>400.0649642857144</v>
      </c>
      <c r="DI132">
        <v>90.40417142857143</v>
      </c>
      <c r="DJ132">
        <v>0.100005375</v>
      </c>
      <c r="DK132">
        <v>30.86149285714286</v>
      </c>
      <c r="DL132">
        <v>29.99262857142857</v>
      </c>
      <c r="DM132">
        <v>999.9000000000002</v>
      </c>
      <c r="DN132">
        <v>0</v>
      </c>
      <c r="DO132">
        <v>0</v>
      </c>
      <c r="DP132">
        <v>9997.18535714286</v>
      </c>
      <c r="DQ132">
        <v>0</v>
      </c>
      <c r="DR132">
        <v>870.4466071428571</v>
      </c>
      <c r="DS132">
        <v>-88.66000714285714</v>
      </c>
      <c r="DT132">
        <v>1441.409285714286</v>
      </c>
      <c r="DU132">
        <v>1524.5525</v>
      </c>
      <c r="DV132">
        <v>4.949096785714285</v>
      </c>
      <c r="DW132">
        <v>1494.918214285714</v>
      </c>
      <c r="DX132">
        <v>19.43725357142857</v>
      </c>
      <c r="DY132">
        <v>2.204627142857142</v>
      </c>
      <c r="DZ132">
        <v>1.757208928571429</v>
      </c>
      <c r="EA132">
        <v>18.99597857142857</v>
      </c>
      <c r="EB132">
        <v>15.41115</v>
      </c>
      <c r="EC132">
        <v>1499.9875</v>
      </c>
      <c r="ED132">
        <v>0.9730074285714283</v>
      </c>
      <c r="EE132">
        <v>0.02699242142857144</v>
      </c>
      <c r="EF132">
        <v>0</v>
      </c>
      <c r="EG132">
        <v>1016.343928571429</v>
      </c>
      <c r="EH132">
        <v>5.00097</v>
      </c>
      <c r="EI132">
        <v>16468.625</v>
      </c>
      <c r="EJ132">
        <v>12491.51785714286</v>
      </c>
      <c r="EK132">
        <v>39.5</v>
      </c>
      <c r="EL132">
        <v>41.06649999999998</v>
      </c>
      <c r="EM132">
        <v>39.75</v>
      </c>
      <c r="EN132">
        <v>40.87275</v>
      </c>
      <c r="EO132">
        <v>40.68699999999999</v>
      </c>
      <c r="EP132">
        <v>1454.635714285714</v>
      </c>
      <c r="EQ132">
        <v>40.35</v>
      </c>
      <c r="ER132">
        <v>0</v>
      </c>
      <c r="ES132">
        <v>895.5999999046326</v>
      </c>
      <c r="ET132">
        <v>0</v>
      </c>
      <c r="EU132">
        <v>1016.5292</v>
      </c>
      <c r="EV132">
        <v>12.95307690359138</v>
      </c>
      <c r="EW132">
        <v>-18.13076891745299</v>
      </c>
      <c r="EX132">
        <v>16469.368</v>
      </c>
      <c r="EY132">
        <v>15</v>
      </c>
      <c r="EZ132">
        <v>1652371289.6</v>
      </c>
      <c r="FA132" t="s">
        <v>515</v>
      </c>
      <c r="FB132">
        <v>1652371289.6</v>
      </c>
      <c r="FC132">
        <v>1652371275.1</v>
      </c>
      <c r="FD132">
        <v>24</v>
      </c>
      <c r="FE132">
        <v>0.442</v>
      </c>
      <c r="FF132">
        <v>0.001</v>
      </c>
      <c r="FG132">
        <v>-2.63</v>
      </c>
      <c r="FH132">
        <v>0.007</v>
      </c>
      <c r="FI132">
        <v>1620</v>
      </c>
      <c r="FJ132">
        <v>22</v>
      </c>
      <c r="FK132">
        <v>0.08</v>
      </c>
      <c r="FL132">
        <v>0.04</v>
      </c>
      <c r="FM132">
        <v>-88.52127804878049</v>
      </c>
      <c r="FN132">
        <v>-1.889048780487915</v>
      </c>
      <c r="FO132">
        <v>0.4217155731533938</v>
      </c>
      <c r="FP132">
        <v>-1</v>
      </c>
      <c r="FQ132">
        <v>4.99761731707317</v>
      </c>
      <c r="FR132">
        <v>-0.7848307317073094</v>
      </c>
      <c r="FS132">
        <v>0.07847623048629751</v>
      </c>
      <c r="FT132">
        <v>0</v>
      </c>
      <c r="FU132">
        <v>0</v>
      </c>
      <c r="FV132">
        <v>0</v>
      </c>
      <c r="FW132">
        <v>0</v>
      </c>
      <c r="FX132">
        <v>-1</v>
      </c>
      <c r="FY132">
        <v>0</v>
      </c>
      <c r="FZ132">
        <v>1</v>
      </c>
      <c r="GA132" t="s">
        <v>432</v>
      </c>
      <c r="GB132">
        <v>2.69591</v>
      </c>
      <c r="GC132">
        <v>2.70514</v>
      </c>
      <c r="GD132">
        <v>0.214643</v>
      </c>
      <c r="GE132">
        <v>0.220341</v>
      </c>
      <c r="GF132">
        <v>0.107312</v>
      </c>
      <c r="GG132">
        <v>0.0905856</v>
      </c>
      <c r="GH132">
        <v>24699.6</v>
      </c>
      <c r="GI132">
        <v>24626.4</v>
      </c>
      <c r="GJ132">
        <v>29259</v>
      </c>
      <c r="GK132">
        <v>29232.6</v>
      </c>
      <c r="GL132">
        <v>34581.8</v>
      </c>
      <c r="GM132">
        <v>35387.5</v>
      </c>
      <c r="GN132">
        <v>41181</v>
      </c>
      <c r="GO132">
        <v>41708.1</v>
      </c>
      <c r="GP132">
        <v>1.72263</v>
      </c>
      <c r="GQ132">
        <v>2.04312</v>
      </c>
      <c r="GR132">
        <v>0.07927049999999999</v>
      </c>
      <c r="GS132">
        <v>0</v>
      </c>
      <c r="GT132">
        <v>28.7188</v>
      </c>
      <c r="GU132">
        <v>999.9</v>
      </c>
      <c r="GV132">
        <v>44.9</v>
      </c>
      <c r="GW132">
        <v>32.9</v>
      </c>
      <c r="GX132">
        <v>24.9502</v>
      </c>
      <c r="GY132">
        <v>63.1579</v>
      </c>
      <c r="GZ132">
        <v>29.1226</v>
      </c>
      <c r="HA132">
        <v>1</v>
      </c>
      <c r="HB132">
        <v>0.231611</v>
      </c>
      <c r="HC132">
        <v>0.0351062</v>
      </c>
      <c r="HD132">
        <v>20.3819</v>
      </c>
      <c r="HE132">
        <v>5.21669</v>
      </c>
      <c r="HF132">
        <v>12.0099</v>
      </c>
      <c r="HG132">
        <v>4.98845</v>
      </c>
      <c r="HH132">
        <v>3.28858</v>
      </c>
      <c r="HI132">
        <v>2717</v>
      </c>
      <c r="HJ132">
        <v>9999</v>
      </c>
      <c r="HK132">
        <v>9999</v>
      </c>
      <c r="HL132">
        <v>50</v>
      </c>
      <c r="HM132">
        <v>1.86722</v>
      </c>
      <c r="HN132">
        <v>1.86615</v>
      </c>
      <c r="HO132">
        <v>1.86577</v>
      </c>
      <c r="HP132">
        <v>1.86569</v>
      </c>
      <c r="HQ132">
        <v>1.86743</v>
      </c>
      <c r="HR132">
        <v>1.86997</v>
      </c>
      <c r="HS132">
        <v>1.86863</v>
      </c>
      <c r="HT132">
        <v>1.86997</v>
      </c>
      <c r="HU132">
        <v>0</v>
      </c>
      <c r="HV132">
        <v>0</v>
      </c>
      <c r="HW132">
        <v>0</v>
      </c>
      <c r="HX132">
        <v>0</v>
      </c>
      <c r="HY132" t="s">
        <v>421</v>
      </c>
      <c r="HZ132" t="s">
        <v>422</v>
      </c>
      <c r="IA132" t="s">
        <v>423</v>
      </c>
      <c r="IB132" t="s">
        <v>423</v>
      </c>
      <c r="IC132" t="s">
        <v>423</v>
      </c>
      <c r="ID132" t="s">
        <v>423</v>
      </c>
      <c r="IE132">
        <v>0</v>
      </c>
      <c r="IF132">
        <v>100</v>
      </c>
      <c r="IG132">
        <v>100</v>
      </c>
      <c r="IH132">
        <v>-2.17</v>
      </c>
      <c r="II132">
        <v>0.0423</v>
      </c>
      <c r="IJ132">
        <v>1.257309091789605</v>
      </c>
      <c r="IK132">
        <v>-0.002185601614162945</v>
      </c>
      <c r="IL132">
        <v>-2.252308143750626E-07</v>
      </c>
      <c r="IM132">
        <v>5.915558436307541E-11</v>
      </c>
      <c r="IN132">
        <v>-0.118683452207699</v>
      </c>
      <c r="IO132">
        <v>-0.007570214193104963</v>
      </c>
      <c r="IP132">
        <v>0.0009214429922928372</v>
      </c>
      <c r="IQ132">
        <v>-1.392260276065805E-05</v>
      </c>
      <c r="IR132">
        <v>17</v>
      </c>
      <c r="IS132">
        <v>2272</v>
      </c>
      <c r="IT132">
        <v>1</v>
      </c>
      <c r="IU132">
        <v>31</v>
      </c>
      <c r="IV132">
        <v>12.9</v>
      </c>
      <c r="IW132">
        <v>13.1</v>
      </c>
      <c r="IX132">
        <v>2.94922</v>
      </c>
      <c r="IY132">
        <v>2.19116</v>
      </c>
      <c r="IZ132">
        <v>1.39648</v>
      </c>
      <c r="JA132">
        <v>2.35352</v>
      </c>
      <c r="JB132">
        <v>1.49536</v>
      </c>
      <c r="JC132">
        <v>2.38037</v>
      </c>
      <c r="JD132">
        <v>36.4343</v>
      </c>
      <c r="JE132">
        <v>15.3316</v>
      </c>
      <c r="JF132">
        <v>18</v>
      </c>
      <c r="JG132">
        <v>386.047</v>
      </c>
      <c r="JH132">
        <v>574.417</v>
      </c>
      <c r="JI132">
        <v>29.4895</v>
      </c>
      <c r="JJ132">
        <v>30.4728</v>
      </c>
      <c r="JK132">
        <v>29.9998</v>
      </c>
      <c r="JL132">
        <v>30.4021</v>
      </c>
      <c r="JM132">
        <v>30.3051</v>
      </c>
      <c r="JN132">
        <v>58.9955</v>
      </c>
      <c r="JO132">
        <v>23.5718</v>
      </c>
      <c r="JP132">
        <v>0</v>
      </c>
      <c r="JQ132">
        <v>29.4563</v>
      </c>
      <c r="JR132">
        <v>1537.04</v>
      </c>
      <c r="JS132">
        <v>19.7183</v>
      </c>
      <c r="JT132">
        <v>100.01</v>
      </c>
      <c r="JU132">
        <v>100.118</v>
      </c>
    </row>
    <row r="133" spans="1:281">
      <c r="A133">
        <v>117</v>
      </c>
      <c r="B133">
        <v>1652372066.5</v>
      </c>
      <c r="C133">
        <v>3972.900000095367</v>
      </c>
      <c r="D133" t="s">
        <v>701</v>
      </c>
      <c r="E133" t="s">
        <v>702</v>
      </c>
      <c r="F133">
        <v>5</v>
      </c>
      <c r="G133" t="s">
        <v>518</v>
      </c>
      <c r="H133" t="s">
        <v>414</v>
      </c>
      <c r="I133">
        <v>1652372059</v>
      </c>
      <c r="J133">
        <f>(K133)/1000</f>
        <v>0</v>
      </c>
      <c r="K133">
        <f>IF(CZ133, AN133, AH133)</f>
        <v>0</v>
      </c>
      <c r="L133">
        <f>IF(CZ133, AI133, AG133)</f>
        <v>0</v>
      </c>
      <c r="M133">
        <f>DB133 - IF(AU133&gt;1, L133*CV133*100.0/(AW133*DP133), 0)</f>
        <v>0</v>
      </c>
      <c r="N133">
        <f>((T133-J133/2)*M133-L133)/(T133+J133/2)</f>
        <v>0</v>
      </c>
      <c r="O133">
        <f>N133*(DI133+DJ133)/1000.0</f>
        <v>0</v>
      </c>
      <c r="P133">
        <f>(DB133 - IF(AU133&gt;1, L133*CV133*100.0/(AW133*DP133), 0))*(DI133+DJ133)/1000.0</f>
        <v>0</v>
      </c>
      <c r="Q133">
        <f>2.0/((1/S133-1/R133)+SIGN(S133)*SQRT((1/S133-1/R133)*(1/S133-1/R133) + 4*CW133/((CW133+1)*(CW133+1))*(2*1/S133*1/R133-1/R133*1/R133)))</f>
        <v>0</v>
      </c>
      <c r="R133">
        <f>IF(LEFT(CX133,1)&lt;&gt;"0",IF(LEFT(CX133,1)="1",3.0,CY133),$D$5+$E$5*(DP133*DI133/($K$5*1000))+$F$5*(DP133*DI133/($K$5*1000))*MAX(MIN(CV133,$J$5),$I$5)*MAX(MIN(CV133,$J$5),$I$5)+$G$5*MAX(MIN(CV133,$J$5),$I$5)*(DP133*DI133/($K$5*1000))+$H$5*(DP133*DI133/($K$5*1000))*(DP133*DI133/($K$5*1000)))</f>
        <v>0</v>
      </c>
      <c r="S133">
        <f>J133*(1000-(1000*0.61365*exp(17.502*W133/(240.97+W133))/(DI133+DJ133)+DD133)/2)/(1000*0.61365*exp(17.502*W133/(240.97+W133))/(DI133+DJ133)-DD133)</f>
        <v>0</v>
      </c>
      <c r="T133">
        <f>1/((CW133+1)/(Q133/1.6)+1/(R133/1.37)) + CW133/((CW133+1)/(Q133/1.6) + CW133/(R133/1.37))</f>
        <v>0</v>
      </c>
      <c r="U133">
        <f>(CR133*CU133)</f>
        <v>0</v>
      </c>
      <c r="V133">
        <f>(DK133+(U133+2*0.95*5.67E-8*(((DK133+$B$7)+273)^4-(DK133+273)^4)-44100*J133)/(1.84*29.3*R133+8*0.95*5.67E-8*(DK133+273)^3))</f>
        <v>0</v>
      </c>
      <c r="W133">
        <f>($C$7*DL133+$D$7*DM133+$E$7*V133)</f>
        <v>0</v>
      </c>
      <c r="X133">
        <f>0.61365*exp(17.502*W133/(240.97+W133))</f>
        <v>0</v>
      </c>
      <c r="Y133">
        <f>(Z133/AA133*100)</f>
        <v>0</v>
      </c>
      <c r="Z133">
        <f>DD133*(DI133+DJ133)/1000</f>
        <v>0</v>
      </c>
      <c r="AA133">
        <f>0.61365*exp(17.502*DK133/(240.97+DK133))</f>
        <v>0</v>
      </c>
      <c r="AB133">
        <f>(X133-DD133*(DI133+DJ133)/1000)</f>
        <v>0</v>
      </c>
      <c r="AC133">
        <f>(-J133*44100)</f>
        <v>0</v>
      </c>
      <c r="AD133">
        <f>2*29.3*R133*0.92*(DK133-W133)</f>
        <v>0</v>
      </c>
      <c r="AE133">
        <f>2*0.95*5.67E-8*(((DK133+$B$7)+273)^4-(W133+273)^4)</f>
        <v>0</v>
      </c>
      <c r="AF133">
        <f>U133+AE133+AC133+AD133</f>
        <v>0</v>
      </c>
      <c r="AG133">
        <f>DH133*AU133*(DC133-DB133*(1000-AU133*DE133)/(1000-AU133*DD133))/(100*CV133)</f>
        <v>0</v>
      </c>
      <c r="AH133">
        <f>1000*DH133*AU133*(DD133-DE133)/(100*CV133*(1000-AU133*DD133))</f>
        <v>0</v>
      </c>
      <c r="AI133">
        <f>(AJ133 - AK133 - DI133*1E3/(8.314*(DK133+273.15)) * AM133/DH133 * AL133) * DH133/(100*CV133) * (1000 - DE133)/1000</f>
        <v>0</v>
      </c>
      <c r="AJ133">
        <v>1555.634128552636</v>
      </c>
      <c r="AK133">
        <v>1483.105818181817</v>
      </c>
      <c r="AL133">
        <v>3.441456569678071</v>
      </c>
      <c r="AM133">
        <v>65.95105977519088</v>
      </c>
      <c r="AN133">
        <f>(AP133 - AO133 + DI133*1E3/(8.314*(DK133+273.15)) * AR133/DH133 * AQ133) * DH133/(100*CV133) * 1000/(1000 - AP133)</f>
        <v>0</v>
      </c>
      <c r="AO133">
        <v>19.57436485534908</v>
      </c>
      <c r="AP133">
        <v>24.40452797202799</v>
      </c>
      <c r="AQ133">
        <v>9.948002169998169E-05</v>
      </c>
      <c r="AR133">
        <v>81.26040297655408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MAX(0,($B$13+$C$13*DP133)/(1+$D$13*DP133)*DI133/(DK133+273)*$E$13)</f>
        <v>0</v>
      </c>
      <c r="AX133" t="s">
        <v>417</v>
      </c>
      <c r="AY133" t="s">
        <v>417</v>
      </c>
      <c r="AZ133">
        <v>0</v>
      </c>
      <c r="BA133">
        <v>0</v>
      </c>
      <c r="BB133">
        <f>1-AZ133/BA133</f>
        <v>0</v>
      </c>
      <c r="BC133">
        <v>0</v>
      </c>
      <c r="BD133" t="s">
        <v>417</v>
      </c>
      <c r="BE133" t="s">
        <v>417</v>
      </c>
      <c r="BF133">
        <v>0</v>
      </c>
      <c r="BG133">
        <v>0</v>
      </c>
      <c r="BH133">
        <f>1-BF133/BG133</f>
        <v>0</v>
      </c>
      <c r="BI133">
        <v>0.5</v>
      </c>
      <c r="BJ133">
        <f>CS133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417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1393</v>
      </c>
      <c r="CA133">
        <v>300</v>
      </c>
      <c r="CB133">
        <v>300</v>
      </c>
      <c r="CC133">
        <v>300</v>
      </c>
      <c r="CD133">
        <v>10378</v>
      </c>
      <c r="CE133">
        <v>2050</v>
      </c>
      <c r="CF133">
        <v>-0.00730649</v>
      </c>
      <c r="CG133">
        <v>-4.53</v>
      </c>
      <c r="CH133" t="s">
        <v>417</v>
      </c>
      <c r="CI133" t="s">
        <v>417</v>
      </c>
      <c r="CJ133" t="s">
        <v>417</v>
      </c>
      <c r="CK133" t="s">
        <v>417</v>
      </c>
      <c r="CL133" t="s">
        <v>417</v>
      </c>
      <c r="CM133" t="s">
        <v>417</v>
      </c>
      <c r="CN133" t="s">
        <v>417</v>
      </c>
      <c r="CO133" t="s">
        <v>417</v>
      </c>
      <c r="CP133" t="s">
        <v>417</v>
      </c>
      <c r="CQ133" t="s">
        <v>417</v>
      </c>
      <c r="CR133">
        <f>$B$11*DQ133+$C$11*DR133+$F$11*EC133*(1-EF133)</f>
        <v>0</v>
      </c>
      <c r="CS133">
        <f>CR133*CT133</f>
        <v>0</v>
      </c>
      <c r="CT133">
        <f>($B$11*$D$9+$C$11*$D$9+$F$11*((EP133+EH133)/MAX(EP133+EH133+EQ133, 0.1)*$I$9+EQ133/MAX(EP133+EH133+EQ133, 0.1)*$J$9))/($B$11+$C$11+$F$11)</f>
        <v>0</v>
      </c>
      <c r="CU133">
        <f>($B$11*$K$9+$C$11*$K$9+$F$11*((EP133+EH133)/MAX(EP133+EH133+EQ133, 0.1)*$P$9+EQ133/MAX(EP133+EH133+EQ133, 0.1)*$Q$9))/($B$11+$C$11+$F$11)</f>
        <v>0</v>
      </c>
      <c r="CV133">
        <v>6</v>
      </c>
      <c r="CW133">
        <v>0.5</v>
      </c>
      <c r="CX133" t="s">
        <v>418</v>
      </c>
      <c r="CY133">
        <v>2</v>
      </c>
      <c r="CZ133" t="b">
        <v>1</v>
      </c>
      <c r="DA133">
        <v>1652372059</v>
      </c>
      <c r="DB133">
        <v>1423.712592592593</v>
      </c>
      <c r="DC133">
        <v>1512.793333333333</v>
      </c>
      <c r="DD133">
        <v>24.39057407407407</v>
      </c>
      <c r="DE133">
        <v>19.52783333333334</v>
      </c>
      <c r="DF133">
        <v>1425.857777777778</v>
      </c>
      <c r="DG133">
        <v>24.34827037037037</v>
      </c>
      <c r="DH133">
        <v>400.0710370370369</v>
      </c>
      <c r="DI133">
        <v>90.40577407407407</v>
      </c>
      <c r="DJ133">
        <v>0.1000572555555556</v>
      </c>
      <c r="DK133">
        <v>30.86682962962963</v>
      </c>
      <c r="DL133">
        <v>30.00427037037038</v>
      </c>
      <c r="DM133">
        <v>999.9000000000001</v>
      </c>
      <c r="DN133">
        <v>0</v>
      </c>
      <c r="DO133">
        <v>0</v>
      </c>
      <c r="DP133">
        <v>9993.195555555556</v>
      </c>
      <c r="DQ133">
        <v>0</v>
      </c>
      <c r="DR133">
        <v>857.4428148148149</v>
      </c>
      <c r="DS133">
        <v>-89.0806962962963</v>
      </c>
      <c r="DT133">
        <v>1459.306666666667</v>
      </c>
      <c r="DU133">
        <v>1542.924074074074</v>
      </c>
      <c r="DV133">
        <v>4.862741481481482</v>
      </c>
      <c r="DW133">
        <v>1512.793333333333</v>
      </c>
      <c r="DX133">
        <v>19.52783333333334</v>
      </c>
      <c r="DY133">
        <v>2.205048148148148</v>
      </c>
      <c r="DZ133">
        <v>1.765428518518518</v>
      </c>
      <c r="EA133">
        <v>18.99903703703704</v>
      </c>
      <c r="EB133">
        <v>15.48388518518518</v>
      </c>
      <c r="EC133">
        <v>1499.997407407408</v>
      </c>
      <c r="ED133">
        <v>0.9730078888888888</v>
      </c>
      <c r="EE133">
        <v>0.02699201481481482</v>
      </c>
      <c r="EF133">
        <v>0</v>
      </c>
      <c r="EG133">
        <v>1017.557777777778</v>
      </c>
      <c r="EH133">
        <v>5.00097</v>
      </c>
      <c r="EI133">
        <v>16469.31111111111</v>
      </c>
      <c r="EJ133">
        <v>12491.60370370371</v>
      </c>
      <c r="EK133">
        <v>39.5</v>
      </c>
      <c r="EL133">
        <v>41.07133333333333</v>
      </c>
      <c r="EM133">
        <v>39.75</v>
      </c>
      <c r="EN133">
        <v>40.87266666666666</v>
      </c>
      <c r="EO133">
        <v>40.68699999999999</v>
      </c>
      <c r="EP133">
        <v>1454.647407407407</v>
      </c>
      <c r="EQ133">
        <v>40.35</v>
      </c>
      <c r="ER133">
        <v>0</v>
      </c>
      <c r="ES133">
        <v>900.3999998569489</v>
      </c>
      <c r="ET133">
        <v>0</v>
      </c>
      <c r="EU133">
        <v>1017.624</v>
      </c>
      <c r="EV133">
        <v>13.78076924843916</v>
      </c>
      <c r="EW133">
        <v>-13.26923060191058</v>
      </c>
      <c r="EX133">
        <v>16469.4</v>
      </c>
      <c r="EY133">
        <v>15</v>
      </c>
      <c r="EZ133">
        <v>1652371289.6</v>
      </c>
      <c r="FA133" t="s">
        <v>515</v>
      </c>
      <c r="FB133">
        <v>1652371289.6</v>
      </c>
      <c r="FC133">
        <v>1652371275.1</v>
      </c>
      <c r="FD133">
        <v>24</v>
      </c>
      <c r="FE133">
        <v>0.442</v>
      </c>
      <c r="FF133">
        <v>0.001</v>
      </c>
      <c r="FG133">
        <v>-2.63</v>
      </c>
      <c r="FH133">
        <v>0.007</v>
      </c>
      <c r="FI133">
        <v>1620</v>
      </c>
      <c r="FJ133">
        <v>22</v>
      </c>
      <c r="FK133">
        <v>0.08</v>
      </c>
      <c r="FL133">
        <v>0.04</v>
      </c>
      <c r="FM133">
        <v>-88.8457025</v>
      </c>
      <c r="FN133">
        <v>-4.378996998123836</v>
      </c>
      <c r="FO133">
        <v>0.5378284700940912</v>
      </c>
      <c r="FP133">
        <v>-1</v>
      </c>
      <c r="FQ133">
        <v>4.914690500000001</v>
      </c>
      <c r="FR133">
        <v>-0.982471294559096</v>
      </c>
      <c r="FS133">
        <v>0.09491941276551391</v>
      </c>
      <c r="FT133">
        <v>0</v>
      </c>
      <c r="FU133">
        <v>0</v>
      </c>
      <c r="FV133">
        <v>0</v>
      </c>
      <c r="FW133">
        <v>0</v>
      </c>
      <c r="FX133">
        <v>-1</v>
      </c>
      <c r="FY133">
        <v>0</v>
      </c>
      <c r="FZ133">
        <v>1</v>
      </c>
      <c r="GA133" t="s">
        <v>432</v>
      </c>
      <c r="GB133">
        <v>2.69603</v>
      </c>
      <c r="GC133">
        <v>2.70508</v>
      </c>
      <c r="GD133">
        <v>0.216164</v>
      </c>
      <c r="GE133">
        <v>0.221797</v>
      </c>
      <c r="GF133">
        <v>0.107363</v>
      </c>
      <c r="GG133">
        <v>0.0909451</v>
      </c>
      <c r="GH133">
        <v>24651.5</v>
      </c>
      <c r="GI133">
        <v>24580.5</v>
      </c>
      <c r="GJ133">
        <v>29258.8</v>
      </c>
      <c r="GK133">
        <v>29232.9</v>
      </c>
      <c r="GL133">
        <v>34579.6</v>
      </c>
      <c r="GM133">
        <v>35373.8</v>
      </c>
      <c r="GN133">
        <v>41180.8</v>
      </c>
      <c r="GO133">
        <v>41708.7</v>
      </c>
      <c r="GP133">
        <v>1.72283</v>
      </c>
      <c r="GQ133">
        <v>2.04292</v>
      </c>
      <c r="GR133">
        <v>0.08021300000000001</v>
      </c>
      <c r="GS133">
        <v>0</v>
      </c>
      <c r="GT133">
        <v>28.7146</v>
      </c>
      <c r="GU133">
        <v>999.9</v>
      </c>
      <c r="GV133">
        <v>44.9</v>
      </c>
      <c r="GW133">
        <v>32.9</v>
      </c>
      <c r="GX133">
        <v>24.952</v>
      </c>
      <c r="GY133">
        <v>63.3479</v>
      </c>
      <c r="GZ133">
        <v>29.379</v>
      </c>
      <c r="HA133">
        <v>1</v>
      </c>
      <c r="HB133">
        <v>0.231702</v>
      </c>
      <c r="HC133">
        <v>0.163734</v>
      </c>
      <c r="HD133">
        <v>20.382</v>
      </c>
      <c r="HE133">
        <v>5.21654</v>
      </c>
      <c r="HF133">
        <v>12.0099</v>
      </c>
      <c r="HG133">
        <v>4.9883</v>
      </c>
      <c r="HH133">
        <v>3.28842</v>
      </c>
      <c r="HI133">
        <v>2717.2</v>
      </c>
      <c r="HJ133">
        <v>9999</v>
      </c>
      <c r="HK133">
        <v>9999</v>
      </c>
      <c r="HL133">
        <v>50</v>
      </c>
      <c r="HM133">
        <v>1.86722</v>
      </c>
      <c r="HN133">
        <v>1.86615</v>
      </c>
      <c r="HO133">
        <v>1.86577</v>
      </c>
      <c r="HP133">
        <v>1.86569</v>
      </c>
      <c r="HQ133">
        <v>1.8674</v>
      </c>
      <c r="HR133">
        <v>1.86996</v>
      </c>
      <c r="HS133">
        <v>1.86862</v>
      </c>
      <c r="HT133">
        <v>1.86997</v>
      </c>
      <c r="HU133">
        <v>0</v>
      </c>
      <c r="HV133">
        <v>0</v>
      </c>
      <c r="HW133">
        <v>0</v>
      </c>
      <c r="HX133">
        <v>0</v>
      </c>
      <c r="HY133" t="s">
        <v>421</v>
      </c>
      <c r="HZ133" t="s">
        <v>422</v>
      </c>
      <c r="IA133" t="s">
        <v>423</v>
      </c>
      <c r="IB133" t="s">
        <v>423</v>
      </c>
      <c r="IC133" t="s">
        <v>423</v>
      </c>
      <c r="ID133" t="s">
        <v>423</v>
      </c>
      <c r="IE133">
        <v>0</v>
      </c>
      <c r="IF133">
        <v>100</v>
      </c>
      <c r="IG133">
        <v>100</v>
      </c>
      <c r="IH133">
        <v>-2.21</v>
      </c>
      <c r="II133">
        <v>0.0425</v>
      </c>
      <c r="IJ133">
        <v>1.257309091789605</v>
      </c>
      <c r="IK133">
        <v>-0.002185601614162945</v>
      </c>
      <c r="IL133">
        <v>-2.252308143750626E-07</v>
      </c>
      <c r="IM133">
        <v>5.915558436307541E-11</v>
      </c>
      <c r="IN133">
        <v>-0.118683452207699</v>
      </c>
      <c r="IO133">
        <v>-0.007570214193104963</v>
      </c>
      <c r="IP133">
        <v>0.0009214429922928372</v>
      </c>
      <c r="IQ133">
        <v>-1.392260276065805E-05</v>
      </c>
      <c r="IR133">
        <v>17</v>
      </c>
      <c r="IS133">
        <v>2272</v>
      </c>
      <c r="IT133">
        <v>1</v>
      </c>
      <c r="IU133">
        <v>31</v>
      </c>
      <c r="IV133">
        <v>12.9</v>
      </c>
      <c r="IW133">
        <v>13.2</v>
      </c>
      <c r="IX133">
        <v>2.96875</v>
      </c>
      <c r="IY133">
        <v>2.18628</v>
      </c>
      <c r="IZ133">
        <v>1.39648</v>
      </c>
      <c r="JA133">
        <v>2.35352</v>
      </c>
      <c r="JB133">
        <v>1.49536</v>
      </c>
      <c r="JC133">
        <v>2.37793</v>
      </c>
      <c r="JD133">
        <v>36.4343</v>
      </c>
      <c r="JE133">
        <v>15.3316</v>
      </c>
      <c r="JF133">
        <v>18</v>
      </c>
      <c r="JG133">
        <v>386.152</v>
      </c>
      <c r="JH133">
        <v>574.264</v>
      </c>
      <c r="JI133">
        <v>29.4814</v>
      </c>
      <c r="JJ133">
        <v>30.4715</v>
      </c>
      <c r="JK133">
        <v>29.9999</v>
      </c>
      <c r="JL133">
        <v>30.402</v>
      </c>
      <c r="JM133">
        <v>30.3051</v>
      </c>
      <c r="JN133">
        <v>59.5377</v>
      </c>
      <c r="JO133">
        <v>23.5718</v>
      </c>
      <c r="JP133">
        <v>0</v>
      </c>
      <c r="JQ133">
        <v>29.4446</v>
      </c>
      <c r="JR133">
        <v>1557.08</v>
      </c>
      <c r="JS133">
        <v>19.7904</v>
      </c>
      <c r="JT133">
        <v>100.009</v>
      </c>
      <c r="JU133">
        <v>100.119</v>
      </c>
    </row>
    <row r="134" spans="1:281">
      <c r="A134">
        <v>118</v>
      </c>
      <c r="B134">
        <v>1652372071.5</v>
      </c>
      <c r="C134">
        <v>3977.900000095367</v>
      </c>
      <c r="D134" t="s">
        <v>703</v>
      </c>
      <c r="E134" t="s">
        <v>704</v>
      </c>
      <c r="F134">
        <v>5</v>
      </c>
      <c r="G134" t="s">
        <v>518</v>
      </c>
      <c r="H134" t="s">
        <v>414</v>
      </c>
      <c r="I134">
        <v>1652372063.714286</v>
      </c>
      <c r="J134">
        <f>(K134)/1000</f>
        <v>0</v>
      </c>
      <c r="K134">
        <f>IF(CZ134, AN134, AH134)</f>
        <v>0</v>
      </c>
      <c r="L134">
        <f>IF(CZ134, AI134, AG134)</f>
        <v>0</v>
      </c>
      <c r="M134">
        <f>DB134 - IF(AU134&gt;1, L134*CV134*100.0/(AW134*DP134), 0)</f>
        <v>0</v>
      </c>
      <c r="N134">
        <f>((T134-J134/2)*M134-L134)/(T134+J134/2)</f>
        <v>0</v>
      </c>
      <c r="O134">
        <f>N134*(DI134+DJ134)/1000.0</f>
        <v>0</v>
      </c>
      <c r="P134">
        <f>(DB134 - IF(AU134&gt;1, L134*CV134*100.0/(AW134*DP134), 0))*(DI134+DJ134)/1000.0</f>
        <v>0</v>
      </c>
      <c r="Q134">
        <f>2.0/((1/S134-1/R134)+SIGN(S134)*SQRT((1/S134-1/R134)*(1/S134-1/R134) + 4*CW134/((CW134+1)*(CW134+1))*(2*1/S134*1/R134-1/R134*1/R134)))</f>
        <v>0</v>
      </c>
      <c r="R134">
        <f>IF(LEFT(CX134,1)&lt;&gt;"0",IF(LEFT(CX134,1)="1",3.0,CY134),$D$5+$E$5*(DP134*DI134/($K$5*1000))+$F$5*(DP134*DI134/($K$5*1000))*MAX(MIN(CV134,$J$5),$I$5)*MAX(MIN(CV134,$J$5),$I$5)+$G$5*MAX(MIN(CV134,$J$5),$I$5)*(DP134*DI134/($K$5*1000))+$H$5*(DP134*DI134/($K$5*1000))*(DP134*DI134/($K$5*1000)))</f>
        <v>0</v>
      </c>
      <c r="S134">
        <f>J134*(1000-(1000*0.61365*exp(17.502*W134/(240.97+W134))/(DI134+DJ134)+DD134)/2)/(1000*0.61365*exp(17.502*W134/(240.97+W134))/(DI134+DJ134)-DD134)</f>
        <v>0</v>
      </c>
      <c r="T134">
        <f>1/((CW134+1)/(Q134/1.6)+1/(R134/1.37)) + CW134/((CW134+1)/(Q134/1.6) + CW134/(R134/1.37))</f>
        <v>0</v>
      </c>
      <c r="U134">
        <f>(CR134*CU134)</f>
        <v>0</v>
      </c>
      <c r="V134">
        <f>(DK134+(U134+2*0.95*5.67E-8*(((DK134+$B$7)+273)^4-(DK134+273)^4)-44100*J134)/(1.84*29.3*R134+8*0.95*5.67E-8*(DK134+273)^3))</f>
        <v>0</v>
      </c>
      <c r="W134">
        <f>($C$7*DL134+$D$7*DM134+$E$7*V134)</f>
        <v>0</v>
      </c>
      <c r="X134">
        <f>0.61365*exp(17.502*W134/(240.97+W134))</f>
        <v>0</v>
      </c>
      <c r="Y134">
        <f>(Z134/AA134*100)</f>
        <v>0</v>
      </c>
      <c r="Z134">
        <f>DD134*(DI134+DJ134)/1000</f>
        <v>0</v>
      </c>
      <c r="AA134">
        <f>0.61365*exp(17.502*DK134/(240.97+DK134))</f>
        <v>0</v>
      </c>
      <c r="AB134">
        <f>(X134-DD134*(DI134+DJ134)/1000)</f>
        <v>0</v>
      </c>
      <c r="AC134">
        <f>(-J134*44100)</f>
        <v>0</v>
      </c>
      <c r="AD134">
        <f>2*29.3*R134*0.92*(DK134-W134)</f>
        <v>0</v>
      </c>
      <c r="AE134">
        <f>2*0.95*5.67E-8*(((DK134+$B$7)+273)^4-(W134+273)^4)</f>
        <v>0</v>
      </c>
      <c r="AF134">
        <f>U134+AE134+AC134+AD134</f>
        <v>0</v>
      </c>
      <c r="AG134">
        <f>DH134*AU134*(DC134-DB134*(1000-AU134*DE134)/(1000-AU134*DD134))/(100*CV134)</f>
        <v>0</v>
      </c>
      <c r="AH134">
        <f>1000*DH134*AU134*(DD134-DE134)/(100*CV134*(1000-AU134*DD134))</f>
        <v>0</v>
      </c>
      <c r="AI134">
        <f>(AJ134 - AK134 - DI134*1E3/(8.314*(DK134+273.15)) * AM134/DH134 * AL134) * DH134/(100*CV134) * (1000 - DE134)/1000</f>
        <v>0</v>
      </c>
      <c r="AJ134">
        <v>1572.428727219427</v>
      </c>
      <c r="AK134">
        <v>1499.990424242424</v>
      </c>
      <c r="AL134">
        <v>3.353067634399541</v>
      </c>
      <c r="AM134">
        <v>65.95105977519088</v>
      </c>
      <c r="AN134">
        <f>(AP134 - AO134 + DI134*1E3/(8.314*(DK134+273.15)) * AR134/DH134 * AQ134) * DH134/(100*CV134) * 1000/(1000 - AP134)</f>
        <v>0</v>
      </c>
      <c r="AO134">
        <v>19.68269677691011</v>
      </c>
      <c r="AP134">
        <v>24.4230160839161</v>
      </c>
      <c r="AQ134">
        <v>0.005513390854887019</v>
      </c>
      <c r="AR134">
        <v>81.26040297655408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MAX(0,($B$13+$C$13*DP134)/(1+$D$13*DP134)*DI134/(DK134+273)*$E$13)</f>
        <v>0</v>
      </c>
      <c r="AX134" t="s">
        <v>417</v>
      </c>
      <c r="AY134" t="s">
        <v>417</v>
      </c>
      <c r="AZ134">
        <v>0</v>
      </c>
      <c r="BA134">
        <v>0</v>
      </c>
      <c r="BB134">
        <f>1-AZ134/BA134</f>
        <v>0</v>
      </c>
      <c r="BC134">
        <v>0</v>
      </c>
      <c r="BD134" t="s">
        <v>417</v>
      </c>
      <c r="BE134" t="s">
        <v>417</v>
      </c>
      <c r="BF134">
        <v>0</v>
      </c>
      <c r="BG134">
        <v>0</v>
      </c>
      <c r="BH134">
        <f>1-BF134/BG134</f>
        <v>0</v>
      </c>
      <c r="BI134">
        <v>0.5</v>
      </c>
      <c r="BJ134">
        <f>CS134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417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1393</v>
      </c>
      <c r="CA134">
        <v>300</v>
      </c>
      <c r="CB134">
        <v>300</v>
      </c>
      <c r="CC134">
        <v>300</v>
      </c>
      <c r="CD134">
        <v>10378</v>
      </c>
      <c r="CE134">
        <v>2050</v>
      </c>
      <c r="CF134">
        <v>-0.00730649</v>
      </c>
      <c r="CG134">
        <v>-4.53</v>
      </c>
      <c r="CH134" t="s">
        <v>417</v>
      </c>
      <c r="CI134" t="s">
        <v>417</v>
      </c>
      <c r="CJ134" t="s">
        <v>417</v>
      </c>
      <c r="CK134" t="s">
        <v>417</v>
      </c>
      <c r="CL134" t="s">
        <v>417</v>
      </c>
      <c r="CM134" t="s">
        <v>417</v>
      </c>
      <c r="CN134" t="s">
        <v>417</v>
      </c>
      <c r="CO134" t="s">
        <v>417</v>
      </c>
      <c r="CP134" t="s">
        <v>417</v>
      </c>
      <c r="CQ134" t="s">
        <v>417</v>
      </c>
      <c r="CR134">
        <f>$B$11*DQ134+$C$11*DR134+$F$11*EC134*(1-EF134)</f>
        <v>0</v>
      </c>
      <c r="CS134">
        <f>CR134*CT134</f>
        <v>0</v>
      </c>
      <c r="CT134">
        <f>($B$11*$D$9+$C$11*$D$9+$F$11*((EP134+EH134)/MAX(EP134+EH134+EQ134, 0.1)*$I$9+EQ134/MAX(EP134+EH134+EQ134, 0.1)*$J$9))/($B$11+$C$11+$F$11)</f>
        <v>0</v>
      </c>
      <c r="CU134">
        <f>($B$11*$K$9+$C$11*$K$9+$F$11*((EP134+EH134)/MAX(EP134+EH134+EQ134, 0.1)*$P$9+EQ134/MAX(EP134+EH134+EQ134, 0.1)*$Q$9))/($B$11+$C$11+$F$11)</f>
        <v>0</v>
      </c>
      <c r="CV134">
        <v>6</v>
      </c>
      <c r="CW134">
        <v>0.5</v>
      </c>
      <c r="CX134" t="s">
        <v>418</v>
      </c>
      <c r="CY134">
        <v>2</v>
      </c>
      <c r="CZ134" t="b">
        <v>1</v>
      </c>
      <c r="DA134">
        <v>1652372063.714286</v>
      </c>
      <c r="DB134">
        <v>1439.3025</v>
      </c>
      <c r="DC134">
        <v>1528.506428571429</v>
      </c>
      <c r="DD134">
        <v>24.39999642857143</v>
      </c>
      <c r="DE134">
        <v>19.61025357142857</v>
      </c>
      <c r="DF134">
        <v>1441.486071428571</v>
      </c>
      <c r="DG134">
        <v>24.35757857142857</v>
      </c>
      <c r="DH134">
        <v>400.0637857142857</v>
      </c>
      <c r="DI134">
        <v>90.4063</v>
      </c>
      <c r="DJ134">
        <v>0.09995469285714287</v>
      </c>
      <c r="DK134">
        <v>30.86908928571428</v>
      </c>
      <c r="DL134">
        <v>30.01658928571429</v>
      </c>
      <c r="DM134">
        <v>999.9000000000002</v>
      </c>
      <c r="DN134">
        <v>0</v>
      </c>
      <c r="DO134">
        <v>0</v>
      </c>
      <c r="DP134">
        <v>10001.34357142857</v>
      </c>
      <c r="DQ134">
        <v>0</v>
      </c>
      <c r="DR134">
        <v>841.2915357142857</v>
      </c>
      <c r="DS134">
        <v>-89.20421071428571</v>
      </c>
      <c r="DT134">
        <v>1475.3</v>
      </c>
      <c r="DU134">
        <v>1559.081071428571</v>
      </c>
      <c r="DV134">
        <v>4.789735714285714</v>
      </c>
      <c r="DW134">
        <v>1528.506428571429</v>
      </c>
      <c r="DX134">
        <v>19.61025357142857</v>
      </c>
      <c r="DY134">
        <v>2.205912142857143</v>
      </c>
      <c r="DZ134">
        <v>1.77289</v>
      </c>
      <c r="EA134">
        <v>19.00531785714285</v>
      </c>
      <c r="EB134">
        <v>15.54967142857143</v>
      </c>
      <c r="EC134">
        <v>1499.991071428571</v>
      </c>
      <c r="ED134">
        <v>0.973007857142857</v>
      </c>
      <c r="EE134">
        <v>0.02699204285714287</v>
      </c>
      <c r="EF134">
        <v>0</v>
      </c>
      <c r="EG134">
        <v>1018.588571428571</v>
      </c>
      <c r="EH134">
        <v>5.00097</v>
      </c>
      <c r="EI134">
        <v>16471.70714285714</v>
      </c>
      <c r="EJ134">
        <v>12491.54642857143</v>
      </c>
      <c r="EK134">
        <v>39.5</v>
      </c>
      <c r="EL134">
        <v>41.07549999999999</v>
      </c>
      <c r="EM134">
        <v>39.75</v>
      </c>
      <c r="EN134">
        <v>40.87275</v>
      </c>
      <c r="EO134">
        <v>40.68699999999999</v>
      </c>
      <c r="EP134">
        <v>1454.641071428571</v>
      </c>
      <c r="EQ134">
        <v>40.35</v>
      </c>
      <c r="ER134">
        <v>0</v>
      </c>
      <c r="ES134">
        <v>905.7999999523163</v>
      </c>
      <c r="ET134">
        <v>0</v>
      </c>
      <c r="EU134">
        <v>1018.778076923077</v>
      </c>
      <c r="EV134">
        <v>14.85572649537654</v>
      </c>
      <c r="EW134">
        <v>62.76923109901673</v>
      </c>
      <c r="EX134">
        <v>16472.3</v>
      </c>
      <c r="EY134">
        <v>15</v>
      </c>
      <c r="EZ134">
        <v>1652371289.6</v>
      </c>
      <c r="FA134" t="s">
        <v>515</v>
      </c>
      <c r="FB134">
        <v>1652371289.6</v>
      </c>
      <c r="FC134">
        <v>1652371275.1</v>
      </c>
      <c r="FD134">
        <v>24</v>
      </c>
      <c r="FE134">
        <v>0.442</v>
      </c>
      <c r="FF134">
        <v>0.001</v>
      </c>
      <c r="FG134">
        <v>-2.63</v>
      </c>
      <c r="FH134">
        <v>0.007</v>
      </c>
      <c r="FI134">
        <v>1620</v>
      </c>
      <c r="FJ134">
        <v>22</v>
      </c>
      <c r="FK134">
        <v>0.08</v>
      </c>
      <c r="FL134">
        <v>0.04</v>
      </c>
      <c r="FM134">
        <v>-89.12720749999998</v>
      </c>
      <c r="FN134">
        <v>-2.233372232645609</v>
      </c>
      <c r="FO134">
        <v>0.3638865753139979</v>
      </c>
      <c r="FP134">
        <v>-1</v>
      </c>
      <c r="FQ134">
        <v>4.835776249999999</v>
      </c>
      <c r="FR134">
        <v>-0.9580639024390366</v>
      </c>
      <c r="FS134">
        <v>0.09291554852895995</v>
      </c>
      <c r="FT134">
        <v>0</v>
      </c>
      <c r="FU134">
        <v>0</v>
      </c>
      <c r="FV134">
        <v>0</v>
      </c>
      <c r="FW134">
        <v>0</v>
      </c>
      <c r="FX134">
        <v>-1</v>
      </c>
      <c r="FY134">
        <v>0</v>
      </c>
      <c r="FZ134">
        <v>1</v>
      </c>
      <c r="GA134" t="s">
        <v>432</v>
      </c>
      <c r="GB134">
        <v>2.696</v>
      </c>
      <c r="GC134">
        <v>2.70526</v>
      </c>
      <c r="GD134">
        <v>0.21765</v>
      </c>
      <c r="GE134">
        <v>0.223272</v>
      </c>
      <c r="GF134">
        <v>0.107414</v>
      </c>
      <c r="GG134">
        <v>0.0910892</v>
      </c>
      <c r="GH134">
        <v>24604.9</v>
      </c>
      <c r="GI134">
        <v>24533.7</v>
      </c>
      <c r="GJ134">
        <v>29259</v>
      </c>
      <c r="GK134">
        <v>29232.7</v>
      </c>
      <c r="GL134">
        <v>34578</v>
      </c>
      <c r="GM134">
        <v>35368.1</v>
      </c>
      <c r="GN134">
        <v>41181.2</v>
      </c>
      <c r="GO134">
        <v>41708.5</v>
      </c>
      <c r="GP134">
        <v>1.7227</v>
      </c>
      <c r="GQ134">
        <v>2.04332</v>
      </c>
      <c r="GR134">
        <v>0.0810176</v>
      </c>
      <c r="GS134">
        <v>0</v>
      </c>
      <c r="GT134">
        <v>28.7091</v>
      </c>
      <c r="GU134">
        <v>999.9</v>
      </c>
      <c r="GV134">
        <v>44.9</v>
      </c>
      <c r="GW134">
        <v>32.9</v>
      </c>
      <c r="GX134">
        <v>24.9504</v>
      </c>
      <c r="GY134">
        <v>63.2979</v>
      </c>
      <c r="GZ134">
        <v>29.359</v>
      </c>
      <c r="HA134">
        <v>1</v>
      </c>
      <c r="HB134">
        <v>0.231961</v>
      </c>
      <c r="HC134">
        <v>0.261032</v>
      </c>
      <c r="HD134">
        <v>20.3819</v>
      </c>
      <c r="HE134">
        <v>5.21654</v>
      </c>
      <c r="HF134">
        <v>12.0099</v>
      </c>
      <c r="HG134">
        <v>4.9885</v>
      </c>
      <c r="HH134">
        <v>3.28842</v>
      </c>
      <c r="HI134">
        <v>2717.2</v>
      </c>
      <c r="HJ134">
        <v>9999</v>
      </c>
      <c r="HK134">
        <v>9999</v>
      </c>
      <c r="HL134">
        <v>50</v>
      </c>
      <c r="HM134">
        <v>1.86722</v>
      </c>
      <c r="HN134">
        <v>1.86616</v>
      </c>
      <c r="HO134">
        <v>1.86581</v>
      </c>
      <c r="HP134">
        <v>1.86569</v>
      </c>
      <c r="HQ134">
        <v>1.86745</v>
      </c>
      <c r="HR134">
        <v>1.86997</v>
      </c>
      <c r="HS134">
        <v>1.86866</v>
      </c>
      <c r="HT134">
        <v>1.86998</v>
      </c>
      <c r="HU134">
        <v>0</v>
      </c>
      <c r="HV134">
        <v>0</v>
      </c>
      <c r="HW134">
        <v>0</v>
      </c>
      <c r="HX134">
        <v>0</v>
      </c>
      <c r="HY134" t="s">
        <v>421</v>
      </c>
      <c r="HZ134" t="s">
        <v>422</v>
      </c>
      <c r="IA134" t="s">
        <v>423</v>
      </c>
      <c r="IB134" t="s">
        <v>423</v>
      </c>
      <c r="IC134" t="s">
        <v>423</v>
      </c>
      <c r="ID134" t="s">
        <v>423</v>
      </c>
      <c r="IE134">
        <v>0</v>
      </c>
      <c r="IF134">
        <v>100</v>
      </c>
      <c r="IG134">
        <v>100</v>
      </c>
      <c r="IH134">
        <v>-2.25</v>
      </c>
      <c r="II134">
        <v>0.0427</v>
      </c>
      <c r="IJ134">
        <v>1.257309091789605</v>
      </c>
      <c r="IK134">
        <v>-0.002185601614162945</v>
      </c>
      <c r="IL134">
        <v>-2.252308143750626E-07</v>
      </c>
      <c r="IM134">
        <v>5.915558436307541E-11</v>
      </c>
      <c r="IN134">
        <v>-0.118683452207699</v>
      </c>
      <c r="IO134">
        <v>-0.007570214193104963</v>
      </c>
      <c r="IP134">
        <v>0.0009214429922928372</v>
      </c>
      <c r="IQ134">
        <v>-1.392260276065805E-05</v>
      </c>
      <c r="IR134">
        <v>17</v>
      </c>
      <c r="IS134">
        <v>2272</v>
      </c>
      <c r="IT134">
        <v>1</v>
      </c>
      <c r="IU134">
        <v>31</v>
      </c>
      <c r="IV134">
        <v>13</v>
      </c>
      <c r="IW134">
        <v>13.3</v>
      </c>
      <c r="IX134">
        <v>2.99927</v>
      </c>
      <c r="IY134">
        <v>2.19116</v>
      </c>
      <c r="IZ134">
        <v>1.39648</v>
      </c>
      <c r="JA134">
        <v>2.35474</v>
      </c>
      <c r="JB134">
        <v>1.49536</v>
      </c>
      <c r="JC134">
        <v>2.36694</v>
      </c>
      <c r="JD134">
        <v>36.4343</v>
      </c>
      <c r="JE134">
        <v>15.3316</v>
      </c>
      <c r="JF134">
        <v>18</v>
      </c>
      <c r="JG134">
        <v>386.083</v>
      </c>
      <c r="JH134">
        <v>574.569</v>
      </c>
      <c r="JI134">
        <v>29.4557</v>
      </c>
      <c r="JJ134">
        <v>30.4695</v>
      </c>
      <c r="JK134">
        <v>30.0002</v>
      </c>
      <c r="JL134">
        <v>30.4014</v>
      </c>
      <c r="JM134">
        <v>30.3051</v>
      </c>
      <c r="JN134">
        <v>60.0128</v>
      </c>
      <c r="JO134">
        <v>23.2808</v>
      </c>
      <c r="JP134">
        <v>0</v>
      </c>
      <c r="JQ134">
        <v>29.4207</v>
      </c>
      <c r="JR134">
        <v>1570.44</v>
      </c>
      <c r="JS134">
        <v>19.8648</v>
      </c>
      <c r="JT134">
        <v>100.01</v>
      </c>
      <c r="JU134">
        <v>100.119</v>
      </c>
    </row>
    <row r="135" spans="1:281">
      <c r="A135">
        <v>119</v>
      </c>
      <c r="B135">
        <v>1652372076</v>
      </c>
      <c r="C135">
        <v>3982.400000095367</v>
      </c>
      <c r="D135" t="s">
        <v>705</v>
      </c>
      <c r="E135" t="s">
        <v>706</v>
      </c>
      <c r="F135">
        <v>5</v>
      </c>
      <c r="G135" t="s">
        <v>518</v>
      </c>
      <c r="H135" t="s">
        <v>414</v>
      </c>
      <c r="I135">
        <v>1652372068.160714</v>
      </c>
      <c r="J135">
        <f>(K135)/1000</f>
        <v>0</v>
      </c>
      <c r="K135">
        <f>IF(CZ135, AN135, AH135)</f>
        <v>0</v>
      </c>
      <c r="L135">
        <f>IF(CZ135, AI135, AG135)</f>
        <v>0</v>
      </c>
      <c r="M135">
        <f>DB135 - IF(AU135&gt;1, L135*CV135*100.0/(AW135*DP135), 0)</f>
        <v>0</v>
      </c>
      <c r="N135">
        <f>((T135-J135/2)*M135-L135)/(T135+J135/2)</f>
        <v>0</v>
      </c>
      <c r="O135">
        <f>N135*(DI135+DJ135)/1000.0</f>
        <v>0</v>
      </c>
      <c r="P135">
        <f>(DB135 - IF(AU135&gt;1, L135*CV135*100.0/(AW135*DP135), 0))*(DI135+DJ135)/1000.0</f>
        <v>0</v>
      </c>
      <c r="Q135">
        <f>2.0/((1/S135-1/R135)+SIGN(S135)*SQRT((1/S135-1/R135)*(1/S135-1/R135) + 4*CW135/((CW135+1)*(CW135+1))*(2*1/S135*1/R135-1/R135*1/R135)))</f>
        <v>0</v>
      </c>
      <c r="R135">
        <f>IF(LEFT(CX135,1)&lt;&gt;"0",IF(LEFT(CX135,1)="1",3.0,CY135),$D$5+$E$5*(DP135*DI135/($K$5*1000))+$F$5*(DP135*DI135/($K$5*1000))*MAX(MIN(CV135,$J$5),$I$5)*MAX(MIN(CV135,$J$5),$I$5)+$G$5*MAX(MIN(CV135,$J$5),$I$5)*(DP135*DI135/($K$5*1000))+$H$5*(DP135*DI135/($K$5*1000))*(DP135*DI135/($K$5*1000)))</f>
        <v>0</v>
      </c>
      <c r="S135">
        <f>J135*(1000-(1000*0.61365*exp(17.502*W135/(240.97+W135))/(DI135+DJ135)+DD135)/2)/(1000*0.61365*exp(17.502*W135/(240.97+W135))/(DI135+DJ135)-DD135)</f>
        <v>0</v>
      </c>
      <c r="T135">
        <f>1/((CW135+1)/(Q135/1.6)+1/(R135/1.37)) + CW135/((CW135+1)/(Q135/1.6) + CW135/(R135/1.37))</f>
        <v>0</v>
      </c>
      <c r="U135">
        <f>(CR135*CU135)</f>
        <v>0</v>
      </c>
      <c r="V135">
        <f>(DK135+(U135+2*0.95*5.67E-8*(((DK135+$B$7)+273)^4-(DK135+273)^4)-44100*J135)/(1.84*29.3*R135+8*0.95*5.67E-8*(DK135+273)^3))</f>
        <v>0</v>
      </c>
      <c r="W135">
        <f>($C$7*DL135+$D$7*DM135+$E$7*V135)</f>
        <v>0</v>
      </c>
      <c r="X135">
        <f>0.61365*exp(17.502*W135/(240.97+W135))</f>
        <v>0</v>
      </c>
      <c r="Y135">
        <f>(Z135/AA135*100)</f>
        <v>0</v>
      </c>
      <c r="Z135">
        <f>DD135*(DI135+DJ135)/1000</f>
        <v>0</v>
      </c>
      <c r="AA135">
        <f>0.61365*exp(17.502*DK135/(240.97+DK135))</f>
        <v>0</v>
      </c>
      <c r="AB135">
        <f>(X135-DD135*(DI135+DJ135)/1000)</f>
        <v>0</v>
      </c>
      <c r="AC135">
        <f>(-J135*44100)</f>
        <v>0</v>
      </c>
      <c r="AD135">
        <f>2*29.3*R135*0.92*(DK135-W135)</f>
        <v>0</v>
      </c>
      <c r="AE135">
        <f>2*0.95*5.67E-8*(((DK135+$B$7)+273)^4-(W135+273)^4)</f>
        <v>0</v>
      </c>
      <c r="AF135">
        <f>U135+AE135+AC135+AD135</f>
        <v>0</v>
      </c>
      <c r="AG135">
        <f>DH135*AU135*(DC135-DB135*(1000-AU135*DE135)/(1000-AU135*DD135))/(100*CV135)</f>
        <v>0</v>
      </c>
      <c r="AH135">
        <f>1000*DH135*AU135*(DD135-DE135)/(100*CV135*(1000-AU135*DD135))</f>
        <v>0</v>
      </c>
      <c r="AI135">
        <f>(AJ135 - AK135 - DI135*1E3/(8.314*(DK135+273.15)) * AM135/DH135 * AL135) * DH135/(100*CV135) * (1000 - DE135)/1000</f>
        <v>0</v>
      </c>
      <c r="AJ135">
        <v>1588.451355086237</v>
      </c>
      <c r="AK135">
        <v>1515.413151515151</v>
      </c>
      <c r="AL135">
        <v>3.436527441283012</v>
      </c>
      <c r="AM135">
        <v>65.95105977519088</v>
      </c>
      <c r="AN135">
        <f>(AP135 - AO135 + DI135*1E3/(8.314*(DK135+273.15)) * AR135/DH135 * AQ135) * DH135/(100*CV135) * 1000/(1000 - AP135)</f>
        <v>0</v>
      </c>
      <c r="AO135">
        <v>19.72373521488935</v>
      </c>
      <c r="AP135">
        <v>24.42470139860142</v>
      </c>
      <c r="AQ135">
        <v>0.0007262589799987534</v>
      </c>
      <c r="AR135">
        <v>81.26040297655408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MAX(0,($B$13+$C$13*DP135)/(1+$D$13*DP135)*DI135/(DK135+273)*$E$13)</f>
        <v>0</v>
      </c>
      <c r="AX135" t="s">
        <v>417</v>
      </c>
      <c r="AY135" t="s">
        <v>417</v>
      </c>
      <c r="AZ135">
        <v>0</v>
      </c>
      <c r="BA135">
        <v>0</v>
      </c>
      <c r="BB135">
        <f>1-AZ135/BA135</f>
        <v>0</v>
      </c>
      <c r="BC135">
        <v>0</v>
      </c>
      <c r="BD135" t="s">
        <v>417</v>
      </c>
      <c r="BE135" t="s">
        <v>417</v>
      </c>
      <c r="BF135">
        <v>0</v>
      </c>
      <c r="BG135">
        <v>0</v>
      </c>
      <c r="BH135">
        <f>1-BF135/BG135</f>
        <v>0</v>
      </c>
      <c r="BI135">
        <v>0.5</v>
      </c>
      <c r="BJ135">
        <f>CS135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417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1393</v>
      </c>
      <c r="CA135">
        <v>300</v>
      </c>
      <c r="CB135">
        <v>300</v>
      </c>
      <c r="CC135">
        <v>300</v>
      </c>
      <c r="CD135">
        <v>10378</v>
      </c>
      <c r="CE135">
        <v>2050</v>
      </c>
      <c r="CF135">
        <v>-0.00730649</v>
      </c>
      <c r="CG135">
        <v>-4.53</v>
      </c>
      <c r="CH135" t="s">
        <v>417</v>
      </c>
      <c r="CI135" t="s">
        <v>417</v>
      </c>
      <c r="CJ135" t="s">
        <v>417</v>
      </c>
      <c r="CK135" t="s">
        <v>417</v>
      </c>
      <c r="CL135" t="s">
        <v>417</v>
      </c>
      <c r="CM135" t="s">
        <v>417</v>
      </c>
      <c r="CN135" t="s">
        <v>417</v>
      </c>
      <c r="CO135" t="s">
        <v>417</v>
      </c>
      <c r="CP135" t="s">
        <v>417</v>
      </c>
      <c r="CQ135" t="s">
        <v>417</v>
      </c>
      <c r="CR135">
        <f>$B$11*DQ135+$C$11*DR135+$F$11*EC135*(1-EF135)</f>
        <v>0</v>
      </c>
      <c r="CS135">
        <f>CR135*CT135</f>
        <v>0</v>
      </c>
      <c r="CT135">
        <f>($B$11*$D$9+$C$11*$D$9+$F$11*((EP135+EH135)/MAX(EP135+EH135+EQ135, 0.1)*$I$9+EQ135/MAX(EP135+EH135+EQ135, 0.1)*$J$9))/($B$11+$C$11+$F$11)</f>
        <v>0</v>
      </c>
      <c r="CU135">
        <f>($B$11*$K$9+$C$11*$K$9+$F$11*((EP135+EH135)/MAX(EP135+EH135+EQ135, 0.1)*$P$9+EQ135/MAX(EP135+EH135+EQ135, 0.1)*$Q$9))/($B$11+$C$11+$F$11)</f>
        <v>0</v>
      </c>
      <c r="CV135">
        <v>6</v>
      </c>
      <c r="CW135">
        <v>0.5</v>
      </c>
      <c r="CX135" t="s">
        <v>418</v>
      </c>
      <c r="CY135">
        <v>2</v>
      </c>
      <c r="CZ135" t="b">
        <v>1</v>
      </c>
      <c r="DA135">
        <v>1652372068.160714</v>
      </c>
      <c r="DB135">
        <v>1453.997142857143</v>
      </c>
      <c r="DC135">
        <v>1543.567857142857</v>
      </c>
      <c r="DD135">
        <v>24.41061071428572</v>
      </c>
      <c r="DE135">
        <v>19.68026785714286</v>
      </c>
      <c r="DF135">
        <v>1456.218214285714</v>
      </c>
      <c r="DG135">
        <v>24.36806428571429</v>
      </c>
      <c r="DH135">
        <v>400.0681071428571</v>
      </c>
      <c r="DI135">
        <v>90.40562500000001</v>
      </c>
      <c r="DJ135">
        <v>0.1000050607142857</v>
      </c>
      <c r="DK135">
        <v>30.86962142857143</v>
      </c>
      <c r="DL135">
        <v>30.02454642857143</v>
      </c>
      <c r="DM135">
        <v>999.9000000000002</v>
      </c>
      <c r="DN135">
        <v>0</v>
      </c>
      <c r="DO135">
        <v>0</v>
      </c>
      <c r="DP135">
        <v>10003.30678571429</v>
      </c>
      <c r="DQ135">
        <v>0</v>
      </c>
      <c r="DR135">
        <v>827.1745357142856</v>
      </c>
      <c r="DS135">
        <v>-89.57106071428572</v>
      </c>
      <c r="DT135">
        <v>1490.378928571429</v>
      </c>
      <c r="DU135">
        <v>1574.556428571429</v>
      </c>
      <c r="DV135">
        <v>4.730335714285714</v>
      </c>
      <c r="DW135">
        <v>1543.567857142857</v>
      </c>
      <c r="DX135">
        <v>19.68026785714286</v>
      </c>
      <c r="DY135">
        <v>2.206854642857143</v>
      </c>
      <c r="DZ135">
        <v>1.779206071428572</v>
      </c>
      <c r="EA135">
        <v>19.01216785714286</v>
      </c>
      <c r="EB135">
        <v>15.60522857142857</v>
      </c>
      <c r="EC135">
        <v>1499.993214285714</v>
      </c>
      <c r="ED135">
        <v>0.973007107142857</v>
      </c>
      <c r="EE135">
        <v>0.02699277857142858</v>
      </c>
      <c r="EF135">
        <v>0</v>
      </c>
      <c r="EG135">
        <v>1019.738928571429</v>
      </c>
      <c r="EH135">
        <v>5.00097</v>
      </c>
      <c r="EI135">
        <v>16480.23214285714</v>
      </c>
      <c r="EJ135">
        <v>12491.56785714286</v>
      </c>
      <c r="EK135">
        <v>39.5</v>
      </c>
      <c r="EL135">
        <v>41.0935</v>
      </c>
      <c r="EM135">
        <v>39.75</v>
      </c>
      <c r="EN135">
        <v>40.86825</v>
      </c>
      <c r="EO135">
        <v>40.68699999999999</v>
      </c>
      <c r="EP135">
        <v>1454.641785714286</v>
      </c>
      <c r="EQ135">
        <v>40.35107142857142</v>
      </c>
      <c r="ER135">
        <v>0</v>
      </c>
      <c r="ES135">
        <v>910</v>
      </c>
      <c r="ET135">
        <v>0</v>
      </c>
      <c r="EU135">
        <v>1019.9456</v>
      </c>
      <c r="EV135">
        <v>14.93153843527998</v>
      </c>
      <c r="EW135">
        <v>173.9076923832071</v>
      </c>
      <c r="EX135">
        <v>16482.096</v>
      </c>
      <c r="EY135">
        <v>15</v>
      </c>
      <c r="EZ135">
        <v>1652371289.6</v>
      </c>
      <c r="FA135" t="s">
        <v>515</v>
      </c>
      <c r="FB135">
        <v>1652371289.6</v>
      </c>
      <c r="FC135">
        <v>1652371275.1</v>
      </c>
      <c r="FD135">
        <v>24</v>
      </c>
      <c r="FE135">
        <v>0.442</v>
      </c>
      <c r="FF135">
        <v>0.001</v>
      </c>
      <c r="FG135">
        <v>-2.63</v>
      </c>
      <c r="FH135">
        <v>0.007</v>
      </c>
      <c r="FI135">
        <v>1620</v>
      </c>
      <c r="FJ135">
        <v>22</v>
      </c>
      <c r="FK135">
        <v>0.08</v>
      </c>
      <c r="FL135">
        <v>0.04</v>
      </c>
      <c r="FM135">
        <v>-89.35219499999999</v>
      </c>
      <c r="FN135">
        <v>-4.152670919324416</v>
      </c>
      <c r="FO135">
        <v>0.4747868895357155</v>
      </c>
      <c r="FP135">
        <v>-1</v>
      </c>
      <c r="FQ135">
        <v>4.76678225</v>
      </c>
      <c r="FR135">
        <v>-0.8081983114446574</v>
      </c>
      <c r="FS135">
        <v>0.07960375052368768</v>
      </c>
      <c r="FT135">
        <v>0</v>
      </c>
      <c r="FU135">
        <v>0</v>
      </c>
      <c r="FV135">
        <v>0</v>
      </c>
      <c r="FW135">
        <v>0</v>
      </c>
      <c r="FX135">
        <v>-1</v>
      </c>
      <c r="FY135">
        <v>0</v>
      </c>
      <c r="FZ135">
        <v>1</v>
      </c>
      <c r="GA135" t="s">
        <v>432</v>
      </c>
      <c r="GB135">
        <v>2.69592</v>
      </c>
      <c r="GC135">
        <v>2.70514</v>
      </c>
      <c r="GD135">
        <v>0.219004</v>
      </c>
      <c r="GE135">
        <v>0.224532</v>
      </c>
      <c r="GF135">
        <v>0.107416</v>
      </c>
      <c r="GG135">
        <v>0.09126620000000001</v>
      </c>
      <c r="GH135">
        <v>24562.2</v>
      </c>
      <c r="GI135">
        <v>24493.7</v>
      </c>
      <c r="GJ135">
        <v>29258.9</v>
      </c>
      <c r="GK135">
        <v>29232.5</v>
      </c>
      <c r="GL135">
        <v>34577.6</v>
      </c>
      <c r="GM135">
        <v>35360.8</v>
      </c>
      <c r="GN135">
        <v>41180.9</v>
      </c>
      <c r="GO135">
        <v>41708.1</v>
      </c>
      <c r="GP135">
        <v>1.72272</v>
      </c>
      <c r="GQ135">
        <v>2.04335</v>
      </c>
      <c r="GR135">
        <v>0.081487</v>
      </c>
      <c r="GS135">
        <v>0</v>
      </c>
      <c r="GT135">
        <v>28.7038</v>
      </c>
      <c r="GU135">
        <v>999.9</v>
      </c>
      <c r="GV135">
        <v>44.9</v>
      </c>
      <c r="GW135">
        <v>32.9</v>
      </c>
      <c r="GX135">
        <v>24.9523</v>
      </c>
      <c r="GY135">
        <v>63.1579</v>
      </c>
      <c r="GZ135">
        <v>29.1546</v>
      </c>
      <c r="HA135">
        <v>1</v>
      </c>
      <c r="HB135">
        <v>0.232233</v>
      </c>
      <c r="HC135">
        <v>0.311258</v>
      </c>
      <c r="HD135">
        <v>20.3814</v>
      </c>
      <c r="HE135">
        <v>5.21654</v>
      </c>
      <c r="HF135">
        <v>12.0099</v>
      </c>
      <c r="HG135">
        <v>4.9882</v>
      </c>
      <c r="HH135">
        <v>3.28823</v>
      </c>
      <c r="HI135">
        <v>2717.5</v>
      </c>
      <c r="HJ135">
        <v>9999</v>
      </c>
      <c r="HK135">
        <v>9999</v>
      </c>
      <c r="HL135">
        <v>50</v>
      </c>
      <c r="HM135">
        <v>1.86722</v>
      </c>
      <c r="HN135">
        <v>1.86616</v>
      </c>
      <c r="HO135">
        <v>1.86578</v>
      </c>
      <c r="HP135">
        <v>1.86569</v>
      </c>
      <c r="HQ135">
        <v>1.86744</v>
      </c>
      <c r="HR135">
        <v>1.86998</v>
      </c>
      <c r="HS135">
        <v>1.86866</v>
      </c>
      <c r="HT135">
        <v>1.86999</v>
      </c>
      <c r="HU135">
        <v>0</v>
      </c>
      <c r="HV135">
        <v>0</v>
      </c>
      <c r="HW135">
        <v>0</v>
      </c>
      <c r="HX135">
        <v>0</v>
      </c>
      <c r="HY135" t="s">
        <v>421</v>
      </c>
      <c r="HZ135" t="s">
        <v>422</v>
      </c>
      <c r="IA135" t="s">
        <v>423</v>
      </c>
      <c r="IB135" t="s">
        <v>423</v>
      </c>
      <c r="IC135" t="s">
        <v>423</v>
      </c>
      <c r="ID135" t="s">
        <v>423</v>
      </c>
      <c r="IE135">
        <v>0</v>
      </c>
      <c r="IF135">
        <v>100</v>
      </c>
      <c r="IG135">
        <v>100</v>
      </c>
      <c r="IH135">
        <v>-2.29</v>
      </c>
      <c r="II135">
        <v>0.0428</v>
      </c>
      <c r="IJ135">
        <v>1.257309091789605</v>
      </c>
      <c r="IK135">
        <v>-0.002185601614162945</v>
      </c>
      <c r="IL135">
        <v>-2.252308143750626E-07</v>
      </c>
      <c r="IM135">
        <v>5.915558436307541E-11</v>
      </c>
      <c r="IN135">
        <v>-0.118683452207699</v>
      </c>
      <c r="IO135">
        <v>-0.007570214193104963</v>
      </c>
      <c r="IP135">
        <v>0.0009214429922928372</v>
      </c>
      <c r="IQ135">
        <v>-1.392260276065805E-05</v>
      </c>
      <c r="IR135">
        <v>17</v>
      </c>
      <c r="IS135">
        <v>2272</v>
      </c>
      <c r="IT135">
        <v>1</v>
      </c>
      <c r="IU135">
        <v>31</v>
      </c>
      <c r="IV135">
        <v>13.1</v>
      </c>
      <c r="IW135">
        <v>13.3</v>
      </c>
      <c r="IX135">
        <v>3.02002</v>
      </c>
      <c r="IY135">
        <v>2.1936</v>
      </c>
      <c r="IZ135">
        <v>1.39648</v>
      </c>
      <c r="JA135">
        <v>2.35352</v>
      </c>
      <c r="JB135">
        <v>1.49536</v>
      </c>
      <c r="JC135">
        <v>2.34985</v>
      </c>
      <c r="JD135">
        <v>36.4343</v>
      </c>
      <c r="JE135">
        <v>15.3316</v>
      </c>
      <c r="JF135">
        <v>18</v>
      </c>
      <c r="JG135">
        <v>386.084</v>
      </c>
      <c r="JH135">
        <v>574.5700000000001</v>
      </c>
      <c r="JI135">
        <v>29.4241</v>
      </c>
      <c r="JJ135">
        <v>30.4674</v>
      </c>
      <c r="JK135">
        <v>30.0003</v>
      </c>
      <c r="JL135">
        <v>30.3994</v>
      </c>
      <c r="JM135">
        <v>30.3031</v>
      </c>
      <c r="JN135">
        <v>60.4143</v>
      </c>
      <c r="JO135">
        <v>22.9839</v>
      </c>
      <c r="JP135">
        <v>0</v>
      </c>
      <c r="JQ135">
        <v>29.39</v>
      </c>
      <c r="JR135">
        <v>1590.48</v>
      </c>
      <c r="JS135">
        <v>19.9346</v>
      </c>
      <c r="JT135">
        <v>100.01</v>
      </c>
      <c r="JU135">
        <v>100.118</v>
      </c>
    </row>
    <row r="136" spans="1:281">
      <c r="A136">
        <v>120</v>
      </c>
      <c r="B136">
        <v>1652372081.5</v>
      </c>
      <c r="C136">
        <v>3987.900000095367</v>
      </c>
      <c r="D136" t="s">
        <v>707</v>
      </c>
      <c r="E136" t="s">
        <v>708</v>
      </c>
      <c r="F136">
        <v>5</v>
      </c>
      <c r="G136" t="s">
        <v>518</v>
      </c>
      <c r="H136" t="s">
        <v>414</v>
      </c>
      <c r="I136">
        <v>1652372073.732143</v>
      </c>
      <c r="J136">
        <f>(K136)/1000</f>
        <v>0</v>
      </c>
      <c r="K136">
        <f>IF(CZ136, AN136, AH136)</f>
        <v>0</v>
      </c>
      <c r="L136">
        <f>IF(CZ136, AI136, AG136)</f>
        <v>0</v>
      </c>
      <c r="M136">
        <f>DB136 - IF(AU136&gt;1, L136*CV136*100.0/(AW136*DP136), 0)</f>
        <v>0</v>
      </c>
      <c r="N136">
        <f>((T136-J136/2)*M136-L136)/(T136+J136/2)</f>
        <v>0</v>
      </c>
      <c r="O136">
        <f>N136*(DI136+DJ136)/1000.0</f>
        <v>0</v>
      </c>
      <c r="P136">
        <f>(DB136 - IF(AU136&gt;1, L136*CV136*100.0/(AW136*DP136), 0))*(DI136+DJ136)/1000.0</f>
        <v>0</v>
      </c>
      <c r="Q136">
        <f>2.0/((1/S136-1/R136)+SIGN(S136)*SQRT((1/S136-1/R136)*(1/S136-1/R136) + 4*CW136/((CW136+1)*(CW136+1))*(2*1/S136*1/R136-1/R136*1/R136)))</f>
        <v>0</v>
      </c>
      <c r="R136">
        <f>IF(LEFT(CX136,1)&lt;&gt;"0",IF(LEFT(CX136,1)="1",3.0,CY136),$D$5+$E$5*(DP136*DI136/($K$5*1000))+$F$5*(DP136*DI136/($K$5*1000))*MAX(MIN(CV136,$J$5),$I$5)*MAX(MIN(CV136,$J$5),$I$5)+$G$5*MAX(MIN(CV136,$J$5),$I$5)*(DP136*DI136/($K$5*1000))+$H$5*(DP136*DI136/($K$5*1000))*(DP136*DI136/($K$5*1000)))</f>
        <v>0</v>
      </c>
      <c r="S136">
        <f>J136*(1000-(1000*0.61365*exp(17.502*W136/(240.97+W136))/(DI136+DJ136)+DD136)/2)/(1000*0.61365*exp(17.502*W136/(240.97+W136))/(DI136+DJ136)-DD136)</f>
        <v>0</v>
      </c>
      <c r="T136">
        <f>1/((CW136+1)/(Q136/1.6)+1/(R136/1.37)) + CW136/((CW136+1)/(Q136/1.6) + CW136/(R136/1.37))</f>
        <v>0</v>
      </c>
      <c r="U136">
        <f>(CR136*CU136)</f>
        <v>0</v>
      </c>
      <c r="V136">
        <f>(DK136+(U136+2*0.95*5.67E-8*(((DK136+$B$7)+273)^4-(DK136+273)^4)-44100*J136)/(1.84*29.3*R136+8*0.95*5.67E-8*(DK136+273)^3))</f>
        <v>0</v>
      </c>
      <c r="W136">
        <f>($C$7*DL136+$D$7*DM136+$E$7*V136)</f>
        <v>0</v>
      </c>
      <c r="X136">
        <f>0.61365*exp(17.502*W136/(240.97+W136))</f>
        <v>0</v>
      </c>
      <c r="Y136">
        <f>(Z136/AA136*100)</f>
        <v>0</v>
      </c>
      <c r="Z136">
        <f>DD136*(DI136+DJ136)/1000</f>
        <v>0</v>
      </c>
      <c r="AA136">
        <f>0.61365*exp(17.502*DK136/(240.97+DK136))</f>
        <v>0</v>
      </c>
      <c r="AB136">
        <f>(X136-DD136*(DI136+DJ136)/1000)</f>
        <v>0</v>
      </c>
      <c r="AC136">
        <f>(-J136*44100)</f>
        <v>0</v>
      </c>
      <c r="AD136">
        <f>2*29.3*R136*0.92*(DK136-W136)</f>
        <v>0</v>
      </c>
      <c r="AE136">
        <f>2*0.95*5.67E-8*(((DK136+$B$7)+273)^4-(W136+273)^4)</f>
        <v>0</v>
      </c>
      <c r="AF136">
        <f>U136+AE136+AC136+AD136</f>
        <v>0</v>
      </c>
      <c r="AG136">
        <f>DH136*AU136*(DC136-DB136*(1000-AU136*DE136)/(1000-AU136*DD136))/(100*CV136)</f>
        <v>0</v>
      </c>
      <c r="AH136">
        <f>1000*DH136*AU136*(DD136-DE136)/(100*CV136*(1000-AU136*DD136))</f>
        <v>0</v>
      </c>
      <c r="AI136">
        <f>(AJ136 - AK136 - DI136*1E3/(8.314*(DK136+273.15)) * AM136/DH136 * AL136) * DH136/(100*CV136) * (1000 - DE136)/1000</f>
        <v>0</v>
      </c>
      <c r="AJ136">
        <v>1606.440121306306</v>
      </c>
      <c r="AK136">
        <v>1533.74206060606</v>
      </c>
      <c r="AL136">
        <v>3.304944038365297</v>
      </c>
      <c r="AM136">
        <v>65.95105977519088</v>
      </c>
      <c r="AN136">
        <f>(AP136 - AO136 + DI136*1E3/(8.314*(DK136+273.15)) * AR136/DH136 * AQ136) * DH136/(100*CV136) * 1000/(1000 - AP136)</f>
        <v>0</v>
      </c>
      <c r="AO136">
        <v>19.79435093422482</v>
      </c>
      <c r="AP136">
        <v>24.43422447552449</v>
      </c>
      <c r="AQ136">
        <v>0.0002469335583942055</v>
      </c>
      <c r="AR136">
        <v>81.26040297655408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MAX(0,($B$13+$C$13*DP136)/(1+$D$13*DP136)*DI136/(DK136+273)*$E$13)</f>
        <v>0</v>
      </c>
      <c r="AX136" t="s">
        <v>417</v>
      </c>
      <c r="AY136" t="s">
        <v>417</v>
      </c>
      <c r="AZ136">
        <v>0</v>
      </c>
      <c r="BA136">
        <v>0</v>
      </c>
      <c r="BB136">
        <f>1-AZ136/BA136</f>
        <v>0</v>
      </c>
      <c r="BC136">
        <v>0</v>
      </c>
      <c r="BD136" t="s">
        <v>417</v>
      </c>
      <c r="BE136" t="s">
        <v>417</v>
      </c>
      <c r="BF136">
        <v>0</v>
      </c>
      <c r="BG136">
        <v>0</v>
      </c>
      <c r="BH136">
        <f>1-BF136/BG136</f>
        <v>0</v>
      </c>
      <c r="BI136">
        <v>0.5</v>
      </c>
      <c r="BJ136">
        <f>CS136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417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1393</v>
      </c>
      <c r="CA136">
        <v>300</v>
      </c>
      <c r="CB136">
        <v>300</v>
      </c>
      <c r="CC136">
        <v>300</v>
      </c>
      <c r="CD136">
        <v>10378</v>
      </c>
      <c r="CE136">
        <v>2050</v>
      </c>
      <c r="CF136">
        <v>-0.00730649</v>
      </c>
      <c r="CG136">
        <v>-4.53</v>
      </c>
      <c r="CH136" t="s">
        <v>417</v>
      </c>
      <c r="CI136" t="s">
        <v>417</v>
      </c>
      <c r="CJ136" t="s">
        <v>417</v>
      </c>
      <c r="CK136" t="s">
        <v>417</v>
      </c>
      <c r="CL136" t="s">
        <v>417</v>
      </c>
      <c r="CM136" t="s">
        <v>417</v>
      </c>
      <c r="CN136" t="s">
        <v>417</v>
      </c>
      <c r="CO136" t="s">
        <v>417</v>
      </c>
      <c r="CP136" t="s">
        <v>417</v>
      </c>
      <c r="CQ136" t="s">
        <v>417</v>
      </c>
      <c r="CR136">
        <f>$B$11*DQ136+$C$11*DR136+$F$11*EC136*(1-EF136)</f>
        <v>0</v>
      </c>
      <c r="CS136">
        <f>CR136*CT136</f>
        <v>0</v>
      </c>
      <c r="CT136">
        <f>($B$11*$D$9+$C$11*$D$9+$F$11*((EP136+EH136)/MAX(EP136+EH136+EQ136, 0.1)*$I$9+EQ136/MAX(EP136+EH136+EQ136, 0.1)*$J$9))/($B$11+$C$11+$F$11)</f>
        <v>0</v>
      </c>
      <c r="CU136">
        <f>($B$11*$K$9+$C$11*$K$9+$F$11*((EP136+EH136)/MAX(EP136+EH136+EQ136, 0.1)*$P$9+EQ136/MAX(EP136+EH136+EQ136, 0.1)*$Q$9))/($B$11+$C$11+$F$11)</f>
        <v>0</v>
      </c>
      <c r="CV136">
        <v>6</v>
      </c>
      <c r="CW136">
        <v>0.5</v>
      </c>
      <c r="CX136" t="s">
        <v>418</v>
      </c>
      <c r="CY136">
        <v>2</v>
      </c>
      <c r="CZ136" t="b">
        <v>1</v>
      </c>
      <c r="DA136">
        <v>1652372073.732143</v>
      </c>
      <c r="DB136">
        <v>1472.433571428571</v>
      </c>
      <c r="DC136">
        <v>1561.9275</v>
      </c>
      <c r="DD136">
        <v>24.42321785714285</v>
      </c>
      <c r="DE136">
        <v>19.75786785714286</v>
      </c>
      <c r="DF136">
        <v>1474.699285714285</v>
      </c>
      <c r="DG136">
        <v>24.38051071428572</v>
      </c>
      <c r="DH136">
        <v>400.0715714285715</v>
      </c>
      <c r="DI136">
        <v>90.40435357142857</v>
      </c>
      <c r="DJ136">
        <v>0.0999608</v>
      </c>
      <c r="DK136">
        <v>30.86711785714285</v>
      </c>
      <c r="DL136">
        <v>30.02759285714286</v>
      </c>
      <c r="DM136">
        <v>999.9000000000002</v>
      </c>
      <c r="DN136">
        <v>0</v>
      </c>
      <c r="DO136">
        <v>0</v>
      </c>
      <c r="DP136">
        <v>10001.9875</v>
      </c>
      <c r="DQ136">
        <v>0</v>
      </c>
      <c r="DR136">
        <v>826.2674285714286</v>
      </c>
      <c r="DS136">
        <v>-89.494725</v>
      </c>
      <c r="DT136">
        <v>1509.295</v>
      </c>
      <c r="DU136">
        <v>1593.411071428571</v>
      </c>
      <c r="DV136">
        <v>4.665349999999999</v>
      </c>
      <c r="DW136">
        <v>1561.9275</v>
      </c>
      <c r="DX136">
        <v>19.75786785714286</v>
      </c>
      <c r="DY136">
        <v>2.207963214285714</v>
      </c>
      <c r="DZ136">
        <v>1.786195714285714</v>
      </c>
      <c r="EA136">
        <v>19.02022142857143</v>
      </c>
      <c r="EB136">
        <v>15.66646428571429</v>
      </c>
      <c r="EC136">
        <v>1499.987857142857</v>
      </c>
      <c r="ED136">
        <v>0.9730068928571427</v>
      </c>
      <c r="EE136">
        <v>0.02699296785714287</v>
      </c>
      <c r="EF136">
        <v>0</v>
      </c>
      <c r="EG136">
        <v>1021.193571428572</v>
      </c>
      <c r="EH136">
        <v>5.00097</v>
      </c>
      <c r="EI136">
        <v>16515.86071428571</v>
      </c>
      <c r="EJ136">
        <v>12491.52142857143</v>
      </c>
      <c r="EK136">
        <v>39.5</v>
      </c>
      <c r="EL136">
        <v>41.11375</v>
      </c>
      <c r="EM136">
        <v>39.75</v>
      </c>
      <c r="EN136">
        <v>40.86825</v>
      </c>
      <c r="EO136">
        <v>40.67371428571429</v>
      </c>
      <c r="EP136">
        <v>1454.636428571428</v>
      </c>
      <c r="EQ136">
        <v>40.35107142857142</v>
      </c>
      <c r="ER136">
        <v>0</v>
      </c>
      <c r="ES136">
        <v>915.3999998569489</v>
      </c>
      <c r="ET136">
        <v>0</v>
      </c>
      <c r="EU136">
        <v>1021.245</v>
      </c>
      <c r="EV136">
        <v>16.72239318181933</v>
      </c>
      <c r="EW136">
        <v>501.8769235979536</v>
      </c>
      <c r="EX136">
        <v>16516.32692307692</v>
      </c>
      <c r="EY136">
        <v>15</v>
      </c>
      <c r="EZ136">
        <v>1652371289.6</v>
      </c>
      <c r="FA136" t="s">
        <v>515</v>
      </c>
      <c r="FB136">
        <v>1652371289.6</v>
      </c>
      <c r="FC136">
        <v>1652371275.1</v>
      </c>
      <c r="FD136">
        <v>24</v>
      </c>
      <c r="FE136">
        <v>0.442</v>
      </c>
      <c r="FF136">
        <v>0.001</v>
      </c>
      <c r="FG136">
        <v>-2.63</v>
      </c>
      <c r="FH136">
        <v>0.007</v>
      </c>
      <c r="FI136">
        <v>1620</v>
      </c>
      <c r="FJ136">
        <v>22</v>
      </c>
      <c r="FK136">
        <v>0.08</v>
      </c>
      <c r="FL136">
        <v>0.04</v>
      </c>
      <c r="FM136">
        <v>-89.50366829268293</v>
      </c>
      <c r="FN136">
        <v>0.1379979094073868</v>
      </c>
      <c r="FO136">
        <v>0.2719215861138017</v>
      </c>
      <c r="FP136">
        <v>-1</v>
      </c>
      <c r="FQ136">
        <v>4.696906341463414</v>
      </c>
      <c r="FR136">
        <v>-0.6766047386759373</v>
      </c>
      <c r="FS136">
        <v>0.06750081826987668</v>
      </c>
      <c r="FT136">
        <v>0</v>
      </c>
      <c r="FU136">
        <v>0</v>
      </c>
      <c r="FV136">
        <v>0</v>
      </c>
      <c r="FW136">
        <v>0</v>
      </c>
      <c r="FX136">
        <v>-1</v>
      </c>
      <c r="FY136">
        <v>0</v>
      </c>
      <c r="FZ136">
        <v>1</v>
      </c>
      <c r="GA136" t="s">
        <v>432</v>
      </c>
      <c r="GB136">
        <v>2.69595</v>
      </c>
      <c r="GC136">
        <v>2.70517</v>
      </c>
      <c r="GD136">
        <v>0.220597</v>
      </c>
      <c r="GE136">
        <v>0.22604</v>
      </c>
      <c r="GF136">
        <v>0.107443</v>
      </c>
      <c r="GG136">
        <v>0.0915136</v>
      </c>
      <c r="GH136">
        <v>24511.8</v>
      </c>
      <c r="GI136">
        <v>24445.8</v>
      </c>
      <c r="GJ136">
        <v>29258.6</v>
      </c>
      <c r="GK136">
        <v>29232.4</v>
      </c>
      <c r="GL136">
        <v>34576.4</v>
      </c>
      <c r="GM136">
        <v>35351</v>
      </c>
      <c r="GN136">
        <v>41180.6</v>
      </c>
      <c r="GO136">
        <v>41708</v>
      </c>
      <c r="GP136">
        <v>1.72255</v>
      </c>
      <c r="GQ136">
        <v>2.04345</v>
      </c>
      <c r="GR136">
        <v>0.0813082</v>
      </c>
      <c r="GS136">
        <v>0</v>
      </c>
      <c r="GT136">
        <v>28.698</v>
      </c>
      <c r="GU136">
        <v>999.9</v>
      </c>
      <c r="GV136">
        <v>44.9</v>
      </c>
      <c r="GW136">
        <v>32.9</v>
      </c>
      <c r="GX136">
        <v>24.9507</v>
      </c>
      <c r="GY136">
        <v>63.3179</v>
      </c>
      <c r="GZ136">
        <v>29.2508</v>
      </c>
      <c r="HA136">
        <v>1</v>
      </c>
      <c r="HB136">
        <v>0.232561</v>
      </c>
      <c r="HC136">
        <v>0.344532</v>
      </c>
      <c r="HD136">
        <v>20.3813</v>
      </c>
      <c r="HE136">
        <v>5.21579</v>
      </c>
      <c r="HF136">
        <v>12.0099</v>
      </c>
      <c r="HG136">
        <v>4.98845</v>
      </c>
      <c r="HH136">
        <v>3.28835</v>
      </c>
      <c r="HI136">
        <v>2717.5</v>
      </c>
      <c r="HJ136">
        <v>9999</v>
      </c>
      <c r="HK136">
        <v>9999</v>
      </c>
      <c r="HL136">
        <v>50</v>
      </c>
      <c r="HM136">
        <v>1.86722</v>
      </c>
      <c r="HN136">
        <v>1.86615</v>
      </c>
      <c r="HO136">
        <v>1.86581</v>
      </c>
      <c r="HP136">
        <v>1.86569</v>
      </c>
      <c r="HQ136">
        <v>1.86746</v>
      </c>
      <c r="HR136">
        <v>1.87</v>
      </c>
      <c r="HS136">
        <v>1.86864</v>
      </c>
      <c r="HT136">
        <v>1.87</v>
      </c>
      <c r="HU136">
        <v>0</v>
      </c>
      <c r="HV136">
        <v>0</v>
      </c>
      <c r="HW136">
        <v>0</v>
      </c>
      <c r="HX136">
        <v>0</v>
      </c>
      <c r="HY136" t="s">
        <v>421</v>
      </c>
      <c r="HZ136" t="s">
        <v>422</v>
      </c>
      <c r="IA136" t="s">
        <v>423</v>
      </c>
      <c r="IB136" t="s">
        <v>423</v>
      </c>
      <c r="IC136" t="s">
        <v>423</v>
      </c>
      <c r="ID136" t="s">
        <v>423</v>
      </c>
      <c r="IE136">
        <v>0</v>
      </c>
      <c r="IF136">
        <v>100</v>
      </c>
      <c r="IG136">
        <v>100</v>
      </c>
      <c r="IH136">
        <v>-2.33</v>
      </c>
      <c r="II136">
        <v>0.0428</v>
      </c>
      <c r="IJ136">
        <v>1.257309091789605</v>
      </c>
      <c r="IK136">
        <v>-0.002185601614162945</v>
      </c>
      <c r="IL136">
        <v>-2.252308143750626E-07</v>
      </c>
      <c r="IM136">
        <v>5.915558436307541E-11</v>
      </c>
      <c r="IN136">
        <v>-0.118683452207699</v>
      </c>
      <c r="IO136">
        <v>-0.007570214193104963</v>
      </c>
      <c r="IP136">
        <v>0.0009214429922928372</v>
      </c>
      <c r="IQ136">
        <v>-1.392260276065805E-05</v>
      </c>
      <c r="IR136">
        <v>17</v>
      </c>
      <c r="IS136">
        <v>2272</v>
      </c>
      <c r="IT136">
        <v>1</v>
      </c>
      <c r="IU136">
        <v>31</v>
      </c>
      <c r="IV136">
        <v>13.2</v>
      </c>
      <c r="IW136">
        <v>13.4</v>
      </c>
      <c r="IX136">
        <v>3.04565</v>
      </c>
      <c r="IY136">
        <v>2.19604</v>
      </c>
      <c r="IZ136">
        <v>1.39648</v>
      </c>
      <c r="JA136">
        <v>2.35352</v>
      </c>
      <c r="JB136">
        <v>1.49536</v>
      </c>
      <c r="JC136">
        <v>2.30225</v>
      </c>
      <c r="JD136">
        <v>36.4578</v>
      </c>
      <c r="JE136">
        <v>15.3228</v>
      </c>
      <c r="JF136">
        <v>18</v>
      </c>
      <c r="JG136">
        <v>385.99</v>
      </c>
      <c r="JH136">
        <v>574.639</v>
      </c>
      <c r="JI136">
        <v>29.383</v>
      </c>
      <c r="JJ136">
        <v>30.4648</v>
      </c>
      <c r="JK136">
        <v>30.0002</v>
      </c>
      <c r="JL136">
        <v>30.3994</v>
      </c>
      <c r="JM136">
        <v>30.3025</v>
      </c>
      <c r="JN136">
        <v>60.9852</v>
      </c>
      <c r="JO136">
        <v>22.4266</v>
      </c>
      <c r="JP136">
        <v>0</v>
      </c>
      <c r="JQ136">
        <v>29.3615</v>
      </c>
      <c r="JR136">
        <v>1603.84</v>
      </c>
      <c r="JS136">
        <v>20.0155</v>
      </c>
      <c r="JT136">
        <v>100.009</v>
      </c>
      <c r="JU136">
        <v>100.118</v>
      </c>
    </row>
    <row r="137" spans="1:281">
      <c r="A137">
        <v>121</v>
      </c>
      <c r="B137">
        <v>1652372342</v>
      </c>
      <c r="C137">
        <v>4248.400000095367</v>
      </c>
      <c r="D137" t="s">
        <v>709</v>
      </c>
      <c r="E137" t="s">
        <v>710</v>
      </c>
      <c r="F137">
        <v>5</v>
      </c>
      <c r="G137" t="s">
        <v>711</v>
      </c>
      <c r="H137" t="s">
        <v>414</v>
      </c>
      <c r="I137">
        <v>1652372334.25</v>
      </c>
      <c r="J137">
        <f>(K137)/1000</f>
        <v>0</v>
      </c>
      <c r="K137">
        <f>IF(CZ137, AN137, AH137)</f>
        <v>0</v>
      </c>
      <c r="L137">
        <f>IF(CZ137, AI137, AG137)</f>
        <v>0</v>
      </c>
      <c r="M137">
        <f>DB137 - IF(AU137&gt;1, L137*CV137*100.0/(AW137*DP137), 0)</f>
        <v>0</v>
      </c>
      <c r="N137">
        <f>((T137-J137/2)*M137-L137)/(T137+J137/2)</f>
        <v>0</v>
      </c>
      <c r="O137">
        <f>N137*(DI137+DJ137)/1000.0</f>
        <v>0</v>
      </c>
      <c r="P137">
        <f>(DB137 - IF(AU137&gt;1, L137*CV137*100.0/(AW137*DP137), 0))*(DI137+DJ137)/1000.0</f>
        <v>0</v>
      </c>
      <c r="Q137">
        <f>2.0/((1/S137-1/R137)+SIGN(S137)*SQRT((1/S137-1/R137)*(1/S137-1/R137) + 4*CW137/((CW137+1)*(CW137+1))*(2*1/S137*1/R137-1/R137*1/R137)))</f>
        <v>0</v>
      </c>
      <c r="R137">
        <f>IF(LEFT(CX137,1)&lt;&gt;"0",IF(LEFT(CX137,1)="1",3.0,CY137),$D$5+$E$5*(DP137*DI137/($K$5*1000))+$F$5*(DP137*DI137/($K$5*1000))*MAX(MIN(CV137,$J$5),$I$5)*MAX(MIN(CV137,$J$5),$I$5)+$G$5*MAX(MIN(CV137,$J$5),$I$5)*(DP137*DI137/($K$5*1000))+$H$5*(DP137*DI137/($K$5*1000))*(DP137*DI137/($K$5*1000)))</f>
        <v>0</v>
      </c>
      <c r="S137">
        <f>J137*(1000-(1000*0.61365*exp(17.502*W137/(240.97+W137))/(DI137+DJ137)+DD137)/2)/(1000*0.61365*exp(17.502*W137/(240.97+W137))/(DI137+DJ137)-DD137)</f>
        <v>0</v>
      </c>
      <c r="T137">
        <f>1/((CW137+1)/(Q137/1.6)+1/(R137/1.37)) + CW137/((CW137+1)/(Q137/1.6) + CW137/(R137/1.37))</f>
        <v>0</v>
      </c>
      <c r="U137">
        <f>(CR137*CU137)</f>
        <v>0</v>
      </c>
      <c r="V137">
        <f>(DK137+(U137+2*0.95*5.67E-8*(((DK137+$B$7)+273)^4-(DK137+273)^4)-44100*J137)/(1.84*29.3*R137+8*0.95*5.67E-8*(DK137+273)^3))</f>
        <v>0</v>
      </c>
      <c r="W137">
        <f>($C$7*DL137+$D$7*DM137+$E$7*V137)</f>
        <v>0</v>
      </c>
      <c r="X137">
        <f>0.61365*exp(17.502*W137/(240.97+W137))</f>
        <v>0</v>
      </c>
      <c r="Y137">
        <f>(Z137/AA137*100)</f>
        <v>0</v>
      </c>
      <c r="Z137">
        <f>DD137*(DI137+DJ137)/1000</f>
        <v>0</v>
      </c>
      <c r="AA137">
        <f>0.61365*exp(17.502*DK137/(240.97+DK137))</f>
        <v>0</v>
      </c>
      <c r="AB137">
        <f>(X137-DD137*(DI137+DJ137)/1000)</f>
        <v>0</v>
      </c>
      <c r="AC137">
        <f>(-J137*44100)</f>
        <v>0</v>
      </c>
      <c r="AD137">
        <f>2*29.3*R137*0.92*(DK137-W137)</f>
        <v>0</v>
      </c>
      <c r="AE137">
        <f>2*0.95*5.67E-8*(((DK137+$B$7)+273)^4-(W137+273)^4)</f>
        <v>0</v>
      </c>
      <c r="AF137">
        <f>U137+AE137+AC137+AD137</f>
        <v>0</v>
      </c>
      <c r="AG137">
        <f>DH137*AU137*(DC137-DB137*(1000-AU137*DE137)/(1000-AU137*DD137))/(100*CV137)</f>
        <v>0</v>
      </c>
      <c r="AH137">
        <f>1000*DH137*AU137*(DD137-DE137)/(100*CV137*(1000-AU137*DD137))</f>
        <v>0</v>
      </c>
      <c r="AI137">
        <f>(AJ137 - AK137 - DI137*1E3/(8.314*(DK137+273.15)) * AM137/DH137 * AL137) * DH137/(100*CV137) * (1000 - DE137)/1000</f>
        <v>0</v>
      </c>
      <c r="AJ137">
        <v>426.4801704933641</v>
      </c>
      <c r="AK137">
        <v>402.3524666666665</v>
      </c>
      <c r="AL137">
        <v>0.03692858924931315</v>
      </c>
      <c r="AM137">
        <v>65.96288611109561</v>
      </c>
      <c r="AN137">
        <f>(AP137 - AO137 + DI137*1E3/(8.314*(DK137+273.15)) * AR137/DH137 * AQ137) * DH137/(100*CV137) * 1000/(1000 - AP137)</f>
        <v>0</v>
      </c>
      <c r="AO137">
        <v>15.34013989728212</v>
      </c>
      <c r="AP137">
        <v>24.757320979021</v>
      </c>
      <c r="AQ137">
        <v>-0.001736527962914234</v>
      </c>
      <c r="AR137">
        <v>81.18387902069509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MAX(0,($B$13+$C$13*DP137)/(1+$D$13*DP137)*DI137/(DK137+273)*$E$13)</f>
        <v>0</v>
      </c>
      <c r="AX137" t="s">
        <v>417</v>
      </c>
      <c r="AY137" t="s">
        <v>417</v>
      </c>
      <c r="AZ137">
        <v>0</v>
      </c>
      <c r="BA137">
        <v>0</v>
      </c>
      <c r="BB137">
        <f>1-AZ137/BA137</f>
        <v>0</v>
      </c>
      <c r="BC137">
        <v>0</v>
      </c>
      <c r="BD137" t="s">
        <v>417</v>
      </c>
      <c r="BE137" t="s">
        <v>417</v>
      </c>
      <c r="BF137">
        <v>0</v>
      </c>
      <c r="BG137">
        <v>0</v>
      </c>
      <c r="BH137">
        <f>1-BF137/BG137</f>
        <v>0</v>
      </c>
      <c r="BI137">
        <v>0.5</v>
      </c>
      <c r="BJ137">
        <f>CS137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417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1393</v>
      </c>
      <c r="CA137">
        <v>300</v>
      </c>
      <c r="CB137">
        <v>300</v>
      </c>
      <c r="CC137">
        <v>300</v>
      </c>
      <c r="CD137">
        <v>10378</v>
      </c>
      <c r="CE137">
        <v>2050</v>
      </c>
      <c r="CF137">
        <v>-0.00730649</v>
      </c>
      <c r="CG137">
        <v>-4.53</v>
      </c>
      <c r="CH137" t="s">
        <v>417</v>
      </c>
      <c r="CI137" t="s">
        <v>417</v>
      </c>
      <c r="CJ137" t="s">
        <v>417</v>
      </c>
      <c r="CK137" t="s">
        <v>417</v>
      </c>
      <c r="CL137" t="s">
        <v>417</v>
      </c>
      <c r="CM137" t="s">
        <v>417</v>
      </c>
      <c r="CN137" t="s">
        <v>417</v>
      </c>
      <c r="CO137" t="s">
        <v>417</v>
      </c>
      <c r="CP137" t="s">
        <v>417</v>
      </c>
      <c r="CQ137" t="s">
        <v>417</v>
      </c>
      <c r="CR137">
        <f>$B$11*DQ137+$C$11*DR137+$F$11*EC137*(1-EF137)</f>
        <v>0</v>
      </c>
      <c r="CS137">
        <f>CR137*CT137</f>
        <v>0</v>
      </c>
      <c r="CT137">
        <f>($B$11*$D$9+$C$11*$D$9+$F$11*((EP137+EH137)/MAX(EP137+EH137+EQ137, 0.1)*$I$9+EQ137/MAX(EP137+EH137+EQ137, 0.1)*$J$9))/($B$11+$C$11+$F$11)</f>
        <v>0</v>
      </c>
      <c r="CU137">
        <f>($B$11*$K$9+$C$11*$K$9+$F$11*((EP137+EH137)/MAX(EP137+EH137+EQ137, 0.1)*$P$9+EQ137/MAX(EP137+EH137+EQ137, 0.1)*$Q$9))/($B$11+$C$11+$F$11)</f>
        <v>0</v>
      </c>
      <c r="CV137">
        <v>6</v>
      </c>
      <c r="CW137">
        <v>0.5</v>
      </c>
      <c r="CX137" t="s">
        <v>418</v>
      </c>
      <c r="CY137">
        <v>2</v>
      </c>
      <c r="CZ137" t="b">
        <v>1</v>
      </c>
      <c r="DA137">
        <v>1652372334.25</v>
      </c>
      <c r="DB137">
        <v>392.191</v>
      </c>
      <c r="DC137">
        <v>419.8917333333333</v>
      </c>
      <c r="DD137">
        <v>24.79173333333333</v>
      </c>
      <c r="DE137">
        <v>15.22321</v>
      </c>
      <c r="DF137">
        <v>391.8210666666667</v>
      </c>
      <c r="DG137">
        <v>24.74447333333334</v>
      </c>
      <c r="DH137">
        <v>400.0780666666666</v>
      </c>
      <c r="DI137">
        <v>90.40060999999999</v>
      </c>
      <c r="DJ137">
        <v>0.1000012866666667</v>
      </c>
      <c r="DK137">
        <v>31.36566</v>
      </c>
      <c r="DL137">
        <v>30.19039666666667</v>
      </c>
      <c r="DM137">
        <v>999.9000000000002</v>
      </c>
      <c r="DN137">
        <v>0</v>
      </c>
      <c r="DO137">
        <v>0</v>
      </c>
      <c r="DP137">
        <v>10007.98433333333</v>
      </c>
      <c r="DQ137">
        <v>0</v>
      </c>
      <c r="DR137">
        <v>729.4941333333335</v>
      </c>
      <c r="DS137">
        <v>-27.70072666666666</v>
      </c>
      <c r="DT137">
        <v>402.1613333333335</v>
      </c>
      <c r="DU137">
        <v>426.3826666666667</v>
      </c>
      <c r="DV137">
        <v>9.568518666666666</v>
      </c>
      <c r="DW137">
        <v>419.8917333333333</v>
      </c>
      <c r="DX137">
        <v>15.22321</v>
      </c>
      <c r="DY137">
        <v>2.241186</v>
      </c>
      <c r="DZ137">
        <v>1.376187666666667</v>
      </c>
      <c r="EA137">
        <v>19.25980333333333</v>
      </c>
      <c r="EB137">
        <v>11.65691666666667</v>
      </c>
      <c r="EC137">
        <v>1499.982333333334</v>
      </c>
      <c r="ED137">
        <v>0.9729932</v>
      </c>
      <c r="EE137">
        <v>0.02700698999999999</v>
      </c>
      <c r="EF137">
        <v>0</v>
      </c>
      <c r="EG137">
        <v>1750.783333333333</v>
      </c>
      <c r="EH137">
        <v>5.000969999999999</v>
      </c>
      <c r="EI137">
        <v>27186.95333333332</v>
      </c>
      <c r="EJ137">
        <v>12491.41666666667</v>
      </c>
      <c r="EK137">
        <v>39.8708</v>
      </c>
      <c r="EL137">
        <v>41.375</v>
      </c>
      <c r="EM137">
        <v>40.06199999999998</v>
      </c>
      <c r="EN137">
        <v>41.2395</v>
      </c>
      <c r="EO137">
        <v>41.00413333333334</v>
      </c>
      <c r="EP137">
        <v>1454.604</v>
      </c>
      <c r="EQ137">
        <v>40.37133333333331</v>
      </c>
      <c r="ER137">
        <v>0</v>
      </c>
      <c r="ES137">
        <v>1176.399999856949</v>
      </c>
      <c r="ET137">
        <v>0</v>
      </c>
      <c r="EU137">
        <v>1750.5988</v>
      </c>
      <c r="EV137">
        <v>-15.27692310705541</v>
      </c>
      <c r="EW137">
        <v>-203.2615388303113</v>
      </c>
      <c r="EX137">
        <v>27185.22</v>
      </c>
      <c r="EY137">
        <v>15</v>
      </c>
      <c r="EZ137">
        <v>1652371289.6</v>
      </c>
      <c r="FA137" t="s">
        <v>515</v>
      </c>
      <c r="FB137">
        <v>1652371289.6</v>
      </c>
      <c r="FC137">
        <v>1652371275.1</v>
      </c>
      <c r="FD137">
        <v>24</v>
      </c>
      <c r="FE137">
        <v>0.442</v>
      </c>
      <c r="FF137">
        <v>0.001</v>
      </c>
      <c r="FG137">
        <v>-2.63</v>
      </c>
      <c r="FH137">
        <v>0.007</v>
      </c>
      <c r="FI137">
        <v>1620</v>
      </c>
      <c r="FJ137">
        <v>22</v>
      </c>
      <c r="FK137">
        <v>0.08</v>
      </c>
      <c r="FL137">
        <v>0.04</v>
      </c>
      <c r="FM137">
        <v>-27.7631675</v>
      </c>
      <c r="FN137">
        <v>1.519854033771097</v>
      </c>
      <c r="FO137">
        <v>0.1499788474877374</v>
      </c>
      <c r="FP137">
        <v>-1</v>
      </c>
      <c r="FQ137">
        <v>9.681398999999999</v>
      </c>
      <c r="FR137">
        <v>-2.699517298311435</v>
      </c>
      <c r="FS137">
        <v>0.2598352940787681</v>
      </c>
      <c r="FT137">
        <v>0</v>
      </c>
      <c r="FU137">
        <v>0</v>
      </c>
      <c r="FV137">
        <v>0</v>
      </c>
      <c r="FW137">
        <v>0</v>
      </c>
      <c r="FX137">
        <v>-1</v>
      </c>
      <c r="FY137">
        <v>0</v>
      </c>
      <c r="FZ137">
        <v>1</v>
      </c>
      <c r="GA137" t="s">
        <v>432</v>
      </c>
      <c r="GB137">
        <v>2.69589</v>
      </c>
      <c r="GC137">
        <v>2.705</v>
      </c>
      <c r="GD137">
        <v>0.08866010000000001</v>
      </c>
      <c r="GE137">
        <v>0.0925014</v>
      </c>
      <c r="GF137">
        <v>0.1084</v>
      </c>
      <c r="GG137">
        <v>0.07678459999999999</v>
      </c>
      <c r="GH137">
        <v>28657.1</v>
      </c>
      <c r="GI137">
        <v>28658.3</v>
      </c>
      <c r="GJ137">
        <v>29250</v>
      </c>
      <c r="GK137">
        <v>29221.8</v>
      </c>
      <c r="GL137">
        <v>34526.7</v>
      </c>
      <c r="GM137">
        <v>35913.9</v>
      </c>
      <c r="GN137">
        <v>41168.5</v>
      </c>
      <c r="GO137">
        <v>41693.7</v>
      </c>
      <c r="GP137">
        <v>1.72843</v>
      </c>
      <c r="GQ137">
        <v>2.0296</v>
      </c>
      <c r="GR137">
        <v>0.0591725</v>
      </c>
      <c r="GS137">
        <v>0</v>
      </c>
      <c r="GT137">
        <v>29.2041</v>
      </c>
      <c r="GU137">
        <v>999.9</v>
      </c>
      <c r="GV137">
        <v>45</v>
      </c>
      <c r="GW137">
        <v>33.1</v>
      </c>
      <c r="GX137">
        <v>25.2945</v>
      </c>
      <c r="GY137">
        <v>63.5879</v>
      </c>
      <c r="GZ137">
        <v>29.6314</v>
      </c>
      <c r="HA137">
        <v>1</v>
      </c>
      <c r="HB137">
        <v>0.247691</v>
      </c>
      <c r="HC137">
        <v>1.86574</v>
      </c>
      <c r="HD137">
        <v>20.3705</v>
      </c>
      <c r="HE137">
        <v>5.22208</v>
      </c>
      <c r="HF137">
        <v>12.0099</v>
      </c>
      <c r="HG137">
        <v>4.9895</v>
      </c>
      <c r="HH137">
        <v>3.28908</v>
      </c>
      <c r="HI137">
        <v>2723.1</v>
      </c>
      <c r="HJ137">
        <v>9999</v>
      </c>
      <c r="HK137">
        <v>9999</v>
      </c>
      <c r="HL137">
        <v>50</v>
      </c>
      <c r="HM137">
        <v>1.86722</v>
      </c>
      <c r="HN137">
        <v>1.86619</v>
      </c>
      <c r="HO137">
        <v>1.86582</v>
      </c>
      <c r="HP137">
        <v>1.86569</v>
      </c>
      <c r="HQ137">
        <v>1.86744</v>
      </c>
      <c r="HR137">
        <v>1.86998</v>
      </c>
      <c r="HS137">
        <v>1.86863</v>
      </c>
      <c r="HT137">
        <v>1.87</v>
      </c>
      <c r="HU137">
        <v>0</v>
      </c>
      <c r="HV137">
        <v>0</v>
      </c>
      <c r="HW137">
        <v>0</v>
      </c>
      <c r="HX137">
        <v>0</v>
      </c>
      <c r="HY137" t="s">
        <v>421</v>
      </c>
      <c r="HZ137" t="s">
        <v>422</v>
      </c>
      <c r="IA137" t="s">
        <v>423</v>
      </c>
      <c r="IB137" t="s">
        <v>423</v>
      </c>
      <c r="IC137" t="s">
        <v>423</v>
      </c>
      <c r="ID137" t="s">
        <v>423</v>
      </c>
      <c r="IE137">
        <v>0</v>
      </c>
      <c r="IF137">
        <v>100</v>
      </c>
      <c r="IG137">
        <v>100</v>
      </c>
      <c r="IH137">
        <v>0.369</v>
      </c>
      <c r="II137">
        <v>0.0468</v>
      </c>
      <c r="IJ137">
        <v>1.257309091789605</v>
      </c>
      <c r="IK137">
        <v>-0.002185601614162945</v>
      </c>
      <c r="IL137">
        <v>-2.252308143750626E-07</v>
      </c>
      <c r="IM137">
        <v>5.915558436307541E-11</v>
      </c>
      <c r="IN137">
        <v>-0.118683452207699</v>
      </c>
      <c r="IO137">
        <v>-0.007570214193104963</v>
      </c>
      <c r="IP137">
        <v>0.0009214429922928372</v>
      </c>
      <c r="IQ137">
        <v>-1.392260276065805E-05</v>
      </c>
      <c r="IR137">
        <v>17</v>
      </c>
      <c r="IS137">
        <v>2272</v>
      </c>
      <c r="IT137">
        <v>1</v>
      </c>
      <c r="IU137">
        <v>31</v>
      </c>
      <c r="IV137">
        <v>17.5</v>
      </c>
      <c r="IW137">
        <v>17.8</v>
      </c>
      <c r="IX137">
        <v>1.04614</v>
      </c>
      <c r="IY137">
        <v>2.22046</v>
      </c>
      <c r="IZ137">
        <v>1.39648</v>
      </c>
      <c r="JA137">
        <v>2.35474</v>
      </c>
      <c r="JB137">
        <v>1.49536</v>
      </c>
      <c r="JC137">
        <v>2.27905</v>
      </c>
      <c r="JD137">
        <v>36.7892</v>
      </c>
      <c r="JE137">
        <v>15.2703</v>
      </c>
      <c r="JF137">
        <v>18</v>
      </c>
      <c r="JG137">
        <v>389.61</v>
      </c>
      <c r="JH137">
        <v>565.0599999999999</v>
      </c>
      <c r="JI137">
        <v>28.7906</v>
      </c>
      <c r="JJ137">
        <v>30.5487</v>
      </c>
      <c r="JK137">
        <v>30.0008</v>
      </c>
      <c r="JL137">
        <v>30.4807</v>
      </c>
      <c r="JM137">
        <v>30.3977</v>
      </c>
      <c r="JN137">
        <v>20.9529</v>
      </c>
      <c r="JO137">
        <v>37.1973</v>
      </c>
      <c r="JP137">
        <v>0</v>
      </c>
      <c r="JQ137">
        <v>28.6399</v>
      </c>
      <c r="JR137">
        <v>413.295</v>
      </c>
      <c r="JS137">
        <v>15.7952</v>
      </c>
      <c r="JT137">
        <v>99.9794</v>
      </c>
      <c r="JU137">
        <v>100.082</v>
      </c>
    </row>
    <row r="138" spans="1:281">
      <c r="A138">
        <v>122</v>
      </c>
      <c r="B138">
        <v>1652372347</v>
      </c>
      <c r="C138">
        <v>4253.400000095367</v>
      </c>
      <c r="D138" t="s">
        <v>712</v>
      </c>
      <c r="E138" t="s">
        <v>713</v>
      </c>
      <c r="F138">
        <v>5</v>
      </c>
      <c r="G138" t="s">
        <v>711</v>
      </c>
      <c r="H138" t="s">
        <v>414</v>
      </c>
      <c r="I138">
        <v>1652372339.155172</v>
      </c>
      <c r="J138">
        <f>(K138)/1000</f>
        <v>0</v>
      </c>
      <c r="K138">
        <f>IF(CZ138, AN138, AH138)</f>
        <v>0</v>
      </c>
      <c r="L138">
        <f>IF(CZ138, AI138, AG138)</f>
        <v>0</v>
      </c>
      <c r="M138">
        <f>DB138 - IF(AU138&gt;1, L138*CV138*100.0/(AW138*DP138), 0)</f>
        <v>0</v>
      </c>
      <c r="N138">
        <f>((T138-J138/2)*M138-L138)/(T138+J138/2)</f>
        <v>0</v>
      </c>
      <c r="O138">
        <f>N138*(DI138+DJ138)/1000.0</f>
        <v>0</v>
      </c>
      <c r="P138">
        <f>(DB138 - IF(AU138&gt;1, L138*CV138*100.0/(AW138*DP138), 0))*(DI138+DJ138)/1000.0</f>
        <v>0</v>
      </c>
      <c r="Q138">
        <f>2.0/((1/S138-1/R138)+SIGN(S138)*SQRT((1/S138-1/R138)*(1/S138-1/R138) + 4*CW138/((CW138+1)*(CW138+1))*(2*1/S138*1/R138-1/R138*1/R138)))</f>
        <v>0</v>
      </c>
      <c r="R138">
        <f>IF(LEFT(CX138,1)&lt;&gt;"0",IF(LEFT(CX138,1)="1",3.0,CY138),$D$5+$E$5*(DP138*DI138/($K$5*1000))+$F$5*(DP138*DI138/($K$5*1000))*MAX(MIN(CV138,$J$5),$I$5)*MAX(MIN(CV138,$J$5),$I$5)+$G$5*MAX(MIN(CV138,$J$5),$I$5)*(DP138*DI138/($K$5*1000))+$H$5*(DP138*DI138/($K$5*1000))*(DP138*DI138/($K$5*1000)))</f>
        <v>0</v>
      </c>
      <c r="S138">
        <f>J138*(1000-(1000*0.61365*exp(17.502*W138/(240.97+W138))/(DI138+DJ138)+DD138)/2)/(1000*0.61365*exp(17.502*W138/(240.97+W138))/(DI138+DJ138)-DD138)</f>
        <v>0</v>
      </c>
      <c r="T138">
        <f>1/((CW138+1)/(Q138/1.6)+1/(R138/1.37)) + CW138/((CW138+1)/(Q138/1.6) + CW138/(R138/1.37))</f>
        <v>0</v>
      </c>
      <c r="U138">
        <f>(CR138*CU138)</f>
        <v>0</v>
      </c>
      <c r="V138">
        <f>(DK138+(U138+2*0.95*5.67E-8*(((DK138+$B$7)+273)^4-(DK138+273)^4)-44100*J138)/(1.84*29.3*R138+8*0.95*5.67E-8*(DK138+273)^3))</f>
        <v>0</v>
      </c>
      <c r="W138">
        <f>($C$7*DL138+$D$7*DM138+$E$7*V138)</f>
        <v>0</v>
      </c>
      <c r="X138">
        <f>0.61365*exp(17.502*W138/(240.97+W138))</f>
        <v>0</v>
      </c>
      <c r="Y138">
        <f>(Z138/AA138*100)</f>
        <v>0</v>
      </c>
      <c r="Z138">
        <f>DD138*(DI138+DJ138)/1000</f>
        <v>0</v>
      </c>
      <c r="AA138">
        <f>0.61365*exp(17.502*DK138/(240.97+DK138))</f>
        <v>0</v>
      </c>
      <c r="AB138">
        <f>(X138-DD138*(DI138+DJ138)/1000)</f>
        <v>0</v>
      </c>
      <c r="AC138">
        <f>(-J138*44100)</f>
        <v>0</v>
      </c>
      <c r="AD138">
        <f>2*29.3*R138*0.92*(DK138-W138)</f>
        <v>0</v>
      </c>
      <c r="AE138">
        <f>2*0.95*5.67E-8*(((DK138+$B$7)+273)^4-(W138+273)^4)</f>
        <v>0</v>
      </c>
      <c r="AF138">
        <f>U138+AE138+AC138+AD138</f>
        <v>0</v>
      </c>
      <c r="AG138">
        <f>DH138*AU138*(DC138-DB138*(1000-AU138*DE138)/(1000-AU138*DD138))/(100*CV138)</f>
        <v>0</v>
      </c>
      <c r="AH138">
        <f>1000*DH138*AU138*(DD138-DE138)/(100*CV138*(1000-AU138*DD138))</f>
        <v>0</v>
      </c>
      <c r="AI138">
        <f>(AJ138 - AK138 - DI138*1E3/(8.314*(DK138+273.15)) * AM138/DH138 * AL138) * DH138/(100*CV138) * (1000 - DE138)/1000</f>
        <v>0</v>
      </c>
      <c r="AJ138">
        <v>426.6212737391166</v>
      </c>
      <c r="AK138">
        <v>402.5516303030301</v>
      </c>
      <c r="AL138">
        <v>0.04743424204630533</v>
      </c>
      <c r="AM138">
        <v>65.96288611109561</v>
      </c>
      <c r="AN138">
        <f>(AP138 - AO138 + DI138*1E3/(8.314*(DK138+273.15)) * AR138/DH138 * AQ138) * DH138/(100*CV138) * 1000/(1000 - AP138)</f>
        <v>0</v>
      </c>
      <c r="AO138">
        <v>15.54565423669082</v>
      </c>
      <c r="AP138">
        <v>24.73845104895106</v>
      </c>
      <c r="AQ138">
        <v>-0.0003821554636670535</v>
      </c>
      <c r="AR138">
        <v>81.18387902069509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MAX(0,($B$13+$C$13*DP138)/(1+$D$13*DP138)*DI138/(DK138+273)*$E$13)</f>
        <v>0</v>
      </c>
      <c r="AX138" t="s">
        <v>417</v>
      </c>
      <c r="AY138" t="s">
        <v>417</v>
      </c>
      <c r="AZ138">
        <v>0</v>
      </c>
      <c r="BA138">
        <v>0</v>
      </c>
      <c r="BB138">
        <f>1-AZ138/BA138</f>
        <v>0</v>
      </c>
      <c r="BC138">
        <v>0</v>
      </c>
      <c r="BD138" t="s">
        <v>417</v>
      </c>
      <c r="BE138" t="s">
        <v>417</v>
      </c>
      <c r="BF138">
        <v>0</v>
      </c>
      <c r="BG138">
        <v>0</v>
      </c>
      <c r="BH138">
        <f>1-BF138/BG138</f>
        <v>0</v>
      </c>
      <c r="BI138">
        <v>0.5</v>
      </c>
      <c r="BJ138">
        <f>CS138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417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1393</v>
      </c>
      <c r="CA138">
        <v>300</v>
      </c>
      <c r="CB138">
        <v>300</v>
      </c>
      <c r="CC138">
        <v>300</v>
      </c>
      <c r="CD138">
        <v>10378</v>
      </c>
      <c r="CE138">
        <v>2050</v>
      </c>
      <c r="CF138">
        <v>-0.00730649</v>
      </c>
      <c r="CG138">
        <v>-4.53</v>
      </c>
      <c r="CH138" t="s">
        <v>417</v>
      </c>
      <c r="CI138" t="s">
        <v>417</v>
      </c>
      <c r="CJ138" t="s">
        <v>417</v>
      </c>
      <c r="CK138" t="s">
        <v>417</v>
      </c>
      <c r="CL138" t="s">
        <v>417</v>
      </c>
      <c r="CM138" t="s">
        <v>417</v>
      </c>
      <c r="CN138" t="s">
        <v>417</v>
      </c>
      <c r="CO138" t="s">
        <v>417</v>
      </c>
      <c r="CP138" t="s">
        <v>417</v>
      </c>
      <c r="CQ138" t="s">
        <v>417</v>
      </c>
      <c r="CR138">
        <f>$B$11*DQ138+$C$11*DR138+$F$11*EC138*(1-EF138)</f>
        <v>0</v>
      </c>
      <c r="CS138">
        <f>CR138*CT138</f>
        <v>0</v>
      </c>
      <c r="CT138">
        <f>($B$11*$D$9+$C$11*$D$9+$F$11*((EP138+EH138)/MAX(EP138+EH138+EQ138, 0.1)*$I$9+EQ138/MAX(EP138+EH138+EQ138, 0.1)*$J$9))/($B$11+$C$11+$F$11)</f>
        <v>0</v>
      </c>
      <c r="CU138">
        <f>($B$11*$K$9+$C$11*$K$9+$F$11*((EP138+EH138)/MAX(EP138+EH138+EQ138, 0.1)*$P$9+EQ138/MAX(EP138+EH138+EQ138, 0.1)*$Q$9))/($B$11+$C$11+$F$11)</f>
        <v>0</v>
      </c>
      <c r="CV138">
        <v>6</v>
      </c>
      <c r="CW138">
        <v>0.5</v>
      </c>
      <c r="CX138" t="s">
        <v>418</v>
      </c>
      <c r="CY138">
        <v>2</v>
      </c>
      <c r="CZ138" t="b">
        <v>1</v>
      </c>
      <c r="DA138">
        <v>1652372339.155172</v>
      </c>
      <c r="DB138">
        <v>392.3307931034482</v>
      </c>
      <c r="DC138">
        <v>419.7523448275862</v>
      </c>
      <c r="DD138">
        <v>24.76846551724138</v>
      </c>
      <c r="DE138">
        <v>15.41778275862069</v>
      </c>
      <c r="DF138">
        <v>391.9612068965517</v>
      </c>
      <c r="DG138">
        <v>24.72150344827586</v>
      </c>
      <c r="DH138">
        <v>400.0467931034482</v>
      </c>
      <c r="DI138">
        <v>90.40077241379311</v>
      </c>
      <c r="DJ138">
        <v>0.09990766206896554</v>
      </c>
      <c r="DK138">
        <v>31.33586896551724</v>
      </c>
      <c r="DL138">
        <v>30.17781034482759</v>
      </c>
      <c r="DM138">
        <v>999.9000000000002</v>
      </c>
      <c r="DN138">
        <v>0</v>
      </c>
      <c r="DO138">
        <v>0</v>
      </c>
      <c r="DP138">
        <v>10007.15896551724</v>
      </c>
      <c r="DQ138">
        <v>0</v>
      </c>
      <c r="DR138">
        <v>729.2664137931034</v>
      </c>
      <c r="DS138">
        <v>-27.42160689655172</v>
      </c>
      <c r="DT138">
        <v>402.2950689655172</v>
      </c>
      <c r="DU138">
        <v>426.3253103448276</v>
      </c>
      <c r="DV138">
        <v>9.350689655172415</v>
      </c>
      <c r="DW138">
        <v>419.7523448275862</v>
      </c>
      <c r="DX138">
        <v>15.41778275862069</v>
      </c>
      <c r="DY138">
        <v>2.239088275862069</v>
      </c>
      <c r="DZ138">
        <v>1.393779310344828</v>
      </c>
      <c r="EA138">
        <v>19.24476551724138</v>
      </c>
      <c r="EB138">
        <v>11.84925172413793</v>
      </c>
      <c r="EC138">
        <v>1499.965862068965</v>
      </c>
      <c r="ED138">
        <v>0.9729931379310346</v>
      </c>
      <c r="EE138">
        <v>0.0270070448275862</v>
      </c>
      <c r="EF138">
        <v>0</v>
      </c>
      <c r="EG138">
        <v>1749.569310344828</v>
      </c>
      <c r="EH138">
        <v>5.000969999999999</v>
      </c>
      <c r="EI138">
        <v>27160.57586206896</v>
      </c>
      <c r="EJ138">
        <v>12491.28275862069</v>
      </c>
      <c r="EK138">
        <v>39.875</v>
      </c>
      <c r="EL138">
        <v>41.37927586206897</v>
      </c>
      <c r="EM138">
        <v>40.06199999999998</v>
      </c>
      <c r="EN138">
        <v>41.25</v>
      </c>
      <c r="EO138">
        <v>41.00855172413792</v>
      </c>
      <c r="EP138">
        <v>1454.590344827586</v>
      </c>
      <c r="EQ138">
        <v>40.3710344827586</v>
      </c>
      <c r="ER138">
        <v>0</v>
      </c>
      <c r="ES138">
        <v>1181.199999809265</v>
      </c>
      <c r="ET138">
        <v>0</v>
      </c>
      <c r="EU138">
        <v>1749.386</v>
      </c>
      <c r="EV138">
        <v>-15.02538464780087</v>
      </c>
      <c r="EW138">
        <v>-845.5769244994754</v>
      </c>
      <c r="EX138">
        <v>27151.632</v>
      </c>
      <c r="EY138">
        <v>15</v>
      </c>
      <c r="EZ138">
        <v>1652371289.6</v>
      </c>
      <c r="FA138" t="s">
        <v>515</v>
      </c>
      <c r="FB138">
        <v>1652371289.6</v>
      </c>
      <c r="FC138">
        <v>1652371275.1</v>
      </c>
      <c r="FD138">
        <v>24</v>
      </c>
      <c r="FE138">
        <v>0.442</v>
      </c>
      <c r="FF138">
        <v>0.001</v>
      </c>
      <c r="FG138">
        <v>-2.63</v>
      </c>
      <c r="FH138">
        <v>0.007</v>
      </c>
      <c r="FI138">
        <v>1620</v>
      </c>
      <c r="FJ138">
        <v>22</v>
      </c>
      <c r="FK138">
        <v>0.08</v>
      </c>
      <c r="FL138">
        <v>0.04</v>
      </c>
      <c r="FM138">
        <v>-27.62830750000001</v>
      </c>
      <c r="FN138">
        <v>2.086413883677366</v>
      </c>
      <c r="FO138">
        <v>0.2385828004985902</v>
      </c>
      <c r="FP138">
        <v>-1</v>
      </c>
      <c r="FQ138">
        <v>9.503005</v>
      </c>
      <c r="FR138">
        <v>-2.686084727954975</v>
      </c>
      <c r="FS138">
        <v>0.258557196950694</v>
      </c>
      <c r="FT138">
        <v>0</v>
      </c>
      <c r="FU138">
        <v>0</v>
      </c>
      <c r="FV138">
        <v>0</v>
      </c>
      <c r="FW138">
        <v>0</v>
      </c>
      <c r="FX138">
        <v>-1</v>
      </c>
      <c r="FY138">
        <v>0</v>
      </c>
      <c r="FZ138">
        <v>1</v>
      </c>
      <c r="GA138" t="s">
        <v>432</v>
      </c>
      <c r="GB138">
        <v>2.69581</v>
      </c>
      <c r="GC138">
        <v>2.705</v>
      </c>
      <c r="GD138">
        <v>0.0886878</v>
      </c>
      <c r="GE138">
        <v>0.09205729999999999</v>
      </c>
      <c r="GF138">
        <v>0.108331</v>
      </c>
      <c r="GG138">
        <v>0.0775093</v>
      </c>
      <c r="GH138">
        <v>28656.4</v>
      </c>
      <c r="GI138">
        <v>28672.5</v>
      </c>
      <c r="GJ138">
        <v>29250.3</v>
      </c>
      <c r="GK138">
        <v>29221.9</v>
      </c>
      <c r="GL138">
        <v>34529.6</v>
      </c>
      <c r="GM138">
        <v>35885.5</v>
      </c>
      <c r="GN138">
        <v>41168.7</v>
      </c>
      <c r="GO138">
        <v>41693.7</v>
      </c>
      <c r="GP138">
        <v>1.72805</v>
      </c>
      <c r="GQ138">
        <v>2.02965</v>
      </c>
      <c r="GR138">
        <v>0.0576526</v>
      </c>
      <c r="GS138">
        <v>0</v>
      </c>
      <c r="GT138">
        <v>29.2078</v>
      </c>
      <c r="GU138">
        <v>999.9</v>
      </c>
      <c r="GV138">
        <v>45</v>
      </c>
      <c r="GW138">
        <v>33.1</v>
      </c>
      <c r="GX138">
        <v>25.2909</v>
      </c>
      <c r="GY138">
        <v>63.388</v>
      </c>
      <c r="GZ138">
        <v>29.6154</v>
      </c>
      <c r="HA138">
        <v>1</v>
      </c>
      <c r="HB138">
        <v>0.248255</v>
      </c>
      <c r="HC138">
        <v>1.90048</v>
      </c>
      <c r="HD138">
        <v>20.3695</v>
      </c>
      <c r="HE138">
        <v>5.21714</v>
      </c>
      <c r="HF138">
        <v>12.0099</v>
      </c>
      <c r="HG138">
        <v>4.98795</v>
      </c>
      <c r="HH138">
        <v>3.28833</v>
      </c>
      <c r="HI138">
        <v>2723.1</v>
      </c>
      <c r="HJ138">
        <v>9999</v>
      </c>
      <c r="HK138">
        <v>9999</v>
      </c>
      <c r="HL138">
        <v>50</v>
      </c>
      <c r="HM138">
        <v>1.86722</v>
      </c>
      <c r="HN138">
        <v>1.86618</v>
      </c>
      <c r="HO138">
        <v>1.86582</v>
      </c>
      <c r="HP138">
        <v>1.86568</v>
      </c>
      <c r="HQ138">
        <v>1.86745</v>
      </c>
      <c r="HR138">
        <v>1.86998</v>
      </c>
      <c r="HS138">
        <v>1.86862</v>
      </c>
      <c r="HT138">
        <v>1.86997</v>
      </c>
      <c r="HU138">
        <v>0</v>
      </c>
      <c r="HV138">
        <v>0</v>
      </c>
      <c r="HW138">
        <v>0</v>
      </c>
      <c r="HX138">
        <v>0</v>
      </c>
      <c r="HY138" t="s">
        <v>421</v>
      </c>
      <c r="HZ138" t="s">
        <v>422</v>
      </c>
      <c r="IA138" t="s">
        <v>423</v>
      </c>
      <c r="IB138" t="s">
        <v>423</v>
      </c>
      <c r="IC138" t="s">
        <v>423</v>
      </c>
      <c r="ID138" t="s">
        <v>423</v>
      </c>
      <c r="IE138">
        <v>0</v>
      </c>
      <c r="IF138">
        <v>100</v>
      </c>
      <c r="IG138">
        <v>100</v>
      </c>
      <c r="IH138">
        <v>0.369</v>
      </c>
      <c r="II138">
        <v>0.0465</v>
      </c>
      <c r="IJ138">
        <v>1.257309091789605</v>
      </c>
      <c r="IK138">
        <v>-0.002185601614162945</v>
      </c>
      <c r="IL138">
        <v>-2.252308143750626E-07</v>
      </c>
      <c r="IM138">
        <v>5.915558436307541E-11</v>
      </c>
      <c r="IN138">
        <v>-0.118683452207699</v>
      </c>
      <c r="IO138">
        <v>-0.007570214193104963</v>
      </c>
      <c r="IP138">
        <v>0.0009214429922928372</v>
      </c>
      <c r="IQ138">
        <v>-1.392260276065805E-05</v>
      </c>
      <c r="IR138">
        <v>17</v>
      </c>
      <c r="IS138">
        <v>2272</v>
      </c>
      <c r="IT138">
        <v>1</v>
      </c>
      <c r="IU138">
        <v>31</v>
      </c>
      <c r="IV138">
        <v>17.6</v>
      </c>
      <c r="IW138">
        <v>17.9</v>
      </c>
      <c r="IX138">
        <v>1.02295</v>
      </c>
      <c r="IY138">
        <v>2.2229</v>
      </c>
      <c r="IZ138">
        <v>1.39648</v>
      </c>
      <c r="JA138">
        <v>2.35352</v>
      </c>
      <c r="JB138">
        <v>1.49536</v>
      </c>
      <c r="JC138">
        <v>2.28271</v>
      </c>
      <c r="JD138">
        <v>36.7892</v>
      </c>
      <c r="JE138">
        <v>15.2703</v>
      </c>
      <c r="JF138">
        <v>18</v>
      </c>
      <c r="JG138">
        <v>389.435</v>
      </c>
      <c r="JH138">
        <v>565.135</v>
      </c>
      <c r="JI138">
        <v>28.6038</v>
      </c>
      <c r="JJ138">
        <v>30.5553</v>
      </c>
      <c r="JK138">
        <v>30.0007</v>
      </c>
      <c r="JL138">
        <v>30.4851</v>
      </c>
      <c r="JM138">
        <v>30.4018</v>
      </c>
      <c r="JN138">
        <v>20.4358</v>
      </c>
      <c r="JO138">
        <v>36.924</v>
      </c>
      <c r="JP138">
        <v>0</v>
      </c>
      <c r="JQ138">
        <v>28.4818</v>
      </c>
      <c r="JR138">
        <v>399.919</v>
      </c>
      <c r="JS138">
        <v>15.8969</v>
      </c>
      <c r="JT138">
        <v>99.9802</v>
      </c>
      <c r="JU138">
        <v>100.083</v>
      </c>
    </row>
    <row r="139" spans="1:281">
      <c r="A139">
        <v>123</v>
      </c>
      <c r="B139">
        <v>1652372352</v>
      </c>
      <c r="C139">
        <v>4258.400000095367</v>
      </c>
      <c r="D139" t="s">
        <v>714</v>
      </c>
      <c r="E139" t="s">
        <v>715</v>
      </c>
      <c r="F139">
        <v>5</v>
      </c>
      <c r="G139" t="s">
        <v>711</v>
      </c>
      <c r="H139" t="s">
        <v>414</v>
      </c>
      <c r="I139">
        <v>1652372344.232143</v>
      </c>
      <c r="J139">
        <f>(K139)/1000</f>
        <v>0</v>
      </c>
      <c r="K139">
        <f>IF(CZ139, AN139, AH139)</f>
        <v>0</v>
      </c>
      <c r="L139">
        <f>IF(CZ139, AI139, AG139)</f>
        <v>0</v>
      </c>
      <c r="M139">
        <f>DB139 - IF(AU139&gt;1, L139*CV139*100.0/(AW139*DP139), 0)</f>
        <v>0</v>
      </c>
      <c r="N139">
        <f>((T139-J139/2)*M139-L139)/(T139+J139/2)</f>
        <v>0</v>
      </c>
      <c r="O139">
        <f>N139*(DI139+DJ139)/1000.0</f>
        <v>0</v>
      </c>
      <c r="P139">
        <f>(DB139 - IF(AU139&gt;1, L139*CV139*100.0/(AW139*DP139), 0))*(DI139+DJ139)/1000.0</f>
        <v>0</v>
      </c>
      <c r="Q139">
        <f>2.0/((1/S139-1/R139)+SIGN(S139)*SQRT((1/S139-1/R139)*(1/S139-1/R139) + 4*CW139/((CW139+1)*(CW139+1))*(2*1/S139*1/R139-1/R139*1/R139)))</f>
        <v>0</v>
      </c>
      <c r="R139">
        <f>IF(LEFT(CX139,1)&lt;&gt;"0",IF(LEFT(CX139,1)="1",3.0,CY139),$D$5+$E$5*(DP139*DI139/($K$5*1000))+$F$5*(DP139*DI139/($K$5*1000))*MAX(MIN(CV139,$J$5),$I$5)*MAX(MIN(CV139,$J$5),$I$5)+$G$5*MAX(MIN(CV139,$J$5),$I$5)*(DP139*DI139/($K$5*1000))+$H$5*(DP139*DI139/($K$5*1000))*(DP139*DI139/($K$5*1000)))</f>
        <v>0</v>
      </c>
      <c r="S139">
        <f>J139*(1000-(1000*0.61365*exp(17.502*W139/(240.97+W139))/(DI139+DJ139)+DD139)/2)/(1000*0.61365*exp(17.502*W139/(240.97+W139))/(DI139+DJ139)-DD139)</f>
        <v>0</v>
      </c>
      <c r="T139">
        <f>1/((CW139+1)/(Q139/1.6)+1/(R139/1.37)) + CW139/((CW139+1)/(Q139/1.6) + CW139/(R139/1.37))</f>
        <v>0</v>
      </c>
      <c r="U139">
        <f>(CR139*CU139)</f>
        <v>0</v>
      </c>
      <c r="V139">
        <f>(DK139+(U139+2*0.95*5.67E-8*(((DK139+$B$7)+273)^4-(DK139+273)^4)-44100*J139)/(1.84*29.3*R139+8*0.95*5.67E-8*(DK139+273)^3))</f>
        <v>0</v>
      </c>
      <c r="W139">
        <f>($C$7*DL139+$D$7*DM139+$E$7*V139)</f>
        <v>0</v>
      </c>
      <c r="X139">
        <f>0.61365*exp(17.502*W139/(240.97+W139))</f>
        <v>0</v>
      </c>
      <c r="Y139">
        <f>(Z139/AA139*100)</f>
        <v>0</v>
      </c>
      <c r="Z139">
        <f>DD139*(DI139+DJ139)/1000</f>
        <v>0</v>
      </c>
      <c r="AA139">
        <f>0.61365*exp(17.502*DK139/(240.97+DK139))</f>
        <v>0</v>
      </c>
      <c r="AB139">
        <f>(X139-DD139*(DI139+DJ139)/1000)</f>
        <v>0</v>
      </c>
      <c r="AC139">
        <f>(-J139*44100)</f>
        <v>0</v>
      </c>
      <c r="AD139">
        <f>2*29.3*R139*0.92*(DK139-W139)</f>
        <v>0</v>
      </c>
      <c r="AE139">
        <f>2*0.95*5.67E-8*(((DK139+$B$7)+273)^4-(W139+273)^4)</f>
        <v>0</v>
      </c>
      <c r="AF139">
        <f>U139+AE139+AC139+AD139</f>
        <v>0</v>
      </c>
      <c r="AG139">
        <f>DH139*AU139*(DC139-DB139*(1000-AU139*DE139)/(1000-AU139*DD139))/(100*CV139)</f>
        <v>0</v>
      </c>
      <c r="AH139">
        <f>1000*DH139*AU139*(DD139-DE139)/(100*CV139*(1000-AU139*DD139))</f>
        <v>0</v>
      </c>
      <c r="AI139">
        <f>(AJ139 - AK139 - DI139*1E3/(8.314*(DK139+273.15)) * AM139/DH139 * AL139) * DH139/(100*CV139) * (1000 - DE139)/1000</f>
        <v>0</v>
      </c>
      <c r="AJ139">
        <v>421.6145211745966</v>
      </c>
      <c r="AK139">
        <v>400.5304545454544</v>
      </c>
      <c r="AL139">
        <v>-0.4298787793369785</v>
      </c>
      <c r="AM139">
        <v>65.96288611109561</v>
      </c>
      <c r="AN139">
        <f>(AP139 - AO139 + DI139*1E3/(8.314*(DK139+273.15)) * AR139/DH139 * AQ139) * DH139/(100*CV139) * 1000/(1000 - AP139)</f>
        <v>0</v>
      </c>
      <c r="AO139">
        <v>15.75104151468374</v>
      </c>
      <c r="AP139">
        <v>24.71307832167832</v>
      </c>
      <c r="AQ139">
        <v>-0.00508198302815491</v>
      </c>
      <c r="AR139">
        <v>81.18387902069509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MAX(0,($B$13+$C$13*DP139)/(1+$D$13*DP139)*DI139/(DK139+273)*$E$13)</f>
        <v>0</v>
      </c>
      <c r="AX139" t="s">
        <v>417</v>
      </c>
      <c r="AY139" t="s">
        <v>417</v>
      </c>
      <c r="AZ139">
        <v>0</v>
      </c>
      <c r="BA139">
        <v>0</v>
      </c>
      <c r="BB139">
        <f>1-AZ139/BA139</f>
        <v>0</v>
      </c>
      <c r="BC139">
        <v>0</v>
      </c>
      <c r="BD139" t="s">
        <v>417</v>
      </c>
      <c r="BE139" t="s">
        <v>417</v>
      </c>
      <c r="BF139">
        <v>0</v>
      </c>
      <c r="BG139">
        <v>0</v>
      </c>
      <c r="BH139">
        <f>1-BF139/BG139</f>
        <v>0</v>
      </c>
      <c r="BI139">
        <v>0.5</v>
      </c>
      <c r="BJ139">
        <f>CS139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417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1393</v>
      </c>
      <c r="CA139">
        <v>300</v>
      </c>
      <c r="CB139">
        <v>300</v>
      </c>
      <c r="CC139">
        <v>300</v>
      </c>
      <c r="CD139">
        <v>10378</v>
      </c>
      <c r="CE139">
        <v>2050</v>
      </c>
      <c r="CF139">
        <v>-0.00730649</v>
      </c>
      <c r="CG139">
        <v>-4.53</v>
      </c>
      <c r="CH139" t="s">
        <v>417</v>
      </c>
      <c r="CI139" t="s">
        <v>417</v>
      </c>
      <c r="CJ139" t="s">
        <v>417</v>
      </c>
      <c r="CK139" t="s">
        <v>417</v>
      </c>
      <c r="CL139" t="s">
        <v>417</v>
      </c>
      <c r="CM139" t="s">
        <v>417</v>
      </c>
      <c r="CN139" t="s">
        <v>417</v>
      </c>
      <c r="CO139" t="s">
        <v>417</v>
      </c>
      <c r="CP139" t="s">
        <v>417</v>
      </c>
      <c r="CQ139" t="s">
        <v>417</v>
      </c>
      <c r="CR139">
        <f>$B$11*DQ139+$C$11*DR139+$F$11*EC139*(1-EF139)</f>
        <v>0</v>
      </c>
      <c r="CS139">
        <f>CR139*CT139</f>
        <v>0</v>
      </c>
      <c r="CT139">
        <f>($B$11*$D$9+$C$11*$D$9+$F$11*((EP139+EH139)/MAX(EP139+EH139+EQ139, 0.1)*$I$9+EQ139/MAX(EP139+EH139+EQ139, 0.1)*$J$9))/($B$11+$C$11+$F$11)</f>
        <v>0</v>
      </c>
      <c r="CU139">
        <f>($B$11*$K$9+$C$11*$K$9+$F$11*((EP139+EH139)/MAX(EP139+EH139+EQ139, 0.1)*$P$9+EQ139/MAX(EP139+EH139+EQ139, 0.1)*$Q$9))/($B$11+$C$11+$F$11)</f>
        <v>0</v>
      </c>
      <c r="CV139">
        <v>6</v>
      </c>
      <c r="CW139">
        <v>0.5</v>
      </c>
      <c r="CX139" t="s">
        <v>418</v>
      </c>
      <c r="CY139">
        <v>2</v>
      </c>
      <c r="CZ139" t="b">
        <v>1</v>
      </c>
      <c r="DA139">
        <v>1652372344.232143</v>
      </c>
      <c r="DB139">
        <v>392.2179642857142</v>
      </c>
      <c r="DC139">
        <v>417.0316785714286</v>
      </c>
      <c r="DD139">
        <v>24.74610714285714</v>
      </c>
      <c r="DE139">
        <v>15.61018571428571</v>
      </c>
      <c r="DF139">
        <v>391.848</v>
      </c>
      <c r="DG139">
        <v>24.699425</v>
      </c>
      <c r="DH139">
        <v>400.0412857142857</v>
      </c>
      <c r="DI139">
        <v>90.40057142857142</v>
      </c>
      <c r="DJ139">
        <v>0.09989490357142858</v>
      </c>
      <c r="DK139">
        <v>31.3044</v>
      </c>
      <c r="DL139">
        <v>30.1598</v>
      </c>
      <c r="DM139">
        <v>999.9000000000002</v>
      </c>
      <c r="DN139">
        <v>0</v>
      </c>
      <c r="DO139">
        <v>0</v>
      </c>
      <c r="DP139">
        <v>10005.3775</v>
      </c>
      <c r="DQ139">
        <v>0</v>
      </c>
      <c r="DR139">
        <v>685.2792857142858</v>
      </c>
      <c r="DS139">
        <v>-24.81374285714286</v>
      </c>
      <c r="DT139">
        <v>402.1701071428571</v>
      </c>
      <c r="DU139">
        <v>423.6442857142857</v>
      </c>
      <c r="DV139">
        <v>9.135935</v>
      </c>
      <c r="DW139">
        <v>417.0316785714286</v>
      </c>
      <c r="DX139">
        <v>15.61018571428571</v>
      </c>
      <c r="DY139">
        <v>2.237062857142857</v>
      </c>
      <c r="DZ139">
        <v>1.411168928571428</v>
      </c>
      <c r="EA139">
        <v>19.23023214285714</v>
      </c>
      <c r="EB139">
        <v>12.03745357142857</v>
      </c>
      <c r="EC139">
        <v>1499.994642857143</v>
      </c>
      <c r="ED139">
        <v>0.972994142857143</v>
      </c>
      <c r="EE139">
        <v>0.02700615714285714</v>
      </c>
      <c r="EF139">
        <v>0</v>
      </c>
      <c r="EG139">
        <v>1748.375</v>
      </c>
      <c r="EH139">
        <v>5.00097</v>
      </c>
      <c r="EI139">
        <v>27094.54642857143</v>
      </c>
      <c r="EJ139">
        <v>12491.53214285714</v>
      </c>
      <c r="EK139">
        <v>39.875</v>
      </c>
      <c r="EL139">
        <v>41.39049999999999</v>
      </c>
      <c r="EM139">
        <v>40.07099999999999</v>
      </c>
      <c r="EN139">
        <v>41.25</v>
      </c>
      <c r="EO139">
        <v>41.01992857142856</v>
      </c>
      <c r="EP139">
        <v>1454.6225</v>
      </c>
      <c r="EQ139">
        <v>40.37035714285713</v>
      </c>
      <c r="ER139">
        <v>0</v>
      </c>
      <c r="ES139">
        <v>1186</v>
      </c>
      <c r="ET139">
        <v>0</v>
      </c>
      <c r="EU139">
        <v>1748.27</v>
      </c>
      <c r="EV139">
        <v>-13.2807692039262</v>
      </c>
      <c r="EW139">
        <v>-798.6538448185028</v>
      </c>
      <c r="EX139">
        <v>27087.524</v>
      </c>
      <c r="EY139">
        <v>15</v>
      </c>
      <c r="EZ139">
        <v>1652371289.6</v>
      </c>
      <c r="FA139" t="s">
        <v>515</v>
      </c>
      <c r="FB139">
        <v>1652371289.6</v>
      </c>
      <c r="FC139">
        <v>1652371275.1</v>
      </c>
      <c r="FD139">
        <v>24</v>
      </c>
      <c r="FE139">
        <v>0.442</v>
      </c>
      <c r="FF139">
        <v>0.001</v>
      </c>
      <c r="FG139">
        <v>-2.63</v>
      </c>
      <c r="FH139">
        <v>0.007</v>
      </c>
      <c r="FI139">
        <v>1620</v>
      </c>
      <c r="FJ139">
        <v>22</v>
      </c>
      <c r="FK139">
        <v>0.08</v>
      </c>
      <c r="FL139">
        <v>0.04</v>
      </c>
      <c r="FM139">
        <v>-25.5980025</v>
      </c>
      <c r="FN139">
        <v>28.6326450281427</v>
      </c>
      <c r="FO139">
        <v>3.526835172466067</v>
      </c>
      <c r="FP139">
        <v>-1</v>
      </c>
      <c r="FQ139">
        <v>9.242512250000001</v>
      </c>
      <c r="FR139">
        <v>-2.543462026266432</v>
      </c>
      <c r="FS139">
        <v>0.2453224290346025</v>
      </c>
      <c r="FT139">
        <v>0</v>
      </c>
      <c r="FU139">
        <v>0</v>
      </c>
      <c r="FV139">
        <v>0</v>
      </c>
      <c r="FW139">
        <v>0</v>
      </c>
      <c r="FX139">
        <v>-1</v>
      </c>
      <c r="FY139">
        <v>0</v>
      </c>
      <c r="FZ139">
        <v>1</v>
      </c>
      <c r="GA139" t="s">
        <v>432</v>
      </c>
      <c r="GB139">
        <v>2.69592</v>
      </c>
      <c r="GC139">
        <v>2.70519</v>
      </c>
      <c r="GD139">
        <v>0.0882643</v>
      </c>
      <c r="GE139">
        <v>0.0899045</v>
      </c>
      <c r="GF139">
        <v>0.108248</v>
      </c>
      <c r="GG139">
        <v>0.0778404</v>
      </c>
      <c r="GH139">
        <v>28669.6</v>
      </c>
      <c r="GI139">
        <v>28739.8</v>
      </c>
      <c r="GJ139">
        <v>29250.2</v>
      </c>
      <c r="GK139">
        <v>29221.2</v>
      </c>
      <c r="GL139">
        <v>34532.7</v>
      </c>
      <c r="GM139">
        <v>35871.7</v>
      </c>
      <c r="GN139">
        <v>41168.5</v>
      </c>
      <c r="GO139">
        <v>41692.7</v>
      </c>
      <c r="GP139">
        <v>1.72822</v>
      </c>
      <c r="GQ139">
        <v>2.02962</v>
      </c>
      <c r="GR139">
        <v>0.0572279</v>
      </c>
      <c r="GS139">
        <v>0</v>
      </c>
      <c r="GT139">
        <v>29.2102</v>
      </c>
      <c r="GU139">
        <v>999.9</v>
      </c>
      <c r="GV139">
        <v>45</v>
      </c>
      <c r="GW139">
        <v>33.1</v>
      </c>
      <c r="GX139">
        <v>25.291</v>
      </c>
      <c r="GY139">
        <v>63.308</v>
      </c>
      <c r="GZ139">
        <v>29.2508</v>
      </c>
      <c r="HA139">
        <v>1</v>
      </c>
      <c r="HB139">
        <v>0.24878</v>
      </c>
      <c r="HC139">
        <v>1.94596</v>
      </c>
      <c r="HD139">
        <v>20.3694</v>
      </c>
      <c r="HE139">
        <v>5.21864</v>
      </c>
      <c r="HF139">
        <v>12.0099</v>
      </c>
      <c r="HG139">
        <v>4.9884</v>
      </c>
      <c r="HH139">
        <v>3.28855</v>
      </c>
      <c r="HI139">
        <v>2723.3</v>
      </c>
      <c r="HJ139">
        <v>9999</v>
      </c>
      <c r="HK139">
        <v>9999</v>
      </c>
      <c r="HL139">
        <v>50</v>
      </c>
      <c r="HM139">
        <v>1.86722</v>
      </c>
      <c r="HN139">
        <v>1.86617</v>
      </c>
      <c r="HO139">
        <v>1.86583</v>
      </c>
      <c r="HP139">
        <v>1.86569</v>
      </c>
      <c r="HQ139">
        <v>1.86744</v>
      </c>
      <c r="HR139">
        <v>1.87</v>
      </c>
      <c r="HS139">
        <v>1.86861</v>
      </c>
      <c r="HT139">
        <v>1.87001</v>
      </c>
      <c r="HU139">
        <v>0</v>
      </c>
      <c r="HV139">
        <v>0</v>
      </c>
      <c r="HW139">
        <v>0</v>
      </c>
      <c r="HX139">
        <v>0</v>
      </c>
      <c r="HY139" t="s">
        <v>421</v>
      </c>
      <c r="HZ139" t="s">
        <v>422</v>
      </c>
      <c r="IA139" t="s">
        <v>423</v>
      </c>
      <c r="IB139" t="s">
        <v>423</v>
      </c>
      <c r="IC139" t="s">
        <v>423</v>
      </c>
      <c r="ID139" t="s">
        <v>423</v>
      </c>
      <c r="IE139">
        <v>0</v>
      </c>
      <c r="IF139">
        <v>100</v>
      </c>
      <c r="IG139">
        <v>100</v>
      </c>
      <c r="IH139">
        <v>0.375</v>
      </c>
      <c r="II139">
        <v>0.0462</v>
      </c>
      <c r="IJ139">
        <v>1.257309091789605</v>
      </c>
      <c r="IK139">
        <v>-0.002185601614162945</v>
      </c>
      <c r="IL139">
        <v>-2.252308143750626E-07</v>
      </c>
      <c r="IM139">
        <v>5.915558436307541E-11</v>
      </c>
      <c r="IN139">
        <v>-0.118683452207699</v>
      </c>
      <c r="IO139">
        <v>-0.007570214193104963</v>
      </c>
      <c r="IP139">
        <v>0.0009214429922928372</v>
      </c>
      <c r="IQ139">
        <v>-1.392260276065805E-05</v>
      </c>
      <c r="IR139">
        <v>17</v>
      </c>
      <c r="IS139">
        <v>2272</v>
      </c>
      <c r="IT139">
        <v>1</v>
      </c>
      <c r="IU139">
        <v>31</v>
      </c>
      <c r="IV139">
        <v>17.7</v>
      </c>
      <c r="IW139">
        <v>17.9</v>
      </c>
      <c r="IX139">
        <v>0.991211</v>
      </c>
      <c r="IY139">
        <v>2.21924</v>
      </c>
      <c r="IZ139">
        <v>1.39648</v>
      </c>
      <c r="JA139">
        <v>2.35474</v>
      </c>
      <c r="JB139">
        <v>1.49536</v>
      </c>
      <c r="JC139">
        <v>2.35474</v>
      </c>
      <c r="JD139">
        <v>36.7892</v>
      </c>
      <c r="JE139">
        <v>15.2703</v>
      </c>
      <c r="JF139">
        <v>18</v>
      </c>
      <c r="JG139">
        <v>389.555</v>
      </c>
      <c r="JH139">
        <v>565.152</v>
      </c>
      <c r="JI139">
        <v>28.4485</v>
      </c>
      <c r="JJ139">
        <v>30.5618</v>
      </c>
      <c r="JK139">
        <v>30.0006</v>
      </c>
      <c r="JL139">
        <v>30.4896</v>
      </c>
      <c r="JM139">
        <v>30.4056</v>
      </c>
      <c r="JN139">
        <v>19.8539</v>
      </c>
      <c r="JO139">
        <v>36.3809</v>
      </c>
      <c r="JP139">
        <v>0</v>
      </c>
      <c r="JQ139">
        <v>28.3388</v>
      </c>
      <c r="JR139">
        <v>379.884</v>
      </c>
      <c r="JS139">
        <v>16.0809</v>
      </c>
      <c r="JT139">
        <v>99.9796</v>
      </c>
      <c r="JU139">
        <v>100.08</v>
      </c>
    </row>
    <row r="140" spans="1:281">
      <c r="A140">
        <v>124</v>
      </c>
      <c r="B140">
        <v>1652372357</v>
      </c>
      <c r="C140">
        <v>4263.400000095367</v>
      </c>
      <c r="D140" t="s">
        <v>716</v>
      </c>
      <c r="E140" t="s">
        <v>717</v>
      </c>
      <c r="F140">
        <v>5</v>
      </c>
      <c r="G140" t="s">
        <v>711</v>
      </c>
      <c r="H140" t="s">
        <v>414</v>
      </c>
      <c r="I140">
        <v>1652372349.5</v>
      </c>
      <c r="J140">
        <f>(K140)/1000</f>
        <v>0</v>
      </c>
      <c r="K140">
        <f>IF(CZ140, AN140, AH140)</f>
        <v>0</v>
      </c>
      <c r="L140">
        <f>IF(CZ140, AI140, AG140)</f>
        <v>0</v>
      </c>
      <c r="M140">
        <f>DB140 - IF(AU140&gt;1, L140*CV140*100.0/(AW140*DP140), 0)</f>
        <v>0</v>
      </c>
      <c r="N140">
        <f>((T140-J140/2)*M140-L140)/(T140+J140/2)</f>
        <v>0</v>
      </c>
      <c r="O140">
        <f>N140*(DI140+DJ140)/1000.0</f>
        <v>0</v>
      </c>
      <c r="P140">
        <f>(DB140 - IF(AU140&gt;1, L140*CV140*100.0/(AW140*DP140), 0))*(DI140+DJ140)/1000.0</f>
        <v>0</v>
      </c>
      <c r="Q140">
        <f>2.0/((1/S140-1/R140)+SIGN(S140)*SQRT((1/S140-1/R140)*(1/S140-1/R140) + 4*CW140/((CW140+1)*(CW140+1))*(2*1/S140*1/R140-1/R140*1/R140)))</f>
        <v>0</v>
      </c>
      <c r="R140">
        <f>IF(LEFT(CX140,1)&lt;&gt;"0",IF(LEFT(CX140,1)="1",3.0,CY140),$D$5+$E$5*(DP140*DI140/($K$5*1000))+$F$5*(DP140*DI140/($K$5*1000))*MAX(MIN(CV140,$J$5),$I$5)*MAX(MIN(CV140,$J$5),$I$5)+$G$5*MAX(MIN(CV140,$J$5),$I$5)*(DP140*DI140/($K$5*1000))+$H$5*(DP140*DI140/($K$5*1000))*(DP140*DI140/($K$5*1000)))</f>
        <v>0</v>
      </c>
      <c r="S140">
        <f>J140*(1000-(1000*0.61365*exp(17.502*W140/(240.97+W140))/(DI140+DJ140)+DD140)/2)/(1000*0.61365*exp(17.502*W140/(240.97+W140))/(DI140+DJ140)-DD140)</f>
        <v>0</v>
      </c>
      <c r="T140">
        <f>1/((CW140+1)/(Q140/1.6)+1/(R140/1.37)) + CW140/((CW140+1)/(Q140/1.6) + CW140/(R140/1.37))</f>
        <v>0</v>
      </c>
      <c r="U140">
        <f>(CR140*CU140)</f>
        <v>0</v>
      </c>
      <c r="V140">
        <f>(DK140+(U140+2*0.95*5.67E-8*(((DK140+$B$7)+273)^4-(DK140+273)^4)-44100*J140)/(1.84*29.3*R140+8*0.95*5.67E-8*(DK140+273)^3))</f>
        <v>0</v>
      </c>
      <c r="W140">
        <f>($C$7*DL140+$D$7*DM140+$E$7*V140)</f>
        <v>0</v>
      </c>
      <c r="X140">
        <f>0.61365*exp(17.502*W140/(240.97+W140))</f>
        <v>0</v>
      </c>
      <c r="Y140">
        <f>(Z140/AA140*100)</f>
        <v>0</v>
      </c>
      <c r="Z140">
        <f>DD140*(DI140+DJ140)/1000</f>
        <v>0</v>
      </c>
      <c r="AA140">
        <f>0.61365*exp(17.502*DK140/(240.97+DK140))</f>
        <v>0</v>
      </c>
      <c r="AB140">
        <f>(X140-DD140*(DI140+DJ140)/1000)</f>
        <v>0</v>
      </c>
      <c r="AC140">
        <f>(-J140*44100)</f>
        <v>0</v>
      </c>
      <c r="AD140">
        <f>2*29.3*R140*0.92*(DK140-W140)</f>
        <v>0</v>
      </c>
      <c r="AE140">
        <f>2*0.95*5.67E-8*(((DK140+$B$7)+273)^4-(W140+273)^4)</f>
        <v>0</v>
      </c>
      <c r="AF140">
        <f>U140+AE140+AC140+AD140</f>
        <v>0</v>
      </c>
      <c r="AG140">
        <f>DH140*AU140*(DC140-DB140*(1000-AU140*DE140)/(1000-AU140*DD140))/(100*CV140)</f>
        <v>0</v>
      </c>
      <c r="AH140">
        <f>1000*DH140*AU140*(DD140-DE140)/(100*CV140*(1000-AU140*DD140))</f>
        <v>0</v>
      </c>
      <c r="AI140">
        <f>(AJ140 - AK140 - DI140*1E3/(8.314*(DK140+273.15)) * AM140/DH140 * AL140) * DH140/(100*CV140) * (1000 - DE140)/1000</f>
        <v>0</v>
      </c>
      <c r="AJ140">
        <v>407.5042109846112</v>
      </c>
      <c r="AK140">
        <v>393.3108969696968</v>
      </c>
      <c r="AL140">
        <v>-1.49089562942694</v>
      </c>
      <c r="AM140">
        <v>65.96288611109561</v>
      </c>
      <c r="AN140">
        <f>(AP140 - AO140 + DI140*1E3/(8.314*(DK140+273.15)) * AR140/DH140 * AQ140) * DH140/(100*CV140) * 1000/(1000 - AP140)</f>
        <v>0</v>
      </c>
      <c r="AO140">
        <v>15.84586874870713</v>
      </c>
      <c r="AP140">
        <v>24.66200489510492</v>
      </c>
      <c r="AQ140">
        <v>-0.01132127193168267</v>
      </c>
      <c r="AR140">
        <v>81.18387902069509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MAX(0,($B$13+$C$13*DP140)/(1+$D$13*DP140)*DI140/(DK140+273)*$E$13)</f>
        <v>0</v>
      </c>
      <c r="AX140" t="s">
        <v>417</v>
      </c>
      <c r="AY140" t="s">
        <v>417</v>
      </c>
      <c r="AZ140">
        <v>0</v>
      </c>
      <c r="BA140">
        <v>0</v>
      </c>
      <c r="BB140">
        <f>1-AZ140/BA140</f>
        <v>0</v>
      </c>
      <c r="BC140">
        <v>0</v>
      </c>
      <c r="BD140" t="s">
        <v>417</v>
      </c>
      <c r="BE140" t="s">
        <v>417</v>
      </c>
      <c r="BF140">
        <v>0</v>
      </c>
      <c r="BG140">
        <v>0</v>
      </c>
      <c r="BH140">
        <f>1-BF140/BG140</f>
        <v>0</v>
      </c>
      <c r="BI140">
        <v>0.5</v>
      </c>
      <c r="BJ140">
        <f>CS140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417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1393</v>
      </c>
      <c r="CA140">
        <v>300</v>
      </c>
      <c r="CB140">
        <v>300</v>
      </c>
      <c r="CC140">
        <v>300</v>
      </c>
      <c r="CD140">
        <v>10378</v>
      </c>
      <c r="CE140">
        <v>2050</v>
      </c>
      <c r="CF140">
        <v>-0.00730649</v>
      </c>
      <c r="CG140">
        <v>-4.53</v>
      </c>
      <c r="CH140" t="s">
        <v>417</v>
      </c>
      <c r="CI140" t="s">
        <v>417</v>
      </c>
      <c r="CJ140" t="s">
        <v>417</v>
      </c>
      <c r="CK140" t="s">
        <v>417</v>
      </c>
      <c r="CL140" t="s">
        <v>417</v>
      </c>
      <c r="CM140" t="s">
        <v>417</v>
      </c>
      <c r="CN140" t="s">
        <v>417</v>
      </c>
      <c r="CO140" t="s">
        <v>417</v>
      </c>
      <c r="CP140" t="s">
        <v>417</v>
      </c>
      <c r="CQ140" t="s">
        <v>417</v>
      </c>
      <c r="CR140">
        <f>$B$11*DQ140+$C$11*DR140+$F$11*EC140*(1-EF140)</f>
        <v>0</v>
      </c>
      <c r="CS140">
        <f>CR140*CT140</f>
        <v>0</v>
      </c>
      <c r="CT140">
        <f>($B$11*$D$9+$C$11*$D$9+$F$11*((EP140+EH140)/MAX(EP140+EH140+EQ140, 0.1)*$I$9+EQ140/MAX(EP140+EH140+EQ140, 0.1)*$J$9))/($B$11+$C$11+$F$11)</f>
        <v>0</v>
      </c>
      <c r="CU140">
        <f>($B$11*$K$9+$C$11*$K$9+$F$11*((EP140+EH140)/MAX(EP140+EH140+EQ140, 0.1)*$P$9+EQ140/MAX(EP140+EH140+EQ140, 0.1)*$Q$9))/($B$11+$C$11+$F$11)</f>
        <v>0</v>
      </c>
      <c r="CV140">
        <v>6</v>
      </c>
      <c r="CW140">
        <v>0.5</v>
      </c>
      <c r="CX140" t="s">
        <v>418</v>
      </c>
      <c r="CY140">
        <v>2</v>
      </c>
      <c r="CZ140" t="b">
        <v>1</v>
      </c>
      <c r="DA140">
        <v>1652372349.5</v>
      </c>
      <c r="DB140">
        <v>390.3860740740741</v>
      </c>
      <c r="DC140">
        <v>409.1954074074075</v>
      </c>
      <c r="DD140">
        <v>24.71752222222223</v>
      </c>
      <c r="DE140">
        <v>15.78715185185185</v>
      </c>
      <c r="DF140">
        <v>390.0117777777777</v>
      </c>
      <c r="DG140">
        <v>24.67118518518519</v>
      </c>
      <c r="DH140">
        <v>400.0651851851852</v>
      </c>
      <c r="DI140">
        <v>90.39987037037035</v>
      </c>
      <c r="DJ140">
        <v>0.09995225925925925</v>
      </c>
      <c r="DK140">
        <v>31.26978148148148</v>
      </c>
      <c r="DL140">
        <v>30.14673333333333</v>
      </c>
      <c r="DM140">
        <v>999.9000000000001</v>
      </c>
      <c r="DN140">
        <v>0</v>
      </c>
      <c r="DO140">
        <v>0</v>
      </c>
      <c r="DP140">
        <v>10003.30888888889</v>
      </c>
      <c r="DQ140">
        <v>0</v>
      </c>
      <c r="DR140">
        <v>620.4488888888889</v>
      </c>
      <c r="DS140">
        <v>-18.80938925925926</v>
      </c>
      <c r="DT140">
        <v>400.28</v>
      </c>
      <c r="DU140">
        <v>415.7577777777777</v>
      </c>
      <c r="DV140">
        <v>8.930379629629629</v>
      </c>
      <c r="DW140">
        <v>409.1954074074075</v>
      </c>
      <c r="DX140">
        <v>15.78715185185185</v>
      </c>
      <c r="DY140">
        <v>2.234462222222222</v>
      </c>
      <c r="DZ140">
        <v>1.427156666666667</v>
      </c>
      <c r="EA140">
        <v>19.21154814814815</v>
      </c>
      <c r="EB140">
        <v>12.20884444444444</v>
      </c>
      <c r="EC140">
        <v>1499.993333333333</v>
      </c>
      <c r="ED140">
        <v>0.972994777777778</v>
      </c>
      <c r="EE140">
        <v>0.02700559629629629</v>
      </c>
      <c r="EF140">
        <v>0</v>
      </c>
      <c r="EG140">
        <v>1747.206666666667</v>
      </c>
      <c r="EH140">
        <v>5.00097</v>
      </c>
      <c r="EI140">
        <v>27035.66666666667</v>
      </c>
      <c r="EJ140">
        <v>12491.52222222222</v>
      </c>
      <c r="EK140">
        <v>39.875</v>
      </c>
      <c r="EL140">
        <v>41.40714814814814</v>
      </c>
      <c r="EM140">
        <v>40.09233333333333</v>
      </c>
      <c r="EN140">
        <v>41.25229629629629</v>
      </c>
      <c r="EO140">
        <v>41.03674074074073</v>
      </c>
      <c r="EP140">
        <v>1454.622962962963</v>
      </c>
      <c r="EQ140">
        <v>40.36999999999999</v>
      </c>
      <c r="ER140">
        <v>0</v>
      </c>
      <c r="ES140">
        <v>1190.799999952316</v>
      </c>
      <c r="ET140">
        <v>0</v>
      </c>
      <c r="EU140">
        <v>1747.1956</v>
      </c>
      <c r="EV140">
        <v>-13.31384614002515</v>
      </c>
      <c r="EW140">
        <v>-507.5923076317828</v>
      </c>
      <c r="EX140">
        <v>27035.628</v>
      </c>
      <c r="EY140">
        <v>15</v>
      </c>
      <c r="EZ140">
        <v>1652371289.6</v>
      </c>
      <c r="FA140" t="s">
        <v>515</v>
      </c>
      <c r="FB140">
        <v>1652371289.6</v>
      </c>
      <c r="FC140">
        <v>1652371275.1</v>
      </c>
      <c r="FD140">
        <v>24</v>
      </c>
      <c r="FE140">
        <v>0.442</v>
      </c>
      <c r="FF140">
        <v>0.001</v>
      </c>
      <c r="FG140">
        <v>-2.63</v>
      </c>
      <c r="FH140">
        <v>0.007</v>
      </c>
      <c r="FI140">
        <v>1620</v>
      </c>
      <c r="FJ140">
        <v>22</v>
      </c>
      <c r="FK140">
        <v>0.08</v>
      </c>
      <c r="FL140">
        <v>0.04</v>
      </c>
      <c r="FM140">
        <v>-21.25651775</v>
      </c>
      <c r="FN140">
        <v>69.95079636022518</v>
      </c>
      <c r="FO140">
        <v>7.229875119653343</v>
      </c>
      <c r="FP140">
        <v>-1</v>
      </c>
      <c r="FQ140">
        <v>9.041495250000001</v>
      </c>
      <c r="FR140">
        <v>-2.329359962476579</v>
      </c>
      <c r="FS140">
        <v>0.225070113453425</v>
      </c>
      <c r="FT140">
        <v>0</v>
      </c>
      <c r="FU140">
        <v>0</v>
      </c>
      <c r="FV140">
        <v>0</v>
      </c>
      <c r="FW140">
        <v>0</v>
      </c>
      <c r="FX140">
        <v>-1</v>
      </c>
      <c r="FY140">
        <v>0</v>
      </c>
      <c r="FZ140">
        <v>1</v>
      </c>
      <c r="GA140" t="s">
        <v>432</v>
      </c>
      <c r="GB140">
        <v>2.69607</v>
      </c>
      <c r="GC140">
        <v>2.70503</v>
      </c>
      <c r="GD140">
        <v>0.08694109999999999</v>
      </c>
      <c r="GE140">
        <v>0.0872005</v>
      </c>
      <c r="GF140">
        <v>0.108094</v>
      </c>
      <c r="GG140">
        <v>0.07849920000000001</v>
      </c>
      <c r="GH140">
        <v>28710.8</v>
      </c>
      <c r="GI140">
        <v>28825</v>
      </c>
      <c r="GJ140">
        <v>29249.8</v>
      </c>
      <c r="GK140">
        <v>29221</v>
      </c>
      <c r="GL140">
        <v>34538.3</v>
      </c>
      <c r="GM140">
        <v>35845.6</v>
      </c>
      <c r="GN140">
        <v>41168</v>
      </c>
      <c r="GO140">
        <v>41692.4</v>
      </c>
      <c r="GP140">
        <v>1.72803</v>
      </c>
      <c r="GQ140">
        <v>2.02982</v>
      </c>
      <c r="GR140">
        <v>0.0570863</v>
      </c>
      <c r="GS140">
        <v>0</v>
      </c>
      <c r="GT140">
        <v>29.212</v>
      </c>
      <c r="GU140">
        <v>999.9</v>
      </c>
      <c r="GV140">
        <v>45</v>
      </c>
      <c r="GW140">
        <v>33.1</v>
      </c>
      <c r="GX140">
        <v>25.2921</v>
      </c>
      <c r="GY140">
        <v>63.438</v>
      </c>
      <c r="GZ140">
        <v>29.7115</v>
      </c>
      <c r="HA140">
        <v>1</v>
      </c>
      <c r="HB140">
        <v>0.249207</v>
      </c>
      <c r="HC140">
        <v>1.94163</v>
      </c>
      <c r="HD140">
        <v>20.3696</v>
      </c>
      <c r="HE140">
        <v>5.21819</v>
      </c>
      <c r="HF140">
        <v>12.0099</v>
      </c>
      <c r="HG140">
        <v>4.9885</v>
      </c>
      <c r="HH140">
        <v>3.28848</v>
      </c>
      <c r="HI140">
        <v>2723.3</v>
      </c>
      <c r="HJ140">
        <v>9999</v>
      </c>
      <c r="HK140">
        <v>9999</v>
      </c>
      <c r="HL140">
        <v>50</v>
      </c>
      <c r="HM140">
        <v>1.86722</v>
      </c>
      <c r="HN140">
        <v>1.86615</v>
      </c>
      <c r="HO140">
        <v>1.86583</v>
      </c>
      <c r="HP140">
        <v>1.86569</v>
      </c>
      <c r="HQ140">
        <v>1.86748</v>
      </c>
      <c r="HR140">
        <v>1.87</v>
      </c>
      <c r="HS140">
        <v>1.86861</v>
      </c>
      <c r="HT140">
        <v>1.87003</v>
      </c>
      <c r="HU140">
        <v>0</v>
      </c>
      <c r="HV140">
        <v>0</v>
      </c>
      <c r="HW140">
        <v>0</v>
      </c>
      <c r="HX140">
        <v>0</v>
      </c>
      <c r="HY140" t="s">
        <v>421</v>
      </c>
      <c r="HZ140" t="s">
        <v>422</v>
      </c>
      <c r="IA140" t="s">
        <v>423</v>
      </c>
      <c r="IB140" t="s">
        <v>423</v>
      </c>
      <c r="IC140" t="s">
        <v>423</v>
      </c>
      <c r="ID140" t="s">
        <v>423</v>
      </c>
      <c r="IE140">
        <v>0</v>
      </c>
      <c r="IF140">
        <v>100</v>
      </c>
      <c r="IG140">
        <v>100</v>
      </c>
      <c r="IH140">
        <v>0.392</v>
      </c>
      <c r="II140">
        <v>0.0456</v>
      </c>
      <c r="IJ140">
        <v>1.257309091789605</v>
      </c>
      <c r="IK140">
        <v>-0.002185601614162945</v>
      </c>
      <c r="IL140">
        <v>-2.252308143750626E-07</v>
      </c>
      <c r="IM140">
        <v>5.915558436307541E-11</v>
      </c>
      <c r="IN140">
        <v>-0.118683452207699</v>
      </c>
      <c r="IO140">
        <v>-0.007570214193104963</v>
      </c>
      <c r="IP140">
        <v>0.0009214429922928372</v>
      </c>
      <c r="IQ140">
        <v>-1.392260276065805E-05</v>
      </c>
      <c r="IR140">
        <v>17</v>
      </c>
      <c r="IS140">
        <v>2272</v>
      </c>
      <c r="IT140">
        <v>1</v>
      </c>
      <c r="IU140">
        <v>31</v>
      </c>
      <c r="IV140">
        <v>17.8</v>
      </c>
      <c r="IW140">
        <v>18</v>
      </c>
      <c r="IX140">
        <v>0.957031</v>
      </c>
      <c r="IY140">
        <v>2.21924</v>
      </c>
      <c r="IZ140">
        <v>1.39648</v>
      </c>
      <c r="JA140">
        <v>2.35474</v>
      </c>
      <c r="JB140">
        <v>1.49536</v>
      </c>
      <c r="JC140">
        <v>2.3877</v>
      </c>
      <c r="JD140">
        <v>36.7892</v>
      </c>
      <c r="JE140">
        <v>15.2703</v>
      </c>
      <c r="JF140">
        <v>18</v>
      </c>
      <c r="JG140">
        <v>389.477</v>
      </c>
      <c r="JH140">
        <v>565.354</v>
      </c>
      <c r="JI140">
        <v>28.3016</v>
      </c>
      <c r="JJ140">
        <v>30.5686</v>
      </c>
      <c r="JK140">
        <v>30.0004</v>
      </c>
      <c r="JL140">
        <v>30.4945</v>
      </c>
      <c r="JM140">
        <v>30.4108</v>
      </c>
      <c r="JN140">
        <v>19.1641</v>
      </c>
      <c r="JO140">
        <v>35.7309</v>
      </c>
      <c r="JP140">
        <v>0</v>
      </c>
      <c r="JQ140">
        <v>28.1953</v>
      </c>
      <c r="JR140">
        <v>366.525</v>
      </c>
      <c r="JS140">
        <v>16.2887</v>
      </c>
      <c r="JT140">
        <v>99.97839999999999</v>
      </c>
      <c r="JU140">
        <v>100.08</v>
      </c>
    </row>
    <row r="141" spans="1:281">
      <c r="A141">
        <v>125</v>
      </c>
      <c r="B141">
        <v>1652372362</v>
      </c>
      <c r="C141">
        <v>4268.400000095367</v>
      </c>
      <c r="D141" t="s">
        <v>718</v>
      </c>
      <c r="E141" t="s">
        <v>719</v>
      </c>
      <c r="F141">
        <v>5</v>
      </c>
      <c r="G141" t="s">
        <v>711</v>
      </c>
      <c r="H141" t="s">
        <v>414</v>
      </c>
      <c r="I141">
        <v>1652372354.214286</v>
      </c>
      <c r="J141">
        <f>(K141)/1000</f>
        <v>0</v>
      </c>
      <c r="K141">
        <f>IF(CZ141, AN141, AH141)</f>
        <v>0</v>
      </c>
      <c r="L141">
        <f>IF(CZ141, AI141, AG141)</f>
        <v>0</v>
      </c>
      <c r="M141">
        <f>DB141 - IF(AU141&gt;1, L141*CV141*100.0/(AW141*DP141), 0)</f>
        <v>0</v>
      </c>
      <c r="N141">
        <f>((T141-J141/2)*M141-L141)/(T141+J141/2)</f>
        <v>0</v>
      </c>
      <c r="O141">
        <f>N141*(DI141+DJ141)/1000.0</f>
        <v>0</v>
      </c>
      <c r="P141">
        <f>(DB141 - IF(AU141&gt;1, L141*CV141*100.0/(AW141*DP141), 0))*(DI141+DJ141)/1000.0</f>
        <v>0</v>
      </c>
      <c r="Q141">
        <f>2.0/((1/S141-1/R141)+SIGN(S141)*SQRT((1/S141-1/R141)*(1/S141-1/R141) + 4*CW141/((CW141+1)*(CW141+1))*(2*1/S141*1/R141-1/R141*1/R141)))</f>
        <v>0</v>
      </c>
      <c r="R141">
        <f>IF(LEFT(CX141,1)&lt;&gt;"0",IF(LEFT(CX141,1)="1",3.0,CY141),$D$5+$E$5*(DP141*DI141/($K$5*1000))+$F$5*(DP141*DI141/($K$5*1000))*MAX(MIN(CV141,$J$5),$I$5)*MAX(MIN(CV141,$J$5),$I$5)+$G$5*MAX(MIN(CV141,$J$5),$I$5)*(DP141*DI141/($K$5*1000))+$H$5*(DP141*DI141/($K$5*1000))*(DP141*DI141/($K$5*1000)))</f>
        <v>0</v>
      </c>
      <c r="S141">
        <f>J141*(1000-(1000*0.61365*exp(17.502*W141/(240.97+W141))/(DI141+DJ141)+DD141)/2)/(1000*0.61365*exp(17.502*W141/(240.97+W141))/(DI141+DJ141)-DD141)</f>
        <v>0</v>
      </c>
      <c r="T141">
        <f>1/((CW141+1)/(Q141/1.6)+1/(R141/1.37)) + CW141/((CW141+1)/(Q141/1.6) + CW141/(R141/1.37))</f>
        <v>0</v>
      </c>
      <c r="U141">
        <f>(CR141*CU141)</f>
        <v>0</v>
      </c>
      <c r="V141">
        <f>(DK141+(U141+2*0.95*5.67E-8*(((DK141+$B$7)+273)^4-(DK141+273)^4)-44100*J141)/(1.84*29.3*R141+8*0.95*5.67E-8*(DK141+273)^3))</f>
        <v>0</v>
      </c>
      <c r="W141">
        <f>($C$7*DL141+$D$7*DM141+$E$7*V141)</f>
        <v>0</v>
      </c>
      <c r="X141">
        <f>0.61365*exp(17.502*W141/(240.97+W141))</f>
        <v>0</v>
      </c>
      <c r="Y141">
        <f>(Z141/AA141*100)</f>
        <v>0</v>
      </c>
      <c r="Z141">
        <f>DD141*(DI141+DJ141)/1000</f>
        <v>0</v>
      </c>
      <c r="AA141">
        <f>0.61365*exp(17.502*DK141/(240.97+DK141))</f>
        <v>0</v>
      </c>
      <c r="AB141">
        <f>(X141-DD141*(DI141+DJ141)/1000)</f>
        <v>0</v>
      </c>
      <c r="AC141">
        <f>(-J141*44100)</f>
        <v>0</v>
      </c>
      <c r="AD141">
        <f>2*29.3*R141*0.92*(DK141-W141)</f>
        <v>0</v>
      </c>
      <c r="AE141">
        <f>2*0.95*5.67E-8*(((DK141+$B$7)+273)^4-(W141+273)^4)</f>
        <v>0</v>
      </c>
      <c r="AF141">
        <f>U141+AE141+AC141+AD141</f>
        <v>0</v>
      </c>
      <c r="AG141">
        <f>DH141*AU141*(DC141-DB141*(1000-AU141*DE141)/(1000-AU141*DD141))/(100*CV141)</f>
        <v>0</v>
      </c>
      <c r="AH141">
        <f>1000*DH141*AU141*(DD141-DE141)/(100*CV141*(1000-AU141*DD141))</f>
        <v>0</v>
      </c>
      <c r="AI141">
        <f>(AJ141 - AK141 - DI141*1E3/(8.314*(DK141+273.15)) * AM141/DH141 * AL141) * DH141/(100*CV141) * (1000 - DE141)/1000</f>
        <v>0</v>
      </c>
      <c r="AJ141">
        <v>391.4626647913291</v>
      </c>
      <c r="AK141">
        <v>382.2654909090911</v>
      </c>
      <c r="AL141">
        <v>-2.246532413536647</v>
      </c>
      <c r="AM141">
        <v>65.96288611109561</v>
      </c>
      <c r="AN141">
        <f>(AP141 - AO141 + DI141*1E3/(8.314*(DK141+273.15)) * AR141/DH141 * AQ141) * DH141/(100*CV141) * 1000/(1000 - AP141)</f>
        <v>0</v>
      </c>
      <c r="AO141">
        <v>16.02829528324736</v>
      </c>
      <c r="AP141">
        <v>24.6212195804196</v>
      </c>
      <c r="AQ141">
        <v>-0.01024705373381812</v>
      </c>
      <c r="AR141">
        <v>81.18387902069509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MAX(0,($B$13+$C$13*DP141)/(1+$D$13*DP141)*DI141/(DK141+273)*$E$13)</f>
        <v>0</v>
      </c>
      <c r="AX141" t="s">
        <v>417</v>
      </c>
      <c r="AY141" t="s">
        <v>417</v>
      </c>
      <c r="AZ141">
        <v>0</v>
      </c>
      <c r="BA141">
        <v>0</v>
      </c>
      <c r="BB141">
        <f>1-AZ141/BA141</f>
        <v>0</v>
      </c>
      <c r="BC141">
        <v>0</v>
      </c>
      <c r="BD141" t="s">
        <v>417</v>
      </c>
      <c r="BE141" t="s">
        <v>417</v>
      </c>
      <c r="BF141">
        <v>0</v>
      </c>
      <c r="BG141">
        <v>0</v>
      </c>
      <c r="BH141">
        <f>1-BF141/BG141</f>
        <v>0</v>
      </c>
      <c r="BI141">
        <v>0.5</v>
      </c>
      <c r="BJ141">
        <f>CS141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417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1393</v>
      </c>
      <c r="CA141">
        <v>300</v>
      </c>
      <c r="CB141">
        <v>300</v>
      </c>
      <c r="CC141">
        <v>300</v>
      </c>
      <c r="CD141">
        <v>10378</v>
      </c>
      <c r="CE141">
        <v>2050</v>
      </c>
      <c r="CF141">
        <v>-0.00730649</v>
      </c>
      <c r="CG141">
        <v>-4.53</v>
      </c>
      <c r="CH141" t="s">
        <v>417</v>
      </c>
      <c r="CI141" t="s">
        <v>417</v>
      </c>
      <c r="CJ141" t="s">
        <v>417</v>
      </c>
      <c r="CK141" t="s">
        <v>417</v>
      </c>
      <c r="CL141" t="s">
        <v>417</v>
      </c>
      <c r="CM141" t="s">
        <v>417</v>
      </c>
      <c r="CN141" t="s">
        <v>417</v>
      </c>
      <c r="CO141" t="s">
        <v>417</v>
      </c>
      <c r="CP141" t="s">
        <v>417</v>
      </c>
      <c r="CQ141" t="s">
        <v>417</v>
      </c>
      <c r="CR141">
        <f>$B$11*DQ141+$C$11*DR141+$F$11*EC141*(1-EF141)</f>
        <v>0</v>
      </c>
      <c r="CS141">
        <f>CR141*CT141</f>
        <v>0</v>
      </c>
      <c r="CT141">
        <f>($B$11*$D$9+$C$11*$D$9+$F$11*((EP141+EH141)/MAX(EP141+EH141+EQ141, 0.1)*$I$9+EQ141/MAX(EP141+EH141+EQ141, 0.1)*$J$9))/($B$11+$C$11+$F$11)</f>
        <v>0</v>
      </c>
      <c r="CU141">
        <f>($B$11*$K$9+$C$11*$K$9+$F$11*((EP141+EH141)/MAX(EP141+EH141+EQ141, 0.1)*$P$9+EQ141/MAX(EP141+EH141+EQ141, 0.1)*$Q$9))/($B$11+$C$11+$F$11)</f>
        <v>0</v>
      </c>
      <c r="CV141">
        <v>6</v>
      </c>
      <c r="CW141">
        <v>0.5</v>
      </c>
      <c r="CX141" t="s">
        <v>418</v>
      </c>
      <c r="CY141">
        <v>2</v>
      </c>
      <c r="CZ141" t="b">
        <v>1</v>
      </c>
      <c r="DA141">
        <v>1652372354.214286</v>
      </c>
      <c r="DB141">
        <v>385.6150357142857</v>
      </c>
      <c r="DC141">
        <v>397.0391785714286</v>
      </c>
      <c r="DD141">
        <v>24.68242857142857</v>
      </c>
      <c r="DE141">
        <v>15.94043214285714</v>
      </c>
      <c r="DF141">
        <v>385.2295</v>
      </c>
      <c r="DG141">
        <v>24.636525</v>
      </c>
      <c r="DH141">
        <v>400.0752142857142</v>
      </c>
      <c r="DI141">
        <v>90.40004999999999</v>
      </c>
      <c r="DJ141">
        <v>0.09998585357142856</v>
      </c>
      <c r="DK141">
        <v>31.23766428571429</v>
      </c>
      <c r="DL141">
        <v>30.140075</v>
      </c>
      <c r="DM141">
        <v>999.9000000000002</v>
      </c>
      <c r="DN141">
        <v>0</v>
      </c>
      <c r="DO141">
        <v>0</v>
      </c>
      <c r="DP141">
        <v>9994.506428571429</v>
      </c>
      <c r="DQ141">
        <v>0</v>
      </c>
      <c r="DR141">
        <v>582.2140714285714</v>
      </c>
      <c r="DS141">
        <v>-11.42418964285714</v>
      </c>
      <c r="DT141">
        <v>395.3738928571428</v>
      </c>
      <c r="DU141">
        <v>403.4686071428571</v>
      </c>
      <c r="DV141">
        <v>8.741998571428571</v>
      </c>
      <c r="DW141">
        <v>397.0391785714286</v>
      </c>
      <c r="DX141">
        <v>15.94043214285714</v>
      </c>
      <c r="DY141">
        <v>2.231293214285714</v>
      </c>
      <c r="DZ141">
        <v>1.441015357142857</v>
      </c>
      <c r="EA141">
        <v>19.18876428571429</v>
      </c>
      <c r="EB141">
        <v>12.355725</v>
      </c>
      <c r="EC141">
        <v>1499.976785714286</v>
      </c>
      <c r="ED141">
        <v>0.9729947857142859</v>
      </c>
      <c r="EE141">
        <v>0.02700558928571428</v>
      </c>
      <c r="EF141">
        <v>0</v>
      </c>
      <c r="EG141">
        <v>1745.925714285714</v>
      </c>
      <c r="EH141">
        <v>5.00097</v>
      </c>
      <c r="EI141">
        <v>26988.92500000001</v>
      </c>
      <c r="EJ141">
        <v>12491.37857142857</v>
      </c>
      <c r="EK141">
        <v>39.88164285714286</v>
      </c>
      <c r="EL141">
        <v>41.42149999999999</v>
      </c>
      <c r="EM141">
        <v>40.1115</v>
      </c>
      <c r="EN141">
        <v>41.26107142857142</v>
      </c>
      <c r="EO141">
        <v>41.05314285714284</v>
      </c>
      <c r="EP141">
        <v>1454.606428571428</v>
      </c>
      <c r="EQ141">
        <v>40.36999999999999</v>
      </c>
      <c r="ER141">
        <v>0</v>
      </c>
      <c r="ES141">
        <v>1196.199999809265</v>
      </c>
      <c r="ET141">
        <v>0</v>
      </c>
      <c r="EU141">
        <v>1745.771538461539</v>
      </c>
      <c r="EV141">
        <v>-18.87794869837438</v>
      </c>
      <c r="EW141">
        <v>-568.4820509916893</v>
      </c>
      <c r="EX141">
        <v>26984.47307692308</v>
      </c>
      <c r="EY141">
        <v>15</v>
      </c>
      <c r="EZ141">
        <v>1652371289.6</v>
      </c>
      <c r="FA141" t="s">
        <v>515</v>
      </c>
      <c r="FB141">
        <v>1652371289.6</v>
      </c>
      <c r="FC141">
        <v>1652371275.1</v>
      </c>
      <c r="FD141">
        <v>24</v>
      </c>
      <c r="FE141">
        <v>0.442</v>
      </c>
      <c r="FF141">
        <v>0.001</v>
      </c>
      <c r="FG141">
        <v>-2.63</v>
      </c>
      <c r="FH141">
        <v>0.007</v>
      </c>
      <c r="FI141">
        <v>1620</v>
      </c>
      <c r="FJ141">
        <v>22</v>
      </c>
      <c r="FK141">
        <v>0.08</v>
      </c>
      <c r="FL141">
        <v>0.04</v>
      </c>
      <c r="FM141">
        <v>-16.18078390243902</v>
      </c>
      <c r="FN141">
        <v>92.24777749128914</v>
      </c>
      <c r="FO141">
        <v>9.214696195784708</v>
      </c>
      <c r="FP141">
        <v>-1</v>
      </c>
      <c r="FQ141">
        <v>8.868482439024392</v>
      </c>
      <c r="FR141">
        <v>-2.332664320557489</v>
      </c>
      <c r="FS141">
        <v>0.2310296740499197</v>
      </c>
      <c r="FT141">
        <v>0</v>
      </c>
      <c r="FU141">
        <v>0</v>
      </c>
      <c r="FV141">
        <v>0</v>
      </c>
      <c r="FW141">
        <v>0</v>
      </c>
      <c r="FX141">
        <v>-1</v>
      </c>
      <c r="FY141">
        <v>0</v>
      </c>
      <c r="FZ141">
        <v>1</v>
      </c>
      <c r="GA141" t="s">
        <v>432</v>
      </c>
      <c r="GB141">
        <v>2.69572</v>
      </c>
      <c r="GC141">
        <v>2.70494</v>
      </c>
      <c r="GD141">
        <v>0.0849626</v>
      </c>
      <c r="GE141">
        <v>0.0843184</v>
      </c>
      <c r="GF141">
        <v>0.107982</v>
      </c>
      <c r="GG141">
        <v>0.0792771</v>
      </c>
      <c r="GH141">
        <v>28772.3</v>
      </c>
      <c r="GI141">
        <v>28915.7</v>
      </c>
      <c r="GJ141">
        <v>29249.1</v>
      </c>
      <c r="GK141">
        <v>29220.7</v>
      </c>
      <c r="GL141">
        <v>34541.7</v>
      </c>
      <c r="GM141">
        <v>35814.7</v>
      </c>
      <c r="GN141">
        <v>41166.8</v>
      </c>
      <c r="GO141">
        <v>41692</v>
      </c>
      <c r="GP141">
        <v>1.72773</v>
      </c>
      <c r="GQ141">
        <v>2.0301</v>
      </c>
      <c r="GR141">
        <v>0.055857</v>
      </c>
      <c r="GS141">
        <v>0</v>
      </c>
      <c r="GT141">
        <v>29.212</v>
      </c>
      <c r="GU141">
        <v>999.9</v>
      </c>
      <c r="GV141">
        <v>45</v>
      </c>
      <c r="GW141">
        <v>33.1</v>
      </c>
      <c r="GX141">
        <v>25.2924</v>
      </c>
      <c r="GY141">
        <v>63.538</v>
      </c>
      <c r="GZ141">
        <v>29.6194</v>
      </c>
      <c r="HA141">
        <v>1</v>
      </c>
      <c r="HB141">
        <v>0.249855</v>
      </c>
      <c r="HC141">
        <v>2.03539</v>
      </c>
      <c r="HD141">
        <v>20.3681</v>
      </c>
      <c r="HE141">
        <v>5.21474</v>
      </c>
      <c r="HF141">
        <v>12.0099</v>
      </c>
      <c r="HG141">
        <v>4.9877</v>
      </c>
      <c r="HH141">
        <v>3.288</v>
      </c>
      <c r="HI141">
        <v>2723.5</v>
      </c>
      <c r="HJ141">
        <v>9999</v>
      </c>
      <c r="HK141">
        <v>9999</v>
      </c>
      <c r="HL141">
        <v>50</v>
      </c>
      <c r="HM141">
        <v>1.86722</v>
      </c>
      <c r="HN141">
        <v>1.86619</v>
      </c>
      <c r="HO141">
        <v>1.86584</v>
      </c>
      <c r="HP141">
        <v>1.86569</v>
      </c>
      <c r="HQ141">
        <v>1.86743</v>
      </c>
      <c r="HR141">
        <v>1.86998</v>
      </c>
      <c r="HS141">
        <v>1.86862</v>
      </c>
      <c r="HT141">
        <v>1.87</v>
      </c>
      <c r="HU141">
        <v>0</v>
      </c>
      <c r="HV141">
        <v>0</v>
      </c>
      <c r="HW141">
        <v>0</v>
      </c>
      <c r="HX141">
        <v>0</v>
      </c>
      <c r="HY141" t="s">
        <v>421</v>
      </c>
      <c r="HZ141" t="s">
        <v>422</v>
      </c>
      <c r="IA141" t="s">
        <v>423</v>
      </c>
      <c r="IB141" t="s">
        <v>423</v>
      </c>
      <c r="IC141" t="s">
        <v>423</v>
      </c>
      <c r="ID141" t="s">
        <v>423</v>
      </c>
      <c r="IE141">
        <v>0</v>
      </c>
      <c r="IF141">
        <v>100</v>
      </c>
      <c r="IG141">
        <v>100</v>
      </c>
      <c r="IH141">
        <v>0.418</v>
      </c>
      <c r="II141">
        <v>0.0452</v>
      </c>
      <c r="IJ141">
        <v>1.257309091789605</v>
      </c>
      <c r="IK141">
        <v>-0.002185601614162945</v>
      </c>
      <c r="IL141">
        <v>-2.252308143750626E-07</v>
      </c>
      <c r="IM141">
        <v>5.915558436307541E-11</v>
      </c>
      <c r="IN141">
        <v>-0.118683452207699</v>
      </c>
      <c r="IO141">
        <v>-0.007570214193104963</v>
      </c>
      <c r="IP141">
        <v>0.0009214429922928372</v>
      </c>
      <c r="IQ141">
        <v>-1.392260276065805E-05</v>
      </c>
      <c r="IR141">
        <v>17</v>
      </c>
      <c r="IS141">
        <v>2272</v>
      </c>
      <c r="IT141">
        <v>1</v>
      </c>
      <c r="IU141">
        <v>31</v>
      </c>
      <c r="IV141">
        <v>17.9</v>
      </c>
      <c r="IW141">
        <v>18.1</v>
      </c>
      <c r="IX141">
        <v>0.925293</v>
      </c>
      <c r="IY141">
        <v>2.22412</v>
      </c>
      <c r="IZ141">
        <v>1.39648</v>
      </c>
      <c r="JA141">
        <v>2.35474</v>
      </c>
      <c r="JB141">
        <v>1.49536</v>
      </c>
      <c r="JC141">
        <v>2.34131</v>
      </c>
      <c r="JD141">
        <v>36.7892</v>
      </c>
      <c r="JE141">
        <v>15.2703</v>
      </c>
      <c r="JF141">
        <v>18</v>
      </c>
      <c r="JG141">
        <v>389.344</v>
      </c>
      <c r="JH141">
        <v>565.604</v>
      </c>
      <c r="JI141">
        <v>28.1682</v>
      </c>
      <c r="JJ141">
        <v>30.5752</v>
      </c>
      <c r="JK141">
        <v>30.0006</v>
      </c>
      <c r="JL141">
        <v>30.4991</v>
      </c>
      <c r="JM141">
        <v>30.4154</v>
      </c>
      <c r="JN141">
        <v>18.5396</v>
      </c>
      <c r="JO141">
        <v>35.4111</v>
      </c>
      <c r="JP141">
        <v>0</v>
      </c>
      <c r="JQ141">
        <v>28.0592</v>
      </c>
      <c r="JR141">
        <v>346.49</v>
      </c>
      <c r="JS141">
        <v>16.3747</v>
      </c>
      <c r="JT141">
        <v>99.9757</v>
      </c>
      <c r="JU141">
        <v>100.078</v>
      </c>
    </row>
    <row r="142" spans="1:281">
      <c r="A142">
        <v>126</v>
      </c>
      <c r="B142">
        <v>1652372367</v>
      </c>
      <c r="C142">
        <v>4273.400000095367</v>
      </c>
      <c r="D142" t="s">
        <v>720</v>
      </c>
      <c r="E142" t="s">
        <v>721</v>
      </c>
      <c r="F142">
        <v>5</v>
      </c>
      <c r="G142" t="s">
        <v>711</v>
      </c>
      <c r="H142" t="s">
        <v>414</v>
      </c>
      <c r="I142">
        <v>1652372359.5</v>
      </c>
      <c r="J142">
        <f>(K142)/1000</f>
        <v>0</v>
      </c>
      <c r="K142">
        <f>IF(CZ142, AN142, AH142)</f>
        <v>0</v>
      </c>
      <c r="L142">
        <f>IF(CZ142, AI142, AG142)</f>
        <v>0</v>
      </c>
      <c r="M142">
        <f>DB142 - IF(AU142&gt;1, L142*CV142*100.0/(AW142*DP142), 0)</f>
        <v>0</v>
      </c>
      <c r="N142">
        <f>((T142-J142/2)*M142-L142)/(T142+J142/2)</f>
        <v>0</v>
      </c>
      <c r="O142">
        <f>N142*(DI142+DJ142)/1000.0</f>
        <v>0</v>
      </c>
      <c r="P142">
        <f>(DB142 - IF(AU142&gt;1, L142*CV142*100.0/(AW142*DP142), 0))*(DI142+DJ142)/1000.0</f>
        <v>0</v>
      </c>
      <c r="Q142">
        <f>2.0/((1/S142-1/R142)+SIGN(S142)*SQRT((1/S142-1/R142)*(1/S142-1/R142) + 4*CW142/((CW142+1)*(CW142+1))*(2*1/S142*1/R142-1/R142*1/R142)))</f>
        <v>0</v>
      </c>
      <c r="R142">
        <f>IF(LEFT(CX142,1)&lt;&gt;"0",IF(LEFT(CX142,1)="1",3.0,CY142),$D$5+$E$5*(DP142*DI142/($K$5*1000))+$F$5*(DP142*DI142/($K$5*1000))*MAX(MIN(CV142,$J$5),$I$5)*MAX(MIN(CV142,$J$5),$I$5)+$G$5*MAX(MIN(CV142,$J$5),$I$5)*(DP142*DI142/($K$5*1000))+$H$5*(DP142*DI142/($K$5*1000))*(DP142*DI142/($K$5*1000)))</f>
        <v>0</v>
      </c>
      <c r="S142">
        <f>J142*(1000-(1000*0.61365*exp(17.502*W142/(240.97+W142))/(DI142+DJ142)+DD142)/2)/(1000*0.61365*exp(17.502*W142/(240.97+W142))/(DI142+DJ142)-DD142)</f>
        <v>0</v>
      </c>
      <c r="T142">
        <f>1/((CW142+1)/(Q142/1.6)+1/(R142/1.37)) + CW142/((CW142+1)/(Q142/1.6) + CW142/(R142/1.37))</f>
        <v>0</v>
      </c>
      <c r="U142">
        <f>(CR142*CU142)</f>
        <v>0</v>
      </c>
      <c r="V142">
        <f>(DK142+(U142+2*0.95*5.67E-8*(((DK142+$B$7)+273)^4-(DK142+273)^4)-44100*J142)/(1.84*29.3*R142+8*0.95*5.67E-8*(DK142+273)^3))</f>
        <v>0</v>
      </c>
      <c r="W142">
        <f>($C$7*DL142+$D$7*DM142+$E$7*V142)</f>
        <v>0</v>
      </c>
      <c r="X142">
        <f>0.61365*exp(17.502*W142/(240.97+W142))</f>
        <v>0</v>
      </c>
      <c r="Y142">
        <f>(Z142/AA142*100)</f>
        <v>0</v>
      </c>
      <c r="Z142">
        <f>DD142*(DI142+DJ142)/1000</f>
        <v>0</v>
      </c>
      <c r="AA142">
        <f>0.61365*exp(17.502*DK142/(240.97+DK142))</f>
        <v>0</v>
      </c>
      <c r="AB142">
        <f>(X142-DD142*(DI142+DJ142)/1000)</f>
        <v>0</v>
      </c>
      <c r="AC142">
        <f>(-J142*44100)</f>
        <v>0</v>
      </c>
      <c r="AD142">
        <f>2*29.3*R142*0.92*(DK142-W142)</f>
        <v>0</v>
      </c>
      <c r="AE142">
        <f>2*0.95*5.67E-8*(((DK142+$B$7)+273)^4-(W142+273)^4)</f>
        <v>0</v>
      </c>
      <c r="AF142">
        <f>U142+AE142+AC142+AD142</f>
        <v>0</v>
      </c>
      <c r="AG142">
        <f>DH142*AU142*(DC142-DB142*(1000-AU142*DE142)/(1000-AU142*DD142))/(100*CV142)</f>
        <v>0</v>
      </c>
      <c r="AH142">
        <f>1000*DH142*AU142*(DD142-DE142)/(100*CV142*(1000-AU142*DD142))</f>
        <v>0</v>
      </c>
      <c r="AI142">
        <f>(AJ142 - AK142 - DI142*1E3/(8.314*(DK142+273.15)) * AM142/DH142 * AL142) * DH142/(100*CV142) * (1000 - DE142)/1000</f>
        <v>0</v>
      </c>
      <c r="AJ142">
        <v>374.8291640957093</v>
      </c>
      <c r="AK142">
        <v>369.0403393939393</v>
      </c>
      <c r="AL142">
        <v>-2.65878998235302</v>
      </c>
      <c r="AM142">
        <v>65.96288611109561</v>
      </c>
      <c r="AN142">
        <f>(AP142 - AO142 + DI142*1E3/(8.314*(DK142+273.15)) * AR142/DH142 * AQ142) * DH142/(100*CV142) * 1000/(1000 - AP142)</f>
        <v>0</v>
      </c>
      <c r="AO142">
        <v>16.25424912257046</v>
      </c>
      <c r="AP142">
        <v>24.60921538461538</v>
      </c>
      <c r="AQ142">
        <v>-0.0006107120083013067</v>
      </c>
      <c r="AR142">
        <v>81.18387902069509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MAX(0,($B$13+$C$13*DP142)/(1+$D$13*DP142)*DI142/(DK142+273)*$E$13)</f>
        <v>0</v>
      </c>
      <c r="AX142" t="s">
        <v>417</v>
      </c>
      <c r="AY142" t="s">
        <v>417</v>
      </c>
      <c r="AZ142">
        <v>0</v>
      </c>
      <c r="BA142">
        <v>0</v>
      </c>
      <c r="BB142">
        <f>1-AZ142/BA142</f>
        <v>0</v>
      </c>
      <c r="BC142">
        <v>0</v>
      </c>
      <c r="BD142" t="s">
        <v>417</v>
      </c>
      <c r="BE142" t="s">
        <v>417</v>
      </c>
      <c r="BF142">
        <v>0</v>
      </c>
      <c r="BG142">
        <v>0</v>
      </c>
      <c r="BH142">
        <f>1-BF142/BG142</f>
        <v>0</v>
      </c>
      <c r="BI142">
        <v>0.5</v>
      </c>
      <c r="BJ142">
        <f>CS142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417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1393</v>
      </c>
      <c r="CA142">
        <v>300</v>
      </c>
      <c r="CB142">
        <v>300</v>
      </c>
      <c r="CC142">
        <v>300</v>
      </c>
      <c r="CD142">
        <v>10378</v>
      </c>
      <c r="CE142">
        <v>2050</v>
      </c>
      <c r="CF142">
        <v>-0.00730649</v>
      </c>
      <c r="CG142">
        <v>-4.53</v>
      </c>
      <c r="CH142" t="s">
        <v>417</v>
      </c>
      <c r="CI142" t="s">
        <v>417</v>
      </c>
      <c r="CJ142" t="s">
        <v>417</v>
      </c>
      <c r="CK142" t="s">
        <v>417</v>
      </c>
      <c r="CL142" t="s">
        <v>417</v>
      </c>
      <c r="CM142" t="s">
        <v>417</v>
      </c>
      <c r="CN142" t="s">
        <v>417</v>
      </c>
      <c r="CO142" t="s">
        <v>417</v>
      </c>
      <c r="CP142" t="s">
        <v>417</v>
      </c>
      <c r="CQ142" t="s">
        <v>417</v>
      </c>
      <c r="CR142">
        <f>$B$11*DQ142+$C$11*DR142+$F$11*EC142*(1-EF142)</f>
        <v>0</v>
      </c>
      <c r="CS142">
        <f>CR142*CT142</f>
        <v>0</v>
      </c>
      <c r="CT142">
        <f>($B$11*$D$9+$C$11*$D$9+$F$11*((EP142+EH142)/MAX(EP142+EH142+EQ142, 0.1)*$I$9+EQ142/MAX(EP142+EH142+EQ142, 0.1)*$J$9))/($B$11+$C$11+$F$11)</f>
        <v>0</v>
      </c>
      <c r="CU142">
        <f>($B$11*$K$9+$C$11*$K$9+$F$11*((EP142+EH142)/MAX(EP142+EH142+EQ142, 0.1)*$P$9+EQ142/MAX(EP142+EH142+EQ142, 0.1)*$Q$9))/($B$11+$C$11+$F$11)</f>
        <v>0</v>
      </c>
      <c r="CV142">
        <v>6</v>
      </c>
      <c r="CW142">
        <v>0.5</v>
      </c>
      <c r="CX142" t="s">
        <v>418</v>
      </c>
      <c r="CY142">
        <v>2</v>
      </c>
      <c r="CZ142" t="b">
        <v>1</v>
      </c>
      <c r="DA142">
        <v>1652372359.5</v>
      </c>
      <c r="DB142">
        <v>376.4917777777777</v>
      </c>
      <c r="DC142">
        <v>380.5075925925926</v>
      </c>
      <c r="DD142">
        <v>24.64451111111111</v>
      </c>
      <c r="DE142">
        <v>16.11942962962963</v>
      </c>
      <c r="DF142">
        <v>376.084962962963</v>
      </c>
      <c r="DG142">
        <v>24.59908148148147</v>
      </c>
      <c r="DH142">
        <v>400.0855925925926</v>
      </c>
      <c r="DI142">
        <v>90.40003333333335</v>
      </c>
      <c r="DJ142">
        <v>0.1000362296296296</v>
      </c>
      <c r="DK142">
        <v>31.20095925925926</v>
      </c>
      <c r="DL142">
        <v>30.1295962962963</v>
      </c>
      <c r="DM142">
        <v>999.9000000000001</v>
      </c>
      <c r="DN142">
        <v>0</v>
      </c>
      <c r="DO142">
        <v>0</v>
      </c>
      <c r="DP142">
        <v>9989.144814814816</v>
      </c>
      <c r="DQ142">
        <v>0</v>
      </c>
      <c r="DR142">
        <v>540.7646666666667</v>
      </c>
      <c r="DS142">
        <v>-4.015801769259259</v>
      </c>
      <c r="DT142">
        <v>386.0047407407408</v>
      </c>
      <c r="DU142">
        <v>386.7392592592592</v>
      </c>
      <c r="DV142">
        <v>8.525085185185185</v>
      </c>
      <c r="DW142">
        <v>380.5075925925926</v>
      </c>
      <c r="DX142">
        <v>16.11942962962963</v>
      </c>
      <c r="DY142">
        <v>2.227864814814815</v>
      </c>
      <c r="DZ142">
        <v>1.457196296296296</v>
      </c>
      <c r="EA142">
        <v>19.1641</v>
      </c>
      <c r="EB142">
        <v>12.5255962962963</v>
      </c>
      <c r="EC142">
        <v>1499.984444444445</v>
      </c>
      <c r="ED142">
        <v>0.9729951851851854</v>
      </c>
      <c r="EE142">
        <v>0.02700520370370369</v>
      </c>
      <c r="EF142">
        <v>0</v>
      </c>
      <c r="EG142">
        <v>1743.678148148148</v>
      </c>
      <c r="EH142">
        <v>5.00097</v>
      </c>
      <c r="EI142">
        <v>26926.61481481481</v>
      </c>
      <c r="EJ142">
        <v>12491.44814814815</v>
      </c>
      <c r="EK142">
        <v>39.90255555555555</v>
      </c>
      <c r="EL142">
        <v>41.4324074074074</v>
      </c>
      <c r="EM142">
        <v>40.125</v>
      </c>
      <c r="EN142">
        <v>41.28214814814814</v>
      </c>
      <c r="EO142">
        <v>41.06199999999999</v>
      </c>
      <c r="EP142">
        <v>1454.614074074074</v>
      </c>
      <c r="EQ142">
        <v>40.37037037037036</v>
      </c>
      <c r="ER142">
        <v>0</v>
      </c>
      <c r="ES142">
        <v>1201</v>
      </c>
      <c r="ET142">
        <v>0</v>
      </c>
      <c r="EU142">
        <v>1743.711538461539</v>
      </c>
      <c r="EV142">
        <v>-32.10598291914845</v>
      </c>
      <c r="EW142">
        <v>-879.7914530781038</v>
      </c>
      <c r="EX142">
        <v>26927.37307692308</v>
      </c>
      <c r="EY142">
        <v>15</v>
      </c>
      <c r="EZ142">
        <v>1652371289.6</v>
      </c>
      <c r="FA142" t="s">
        <v>515</v>
      </c>
      <c r="FB142">
        <v>1652371289.6</v>
      </c>
      <c r="FC142">
        <v>1652371275.1</v>
      </c>
      <c r="FD142">
        <v>24</v>
      </c>
      <c r="FE142">
        <v>0.442</v>
      </c>
      <c r="FF142">
        <v>0.001</v>
      </c>
      <c r="FG142">
        <v>-2.63</v>
      </c>
      <c r="FH142">
        <v>0.007</v>
      </c>
      <c r="FI142">
        <v>1620</v>
      </c>
      <c r="FJ142">
        <v>22</v>
      </c>
      <c r="FK142">
        <v>0.08</v>
      </c>
      <c r="FL142">
        <v>0.04</v>
      </c>
      <c r="FM142">
        <v>-9.390880970000001</v>
      </c>
      <c r="FN142">
        <v>87.38186055512193</v>
      </c>
      <c r="FO142">
        <v>8.755553629141193</v>
      </c>
      <c r="FP142">
        <v>-1</v>
      </c>
      <c r="FQ142">
        <v>8.662515609756097</v>
      </c>
      <c r="FR142">
        <v>-2.478524111498257</v>
      </c>
      <c r="FS142">
        <v>0.2459991829755297</v>
      </c>
      <c r="FT142">
        <v>0</v>
      </c>
      <c r="FU142">
        <v>0</v>
      </c>
      <c r="FV142">
        <v>0</v>
      </c>
      <c r="FW142">
        <v>0</v>
      </c>
      <c r="FX142">
        <v>-1</v>
      </c>
      <c r="FY142">
        <v>0</v>
      </c>
      <c r="FZ142">
        <v>1</v>
      </c>
      <c r="GA142" t="s">
        <v>432</v>
      </c>
      <c r="GB142">
        <v>2.69601</v>
      </c>
      <c r="GC142">
        <v>2.70511</v>
      </c>
      <c r="GD142">
        <v>0.0826007</v>
      </c>
      <c r="GE142">
        <v>0.08136110000000001</v>
      </c>
      <c r="GF142">
        <v>0.107933</v>
      </c>
      <c r="GG142">
        <v>0.0796007</v>
      </c>
      <c r="GH142">
        <v>28846.1</v>
      </c>
      <c r="GI142">
        <v>29008.5</v>
      </c>
      <c r="GJ142">
        <v>29248.7</v>
      </c>
      <c r="GK142">
        <v>29220.1</v>
      </c>
      <c r="GL142">
        <v>34543</v>
      </c>
      <c r="GM142">
        <v>35801.3</v>
      </c>
      <c r="GN142">
        <v>41166.1</v>
      </c>
      <c r="GO142">
        <v>41691.2</v>
      </c>
      <c r="GP142">
        <v>1.72773</v>
      </c>
      <c r="GQ142">
        <v>2.02968</v>
      </c>
      <c r="GR142">
        <v>0.0550747</v>
      </c>
      <c r="GS142">
        <v>0</v>
      </c>
      <c r="GT142">
        <v>29.212</v>
      </c>
      <c r="GU142">
        <v>999.9</v>
      </c>
      <c r="GV142">
        <v>45</v>
      </c>
      <c r="GW142">
        <v>33.1</v>
      </c>
      <c r="GX142">
        <v>25.2922</v>
      </c>
      <c r="GY142">
        <v>63.578</v>
      </c>
      <c r="GZ142">
        <v>29.0905</v>
      </c>
      <c r="HA142">
        <v>1</v>
      </c>
      <c r="HB142">
        <v>0.250559</v>
      </c>
      <c r="HC142">
        <v>2.04643</v>
      </c>
      <c r="HD142">
        <v>20.3686</v>
      </c>
      <c r="HE142">
        <v>5.21759</v>
      </c>
      <c r="HF142">
        <v>12.0099</v>
      </c>
      <c r="HG142">
        <v>4.98845</v>
      </c>
      <c r="HH142">
        <v>3.28842</v>
      </c>
      <c r="HI142">
        <v>2723.5</v>
      </c>
      <c r="HJ142">
        <v>9999</v>
      </c>
      <c r="HK142">
        <v>9999</v>
      </c>
      <c r="HL142">
        <v>50</v>
      </c>
      <c r="HM142">
        <v>1.86722</v>
      </c>
      <c r="HN142">
        <v>1.86624</v>
      </c>
      <c r="HO142">
        <v>1.86583</v>
      </c>
      <c r="HP142">
        <v>1.86569</v>
      </c>
      <c r="HQ142">
        <v>1.86748</v>
      </c>
      <c r="HR142">
        <v>1.86998</v>
      </c>
      <c r="HS142">
        <v>1.86862</v>
      </c>
      <c r="HT142">
        <v>1.87001</v>
      </c>
      <c r="HU142">
        <v>0</v>
      </c>
      <c r="HV142">
        <v>0</v>
      </c>
      <c r="HW142">
        <v>0</v>
      </c>
      <c r="HX142">
        <v>0</v>
      </c>
      <c r="HY142" t="s">
        <v>421</v>
      </c>
      <c r="HZ142" t="s">
        <v>422</v>
      </c>
      <c r="IA142" t="s">
        <v>423</v>
      </c>
      <c r="IB142" t="s">
        <v>423</v>
      </c>
      <c r="IC142" t="s">
        <v>423</v>
      </c>
      <c r="ID142" t="s">
        <v>423</v>
      </c>
      <c r="IE142">
        <v>0</v>
      </c>
      <c r="IF142">
        <v>100</v>
      </c>
      <c r="IG142">
        <v>100</v>
      </c>
      <c r="IH142">
        <v>0.449</v>
      </c>
      <c r="II142">
        <v>0.045</v>
      </c>
      <c r="IJ142">
        <v>1.257309091789605</v>
      </c>
      <c r="IK142">
        <v>-0.002185601614162945</v>
      </c>
      <c r="IL142">
        <v>-2.252308143750626E-07</v>
      </c>
      <c r="IM142">
        <v>5.915558436307541E-11</v>
      </c>
      <c r="IN142">
        <v>-0.118683452207699</v>
      </c>
      <c r="IO142">
        <v>-0.007570214193104963</v>
      </c>
      <c r="IP142">
        <v>0.0009214429922928372</v>
      </c>
      <c r="IQ142">
        <v>-1.392260276065805E-05</v>
      </c>
      <c r="IR142">
        <v>17</v>
      </c>
      <c r="IS142">
        <v>2272</v>
      </c>
      <c r="IT142">
        <v>1</v>
      </c>
      <c r="IU142">
        <v>31</v>
      </c>
      <c r="IV142">
        <v>18</v>
      </c>
      <c r="IW142">
        <v>18.2</v>
      </c>
      <c r="IX142">
        <v>0.889893</v>
      </c>
      <c r="IY142">
        <v>2.23022</v>
      </c>
      <c r="IZ142">
        <v>1.39648</v>
      </c>
      <c r="JA142">
        <v>2.35474</v>
      </c>
      <c r="JB142">
        <v>1.49536</v>
      </c>
      <c r="JC142">
        <v>2.28149</v>
      </c>
      <c r="JD142">
        <v>36.8129</v>
      </c>
      <c r="JE142">
        <v>15.2615</v>
      </c>
      <c r="JF142">
        <v>18</v>
      </c>
      <c r="JG142">
        <v>389.375</v>
      </c>
      <c r="JH142">
        <v>565.322</v>
      </c>
      <c r="JI142">
        <v>28.0309</v>
      </c>
      <c r="JJ142">
        <v>30.5822</v>
      </c>
      <c r="JK142">
        <v>30.0006</v>
      </c>
      <c r="JL142">
        <v>30.5044</v>
      </c>
      <c r="JM142">
        <v>30.4194</v>
      </c>
      <c r="JN142">
        <v>17.832</v>
      </c>
      <c r="JO142">
        <v>35.083</v>
      </c>
      <c r="JP142">
        <v>0</v>
      </c>
      <c r="JQ142">
        <v>27.9453</v>
      </c>
      <c r="JR142">
        <v>333.116</v>
      </c>
      <c r="JS142">
        <v>16.5512</v>
      </c>
      <c r="JT142">
        <v>99.97410000000001</v>
      </c>
      <c r="JU142">
        <v>100.077</v>
      </c>
    </row>
    <row r="143" spans="1:281">
      <c r="A143">
        <v>127</v>
      </c>
      <c r="B143">
        <v>1652372372</v>
      </c>
      <c r="C143">
        <v>4278.400000095367</v>
      </c>
      <c r="D143" t="s">
        <v>722</v>
      </c>
      <c r="E143" t="s">
        <v>723</v>
      </c>
      <c r="F143">
        <v>5</v>
      </c>
      <c r="G143" t="s">
        <v>711</v>
      </c>
      <c r="H143" t="s">
        <v>414</v>
      </c>
      <c r="I143">
        <v>1652372364.214286</v>
      </c>
      <c r="J143">
        <f>(K143)/1000</f>
        <v>0</v>
      </c>
      <c r="K143">
        <f>IF(CZ143, AN143, AH143)</f>
        <v>0</v>
      </c>
      <c r="L143">
        <f>IF(CZ143, AI143, AG143)</f>
        <v>0</v>
      </c>
      <c r="M143">
        <f>DB143 - IF(AU143&gt;1, L143*CV143*100.0/(AW143*DP143), 0)</f>
        <v>0</v>
      </c>
      <c r="N143">
        <f>((T143-J143/2)*M143-L143)/(T143+J143/2)</f>
        <v>0</v>
      </c>
      <c r="O143">
        <f>N143*(DI143+DJ143)/1000.0</f>
        <v>0</v>
      </c>
      <c r="P143">
        <f>(DB143 - IF(AU143&gt;1, L143*CV143*100.0/(AW143*DP143), 0))*(DI143+DJ143)/1000.0</f>
        <v>0</v>
      </c>
      <c r="Q143">
        <f>2.0/((1/S143-1/R143)+SIGN(S143)*SQRT((1/S143-1/R143)*(1/S143-1/R143) + 4*CW143/((CW143+1)*(CW143+1))*(2*1/S143*1/R143-1/R143*1/R143)))</f>
        <v>0</v>
      </c>
      <c r="R143">
        <f>IF(LEFT(CX143,1)&lt;&gt;"0",IF(LEFT(CX143,1)="1",3.0,CY143),$D$5+$E$5*(DP143*DI143/($K$5*1000))+$F$5*(DP143*DI143/($K$5*1000))*MAX(MIN(CV143,$J$5),$I$5)*MAX(MIN(CV143,$J$5),$I$5)+$G$5*MAX(MIN(CV143,$J$5),$I$5)*(DP143*DI143/($K$5*1000))+$H$5*(DP143*DI143/($K$5*1000))*(DP143*DI143/($K$5*1000)))</f>
        <v>0</v>
      </c>
      <c r="S143">
        <f>J143*(1000-(1000*0.61365*exp(17.502*W143/(240.97+W143))/(DI143+DJ143)+DD143)/2)/(1000*0.61365*exp(17.502*W143/(240.97+W143))/(DI143+DJ143)-DD143)</f>
        <v>0</v>
      </c>
      <c r="T143">
        <f>1/((CW143+1)/(Q143/1.6)+1/(R143/1.37)) + CW143/((CW143+1)/(Q143/1.6) + CW143/(R143/1.37))</f>
        <v>0</v>
      </c>
      <c r="U143">
        <f>(CR143*CU143)</f>
        <v>0</v>
      </c>
      <c r="V143">
        <f>(DK143+(U143+2*0.95*5.67E-8*(((DK143+$B$7)+273)^4-(DK143+273)^4)-44100*J143)/(1.84*29.3*R143+8*0.95*5.67E-8*(DK143+273)^3))</f>
        <v>0</v>
      </c>
      <c r="W143">
        <f>($C$7*DL143+$D$7*DM143+$E$7*V143)</f>
        <v>0</v>
      </c>
      <c r="X143">
        <f>0.61365*exp(17.502*W143/(240.97+W143))</f>
        <v>0</v>
      </c>
      <c r="Y143">
        <f>(Z143/AA143*100)</f>
        <v>0</v>
      </c>
      <c r="Z143">
        <f>DD143*(DI143+DJ143)/1000</f>
        <v>0</v>
      </c>
      <c r="AA143">
        <f>0.61365*exp(17.502*DK143/(240.97+DK143))</f>
        <v>0</v>
      </c>
      <c r="AB143">
        <f>(X143-DD143*(DI143+DJ143)/1000)</f>
        <v>0</v>
      </c>
      <c r="AC143">
        <f>(-J143*44100)</f>
        <v>0</v>
      </c>
      <c r="AD143">
        <f>2*29.3*R143*0.92*(DK143-W143)</f>
        <v>0</v>
      </c>
      <c r="AE143">
        <f>2*0.95*5.67E-8*(((DK143+$B$7)+273)^4-(W143+273)^4)</f>
        <v>0</v>
      </c>
      <c r="AF143">
        <f>U143+AE143+AC143+AD143</f>
        <v>0</v>
      </c>
      <c r="AG143">
        <f>DH143*AU143*(DC143-DB143*(1000-AU143*DE143)/(1000-AU143*DD143))/(100*CV143)</f>
        <v>0</v>
      </c>
      <c r="AH143">
        <f>1000*DH143*AU143*(DD143-DE143)/(100*CV143*(1000-AU143*DD143))</f>
        <v>0</v>
      </c>
      <c r="AI143">
        <f>(AJ143 - AK143 - DI143*1E3/(8.314*(DK143+273.15)) * AM143/DH143 * AL143) * DH143/(100*CV143) * (1000 - DE143)/1000</f>
        <v>0</v>
      </c>
      <c r="AJ143">
        <v>358.0080782816281</v>
      </c>
      <c r="AK143">
        <v>354.4599575757572</v>
      </c>
      <c r="AL143">
        <v>-2.92889594230424</v>
      </c>
      <c r="AM143">
        <v>65.96288611109561</v>
      </c>
      <c r="AN143">
        <f>(AP143 - AO143 + DI143*1E3/(8.314*(DK143+273.15)) * AR143/DH143 * AQ143) * DH143/(100*CV143) * 1000/(1000 - AP143)</f>
        <v>0</v>
      </c>
      <c r="AO143">
        <v>16.33507530394742</v>
      </c>
      <c r="AP143">
        <v>24.5545195804196</v>
      </c>
      <c r="AQ143">
        <v>-0.006216501131736149</v>
      </c>
      <c r="AR143">
        <v>81.18387902069509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MAX(0,($B$13+$C$13*DP143)/(1+$D$13*DP143)*DI143/(DK143+273)*$E$13)</f>
        <v>0</v>
      </c>
      <c r="AX143" t="s">
        <v>417</v>
      </c>
      <c r="AY143" t="s">
        <v>417</v>
      </c>
      <c r="AZ143">
        <v>0</v>
      </c>
      <c r="BA143">
        <v>0</v>
      </c>
      <c r="BB143">
        <f>1-AZ143/BA143</f>
        <v>0</v>
      </c>
      <c r="BC143">
        <v>0</v>
      </c>
      <c r="BD143" t="s">
        <v>417</v>
      </c>
      <c r="BE143" t="s">
        <v>417</v>
      </c>
      <c r="BF143">
        <v>0</v>
      </c>
      <c r="BG143">
        <v>0</v>
      </c>
      <c r="BH143">
        <f>1-BF143/BG143</f>
        <v>0</v>
      </c>
      <c r="BI143">
        <v>0.5</v>
      </c>
      <c r="BJ143">
        <f>CS143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417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1393</v>
      </c>
      <c r="CA143">
        <v>300</v>
      </c>
      <c r="CB143">
        <v>300</v>
      </c>
      <c r="CC143">
        <v>300</v>
      </c>
      <c r="CD143">
        <v>10378</v>
      </c>
      <c r="CE143">
        <v>2050</v>
      </c>
      <c r="CF143">
        <v>-0.00730649</v>
      </c>
      <c r="CG143">
        <v>-4.53</v>
      </c>
      <c r="CH143" t="s">
        <v>417</v>
      </c>
      <c r="CI143" t="s">
        <v>417</v>
      </c>
      <c r="CJ143" t="s">
        <v>417</v>
      </c>
      <c r="CK143" t="s">
        <v>417</v>
      </c>
      <c r="CL143" t="s">
        <v>417</v>
      </c>
      <c r="CM143" t="s">
        <v>417</v>
      </c>
      <c r="CN143" t="s">
        <v>417</v>
      </c>
      <c r="CO143" t="s">
        <v>417</v>
      </c>
      <c r="CP143" t="s">
        <v>417</v>
      </c>
      <c r="CQ143" t="s">
        <v>417</v>
      </c>
      <c r="CR143">
        <f>$B$11*DQ143+$C$11*DR143+$F$11*EC143*(1-EF143)</f>
        <v>0</v>
      </c>
      <c r="CS143">
        <f>CR143*CT143</f>
        <v>0</v>
      </c>
      <c r="CT143">
        <f>($B$11*$D$9+$C$11*$D$9+$F$11*((EP143+EH143)/MAX(EP143+EH143+EQ143, 0.1)*$I$9+EQ143/MAX(EP143+EH143+EQ143, 0.1)*$J$9))/($B$11+$C$11+$F$11)</f>
        <v>0</v>
      </c>
      <c r="CU143">
        <f>($B$11*$K$9+$C$11*$K$9+$F$11*((EP143+EH143)/MAX(EP143+EH143+EQ143, 0.1)*$P$9+EQ143/MAX(EP143+EH143+EQ143, 0.1)*$Q$9))/($B$11+$C$11+$F$11)</f>
        <v>0</v>
      </c>
      <c r="CV143">
        <v>6</v>
      </c>
      <c r="CW143">
        <v>0.5</v>
      </c>
      <c r="CX143" t="s">
        <v>418</v>
      </c>
      <c r="CY143">
        <v>2</v>
      </c>
      <c r="CZ143" t="b">
        <v>1</v>
      </c>
      <c r="DA143">
        <v>1652372364.214286</v>
      </c>
      <c r="DB143">
        <v>365.4008928571428</v>
      </c>
      <c r="DC143">
        <v>365.0777142857143</v>
      </c>
      <c r="DD143">
        <v>24.61261428571429</v>
      </c>
      <c r="DE143">
        <v>16.25855357142857</v>
      </c>
      <c r="DF143">
        <v>364.9682857142858</v>
      </c>
      <c r="DG143">
        <v>24.56758928571429</v>
      </c>
      <c r="DH143">
        <v>400.0735714285714</v>
      </c>
      <c r="DI143">
        <v>90.39982857142857</v>
      </c>
      <c r="DJ143">
        <v>0.09996182142857142</v>
      </c>
      <c r="DK143">
        <v>31.16696071428571</v>
      </c>
      <c r="DL143">
        <v>30.11643571428571</v>
      </c>
      <c r="DM143">
        <v>999.9000000000002</v>
      </c>
      <c r="DN143">
        <v>0</v>
      </c>
      <c r="DO143">
        <v>0</v>
      </c>
      <c r="DP143">
        <v>9991.004642857142</v>
      </c>
      <c r="DQ143">
        <v>0</v>
      </c>
      <c r="DR143">
        <v>513.1229999999999</v>
      </c>
      <c r="DS143">
        <v>0.3231529367857143</v>
      </c>
      <c r="DT143">
        <v>374.6215000000001</v>
      </c>
      <c r="DU143">
        <v>371.1096071428572</v>
      </c>
      <c r="DV143">
        <v>8.354075</v>
      </c>
      <c r="DW143">
        <v>365.0777142857143</v>
      </c>
      <c r="DX143">
        <v>16.25855357142857</v>
      </c>
      <c r="DY143">
        <v>2.224976785714286</v>
      </c>
      <c r="DZ143">
        <v>1.469769285714286</v>
      </c>
      <c r="EA143">
        <v>19.14328928571429</v>
      </c>
      <c r="EB143">
        <v>12.65685714285714</v>
      </c>
      <c r="EC143">
        <v>1499.994642857143</v>
      </c>
      <c r="ED143">
        <v>0.9729955357142858</v>
      </c>
      <c r="EE143">
        <v>0.02700483214285713</v>
      </c>
      <c r="EF143">
        <v>0</v>
      </c>
      <c r="EG143">
        <v>1740.576785714286</v>
      </c>
      <c r="EH143">
        <v>5.00097</v>
      </c>
      <c r="EI143">
        <v>26856.03571428571</v>
      </c>
      <c r="EJ143">
        <v>12491.52857142857</v>
      </c>
      <c r="EK143">
        <v>39.92149999999999</v>
      </c>
      <c r="EL143">
        <v>41.43699999999999</v>
      </c>
      <c r="EM143">
        <v>40.125</v>
      </c>
      <c r="EN143">
        <v>41.29871428571427</v>
      </c>
      <c r="EO143">
        <v>41.06199999999999</v>
      </c>
      <c r="EP143">
        <v>1454.623928571429</v>
      </c>
      <c r="EQ143">
        <v>40.37071428571427</v>
      </c>
      <c r="ER143">
        <v>0</v>
      </c>
      <c r="ES143">
        <v>1206.399999856949</v>
      </c>
      <c r="ET143">
        <v>0</v>
      </c>
      <c r="EU143">
        <v>1739.9328</v>
      </c>
      <c r="EV143">
        <v>-49.00846162052449</v>
      </c>
      <c r="EW143">
        <v>-992.4769245089067</v>
      </c>
      <c r="EX143">
        <v>26840.588</v>
      </c>
      <c r="EY143">
        <v>15</v>
      </c>
      <c r="EZ143">
        <v>1652371289.6</v>
      </c>
      <c r="FA143" t="s">
        <v>515</v>
      </c>
      <c r="FB143">
        <v>1652371289.6</v>
      </c>
      <c r="FC143">
        <v>1652371275.1</v>
      </c>
      <c r="FD143">
        <v>24</v>
      </c>
      <c r="FE143">
        <v>0.442</v>
      </c>
      <c r="FF143">
        <v>0.001</v>
      </c>
      <c r="FG143">
        <v>-2.63</v>
      </c>
      <c r="FH143">
        <v>0.007</v>
      </c>
      <c r="FI143">
        <v>1620</v>
      </c>
      <c r="FJ143">
        <v>22</v>
      </c>
      <c r="FK143">
        <v>0.08</v>
      </c>
      <c r="FL143">
        <v>0.04</v>
      </c>
      <c r="FM143">
        <v>-3.130626091951219</v>
      </c>
      <c r="FN143">
        <v>60.33958747567943</v>
      </c>
      <c r="FO143">
        <v>6.098817280741599</v>
      </c>
      <c r="FP143">
        <v>-1</v>
      </c>
      <c r="FQ143">
        <v>8.48426219512195</v>
      </c>
      <c r="FR143">
        <v>-2.302388362369355</v>
      </c>
      <c r="FS143">
        <v>0.2306571197371226</v>
      </c>
      <c r="FT143">
        <v>0</v>
      </c>
      <c r="FU143">
        <v>0</v>
      </c>
      <c r="FV143">
        <v>0</v>
      </c>
      <c r="FW143">
        <v>0</v>
      </c>
      <c r="FX143">
        <v>-1</v>
      </c>
      <c r="FY143">
        <v>0</v>
      </c>
      <c r="FZ143">
        <v>1</v>
      </c>
      <c r="GA143" t="s">
        <v>432</v>
      </c>
      <c r="GB143">
        <v>2.69576</v>
      </c>
      <c r="GC143">
        <v>2.70514</v>
      </c>
      <c r="GD143">
        <v>0.07996979999999999</v>
      </c>
      <c r="GE143">
        <v>0.07833030000000001</v>
      </c>
      <c r="GF143">
        <v>0.107764</v>
      </c>
      <c r="GG143">
        <v>0.08007010000000001</v>
      </c>
      <c r="GH143">
        <v>28927.7</v>
      </c>
      <c r="GI143">
        <v>29104.1</v>
      </c>
      <c r="GJ143">
        <v>29247.5</v>
      </c>
      <c r="GK143">
        <v>29220.1</v>
      </c>
      <c r="GL143">
        <v>34548.6</v>
      </c>
      <c r="GM143">
        <v>35782.7</v>
      </c>
      <c r="GN143">
        <v>41165</v>
      </c>
      <c r="GO143">
        <v>41691.1</v>
      </c>
      <c r="GP143">
        <v>1.72722</v>
      </c>
      <c r="GQ143">
        <v>2.0301</v>
      </c>
      <c r="GR143">
        <v>0.0542849</v>
      </c>
      <c r="GS143">
        <v>0</v>
      </c>
      <c r="GT143">
        <v>29.212</v>
      </c>
      <c r="GU143">
        <v>999.9</v>
      </c>
      <c r="GV143">
        <v>45</v>
      </c>
      <c r="GW143">
        <v>33.1</v>
      </c>
      <c r="GX143">
        <v>25.2882</v>
      </c>
      <c r="GY143">
        <v>63.288</v>
      </c>
      <c r="GZ143">
        <v>29.1306</v>
      </c>
      <c r="HA143">
        <v>1</v>
      </c>
      <c r="HB143">
        <v>0.250953</v>
      </c>
      <c r="HC143">
        <v>2.08215</v>
      </c>
      <c r="HD143">
        <v>20.3681</v>
      </c>
      <c r="HE143">
        <v>5.21729</v>
      </c>
      <c r="HF143">
        <v>12.0099</v>
      </c>
      <c r="HG143">
        <v>4.9881</v>
      </c>
      <c r="HH143">
        <v>3.28845</v>
      </c>
      <c r="HI143">
        <v>2723.7</v>
      </c>
      <c r="HJ143">
        <v>9999</v>
      </c>
      <c r="HK143">
        <v>9999</v>
      </c>
      <c r="HL143">
        <v>50.1</v>
      </c>
      <c r="HM143">
        <v>1.86722</v>
      </c>
      <c r="HN143">
        <v>1.8662</v>
      </c>
      <c r="HO143">
        <v>1.86581</v>
      </c>
      <c r="HP143">
        <v>1.86569</v>
      </c>
      <c r="HQ143">
        <v>1.86748</v>
      </c>
      <c r="HR143">
        <v>1.87002</v>
      </c>
      <c r="HS143">
        <v>1.86861</v>
      </c>
      <c r="HT143">
        <v>1.87001</v>
      </c>
      <c r="HU143">
        <v>0</v>
      </c>
      <c r="HV143">
        <v>0</v>
      </c>
      <c r="HW143">
        <v>0</v>
      </c>
      <c r="HX143">
        <v>0</v>
      </c>
      <c r="HY143" t="s">
        <v>421</v>
      </c>
      <c r="HZ143" t="s">
        <v>422</v>
      </c>
      <c r="IA143" t="s">
        <v>423</v>
      </c>
      <c r="IB143" t="s">
        <v>423</v>
      </c>
      <c r="IC143" t="s">
        <v>423</v>
      </c>
      <c r="ID143" t="s">
        <v>423</v>
      </c>
      <c r="IE143">
        <v>0</v>
      </c>
      <c r="IF143">
        <v>100</v>
      </c>
      <c r="IG143">
        <v>100</v>
      </c>
      <c r="IH143">
        <v>0.482</v>
      </c>
      <c r="II143">
        <v>0.0442</v>
      </c>
      <c r="IJ143">
        <v>1.257309091789605</v>
      </c>
      <c r="IK143">
        <v>-0.002185601614162945</v>
      </c>
      <c r="IL143">
        <v>-2.252308143750626E-07</v>
      </c>
      <c r="IM143">
        <v>5.915558436307541E-11</v>
      </c>
      <c r="IN143">
        <v>-0.118683452207699</v>
      </c>
      <c r="IO143">
        <v>-0.007570214193104963</v>
      </c>
      <c r="IP143">
        <v>0.0009214429922928372</v>
      </c>
      <c r="IQ143">
        <v>-1.392260276065805E-05</v>
      </c>
      <c r="IR143">
        <v>17</v>
      </c>
      <c r="IS143">
        <v>2272</v>
      </c>
      <c r="IT143">
        <v>1</v>
      </c>
      <c r="IU143">
        <v>31</v>
      </c>
      <c r="IV143">
        <v>18</v>
      </c>
      <c r="IW143">
        <v>18.3</v>
      </c>
      <c r="IX143">
        <v>0.858154</v>
      </c>
      <c r="IY143">
        <v>2.23022</v>
      </c>
      <c r="IZ143">
        <v>1.39648</v>
      </c>
      <c r="JA143">
        <v>2.35352</v>
      </c>
      <c r="JB143">
        <v>1.49536</v>
      </c>
      <c r="JC143">
        <v>2.26929</v>
      </c>
      <c r="JD143">
        <v>36.8129</v>
      </c>
      <c r="JE143">
        <v>15.2615</v>
      </c>
      <c r="JF143">
        <v>18</v>
      </c>
      <c r="JG143">
        <v>389.139</v>
      </c>
      <c r="JH143">
        <v>565.691</v>
      </c>
      <c r="JI143">
        <v>27.9191</v>
      </c>
      <c r="JJ143">
        <v>30.5898</v>
      </c>
      <c r="JK143">
        <v>30.0007</v>
      </c>
      <c r="JL143">
        <v>30.5097</v>
      </c>
      <c r="JM143">
        <v>30.4246</v>
      </c>
      <c r="JN143">
        <v>17.1943</v>
      </c>
      <c r="JO143">
        <v>34.4626</v>
      </c>
      <c r="JP143">
        <v>0</v>
      </c>
      <c r="JQ143">
        <v>27.8418</v>
      </c>
      <c r="JR143">
        <v>313.055</v>
      </c>
      <c r="JS143">
        <v>16.7621</v>
      </c>
      <c r="JT143">
        <v>99.9709</v>
      </c>
      <c r="JU143">
        <v>100.076</v>
      </c>
    </row>
    <row r="144" spans="1:281">
      <c r="A144">
        <v>128</v>
      </c>
      <c r="B144">
        <v>1652372377</v>
      </c>
      <c r="C144">
        <v>4283.400000095367</v>
      </c>
      <c r="D144" t="s">
        <v>724</v>
      </c>
      <c r="E144" t="s">
        <v>725</v>
      </c>
      <c r="F144">
        <v>5</v>
      </c>
      <c r="G144" t="s">
        <v>711</v>
      </c>
      <c r="H144" t="s">
        <v>414</v>
      </c>
      <c r="I144">
        <v>1652372369.5</v>
      </c>
      <c r="J144">
        <f>(K144)/1000</f>
        <v>0</v>
      </c>
      <c r="K144">
        <f>IF(CZ144, AN144, AH144)</f>
        <v>0</v>
      </c>
      <c r="L144">
        <f>IF(CZ144, AI144, AG144)</f>
        <v>0</v>
      </c>
      <c r="M144">
        <f>DB144 - IF(AU144&gt;1, L144*CV144*100.0/(AW144*DP144), 0)</f>
        <v>0</v>
      </c>
      <c r="N144">
        <f>((T144-J144/2)*M144-L144)/(T144+J144/2)</f>
        <v>0</v>
      </c>
      <c r="O144">
        <f>N144*(DI144+DJ144)/1000.0</f>
        <v>0</v>
      </c>
      <c r="P144">
        <f>(DB144 - IF(AU144&gt;1, L144*CV144*100.0/(AW144*DP144), 0))*(DI144+DJ144)/1000.0</f>
        <v>0</v>
      </c>
      <c r="Q144">
        <f>2.0/((1/S144-1/R144)+SIGN(S144)*SQRT((1/S144-1/R144)*(1/S144-1/R144) + 4*CW144/((CW144+1)*(CW144+1))*(2*1/S144*1/R144-1/R144*1/R144)))</f>
        <v>0</v>
      </c>
      <c r="R144">
        <f>IF(LEFT(CX144,1)&lt;&gt;"0",IF(LEFT(CX144,1)="1",3.0,CY144),$D$5+$E$5*(DP144*DI144/($K$5*1000))+$F$5*(DP144*DI144/($K$5*1000))*MAX(MIN(CV144,$J$5),$I$5)*MAX(MIN(CV144,$J$5),$I$5)+$G$5*MAX(MIN(CV144,$J$5),$I$5)*(DP144*DI144/($K$5*1000))+$H$5*(DP144*DI144/($K$5*1000))*(DP144*DI144/($K$5*1000)))</f>
        <v>0</v>
      </c>
      <c r="S144">
        <f>J144*(1000-(1000*0.61365*exp(17.502*W144/(240.97+W144))/(DI144+DJ144)+DD144)/2)/(1000*0.61365*exp(17.502*W144/(240.97+W144))/(DI144+DJ144)-DD144)</f>
        <v>0</v>
      </c>
      <c r="T144">
        <f>1/((CW144+1)/(Q144/1.6)+1/(R144/1.37)) + CW144/((CW144+1)/(Q144/1.6) + CW144/(R144/1.37))</f>
        <v>0</v>
      </c>
      <c r="U144">
        <f>(CR144*CU144)</f>
        <v>0</v>
      </c>
      <c r="V144">
        <f>(DK144+(U144+2*0.95*5.67E-8*(((DK144+$B$7)+273)^4-(DK144+273)^4)-44100*J144)/(1.84*29.3*R144+8*0.95*5.67E-8*(DK144+273)^3))</f>
        <v>0</v>
      </c>
      <c r="W144">
        <f>($C$7*DL144+$D$7*DM144+$E$7*V144)</f>
        <v>0</v>
      </c>
      <c r="X144">
        <f>0.61365*exp(17.502*W144/(240.97+W144))</f>
        <v>0</v>
      </c>
      <c r="Y144">
        <f>(Z144/AA144*100)</f>
        <v>0</v>
      </c>
      <c r="Z144">
        <f>DD144*(DI144+DJ144)/1000</f>
        <v>0</v>
      </c>
      <c r="AA144">
        <f>0.61365*exp(17.502*DK144/(240.97+DK144))</f>
        <v>0</v>
      </c>
      <c r="AB144">
        <f>(X144-DD144*(DI144+DJ144)/1000)</f>
        <v>0</v>
      </c>
      <c r="AC144">
        <f>(-J144*44100)</f>
        <v>0</v>
      </c>
      <c r="AD144">
        <f>2*29.3*R144*0.92*(DK144-W144)</f>
        <v>0</v>
      </c>
      <c r="AE144">
        <f>2*0.95*5.67E-8*(((DK144+$B$7)+273)^4-(W144+273)^4)</f>
        <v>0</v>
      </c>
      <c r="AF144">
        <f>U144+AE144+AC144+AD144</f>
        <v>0</v>
      </c>
      <c r="AG144">
        <f>DH144*AU144*(DC144-DB144*(1000-AU144*DE144)/(1000-AU144*DD144))/(100*CV144)</f>
        <v>0</v>
      </c>
      <c r="AH144">
        <f>1000*DH144*AU144*(DD144-DE144)/(100*CV144*(1000-AU144*DD144))</f>
        <v>0</v>
      </c>
      <c r="AI144">
        <f>(AJ144 - AK144 - DI144*1E3/(8.314*(DK144+273.15)) * AM144/DH144 * AL144) * DH144/(100*CV144) * (1000 - DE144)/1000</f>
        <v>0</v>
      </c>
      <c r="AJ144">
        <v>341.1552199171479</v>
      </c>
      <c r="AK144">
        <v>339.4640727272727</v>
      </c>
      <c r="AL144">
        <v>-2.991342225303383</v>
      </c>
      <c r="AM144">
        <v>65.96288611109561</v>
      </c>
      <c r="AN144">
        <f>(AP144 - AO144 + DI144*1E3/(8.314*(DK144+273.15)) * AR144/DH144 * AQ144) * DH144/(100*CV144) * 1000/(1000 - AP144)</f>
        <v>0</v>
      </c>
      <c r="AO144">
        <v>16.48782046747797</v>
      </c>
      <c r="AP144">
        <v>24.523706993007</v>
      </c>
      <c r="AQ144">
        <v>-0.01288586450272459</v>
      </c>
      <c r="AR144">
        <v>81.18387902069509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MAX(0,($B$13+$C$13*DP144)/(1+$D$13*DP144)*DI144/(DK144+273)*$E$13)</f>
        <v>0</v>
      </c>
      <c r="AX144" t="s">
        <v>417</v>
      </c>
      <c r="AY144" t="s">
        <v>417</v>
      </c>
      <c r="AZ144">
        <v>0</v>
      </c>
      <c r="BA144">
        <v>0</v>
      </c>
      <c r="BB144">
        <f>1-AZ144/BA144</f>
        <v>0</v>
      </c>
      <c r="BC144">
        <v>0</v>
      </c>
      <c r="BD144" t="s">
        <v>417</v>
      </c>
      <c r="BE144" t="s">
        <v>417</v>
      </c>
      <c r="BF144">
        <v>0</v>
      </c>
      <c r="BG144">
        <v>0</v>
      </c>
      <c r="BH144">
        <f>1-BF144/BG144</f>
        <v>0</v>
      </c>
      <c r="BI144">
        <v>0.5</v>
      </c>
      <c r="BJ144">
        <f>CS144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417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1393</v>
      </c>
      <c r="CA144">
        <v>300</v>
      </c>
      <c r="CB144">
        <v>300</v>
      </c>
      <c r="CC144">
        <v>300</v>
      </c>
      <c r="CD144">
        <v>10378</v>
      </c>
      <c r="CE144">
        <v>2050</v>
      </c>
      <c r="CF144">
        <v>-0.00730649</v>
      </c>
      <c r="CG144">
        <v>-4.53</v>
      </c>
      <c r="CH144" t="s">
        <v>417</v>
      </c>
      <c r="CI144" t="s">
        <v>417</v>
      </c>
      <c r="CJ144" t="s">
        <v>417</v>
      </c>
      <c r="CK144" t="s">
        <v>417</v>
      </c>
      <c r="CL144" t="s">
        <v>417</v>
      </c>
      <c r="CM144" t="s">
        <v>417</v>
      </c>
      <c r="CN144" t="s">
        <v>417</v>
      </c>
      <c r="CO144" t="s">
        <v>417</v>
      </c>
      <c r="CP144" t="s">
        <v>417</v>
      </c>
      <c r="CQ144" t="s">
        <v>417</v>
      </c>
      <c r="CR144">
        <f>$B$11*DQ144+$C$11*DR144+$F$11*EC144*(1-EF144)</f>
        <v>0</v>
      </c>
      <c r="CS144">
        <f>CR144*CT144</f>
        <v>0</v>
      </c>
      <c r="CT144">
        <f>($B$11*$D$9+$C$11*$D$9+$F$11*((EP144+EH144)/MAX(EP144+EH144+EQ144, 0.1)*$I$9+EQ144/MAX(EP144+EH144+EQ144, 0.1)*$J$9))/($B$11+$C$11+$F$11)</f>
        <v>0</v>
      </c>
      <c r="CU144">
        <f>($B$11*$K$9+$C$11*$K$9+$F$11*((EP144+EH144)/MAX(EP144+EH144+EQ144, 0.1)*$P$9+EQ144/MAX(EP144+EH144+EQ144, 0.1)*$Q$9))/($B$11+$C$11+$F$11)</f>
        <v>0</v>
      </c>
      <c r="CV144">
        <v>6</v>
      </c>
      <c r="CW144">
        <v>0.5</v>
      </c>
      <c r="CX144" t="s">
        <v>418</v>
      </c>
      <c r="CY144">
        <v>2</v>
      </c>
      <c r="CZ144" t="b">
        <v>1</v>
      </c>
      <c r="DA144">
        <v>1652372369.5</v>
      </c>
      <c r="DB144">
        <v>351.2593703703704</v>
      </c>
      <c r="DC144">
        <v>347.5956296296296</v>
      </c>
      <c r="DD144">
        <v>24.57533333333333</v>
      </c>
      <c r="DE144">
        <v>16.42594444444444</v>
      </c>
      <c r="DF144">
        <v>350.7938888888889</v>
      </c>
      <c r="DG144">
        <v>24.53077777777778</v>
      </c>
      <c r="DH144">
        <v>400.0683703703705</v>
      </c>
      <c r="DI144">
        <v>90.40111111111111</v>
      </c>
      <c r="DJ144">
        <v>0.09994856666666667</v>
      </c>
      <c r="DK144">
        <v>31.12887407407407</v>
      </c>
      <c r="DL144">
        <v>30.10124814814815</v>
      </c>
      <c r="DM144">
        <v>999.9000000000001</v>
      </c>
      <c r="DN144">
        <v>0</v>
      </c>
      <c r="DO144">
        <v>0</v>
      </c>
      <c r="DP144">
        <v>10006.32185185185</v>
      </c>
      <c r="DQ144">
        <v>0</v>
      </c>
      <c r="DR144">
        <v>482.6693703703704</v>
      </c>
      <c r="DS144">
        <v>3.663753415925926</v>
      </c>
      <c r="DT144">
        <v>360.1095925925925</v>
      </c>
      <c r="DU144">
        <v>353.3988148148148</v>
      </c>
      <c r="DV144">
        <v>8.149397777777777</v>
      </c>
      <c r="DW144">
        <v>347.5956296296296</v>
      </c>
      <c r="DX144">
        <v>16.42594444444444</v>
      </c>
      <c r="DY144">
        <v>2.221637777777778</v>
      </c>
      <c r="DZ144">
        <v>1.484923703703704</v>
      </c>
      <c r="EA144">
        <v>19.11919259259259</v>
      </c>
      <c r="EB144">
        <v>12.8133962962963</v>
      </c>
      <c r="EC144">
        <v>1500.015925925926</v>
      </c>
      <c r="ED144">
        <v>0.972995925925926</v>
      </c>
      <c r="EE144">
        <v>0.02700441851851851</v>
      </c>
      <c r="EF144">
        <v>0</v>
      </c>
      <c r="EG144">
        <v>1736.126666666667</v>
      </c>
      <c r="EH144">
        <v>5.00097</v>
      </c>
      <c r="EI144">
        <v>26767.36296296296</v>
      </c>
      <c r="EJ144">
        <v>12491.70740740741</v>
      </c>
      <c r="EK144">
        <v>39.93699999999999</v>
      </c>
      <c r="EL144">
        <v>41.43699999999999</v>
      </c>
      <c r="EM144">
        <v>40.125</v>
      </c>
      <c r="EN144">
        <v>41.31199999999999</v>
      </c>
      <c r="EO144">
        <v>41.06199999999999</v>
      </c>
      <c r="EP144">
        <v>1454.644444444444</v>
      </c>
      <c r="EQ144">
        <v>40.37148148148147</v>
      </c>
      <c r="ER144">
        <v>0</v>
      </c>
      <c r="ES144">
        <v>1211.199999809265</v>
      </c>
      <c r="ET144">
        <v>0</v>
      </c>
      <c r="EU144">
        <v>1735.7532</v>
      </c>
      <c r="EV144">
        <v>-57.03000008879457</v>
      </c>
      <c r="EW144">
        <v>-970.3538476331235</v>
      </c>
      <c r="EX144">
        <v>26761</v>
      </c>
      <c r="EY144">
        <v>15</v>
      </c>
      <c r="EZ144">
        <v>1652371289.6</v>
      </c>
      <c r="FA144" t="s">
        <v>515</v>
      </c>
      <c r="FB144">
        <v>1652371289.6</v>
      </c>
      <c r="FC144">
        <v>1652371275.1</v>
      </c>
      <c r="FD144">
        <v>24</v>
      </c>
      <c r="FE144">
        <v>0.442</v>
      </c>
      <c r="FF144">
        <v>0.001</v>
      </c>
      <c r="FG144">
        <v>-2.63</v>
      </c>
      <c r="FH144">
        <v>0.007</v>
      </c>
      <c r="FI144">
        <v>1620</v>
      </c>
      <c r="FJ144">
        <v>22</v>
      </c>
      <c r="FK144">
        <v>0.08</v>
      </c>
      <c r="FL144">
        <v>0.04</v>
      </c>
      <c r="FM144">
        <v>1.214418054390244</v>
      </c>
      <c r="FN144">
        <v>40.02769690494772</v>
      </c>
      <c r="FO144">
        <v>4.029218850393789</v>
      </c>
      <c r="FP144">
        <v>-1</v>
      </c>
      <c r="FQ144">
        <v>8.280994390243901</v>
      </c>
      <c r="FR144">
        <v>-2.221542857142839</v>
      </c>
      <c r="FS144">
        <v>0.2224364904487678</v>
      </c>
      <c r="FT144">
        <v>0</v>
      </c>
      <c r="FU144">
        <v>0</v>
      </c>
      <c r="FV144">
        <v>0</v>
      </c>
      <c r="FW144">
        <v>0</v>
      </c>
      <c r="FX144">
        <v>-1</v>
      </c>
      <c r="FY144">
        <v>0</v>
      </c>
      <c r="FZ144">
        <v>1</v>
      </c>
      <c r="GA144" t="s">
        <v>432</v>
      </c>
      <c r="GB144">
        <v>2.69606</v>
      </c>
      <c r="GC144">
        <v>2.70542</v>
      </c>
      <c r="GD144">
        <v>0.07721550000000001</v>
      </c>
      <c r="GE144">
        <v>0.0752621</v>
      </c>
      <c r="GF144">
        <v>0.107681</v>
      </c>
      <c r="GG144">
        <v>0.08071390000000001</v>
      </c>
      <c r="GH144">
        <v>29014.4</v>
      </c>
      <c r="GI144">
        <v>29200.6</v>
      </c>
      <c r="GJ144">
        <v>29247.6</v>
      </c>
      <c r="GK144">
        <v>29219.6</v>
      </c>
      <c r="GL144">
        <v>34551.7</v>
      </c>
      <c r="GM144">
        <v>35756.9</v>
      </c>
      <c r="GN144">
        <v>41164.8</v>
      </c>
      <c r="GO144">
        <v>41690.5</v>
      </c>
      <c r="GP144">
        <v>1.7272</v>
      </c>
      <c r="GQ144">
        <v>2.02973</v>
      </c>
      <c r="GR144">
        <v>0.0536591</v>
      </c>
      <c r="GS144">
        <v>0</v>
      </c>
      <c r="GT144">
        <v>29.2094</v>
      </c>
      <c r="GU144">
        <v>999.9</v>
      </c>
      <c r="GV144">
        <v>45</v>
      </c>
      <c r="GW144">
        <v>33.1</v>
      </c>
      <c r="GX144">
        <v>25.289</v>
      </c>
      <c r="GY144">
        <v>63.508</v>
      </c>
      <c r="GZ144">
        <v>29.4792</v>
      </c>
      <c r="HA144">
        <v>1</v>
      </c>
      <c r="HB144">
        <v>0.251372</v>
      </c>
      <c r="HC144">
        <v>2.04391</v>
      </c>
      <c r="HD144">
        <v>20.3685</v>
      </c>
      <c r="HE144">
        <v>5.21534</v>
      </c>
      <c r="HF144">
        <v>12.0099</v>
      </c>
      <c r="HG144">
        <v>4.9876</v>
      </c>
      <c r="HH144">
        <v>3.28795</v>
      </c>
      <c r="HI144">
        <v>2723.7</v>
      </c>
      <c r="HJ144">
        <v>9999</v>
      </c>
      <c r="HK144">
        <v>9999</v>
      </c>
      <c r="HL144">
        <v>50.1</v>
      </c>
      <c r="HM144">
        <v>1.86722</v>
      </c>
      <c r="HN144">
        <v>1.86618</v>
      </c>
      <c r="HO144">
        <v>1.86583</v>
      </c>
      <c r="HP144">
        <v>1.86569</v>
      </c>
      <c r="HQ144">
        <v>1.86748</v>
      </c>
      <c r="HR144">
        <v>1.86999</v>
      </c>
      <c r="HS144">
        <v>1.86861</v>
      </c>
      <c r="HT144">
        <v>1.86998</v>
      </c>
      <c r="HU144">
        <v>0</v>
      </c>
      <c r="HV144">
        <v>0</v>
      </c>
      <c r="HW144">
        <v>0</v>
      </c>
      <c r="HX144">
        <v>0</v>
      </c>
      <c r="HY144" t="s">
        <v>421</v>
      </c>
      <c r="HZ144" t="s">
        <v>422</v>
      </c>
      <c r="IA144" t="s">
        <v>423</v>
      </c>
      <c r="IB144" t="s">
        <v>423</v>
      </c>
      <c r="IC144" t="s">
        <v>423</v>
      </c>
      <c r="ID144" t="s">
        <v>423</v>
      </c>
      <c r="IE144">
        <v>0</v>
      </c>
      <c r="IF144">
        <v>100</v>
      </c>
      <c r="IG144">
        <v>100</v>
      </c>
      <c r="IH144">
        <v>0.516</v>
      </c>
      <c r="II144">
        <v>0.0439</v>
      </c>
      <c r="IJ144">
        <v>1.257309091789605</v>
      </c>
      <c r="IK144">
        <v>-0.002185601614162945</v>
      </c>
      <c r="IL144">
        <v>-2.252308143750626E-07</v>
      </c>
      <c r="IM144">
        <v>5.915558436307541E-11</v>
      </c>
      <c r="IN144">
        <v>-0.118683452207699</v>
      </c>
      <c r="IO144">
        <v>-0.007570214193104963</v>
      </c>
      <c r="IP144">
        <v>0.0009214429922928372</v>
      </c>
      <c r="IQ144">
        <v>-1.392260276065805E-05</v>
      </c>
      <c r="IR144">
        <v>17</v>
      </c>
      <c r="IS144">
        <v>2272</v>
      </c>
      <c r="IT144">
        <v>1</v>
      </c>
      <c r="IU144">
        <v>31</v>
      </c>
      <c r="IV144">
        <v>18.1</v>
      </c>
      <c r="IW144">
        <v>18.4</v>
      </c>
      <c r="IX144">
        <v>0.825195</v>
      </c>
      <c r="IY144">
        <v>2.23267</v>
      </c>
      <c r="IZ144">
        <v>1.39648</v>
      </c>
      <c r="JA144">
        <v>2.35474</v>
      </c>
      <c r="JB144">
        <v>1.49536</v>
      </c>
      <c r="JC144">
        <v>2.29004</v>
      </c>
      <c r="JD144">
        <v>36.8129</v>
      </c>
      <c r="JE144">
        <v>15.2615</v>
      </c>
      <c r="JF144">
        <v>18</v>
      </c>
      <c r="JG144">
        <v>389.157</v>
      </c>
      <c r="JH144">
        <v>565.458</v>
      </c>
      <c r="JI144">
        <v>27.812</v>
      </c>
      <c r="JJ144">
        <v>30.5972</v>
      </c>
      <c r="JK144">
        <v>30.0005</v>
      </c>
      <c r="JL144">
        <v>30.515</v>
      </c>
      <c r="JM144">
        <v>30.4299</v>
      </c>
      <c r="JN144">
        <v>16.4722</v>
      </c>
      <c r="JO144">
        <v>34.1517</v>
      </c>
      <c r="JP144">
        <v>0</v>
      </c>
      <c r="JQ144">
        <v>27.7489</v>
      </c>
      <c r="JR144">
        <v>299.697</v>
      </c>
      <c r="JS144">
        <v>16.8203</v>
      </c>
      <c r="JT144">
        <v>99.9708</v>
      </c>
      <c r="JU144">
        <v>100.075</v>
      </c>
    </row>
    <row r="145" spans="1:281">
      <c r="A145">
        <v>129</v>
      </c>
      <c r="B145">
        <v>1652372382</v>
      </c>
      <c r="C145">
        <v>4288.400000095367</v>
      </c>
      <c r="D145" t="s">
        <v>726</v>
      </c>
      <c r="E145" t="s">
        <v>727</v>
      </c>
      <c r="F145">
        <v>5</v>
      </c>
      <c r="G145" t="s">
        <v>711</v>
      </c>
      <c r="H145" t="s">
        <v>414</v>
      </c>
      <c r="I145">
        <v>1652372374.214286</v>
      </c>
      <c r="J145">
        <f>(K145)/1000</f>
        <v>0</v>
      </c>
      <c r="K145">
        <f>IF(CZ145, AN145, AH145)</f>
        <v>0</v>
      </c>
      <c r="L145">
        <f>IF(CZ145, AI145, AG145)</f>
        <v>0</v>
      </c>
      <c r="M145">
        <f>DB145 - IF(AU145&gt;1, L145*CV145*100.0/(AW145*DP145), 0)</f>
        <v>0</v>
      </c>
      <c r="N145">
        <f>((T145-J145/2)*M145-L145)/(T145+J145/2)</f>
        <v>0</v>
      </c>
      <c r="O145">
        <f>N145*(DI145+DJ145)/1000.0</f>
        <v>0</v>
      </c>
      <c r="P145">
        <f>(DB145 - IF(AU145&gt;1, L145*CV145*100.0/(AW145*DP145), 0))*(DI145+DJ145)/1000.0</f>
        <v>0</v>
      </c>
      <c r="Q145">
        <f>2.0/((1/S145-1/R145)+SIGN(S145)*SQRT((1/S145-1/R145)*(1/S145-1/R145) + 4*CW145/((CW145+1)*(CW145+1))*(2*1/S145*1/R145-1/R145*1/R145)))</f>
        <v>0</v>
      </c>
      <c r="R145">
        <f>IF(LEFT(CX145,1)&lt;&gt;"0",IF(LEFT(CX145,1)="1",3.0,CY145),$D$5+$E$5*(DP145*DI145/($K$5*1000))+$F$5*(DP145*DI145/($K$5*1000))*MAX(MIN(CV145,$J$5),$I$5)*MAX(MIN(CV145,$J$5),$I$5)+$G$5*MAX(MIN(CV145,$J$5),$I$5)*(DP145*DI145/($K$5*1000))+$H$5*(DP145*DI145/($K$5*1000))*(DP145*DI145/($K$5*1000)))</f>
        <v>0</v>
      </c>
      <c r="S145">
        <f>J145*(1000-(1000*0.61365*exp(17.502*W145/(240.97+W145))/(DI145+DJ145)+DD145)/2)/(1000*0.61365*exp(17.502*W145/(240.97+W145))/(DI145+DJ145)-DD145)</f>
        <v>0</v>
      </c>
      <c r="T145">
        <f>1/((CW145+1)/(Q145/1.6)+1/(R145/1.37)) + CW145/((CW145+1)/(Q145/1.6) + CW145/(R145/1.37))</f>
        <v>0</v>
      </c>
      <c r="U145">
        <f>(CR145*CU145)</f>
        <v>0</v>
      </c>
      <c r="V145">
        <f>(DK145+(U145+2*0.95*5.67E-8*(((DK145+$B$7)+273)^4-(DK145+273)^4)-44100*J145)/(1.84*29.3*R145+8*0.95*5.67E-8*(DK145+273)^3))</f>
        <v>0</v>
      </c>
      <c r="W145">
        <f>($C$7*DL145+$D$7*DM145+$E$7*V145)</f>
        <v>0</v>
      </c>
      <c r="X145">
        <f>0.61365*exp(17.502*W145/(240.97+W145))</f>
        <v>0</v>
      </c>
      <c r="Y145">
        <f>(Z145/AA145*100)</f>
        <v>0</v>
      </c>
      <c r="Z145">
        <f>DD145*(DI145+DJ145)/1000</f>
        <v>0</v>
      </c>
      <c r="AA145">
        <f>0.61365*exp(17.502*DK145/(240.97+DK145))</f>
        <v>0</v>
      </c>
      <c r="AB145">
        <f>(X145-DD145*(DI145+DJ145)/1000)</f>
        <v>0</v>
      </c>
      <c r="AC145">
        <f>(-J145*44100)</f>
        <v>0</v>
      </c>
      <c r="AD145">
        <f>2*29.3*R145*0.92*(DK145-W145)</f>
        <v>0</v>
      </c>
      <c r="AE145">
        <f>2*0.95*5.67E-8*(((DK145+$B$7)+273)^4-(W145+273)^4)</f>
        <v>0</v>
      </c>
      <c r="AF145">
        <f>U145+AE145+AC145+AD145</f>
        <v>0</v>
      </c>
      <c r="AG145">
        <f>DH145*AU145*(DC145-DB145*(1000-AU145*DE145)/(1000-AU145*DD145))/(100*CV145)</f>
        <v>0</v>
      </c>
      <c r="AH145">
        <f>1000*DH145*AU145*(DD145-DE145)/(100*CV145*(1000-AU145*DD145))</f>
        <v>0</v>
      </c>
      <c r="AI145">
        <f>(AJ145 - AK145 - DI145*1E3/(8.314*(DK145+273.15)) * AM145/DH145 * AL145) * DH145/(100*CV145) * (1000 - DE145)/1000</f>
        <v>0</v>
      </c>
      <c r="AJ145">
        <v>324.4831148252412</v>
      </c>
      <c r="AK145">
        <v>324.0809636363636</v>
      </c>
      <c r="AL145">
        <v>-3.074895978525274</v>
      </c>
      <c r="AM145">
        <v>65.96288611109561</v>
      </c>
      <c r="AN145">
        <f>(AP145 - AO145 + DI145*1E3/(8.314*(DK145+273.15)) * AR145/DH145 * AQ145) * DH145/(100*CV145) * 1000/(1000 - AP145)</f>
        <v>0</v>
      </c>
      <c r="AO145">
        <v>16.65344586417151</v>
      </c>
      <c r="AP145">
        <v>24.48945314685316</v>
      </c>
      <c r="AQ145">
        <v>-0.001032752053241182</v>
      </c>
      <c r="AR145">
        <v>81.18387902069509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MAX(0,($B$13+$C$13*DP145)/(1+$D$13*DP145)*DI145/(DK145+273)*$E$13)</f>
        <v>0</v>
      </c>
      <c r="AX145" t="s">
        <v>417</v>
      </c>
      <c r="AY145" t="s">
        <v>417</v>
      </c>
      <c r="AZ145">
        <v>0</v>
      </c>
      <c r="BA145">
        <v>0</v>
      </c>
      <c r="BB145">
        <f>1-AZ145/BA145</f>
        <v>0</v>
      </c>
      <c r="BC145">
        <v>0</v>
      </c>
      <c r="BD145" t="s">
        <v>417</v>
      </c>
      <c r="BE145" t="s">
        <v>417</v>
      </c>
      <c r="BF145">
        <v>0</v>
      </c>
      <c r="BG145">
        <v>0</v>
      </c>
      <c r="BH145">
        <f>1-BF145/BG145</f>
        <v>0</v>
      </c>
      <c r="BI145">
        <v>0.5</v>
      </c>
      <c r="BJ145">
        <f>CS145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417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1393</v>
      </c>
      <c r="CA145">
        <v>300</v>
      </c>
      <c r="CB145">
        <v>300</v>
      </c>
      <c r="CC145">
        <v>300</v>
      </c>
      <c r="CD145">
        <v>10378</v>
      </c>
      <c r="CE145">
        <v>2050</v>
      </c>
      <c r="CF145">
        <v>-0.00730649</v>
      </c>
      <c r="CG145">
        <v>-4.53</v>
      </c>
      <c r="CH145" t="s">
        <v>417</v>
      </c>
      <c r="CI145" t="s">
        <v>417</v>
      </c>
      <c r="CJ145" t="s">
        <v>417</v>
      </c>
      <c r="CK145" t="s">
        <v>417</v>
      </c>
      <c r="CL145" t="s">
        <v>417</v>
      </c>
      <c r="CM145" t="s">
        <v>417</v>
      </c>
      <c r="CN145" t="s">
        <v>417</v>
      </c>
      <c r="CO145" t="s">
        <v>417</v>
      </c>
      <c r="CP145" t="s">
        <v>417</v>
      </c>
      <c r="CQ145" t="s">
        <v>417</v>
      </c>
      <c r="CR145">
        <f>$B$11*DQ145+$C$11*DR145+$F$11*EC145*(1-EF145)</f>
        <v>0</v>
      </c>
      <c r="CS145">
        <f>CR145*CT145</f>
        <v>0</v>
      </c>
      <c r="CT145">
        <f>($B$11*$D$9+$C$11*$D$9+$F$11*((EP145+EH145)/MAX(EP145+EH145+EQ145, 0.1)*$I$9+EQ145/MAX(EP145+EH145+EQ145, 0.1)*$J$9))/($B$11+$C$11+$F$11)</f>
        <v>0</v>
      </c>
      <c r="CU145">
        <f>($B$11*$K$9+$C$11*$K$9+$F$11*((EP145+EH145)/MAX(EP145+EH145+EQ145, 0.1)*$P$9+EQ145/MAX(EP145+EH145+EQ145, 0.1)*$Q$9))/($B$11+$C$11+$F$11)</f>
        <v>0</v>
      </c>
      <c r="CV145">
        <v>6</v>
      </c>
      <c r="CW145">
        <v>0.5</v>
      </c>
      <c r="CX145" t="s">
        <v>418</v>
      </c>
      <c r="CY145">
        <v>2</v>
      </c>
      <c r="CZ145" t="b">
        <v>1</v>
      </c>
      <c r="DA145">
        <v>1652372374.214286</v>
      </c>
      <c r="DB145">
        <v>337.7212142857143</v>
      </c>
      <c r="DC145">
        <v>331.9841071428572</v>
      </c>
      <c r="DD145">
        <v>24.54145</v>
      </c>
      <c r="DE145">
        <v>16.54373928571428</v>
      </c>
      <c r="DF145">
        <v>337.2243214285714</v>
      </c>
      <c r="DG145">
        <v>24.49732142857143</v>
      </c>
      <c r="DH145">
        <v>400.0733928571429</v>
      </c>
      <c r="DI145">
        <v>90.40310000000002</v>
      </c>
      <c r="DJ145">
        <v>0.09994400357142856</v>
      </c>
      <c r="DK145">
        <v>31.09446785714286</v>
      </c>
      <c r="DL145">
        <v>30.08795357142857</v>
      </c>
      <c r="DM145">
        <v>999.9000000000002</v>
      </c>
      <c r="DN145">
        <v>0</v>
      </c>
      <c r="DO145">
        <v>0</v>
      </c>
      <c r="DP145">
        <v>10009.8</v>
      </c>
      <c r="DQ145">
        <v>0</v>
      </c>
      <c r="DR145">
        <v>471.3201428571429</v>
      </c>
      <c r="DS145">
        <v>5.737173214285714</v>
      </c>
      <c r="DT145">
        <v>346.2183571428572</v>
      </c>
      <c r="DU145">
        <v>337.5666785714287</v>
      </c>
      <c r="DV145">
        <v>7.997722857142857</v>
      </c>
      <c r="DW145">
        <v>331.9841071428572</v>
      </c>
      <c r="DX145">
        <v>16.54373928571428</v>
      </c>
      <c r="DY145">
        <v>2.218624285714286</v>
      </c>
      <c r="DZ145">
        <v>1.495605714285714</v>
      </c>
      <c r="EA145">
        <v>19.09741428571428</v>
      </c>
      <c r="EB145">
        <v>12.92281785714286</v>
      </c>
      <c r="EC145">
        <v>1500.017857142857</v>
      </c>
      <c r="ED145">
        <v>0.9729962500000001</v>
      </c>
      <c r="EE145">
        <v>0.02700407499999999</v>
      </c>
      <c r="EF145">
        <v>0</v>
      </c>
      <c r="EG145">
        <v>1731.67</v>
      </c>
      <c r="EH145">
        <v>5.00097</v>
      </c>
      <c r="EI145">
        <v>26696.13928571429</v>
      </c>
      <c r="EJ145">
        <v>12491.71071428571</v>
      </c>
      <c r="EK145">
        <v>39.93699999999999</v>
      </c>
      <c r="EL145">
        <v>41.43699999999999</v>
      </c>
      <c r="EM145">
        <v>40.125</v>
      </c>
      <c r="EN145">
        <v>41.31199999999999</v>
      </c>
      <c r="EO145">
        <v>41.06199999999999</v>
      </c>
      <c r="EP145">
        <v>1454.646428571428</v>
      </c>
      <c r="EQ145">
        <v>40.37142857142856</v>
      </c>
      <c r="ER145">
        <v>0</v>
      </c>
      <c r="ES145">
        <v>1216</v>
      </c>
      <c r="ET145">
        <v>0</v>
      </c>
      <c r="EU145">
        <v>1731.1704</v>
      </c>
      <c r="EV145">
        <v>-58.67999990536238</v>
      </c>
      <c r="EW145">
        <v>-912.1307676554528</v>
      </c>
      <c r="EX145">
        <v>26688.488</v>
      </c>
      <c r="EY145">
        <v>15</v>
      </c>
      <c r="EZ145">
        <v>1652371289.6</v>
      </c>
      <c r="FA145" t="s">
        <v>515</v>
      </c>
      <c r="FB145">
        <v>1652371289.6</v>
      </c>
      <c r="FC145">
        <v>1652371275.1</v>
      </c>
      <c r="FD145">
        <v>24</v>
      </c>
      <c r="FE145">
        <v>0.442</v>
      </c>
      <c r="FF145">
        <v>0.001</v>
      </c>
      <c r="FG145">
        <v>-2.63</v>
      </c>
      <c r="FH145">
        <v>0.007</v>
      </c>
      <c r="FI145">
        <v>1620</v>
      </c>
      <c r="FJ145">
        <v>22</v>
      </c>
      <c r="FK145">
        <v>0.08</v>
      </c>
      <c r="FL145">
        <v>0.04</v>
      </c>
      <c r="FM145">
        <v>4.53656800575</v>
      </c>
      <c r="FN145">
        <v>26.70169521894935</v>
      </c>
      <c r="FO145">
        <v>2.598457057071184</v>
      </c>
      <c r="FP145">
        <v>-1</v>
      </c>
      <c r="FQ145">
        <v>8.07492525</v>
      </c>
      <c r="FR145">
        <v>-2.060325140712969</v>
      </c>
      <c r="FS145">
        <v>0.2018559595972769</v>
      </c>
      <c r="FT145">
        <v>0</v>
      </c>
      <c r="FU145">
        <v>0</v>
      </c>
      <c r="FV145">
        <v>0</v>
      </c>
      <c r="FW145">
        <v>0</v>
      </c>
      <c r="FX145">
        <v>-1</v>
      </c>
      <c r="FY145">
        <v>0</v>
      </c>
      <c r="FZ145">
        <v>1</v>
      </c>
      <c r="GA145" t="s">
        <v>432</v>
      </c>
      <c r="GB145">
        <v>2.69588</v>
      </c>
      <c r="GC145">
        <v>2.70511</v>
      </c>
      <c r="GD145">
        <v>0.07434590000000001</v>
      </c>
      <c r="GE145">
        <v>0.0720928</v>
      </c>
      <c r="GF145">
        <v>0.107567</v>
      </c>
      <c r="GG145">
        <v>0.0810775</v>
      </c>
      <c r="GH145">
        <v>29104.6</v>
      </c>
      <c r="GI145">
        <v>29300.3</v>
      </c>
      <c r="GJ145">
        <v>29247.7</v>
      </c>
      <c r="GK145">
        <v>29219.3</v>
      </c>
      <c r="GL145">
        <v>34556.3</v>
      </c>
      <c r="GM145">
        <v>35742.4</v>
      </c>
      <c r="GN145">
        <v>41165</v>
      </c>
      <c r="GO145">
        <v>41690.2</v>
      </c>
      <c r="GP145">
        <v>1.727</v>
      </c>
      <c r="GQ145">
        <v>2.03045</v>
      </c>
      <c r="GR145">
        <v>0.0519603</v>
      </c>
      <c r="GS145">
        <v>0</v>
      </c>
      <c r="GT145">
        <v>29.2062</v>
      </c>
      <c r="GU145">
        <v>999.9</v>
      </c>
      <c r="GV145">
        <v>45</v>
      </c>
      <c r="GW145">
        <v>33.1</v>
      </c>
      <c r="GX145">
        <v>25.2903</v>
      </c>
      <c r="GY145">
        <v>63.428</v>
      </c>
      <c r="GZ145">
        <v>29.6394</v>
      </c>
      <c r="HA145">
        <v>1</v>
      </c>
      <c r="HB145">
        <v>0.251997</v>
      </c>
      <c r="HC145">
        <v>2.06298</v>
      </c>
      <c r="HD145">
        <v>20.369</v>
      </c>
      <c r="HE145">
        <v>5.21744</v>
      </c>
      <c r="HF145">
        <v>12.0099</v>
      </c>
      <c r="HG145">
        <v>4.988</v>
      </c>
      <c r="HH145">
        <v>3.28833</v>
      </c>
      <c r="HI145">
        <v>2723.9</v>
      </c>
      <c r="HJ145">
        <v>9999</v>
      </c>
      <c r="HK145">
        <v>9999</v>
      </c>
      <c r="HL145">
        <v>50.1</v>
      </c>
      <c r="HM145">
        <v>1.86722</v>
      </c>
      <c r="HN145">
        <v>1.86618</v>
      </c>
      <c r="HO145">
        <v>1.86581</v>
      </c>
      <c r="HP145">
        <v>1.86568</v>
      </c>
      <c r="HQ145">
        <v>1.86747</v>
      </c>
      <c r="HR145">
        <v>1.86998</v>
      </c>
      <c r="HS145">
        <v>1.86862</v>
      </c>
      <c r="HT145">
        <v>1.86998</v>
      </c>
      <c r="HU145">
        <v>0</v>
      </c>
      <c r="HV145">
        <v>0</v>
      </c>
      <c r="HW145">
        <v>0</v>
      </c>
      <c r="HX145">
        <v>0</v>
      </c>
      <c r="HY145" t="s">
        <v>421</v>
      </c>
      <c r="HZ145" t="s">
        <v>422</v>
      </c>
      <c r="IA145" t="s">
        <v>423</v>
      </c>
      <c r="IB145" t="s">
        <v>423</v>
      </c>
      <c r="IC145" t="s">
        <v>423</v>
      </c>
      <c r="ID145" t="s">
        <v>423</v>
      </c>
      <c r="IE145">
        <v>0</v>
      </c>
      <c r="IF145">
        <v>100</v>
      </c>
      <c r="IG145">
        <v>100</v>
      </c>
      <c r="IH145">
        <v>0.551</v>
      </c>
      <c r="II145">
        <v>0.0434</v>
      </c>
      <c r="IJ145">
        <v>1.257309091789605</v>
      </c>
      <c r="IK145">
        <v>-0.002185601614162945</v>
      </c>
      <c r="IL145">
        <v>-2.252308143750626E-07</v>
      </c>
      <c r="IM145">
        <v>5.915558436307541E-11</v>
      </c>
      <c r="IN145">
        <v>-0.118683452207699</v>
      </c>
      <c r="IO145">
        <v>-0.007570214193104963</v>
      </c>
      <c r="IP145">
        <v>0.0009214429922928372</v>
      </c>
      <c r="IQ145">
        <v>-1.392260276065805E-05</v>
      </c>
      <c r="IR145">
        <v>17</v>
      </c>
      <c r="IS145">
        <v>2272</v>
      </c>
      <c r="IT145">
        <v>1</v>
      </c>
      <c r="IU145">
        <v>31</v>
      </c>
      <c r="IV145">
        <v>18.2</v>
      </c>
      <c r="IW145">
        <v>18.4</v>
      </c>
      <c r="IX145">
        <v>0.789795</v>
      </c>
      <c r="IY145">
        <v>2.22778</v>
      </c>
      <c r="IZ145">
        <v>1.39648</v>
      </c>
      <c r="JA145">
        <v>2.35474</v>
      </c>
      <c r="JB145">
        <v>1.49536</v>
      </c>
      <c r="JC145">
        <v>2.34985</v>
      </c>
      <c r="JD145">
        <v>36.8129</v>
      </c>
      <c r="JE145">
        <v>15.2703</v>
      </c>
      <c r="JF145">
        <v>18</v>
      </c>
      <c r="JG145">
        <v>389.081</v>
      </c>
      <c r="JH145">
        <v>566.047</v>
      </c>
      <c r="JI145">
        <v>27.725</v>
      </c>
      <c r="JJ145">
        <v>30.6045</v>
      </c>
      <c r="JK145">
        <v>30.0006</v>
      </c>
      <c r="JL145">
        <v>30.5203</v>
      </c>
      <c r="JM145">
        <v>30.4343</v>
      </c>
      <c r="JN145">
        <v>15.8237</v>
      </c>
      <c r="JO145">
        <v>33.5865</v>
      </c>
      <c r="JP145">
        <v>0</v>
      </c>
      <c r="JQ145">
        <v>27.6755</v>
      </c>
      <c r="JR145">
        <v>279.663</v>
      </c>
      <c r="JS145">
        <v>17.0004</v>
      </c>
      <c r="JT145">
        <v>99.9712</v>
      </c>
      <c r="JU145">
        <v>100.074</v>
      </c>
    </row>
    <row r="146" spans="1:281">
      <c r="A146">
        <v>130</v>
      </c>
      <c r="B146">
        <v>1652372387</v>
      </c>
      <c r="C146">
        <v>4293.400000095367</v>
      </c>
      <c r="D146" t="s">
        <v>728</v>
      </c>
      <c r="E146" t="s">
        <v>729</v>
      </c>
      <c r="F146">
        <v>5</v>
      </c>
      <c r="G146" t="s">
        <v>711</v>
      </c>
      <c r="H146" t="s">
        <v>414</v>
      </c>
      <c r="I146">
        <v>1652372379.5</v>
      </c>
      <c r="J146">
        <f>(K146)/1000</f>
        <v>0</v>
      </c>
      <c r="K146">
        <f>IF(CZ146, AN146, AH146)</f>
        <v>0</v>
      </c>
      <c r="L146">
        <f>IF(CZ146, AI146, AG146)</f>
        <v>0</v>
      </c>
      <c r="M146">
        <f>DB146 - IF(AU146&gt;1, L146*CV146*100.0/(AW146*DP146), 0)</f>
        <v>0</v>
      </c>
      <c r="N146">
        <f>((T146-J146/2)*M146-L146)/(T146+J146/2)</f>
        <v>0</v>
      </c>
      <c r="O146">
        <f>N146*(DI146+DJ146)/1000.0</f>
        <v>0</v>
      </c>
      <c r="P146">
        <f>(DB146 - IF(AU146&gt;1, L146*CV146*100.0/(AW146*DP146), 0))*(DI146+DJ146)/1000.0</f>
        <v>0</v>
      </c>
      <c r="Q146">
        <f>2.0/((1/S146-1/R146)+SIGN(S146)*SQRT((1/S146-1/R146)*(1/S146-1/R146) + 4*CW146/((CW146+1)*(CW146+1))*(2*1/S146*1/R146-1/R146*1/R146)))</f>
        <v>0</v>
      </c>
      <c r="R146">
        <f>IF(LEFT(CX146,1)&lt;&gt;"0",IF(LEFT(CX146,1)="1",3.0,CY146),$D$5+$E$5*(DP146*DI146/($K$5*1000))+$F$5*(DP146*DI146/($K$5*1000))*MAX(MIN(CV146,$J$5),$I$5)*MAX(MIN(CV146,$J$5),$I$5)+$G$5*MAX(MIN(CV146,$J$5),$I$5)*(DP146*DI146/($K$5*1000))+$H$5*(DP146*DI146/($K$5*1000))*(DP146*DI146/($K$5*1000)))</f>
        <v>0</v>
      </c>
      <c r="S146">
        <f>J146*(1000-(1000*0.61365*exp(17.502*W146/(240.97+W146))/(DI146+DJ146)+DD146)/2)/(1000*0.61365*exp(17.502*W146/(240.97+W146))/(DI146+DJ146)-DD146)</f>
        <v>0</v>
      </c>
      <c r="T146">
        <f>1/((CW146+1)/(Q146/1.6)+1/(R146/1.37)) + CW146/((CW146+1)/(Q146/1.6) + CW146/(R146/1.37))</f>
        <v>0</v>
      </c>
      <c r="U146">
        <f>(CR146*CU146)</f>
        <v>0</v>
      </c>
      <c r="V146">
        <f>(DK146+(U146+2*0.95*5.67E-8*(((DK146+$B$7)+273)^4-(DK146+273)^4)-44100*J146)/(1.84*29.3*R146+8*0.95*5.67E-8*(DK146+273)^3))</f>
        <v>0</v>
      </c>
      <c r="W146">
        <f>($C$7*DL146+$D$7*DM146+$E$7*V146)</f>
        <v>0</v>
      </c>
      <c r="X146">
        <f>0.61365*exp(17.502*W146/(240.97+W146))</f>
        <v>0</v>
      </c>
      <c r="Y146">
        <f>(Z146/AA146*100)</f>
        <v>0</v>
      </c>
      <c r="Z146">
        <f>DD146*(DI146+DJ146)/1000</f>
        <v>0</v>
      </c>
      <c r="AA146">
        <f>0.61365*exp(17.502*DK146/(240.97+DK146))</f>
        <v>0</v>
      </c>
      <c r="AB146">
        <f>(X146-DD146*(DI146+DJ146)/1000)</f>
        <v>0</v>
      </c>
      <c r="AC146">
        <f>(-J146*44100)</f>
        <v>0</v>
      </c>
      <c r="AD146">
        <f>2*29.3*R146*0.92*(DK146-W146)</f>
        <v>0</v>
      </c>
      <c r="AE146">
        <f>2*0.95*5.67E-8*(((DK146+$B$7)+273)^4-(W146+273)^4)</f>
        <v>0</v>
      </c>
      <c r="AF146">
        <f>U146+AE146+AC146+AD146</f>
        <v>0</v>
      </c>
      <c r="AG146">
        <f>DH146*AU146*(DC146-DB146*(1000-AU146*DE146)/(1000-AU146*DD146))/(100*CV146)</f>
        <v>0</v>
      </c>
      <c r="AH146">
        <f>1000*DH146*AU146*(DD146-DE146)/(100*CV146*(1000-AU146*DD146))</f>
        <v>0</v>
      </c>
      <c r="AI146">
        <f>(AJ146 - AK146 - DI146*1E3/(8.314*(DK146+273.15)) * AM146/DH146 * AL146) * DH146/(100*CV146) * (1000 - DE146)/1000</f>
        <v>0</v>
      </c>
      <c r="AJ146">
        <v>307.6212346130178</v>
      </c>
      <c r="AK146">
        <v>308.5423757575757</v>
      </c>
      <c r="AL146">
        <v>-3.108785106497028</v>
      </c>
      <c r="AM146">
        <v>65.96288611109561</v>
      </c>
      <c r="AN146">
        <f>(AP146 - AO146 + DI146*1E3/(8.314*(DK146+273.15)) * AR146/DH146 * AQ146) * DH146/(100*CV146) * 1000/(1000 - AP146)</f>
        <v>0</v>
      </c>
      <c r="AO146">
        <v>16.769478658991</v>
      </c>
      <c r="AP146">
        <v>24.45147202797203</v>
      </c>
      <c r="AQ146">
        <v>-0.0121116451023123</v>
      </c>
      <c r="AR146">
        <v>81.18387902069509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MAX(0,($B$13+$C$13*DP146)/(1+$D$13*DP146)*DI146/(DK146+273)*$E$13)</f>
        <v>0</v>
      </c>
      <c r="AX146" t="s">
        <v>417</v>
      </c>
      <c r="AY146" t="s">
        <v>417</v>
      </c>
      <c r="AZ146">
        <v>0</v>
      </c>
      <c r="BA146">
        <v>0</v>
      </c>
      <c r="BB146">
        <f>1-AZ146/BA146</f>
        <v>0</v>
      </c>
      <c r="BC146">
        <v>0</v>
      </c>
      <c r="BD146" t="s">
        <v>417</v>
      </c>
      <c r="BE146" t="s">
        <v>417</v>
      </c>
      <c r="BF146">
        <v>0</v>
      </c>
      <c r="BG146">
        <v>0</v>
      </c>
      <c r="BH146">
        <f>1-BF146/BG146</f>
        <v>0</v>
      </c>
      <c r="BI146">
        <v>0.5</v>
      </c>
      <c r="BJ146">
        <f>CS146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417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1393</v>
      </c>
      <c r="CA146">
        <v>300</v>
      </c>
      <c r="CB146">
        <v>300</v>
      </c>
      <c r="CC146">
        <v>300</v>
      </c>
      <c r="CD146">
        <v>10378</v>
      </c>
      <c r="CE146">
        <v>2050</v>
      </c>
      <c r="CF146">
        <v>-0.00730649</v>
      </c>
      <c r="CG146">
        <v>-4.53</v>
      </c>
      <c r="CH146" t="s">
        <v>417</v>
      </c>
      <c r="CI146" t="s">
        <v>417</v>
      </c>
      <c r="CJ146" t="s">
        <v>417</v>
      </c>
      <c r="CK146" t="s">
        <v>417</v>
      </c>
      <c r="CL146" t="s">
        <v>417</v>
      </c>
      <c r="CM146" t="s">
        <v>417</v>
      </c>
      <c r="CN146" t="s">
        <v>417</v>
      </c>
      <c r="CO146" t="s">
        <v>417</v>
      </c>
      <c r="CP146" t="s">
        <v>417</v>
      </c>
      <c r="CQ146" t="s">
        <v>417</v>
      </c>
      <c r="CR146">
        <f>$B$11*DQ146+$C$11*DR146+$F$11*EC146*(1-EF146)</f>
        <v>0</v>
      </c>
      <c r="CS146">
        <f>CR146*CT146</f>
        <v>0</v>
      </c>
      <c r="CT146">
        <f>($B$11*$D$9+$C$11*$D$9+$F$11*((EP146+EH146)/MAX(EP146+EH146+EQ146, 0.1)*$I$9+EQ146/MAX(EP146+EH146+EQ146, 0.1)*$J$9))/($B$11+$C$11+$F$11)</f>
        <v>0</v>
      </c>
      <c r="CU146">
        <f>($B$11*$K$9+$C$11*$K$9+$F$11*((EP146+EH146)/MAX(EP146+EH146+EQ146, 0.1)*$P$9+EQ146/MAX(EP146+EH146+EQ146, 0.1)*$Q$9))/($B$11+$C$11+$F$11)</f>
        <v>0</v>
      </c>
      <c r="CV146">
        <v>6</v>
      </c>
      <c r="CW146">
        <v>0.5</v>
      </c>
      <c r="CX146" t="s">
        <v>418</v>
      </c>
      <c r="CY146">
        <v>2</v>
      </c>
      <c r="CZ146" t="b">
        <v>1</v>
      </c>
      <c r="DA146">
        <v>1652372379.5</v>
      </c>
      <c r="DB146">
        <v>322.0725925925926</v>
      </c>
      <c r="DC146">
        <v>314.474925925926</v>
      </c>
      <c r="DD146">
        <v>24.49971111111111</v>
      </c>
      <c r="DE146">
        <v>16.71002592592593</v>
      </c>
      <c r="DF146">
        <v>321.5393333333333</v>
      </c>
      <c r="DG146">
        <v>24.45608518518518</v>
      </c>
      <c r="DH146">
        <v>400.084111111111</v>
      </c>
      <c r="DI146">
        <v>90.40446666666666</v>
      </c>
      <c r="DJ146">
        <v>0.1000090925925926</v>
      </c>
      <c r="DK146">
        <v>31.05710370370371</v>
      </c>
      <c r="DL146">
        <v>30.0694962962963</v>
      </c>
      <c r="DM146">
        <v>999.9000000000001</v>
      </c>
      <c r="DN146">
        <v>0</v>
      </c>
      <c r="DO146">
        <v>0</v>
      </c>
      <c r="DP146">
        <v>10002.10851851852</v>
      </c>
      <c r="DQ146">
        <v>0</v>
      </c>
      <c r="DR146">
        <v>467.0281851851852</v>
      </c>
      <c r="DS146">
        <v>7.597755555555556</v>
      </c>
      <c r="DT146">
        <v>330.1618148148148</v>
      </c>
      <c r="DU146">
        <v>319.8175185185185</v>
      </c>
      <c r="DV146">
        <v>7.789691851851852</v>
      </c>
      <c r="DW146">
        <v>314.474925925926</v>
      </c>
      <c r="DX146">
        <v>16.71002592592593</v>
      </c>
      <c r="DY146">
        <v>2.214883703703704</v>
      </c>
      <c r="DZ146">
        <v>1.510661111111111</v>
      </c>
      <c r="EA146">
        <v>19.07036296296296</v>
      </c>
      <c r="EB146">
        <v>13.07617037037037</v>
      </c>
      <c r="EC146">
        <v>1500.001481481482</v>
      </c>
      <c r="ED146">
        <v>0.9729962962962964</v>
      </c>
      <c r="EE146">
        <v>0.02700402592592592</v>
      </c>
      <c r="EF146">
        <v>0</v>
      </c>
      <c r="EG146">
        <v>1726.818518518519</v>
      </c>
      <c r="EH146">
        <v>5.00097</v>
      </c>
      <c r="EI146">
        <v>26630.68148148149</v>
      </c>
      <c r="EJ146">
        <v>12491.58518518519</v>
      </c>
      <c r="EK146">
        <v>39.93699999999999</v>
      </c>
      <c r="EL146">
        <v>41.43699999999999</v>
      </c>
      <c r="EM146">
        <v>40.125</v>
      </c>
      <c r="EN146">
        <v>41.31199999999999</v>
      </c>
      <c r="EO146">
        <v>41.06899999999999</v>
      </c>
      <c r="EP146">
        <v>1454.63</v>
      </c>
      <c r="EQ146">
        <v>40.37148148148147</v>
      </c>
      <c r="ER146">
        <v>0</v>
      </c>
      <c r="ES146">
        <v>1220.799999952316</v>
      </c>
      <c r="ET146">
        <v>0</v>
      </c>
      <c r="EU146">
        <v>1726.8024</v>
      </c>
      <c r="EV146">
        <v>-52.58923077002412</v>
      </c>
      <c r="EW146">
        <v>-570.646153526389</v>
      </c>
      <c r="EX146">
        <v>26630.936</v>
      </c>
      <c r="EY146">
        <v>15</v>
      </c>
      <c r="EZ146">
        <v>1652371289.6</v>
      </c>
      <c r="FA146" t="s">
        <v>515</v>
      </c>
      <c r="FB146">
        <v>1652371289.6</v>
      </c>
      <c r="FC146">
        <v>1652371275.1</v>
      </c>
      <c r="FD146">
        <v>24</v>
      </c>
      <c r="FE146">
        <v>0.442</v>
      </c>
      <c r="FF146">
        <v>0.001</v>
      </c>
      <c r="FG146">
        <v>-2.63</v>
      </c>
      <c r="FH146">
        <v>0.007</v>
      </c>
      <c r="FI146">
        <v>1620</v>
      </c>
      <c r="FJ146">
        <v>22</v>
      </c>
      <c r="FK146">
        <v>0.08</v>
      </c>
      <c r="FL146">
        <v>0.04</v>
      </c>
      <c r="FM146">
        <v>6.588585</v>
      </c>
      <c r="FN146">
        <v>20.97048923076922</v>
      </c>
      <c r="FO146">
        <v>2.025570359835718</v>
      </c>
      <c r="FP146">
        <v>-1</v>
      </c>
      <c r="FQ146">
        <v>7.90299475</v>
      </c>
      <c r="FR146">
        <v>-2.268420675422137</v>
      </c>
      <c r="FS146">
        <v>0.2205063253739844</v>
      </c>
      <c r="FT146">
        <v>0</v>
      </c>
      <c r="FU146">
        <v>0</v>
      </c>
      <c r="FV146">
        <v>0</v>
      </c>
      <c r="FW146">
        <v>0</v>
      </c>
      <c r="FX146">
        <v>-1</v>
      </c>
      <c r="FY146">
        <v>0</v>
      </c>
      <c r="FZ146">
        <v>1</v>
      </c>
      <c r="GA146" t="s">
        <v>432</v>
      </c>
      <c r="GB146">
        <v>2.69579</v>
      </c>
      <c r="GC146">
        <v>2.70496</v>
      </c>
      <c r="GD146">
        <v>0.0713847</v>
      </c>
      <c r="GE146">
        <v>0.0688719</v>
      </c>
      <c r="GF146">
        <v>0.107458</v>
      </c>
      <c r="GG146">
        <v>0.0816645</v>
      </c>
      <c r="GH146">
        <v>29197.4</v>
      </c>
      <c r="GI146">
        <v>29402.2</v>
      </c>
      <c r="GJ146">
        <v>29247.4</v>
      </c>
      <c r="GK146">
        <v>29219.5</v>
      </c>
      <c r="GL146">
        <v>34560.2</v>
      </c>
      <c r="GM146">
        <v>35719.6</v>
      </c>
      <c r="GN146">
        <v>41164.7</v>
      </c>
      <c r="GO146">
        <v>41690.5</v>
      </c>
      <c r="GP146">
        <v>1.72682</v>
      </c>
      <c r="GQ146">
        <v>2.0304</v>
      </c>
      <c r="GR146">
        <v>0.0513867</v>
      </c>
      <c r="GS146">
        <v>0</v>
      </c>
      <c r="GT146">
        <v>29.2024</v>
      </c>
      <c r="GU146">
        <v>999.9</v>
      </c>
      <c r="GV146">
        <v>44.9</v>
      </c>
      <c r="GW146">
        <v>33.1</v>
      </c>
      <c r="GX146">
        <v>25.2343</v>
      </c>
      <c r="GY146">
        <v>63.288</v>
      </c>
      <c r="GZ146">
        <v>29.7837</v>
      </c>
      <c r="HA146">
        <v>1</v>
      </c>
      <c r="HB146">
        <v>0.25235</v>
      </c>
      <c r="HC146">
        <v>2.00508</v>
      </c>
      <c r="HD146">
        <v>20.3699</v>
      </c>
      <c r="HE146">
        <v>5.21834</v>
      </c>
      <c r="HF146">
        <v>12.0099</v>
      </c>
      <c r="HG146">
        <v>4.98815</v>
      </c>
      <c r="HH146">
        <v>3.28853</v>
      </c>
      <c r="HI146">
        <v>2723.9</v>
      </c>
      <c r="HJ146">
        <v>9999</v>
      </c>
      <c r="HK146">
        <v>9999</v>
      </c>
      <c r="HL146">
        <v>50.1</v>
      </c>
      <c r="HM146">
        <v>1.86722</v>
      </c>
      <c r="HN146">
        <v>1.8662</v>
      </c>
      <c r="HO146">
        <v>1.86582</v>
      </c>
      <c r="HP146">
        <v>1.86569</v>
      </c>
      <c r="HQ146">
        <v>1.86746</v>
      </c>
      <c r="HR146">
        <v>1.86996</v>
      </c>
      <c r="HS146">
        <v>1.86863</v>
      </c>
      <c r="HT146">
        <v>1.86998</v>
      </c>
      <c r="HU146">
        <v>0</v>
      </c>
      <c r="HV146">
        <v>0</v>
      </c>
      <c r="HW146">
        <v>0</v>
      </c>
      <c r="HX146">
        <v>0</v>
      </c>
      <c r="HY146" t="s">
        <v>421</v>
      </c>
      <c r="HZ146" t="s">
        <v>422</v>
      </c>
      <c r="IA146" t="s">
        <v>423</v>
      </c>
      <c r="IB146" t="s">
        <v>423</v>
      </c>
      <c r="IC146" t="s">
        <v>423</v>
      </c>
      <c r="ID146" t="s">
        <v>423</v>
      </c>
      <c r="IE146">
        <v>0</v>
      </c>
      <c r="IF146">
        <v>100</v>
      </c>
      <c r="IG146">
        <v>100</v>
      </c>
      <c r="IH146">
        <v>0.585</v>
      </c>
      <c r="II146">
        <v>0.0431</v>
      </c>
      <c r="IJ146">
        <v>1.257309091789605</v>
      </c>
      <c r="IK146">
        <v>-0.002185601614162945</v>
      </c>
      <c r="IL146">
        <v>-2.252308143750626E-07</v>
      </c>
      <c r="IM146">
        <v>5.915558436307541E-11</v>
      </c>
      <c r="IN146">
        <v>-0.118683452207699</v>
      </c>
      <c r="IO146">
        <v>-0.007570214193104963</v>
      </c>
      <c r="IP146">
        <v>0.0009214429922928372</v>
      </c>
      <c r="IQ146">
        <v>-1.392260276065805E-05</v>
      </c>
      <c r="IR146">
        <v>17</v>
      </c>
      <c r="IS146">
        <v>2272</v>
      </c>
      <c r="IT146">
        <v>1</v>
      </c>
      <c r="IU146">
        <v>31</v>
      </c>
      <c r="IV146">
        <v>18.3</v>
      </c>
      <c r="IW146">
        <v>18.5</v>
      </c>
      <c r="IX146">
        <v>0.753174</v>
      </c>
      <c r="IY146">
        <v>2.23145</v>
      </c>
      <c r="IZ146">
        <v>1.39648</v>
      </c>
      <c r="JA146">
        <v>2.35352</v>
      </c>
      <c r="JB146">
        <v>1.49536</v>
      </c>
      <c r="JC146">
        <v>2.37671</v>
      </c>
      <c r="JD146">
        <v>36.8366</v>
      </c>
      <c r="JE146">
        <v>15.2703</v>
      </c>
      <c r="JF146">
        <v>18</v>
      </c>
      <c r="JG146">
        <v>389.015</v>
      </c>
      <c r="JH146">
        <v>566.053</v>
      </c>
      <c r="JI146">
        <v>27.6489</v>
      </c>
      <c r="JJ146">
        <v>30.6124</v>
      </c>
      <c r="JK146">
        <v>30.0005</v>
      </c>
      <c r="JL146">
        <v>30.5249</v>
      </c>
      <c r="JM146">
        <v>30.4389</v>
      </c>
      <c r="JN146">
        <v>15.0882</v>
      </c>
      <c r="JO146">
        <v>32.9744</v>
      </c>
      <c r="JP146">
        <v>0</v>
      </c>
      <c r="JQ146">
        <v>27.6255</v>
      </c>
      <c r="JR146">
        <v>266.22</v>
      </c>
      <c r="JS146">
        <v>17.0733</v>
      </c>
      <c r="JT146">
        <v>99.97029999999999</v>
      </c>
      <c r="JU146">
        <v>100.075</v>
      </c>
    </row>
    <row r="147" spans="1:281">
      <c r="A147">
        <v>131</v>
      </c>
      <c r="B147">
        <v>1652372392</v>
      </c>
      <c r="C147">
        <v>4298.400000095367</v>
      </c>
      <c r="D147" t="s">
        <v>730</v>
      </c>
      <c r="E147" t="s">
        <v>731</v>
      </c>
      <c r="F147">
        <v>5</v>
      </c>
      <c r="G147" t="s">
        <v>711</v>
      </c>
      <c r="H147" t="s">
        <v>414</v>
      </c>
      <c r="I147">
        <v>1652372384.214286</v>
      </c>
      <c r="J147">
        <f>(K147)/1000</f>
        <v>0</v>
      </c>
      <c r="K147">
        <f>IF(CZ147, AN147, AH147)</f>
        <v>0</v>
      </c>
      <c r="L147">
        <f>IF(CZ147, AI147, AG147)</f>
        <v>0</v>
      </c>
      <c r="M147">
        <f>DB147 - IF(AU147&gt;1, L147*CV147*100.0/(AW147*DP147), 0)</f>
        <v>0</v>
      </c>
      <c r="N147">
        <f>((T147-J147/2)*M147-L147)/(T147+J147/2)</f>
        <v>0</v>
      </c>
      <c r="O147">
        <f>N147*(DI147+DJ147)/1000.0</f>
        <v>0</v>
      </c>
      <c r="P147">
        <f>(DB147 - IF(AU147&gt;1, L147*CV147*100.0/(AW147*DP147), 0))*(DI147+DJ147)/1000.0</f>
        <v>0</v>
      </c>
      <c r="Q147">
        <f>2.0/((1/S147-1/R147)+SIGN(S147)*SQRT((1/S147-1/R147)*(1/S147-1/R147) + 4*CW147/((CW147+1)*(CW147+1))*(2*1/S147*1/R147-1/R147*1/R147)))</f>
        <v>0</v>
      </c>
      <c r="R147">
        <f>IF(LEFT(CX147,1)&lt;&gt;"0",IF(LEFT(CX147,1)="1",3.0,CY147),$D$5+$E$5*(DP147*DI147/($K$5*1000))+$F$5*(DP147*DI147/($K$5*1000))*MAX(MIN(CV147,$J$5),$I$5)*MAX(MIN(CV147,$J$5),$I$5)+$G$5*MAX(MIN(CV147,$J$5),$I$5)*(DP147*DI147/($K$5*1000))+$H$5*(DP147*DI147/($K$5*1000))*(DP147*DI147/($K$5*1000)))</f>
        <v>0</v>
      </c>
      <c r="S147">
        <f>J147*(1000-(1000*0.61365*exp(17.502*W147/(240.97+W147))/(DI147+DJ147)+DD147)/2)/(1000*0.61365*exp(17.502*W147/(240.97+W147))/(DI147+DJ147)-DD147)</f>
        <v>0</v>
      </c>
      <c r="T147">
        <f>1/((CW147+1)/(Q147/1.6)+1/(R147/1.37)) + CW147/((CW147+1)/(Q147/1.6) + CW147/(R147/1.37))</f>
        <v>0</v>
      </c>
      <c r="U147">
        <f>(CR147*CU147)</f>
        <v>0</v>
      </c>
      <c r="V147">
        <f>(DK147+(U147+2*0.95*5.67E-8*(((DK147+$B$7)+273)^4-(DK147+273)^4)-44100*J147)/(1.84*29.3*R147+8*0.95*5.67E-8*(DK147+273)^3))</f>
        <v>0</v>
      </c>
      <c r="W147">
        <f>($C$7*DL147+$D$7*DM147+$E$7*V147)</f>
        <v>0</v>
      </c>
      <c r="X147">
        <f>0.61365*exp(17.502*W147/(240.97+W147))</f>
        <v>0</v>
      </c>
      <c r="Y147">
        <f>(Z147/AA147*100)</f>
        <v>0</v>
      </c>
      <c r="Z147">
        <f>DD147*(DI147+DJ147)/1000</f>
        <v>0</v>
      </c>
      <c r="AA147">
        <f>0.61365*exp(17.502*DK147/(240.97+DK147))</f>
        <v>0</v>
      </c>
      <c r="AB147">
        <f>(X147-DD147*(DI147+DJ147)/1000)</f>
        <v>0</v>
      </c>
      <c r="AC147">
        <f>(-J147*44100)</f>
        <v>0</v>
      </c>
      <c r="AD147">
        <f>2*29.3*R147*0.92*(DK147-W147)</f>
        <v>0</v>
      </c>
      <c r="AE147">
        <f>2*0.95*5.67E-8*(((DK147+$B$7)+273)^4-(W147+273)^4)</f>
        <v>0</v>
      </c>
      <c r="AF147">
        <f>U147+AE147+AC147+AD147</f>
        <v>0</v>
      </c>
      <c r="AG147">
        <f>DH147*AU147*(DC147-DB147*(1000-AU147*DE147)/(1000-AU147*DD147))/(100*CV147)</f>
        <v>0</v>
      </c>
      <c r="AH147">
        <f>1000*DH147*AU147*(DD147-DE147)/(100*CV147*(1000-AU147*DD147))</f>
        <v>0</v>
      </c>
      <c r="AI147">
        <f>(AJ147 - AK147 - DI147*1E3/(8.314*(DK147+273.15)) * AM147/DH147 * AL147) * DH147/(100*CV147) * (1000 - DE147)/1000</f>
        <v>0</v>
      </c>
      <c r="AJ147">
        <v>290.8928365890653</v>
      </c>
      <c r="AK147">
        <v>293.0376969696969</v>
      </c>
      <c r="AL147">
        <v>-3.102541954370219</v>
      </c>
      <c r="AM147">
        <v>65.96288611109561</v>
      </c>
      <c r="AN147">
        <f>(AP147 - AO147 + DI147*1E3/(8.314*(DK147+273.15)) * AR147/DH147 * AQ147) * DH147/(100*CV147) * 1000/(1000 - AP147)</f>
        <v>0</v>
      </c>
      <c r="AO147">
        <v>16.93727265390539</v>
      </c>
      <c r="AP147">
        <v>24.43104825174827</v>
      </c>
      <c r="AQ147">
        <v>-0.002150290051992466</v>
      </c>
      <c r="AR147">
        <v>81.18387902069509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MAX(0,($B$13+$C$13*DP147)/(1+$D$13*DP147)*DI147/(DK147+273)*$E$13)</f>
        <v>0</v>
      </c>
      <c r="AX147" t="s">
        <v>417</v>
      </c>
      <c r="AY147" t="s">
        <v>417</v>
      </c>
      <c r="AZ147">
        <v>0</v>
      </c>
      <c r="BA147">
        <v>0</v>
      </c>
      <c r="BB147">
        <f>1-AZ147/BA147</f>
        <v>0</v>
      </c>
      <c r="BC147">
        <v>0</v>
      </c>
      <c r="BD147" t="s">
        <v>417</v>
      </c>
      <c r="BE147" t="s">
        <v>417</v>
      </c>
      <c r="BF147">
        <v>0</v>
      </c>
      <c r="BG147">
        <v>0</v>
      </c>
      <c r="BH147">
        <f>1-BF147/BG147</f>
        <v>0</v>
      </c>
      <c r="BI147">
        <v>0.5</v>
      </c>
      <c r="BJ147">
        <f>CS147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417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1393</v>
      </c>
      <c r="CA147">
        <v>300</v>
      </c>
      <c r="CB147">
        <v>300</v>
      </c>
      <c r="CC147">
        <v>300</v>
      </c>
      <c r="CD147">
        <v>10378</v>
      </c>
      <c r="CE147">
        <v>2050</v>
      </c>
      <c r="CF147">
        <v>-0.00730649</v>
      </c>
      <c r="CG147">
        <v>-4.53</v>
      </c>
      <c r="CH147" t="s">
        <v>417</v>
      </c>
      <c r="CI147" t="s">
        <v>417</v>
      </c>
      <c r="CJ147" t="s">
        <v>417</v>
      </c>
      <c r="CK147" t="s">
        <v>417</v>
      </c>
      <c r="CL147" t="s">
        <v>417</v>
      </c>
      <c r="CM147" t="s">
        <v>417</v>
      </c>
      <c r="CN147" t="s">
        <v>417</v>
      </c>
      <c r="CO147" t="s">
        <v>417</v>
      </c>
      <c r="CP147" t="s">
        <v>417</v>
      </c>
      <c r="CQ147" t="s">
        <v>417</v>
      </c>
      <c r="CR147">
        <f>$B$11*DQ147+$C$11*DR147+$F$11*EC147*(1-EF147)</f>
        <v>0</v>
      </c>
      <c r="CS147">
        <f>CR147*CT147</f>
        <v>0</v>
      </c>
      <c r="CT147">
        <f>($B$11*$D$9+$C$11*$D$9+$F$11*((EP147+EH147)/MAX(EP147+EH147+EQ147, 0.1)*$I$9+EQ147/MAX(EP147+EH147+EQ147, 0.1)*$J$9))/($B$11+$C$11+$F$11)</f>
        <v>0</v>
      </c>
      <c r="CU147">
        <f>($B$11*$K$9+$C$11*$K$9+$F$11*((EP147+EH147)/MAX(EP147+EH147+EQ147, 0.1)*$P$9+EQ147/MAX(EP147+EH147+EQ147, 0.1)*$Q$9))/($B$11+$C$11+$F$11)</f>
        <v>0</v>
      </c>
      <c r="CV147">
        <v>6</v>
      </c>
      <c r="CW147">
        <v>0.5</v>
      </c>
      <c r="CX147" t="s">
        <v>418</v>
      </c>
      <c r="CY147">
        <v>2</v>
      </c>
      <c r="CZ147" t="b">
        <v>1</v>
      </c>
      <c r="DA147">
        <v>1652372384.214286</v>
      </c>
      <c r="DB147">
        <v>307.9054285714286</v>
      </c>
      <c r="DC147">
        <v>298.898</v>
      </c>
      <c r="DD147">
        <v>24.47116428571428</v>
      </c>
      <c r="DE147">
        <v>16.84285714285715</v>
      </c>
      <c r="DF147">
        <v>307.3393214285715</v>
      </c>
      <c r="DG147">
        <v>24.42788214285715</v>
      </c>
      <c r="DH147">
        <v>400.0955714285715</v>
      </c>
      <c r="DI147">
        <v>90.40430000000001</v>
      </c>
      <c r="DJ147">
        <v>0.100048675</v>
      </c>
      <c r="DK147">
        <v>31.02271785714285</v>
      </c>
      <c r="DL147">
        <v>30.05183571428572</v>
      </c>
      <c r="DM147">
        <v>999.9000000000002</v>
      </c>
      <c r="DN147">
        <v>0</v>
      </c>
      <c r="DO147">
        <v>0</v>
      </c>
      <c r="DP147">
        <v>9992.592857142858</v>
      </c>
      <c r="DQ147">
        <v>0</v>
      </c>
      <c r="DR147">
        <v>474.8329642857143</v>
      </c>
      <c r="DS147">
        <v>9.007484642857143</v>
      </c>
      <c r="DT147">
        <v>315.6295714285715</v>
      </c>
      <c r="DU147">
        <v>304.0163928571428</v>
      </c>
      <c r="DV147">
        <v>7.628313214285714</v>
      </c>
      <c r="DW147">
        <v>298.898</v>
      </c>
      <c r="DX147">
        <v>16.84285714285715</v>
      </c>
      <c r="DY147">
        <v>2.212298928571429</v>
      </c>
      <c r="DZ147">
        <v>1.522666428571429</v>
      </c>
      <c r="EA147">
        <v>19.05163571428571</v>
      </c>
      <c r="EB147">
        <v>13.19721428571428</v>
      </c>
      <c r="EC147">
        <v>1499.980714285714</v>
      </c>
      <c r="ED147">
        <v>0.9729964285714285</v>
      </c>
      <c r="EE147">
        <v>0.02700388571428571</v>
      </c>
      <c r="EF147">
        <v>0</v>
      </c>
      <c r="EG147">
        <v>1722.982857142857</v>
      </c>
      <c r="EH147">
        <v>5.00097</v>
      </c>
      <c r="EI147">
        <v>26593.14642857143</v>
      </c>
      <c r="EJ147">
        <v>12491.41428571429</v>
      </c>
      <c r="EK147">
        <v>39.93699999999999</v>
      </c>
      <c r="EL147">
        <v>41.43699999999999</v>
      </c>
      <c r="EM147">
        <v>40.14049999999999</v>
      </c>
      <c r="EN147">
        <v>41.31199999999999</v>
      </c>
      <c r="EO147">
        <v>41.07549999999999</v>
      </c>
      <c r="EP147">
        <v>1454.609642857143</v>
      </c>
      <c r="EQ147">
        <v>40.37107142857142</v>
      </c>
      <c r="ER147">
        <v>0</v>
      </c>
      <c r="ES147">
        <v>1226.199999809265</v>
      </c>
      <c r="ET147">
        <v>0</v>
      </c>
      <c r="EU147">
        <v>1722.723076923077</v>
      </c>
      <c r="EV147">
        <v>-43.02358975861646</v>
      </c>
      <c r="EW147">
        <v>-335.3367520047768</v>
      </c>
      <c r="EX147">
        <v>26590.84615384615</v>
      </c>
      <c r="EY147">
        <v>15</v>
      </c>
      <c r="EZ147">
        <v>1652371289.6</v>
      </c>
      <c r="FA147" t="s">
        <v>515</v>
      </c>
      <c r="FB147">
        <v>1652371289.6</v>
      </c>
      <c r="FC147">
        <v>1652371275.1</v>
      </c>
      <c r="FD147">
        <v>24</v>
      </c>
      <c r="FE147">
        <v>0.442</v>
      </c>
      <c r="FF147">
        <v>0.001</v>
      </c>
      <c r="FG147">
        <v>-2.63</v>
      </c>
      <c r="FH147">
        <v>0.007</v>
      </c>
      <c r="FI147">
        <v>1620</v>
      </c>
      <c r="FJ147">
        <v>22</v>
      </c>
      <c r="FK147">
        <v>0.08</v>
      </c>
      <c r="FL147">
        <v>0.04</v>
      </c>
      <c r="FM147">
        <v>7.928958499999998</v>
      </c>
      <c r="FN147">
        <v>18.51663714821764</v>
      </c>
      <c r="FO147">
        <v>1.785151579567615</v>
      </c>
      <c r="FP147">
        <v>-1</v>
      </c>
      <c r="FQ147">
        <v>7.747048250000001</v>
      </c>
      <c r="FR147">
        <v>-2.146883414634155</v>
      </c>
      <c r="FS147">
        <v>0.2081241483933028</v>
      </c>
      <c r="FT147">
        <v>0</v>
      </c>
      <c r="FU147">
        <v>0</v>
      </c>
      <c r="FV147">
        <v>0</v>
      </c>
      <c r="FW147">
        <v>0</v>
      </c>
      <c r="FX147">
        <v>-1</v>
      </c>
      <c r="FY147">
        <v>0</v>
      </c>
      <c r="FZ147">
        <v>1</v>
      </c>
      <c r="GA147" t="s">
        <v>432</v>
      </c>
      <c r="GB147">
        <v>2.69573</v>
      </c>
      <c r="GC147">
        <v>2.70512</v>
      </c>
      <c r="GD147">
        <v>0.06837509999999999</v>
      </c>
      <c r="GE147">
        <v>0.06557259999999999</v>
      </c>
      <c r="GF147">
        <v>0.107396</v>
      </c>
      <c r="GG147">
        <v>0.082175</v>
      </c>
      <c r="GH147">
        <v>29292</v>
      </c>
      <c r="GI147">
        <v>29505.6</v>
      </c>
      <c r="GJ147">
        <v>29247.4</v>
      </c>
      <c r="GK147">
        <v>29218.7</v>
      </c>
      <c r="GL147">
        <v>34562.3</v>
      </c>
      <c r="GM147">
        <v>35698.4</v>
      </c>
      <c r="GN147">
        <v>41164.3</v>
      </c>
      <c r="GO147">
        <v>41689.2</v>
      </c>
      <c r="GP147">
        <v>1.72665</v>
      </c>
      <c r="GQ147">
        <v>2.03013</v>
      </c>
      <c r="GR147">
        <v>0.0505075</v>
      </c>
      <c r="GS147">
        <v>0</v>
      </c>
      <c r="GT147">
        <v>29.198</v>
      </c>
      <c r="GU147">
        <v>999.9</v>
      </c>
      <c r="GV147">
        <v>44.9</v>
      </c>
      <c r="GW147">
        <v>33.1</v>
      </c>
      <c r="GX147">
        <v>25.2358</v>
      </c>
      <c r="GY147">
        <v>63.448</v>
      </c>
      <c r="GZ147">
        <v>29.2268</v>
      </c>
      <c r="HA147">
        <v>1</v>
      </c>
      <c r="HB147">
        <v>0.252675</v>
      </c>
      <c r="HC147">
        <v>1.92484</v>
      </c>
      <c r="HD147">
        <v>20.3709</v>
      </c>
      <c r="HE147">
        <v>5.21699</v>
      </c>
      <c r="HF147">
        <v>12.0099</v>
      </c>
      <c r="HG147">
        <v>4.98785</v>
      </c>
      <c r="HH147">
        <v>3.28848</v>
      </c>
      <c r="HI147">
        <v>2724.2</v>
      </c>
      <c r="HJ147">
        <v>9999</v>
      </c>
      <c r="HK147">
        <v>9999</v>
      </c>
      <c r="HL147">
        <v>50.1</v>
      </c>
      <c r="HM147">
        <v>1.86722</v>
      </c>
      <c r="HN147">
        <v>1.8662</v>
      </c>
      <c r="HO147">
        <v>1.86579</v>
      </c>
      <c r="HP147">
        <v>1.86569</v>
      </c>
      <c r="HQ147">
        <v>1.86747</v>
      </c>
      <c r="HR147">
        <v>1.87002</v>
      </c>
      <c r="HS147">
        <v>1.86861</v>
      </c>
      <c r="HT147">
        <v>1.86999</v>
      </c>
      <c r="HU147">
        <v>0</v>
      </c>
      <c r="HV147">
        <v>0</v>
      </c>
      <c r="HW147">
        <v>0</v>
      </c>
      <c r="HX147">
        <v>0</v>
      </c>
      <c r="HY147" t="s">
        <v>421</v>
      </c>
      <c r="HZ147" t="s">
        <v>422</v>
      </c>
      <c r="IA147" t="s">
        <v>423</v>
      </c>
      <c r="IB147" t="s">
        <v>423</v>
      </c>
      <c r="IC147" t="s">
        <v>423</v>
      </c>
      <c r="ID147" t="s">
        <v>423</v>
      </c>
      <c r="IE147">
        <v>0</v>
      </c>
      <c r="IF147">
        <v>100</v>
      </c>
      <c r="IG147">
        <v>100</v>
      </c>
      <c r="IH147">
        <v>0.621</v>
      </c>
      <c r="II147">
        <v>0.0428</v>
      </c>
      <c r="IJ147">
        <v>1.257309091789605</v>
      </c>
      <c r="IK147">
        <v>-0.002185601614162945</v>
      </c>
      <c r="IL147">
        <v>-2.252308143750626E-07</v>
      </c>
      <c r="IM147">
        <v>5.915558436307541E-11</v>
      </c>
      <c r="IN147">
        <v>-0.118683452207699</v>
      </c>
      <c r="IO147">
        <v>-0.007570214193104963</v>
      </c>
      <c r="IP147">
        <v>0.0009214429922928372</v>
      </c>
      <c r="IQ147">
        <v>-1.392260276065805E-05</v>
      </c>
      <c r="IR147">
        <v>17</v>
      </c>
      <c r="IS147">
        <v>2272</v>
      </c>
      <c r="IT147">
        <v>1</v>
      </c>
      <c r="IU147">
        <v>31</v>
      </c>
      <c r="IV147">
        <v>18.4</v>
      </c>
      <c r="IW147">
        <v>18.6</v>
      </c>
      <c r="IX147">
        <v>0.722656</v>
      </c>
      <c r="IY147">
        <v>2.23511</v>
      </c>
      <c r="IZ147">
        <v>1.39648</v>
      </c>
      <c r="JA147">
        <v>2.35474</v>
      </c>
      <c r="JB147">
        <v>1.49536</v>
      </c>
      <c r="JC147">
        <v>2.36572</v>
      </c>
      <c r="JD147">
        <v>36.8129</v>
      </c>
      <c r="JE147">
        <v>15.2703</v>
      </c>
      <c r="JF147">
        <v>18</v>
      </c>
      <c r="JG147">
        <v>388.957</v>
      </c>
      <c r="JH147">
        <v>565.896</v>
      </c>
      <c r="JI147">
        <v>27.5981</v>
      </c>
      <c r="JJ147">
        <v>30.6194</v>
      </c>
      <c r="JK147">
        <v>30.0004</v>
      </c>
      <c r="JL147">
        <v>30.5308</v>
      </c>
      <c r="JM147">
        <v>30.4441</v>
      </c>
      <c r="JN147">
        <v>14.4248</v>
      </c>
      <c r="JO147">
        <v>32.9744</v>
      </c>
      <c r="JP147">
        <v>0</v>
      </c>
      <c r="JQ147">
        <v>27.5887</v>
      </c>
      <c r="JR147">
        <v>252.864</v>
      </c>
      <c r="JS147">
        <v>17.2169</v>
      </c>
      <c r="JT147">
        <v>99.96980000000001</v>
      </c>
      <c r="JU147">
        <v>100.072</v>
      </c>
    </row>
    <row r="148" spans="1:281">
      <c r="A148">
        <v>132</v>
      </c>
      <c r="B148">
        <v>1652372397</v>
      </c>
      <c r="C148">
        <v>4303.400000095367</v>
      </c>
      <c r="D148" t="s">
        <v>732</v>
      </c>
      <c r="E148" t="s">
        <v>733</v>
      </c>
      <c r="F148">
        <v>5</v>
      </c>
      <c r="G148" t="s">
        <v>711</v>
      </c>
      <c r="H148" t="s">
        <v>414</v>
      </c>
      <c r="I148">
        <v>1652372389.5</v>
      </c>
      <c r="J148">
        <f>(K148)/1000</f>
        <v>0</v>
      </c>
      <c r="K148">
        <f>IF(CZ148, AN148, AH148)</f>
        <v>0</v>
      </c>
      <c r="L148">
        <f>IF(CZ148, AI148, AG148)</f>
        <v>0</v>
      </c>
      <c r="M148">
        <f>DB148 - IF(AU148&gt;1, L148*CV148*100.0/(AW148*DP148), 0)</f>
        <v>0</v>
      </c>
      <c r="N148">
        <f>((T148-J148/2)*M148-L148)/(T148+J148/2)</f>
        <v>0</v>
      </c>
      <c r="O148">
        <f>N148*(DI148+DJ148)/1000.0</f>
        <v>0</v>
      </c>
      <c r="P148">
        <f>(DB148 - IF(AU148&gt;1, L148*CV148*100.0/(AW148*DP148), 0))*(DI148+DJ148)/1000.0</f>
        <v>0</v>
      </c>
      <c r="Q148">
        <f>2.0/((1/S148-1/R148)+SIGN(S148)*SQRT((1/S148-1/R148)*(1/S148-1/R148) + 4*CW148/((CW148+1)*(CW148+1))*(2*1/S148*1/R148-1/R148*1/R148)))</f>
        <v>0</v>
      </c>
      <c r="R148">
        <f>IF(LEFT(CX148,1)&lt;&gt;"0",IF(LEFT(CX148,1)="1",3.0,CY148),$D$5+$E$5*(DP148*DI148/($K$5*1000))+$F$5*(DP148*DI148/($K$5*1000))*MAX(MIN(CV148,$J$5),$I$5)*MAX(MIN(CV148,$J$5),$I$5)+$G$5*MAX(MIN(CV148,$J$5),$I$5)*(DP148*DI148/($K$5*1000))+$H$5*(DP148*DI148/($K$5*1000))*(DP148*DI148/($K$5*1000)))</f>
        <v>0</v>
      </c>
      <c r="S148">
        <f>J148*(1000-(1000*0.61365*exp(17.502*W148/(240.97+W148))/(DI148+DJ148)+DD148)/2)/(1000*0.61365*exp(17.502*W148/(240.97+W148))/(DI148+DJ148)-DD148)</f>
        <v>0</v>
      </c>
      <c r="T148">
        <f>1/((CW148+1)/(Q148/1.6)+1/(R148/1.37)) + CW148/((CW148+1)/(Q148/1.6) + CW148/(R148/1.37))</f>
        <v>0</v>
      </c>
      <c r="U148">
        <f>(CR148*CU148)</f>
        <v>0</v>
      </c>
      <c r="V148">
        <f>(DK148+(U148+2*0.95*5.67E-8*(((DK148+$B$7)+273)^4-(DK148+273)^4)-44100*J148)/(1.84*29.3*R148+8*0.95*5.67E-8*(DK148+273)^3))</f>
        <v>0</v>
      </c>
      <c r="W148">
        <f>($C$7*DL148+$D$7*DM148+$E$7*V148)</f>
        <v>0</v>
      </c>
      <c r="X148">
        <f>0.61365*exp(17.502*W148/(240.97+W148))</f>
        <v>0</v>
      </c>
      <c r="Y148">
        <f>(Z148/AA148*100)</f>
        <v>0</v>
      </c>
      <c r="Z148">
        <f>DD148*(DI148+DJ148)/1000</f>
        <v>0</v>
      </c>
      <c r="AA148">
        <f>0.61365*exp(17.502*DK148/(240.97+DK148))</f>
        <v>0</v>
      </c>
      <c r="AB148">
        <f>(X148-DD148*(DI148+DJ148)/1000)</f>
        <v>0</v>
      </c>
      <c r="AC148">
        <f>(-J148*44100)</f>
        <v>0</v>
      </c>
      <c r="AD148">
        <f>2*29.3*R148*0.92*(DK148-W148)</f>
        <v>0</v>
      </c>
      <c r="AE148">
        <f>2*0.95*5.67E-8*(((DK148+$B$7)+273)^4-(W148+273)^4)</f>
        <v>0</v>
      </c>
      <c r="AF148">
        <f>U148+AE148+AC148+AD148</f>
        <v>0</v>
      </c>
      <c r="AG148">
        <f>DH148*AU148*(DC148-DB148*(1000-AU148*DE148)/(1000-AU148*DD148))/(100*CV148)</f>
        <v>0</v>
      </c>
      <c r="AH148">
        <f>1000*DH148*AU148*(DD148-DE148)/(100*CV148*(1000-AU148*DD148))</f>
        <v>0</v>
      </c>
      <c r="AI148">
        <f>(AJ148 - AK148 - DI148*1E3/(8.314*(DK148+273.15)) * AM148/DH148 * AL148) * DH148/(100*CV148) * (1000 - DE148)/1000</f>
        <v>0</v>
      </c>
      <c r="AJ148">
        <v>273.9210780700395</v>
      </c>
      <c r="AK148">
        <v>277.4374666666666</v>
      </c>
      <c r="AL148">
        <v>-3.126699958418246</v>
      </c>
      <c r="AM148">
        <v>65.96288611109561</v>
      </c>
      <c r="AN148">
        <f>(AP148 - AO148 + DI148*1E3/(8.314*(DK148+273.15)) * AR148/DH148 * AQ148) * DH148/(100*CV148) * 1000/(1000 - AP148)</f>
        <v>0</v>
      </c>
      <c r="AO148">
        <v>17.07585771028511</v>
      </c>
      <c r="AP148">
        <v>24.41272867132868</v>
      </c>
      <c r="AQ148">
        <v>-0.0005112938200237677</v>
      </c>
      <c r="AR148">
        <v>81.18387902069509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MAX(0,($B$13+$C$13*DP148)/(1+$D$13*DP148)*DI148/(DK148+273)*$E$13)</f>
        <v>0</v>
      </c>
      <c r="AX148" t="s">
        <v>417</v>
      </c>
      <c r="AY148" t="s">
        <v>417</v>
      </c>
      <c r="AZ148">
        <v>0</v>
      </c>
      <c r="BA148">
        <v>0</v>
      </c>
      <c r="BB148">
        <f>1-AZ148/BA148</f>
        <v>0</v>
      </c>
      <c r="BC148">
        <v>0</v>
      </c>
      <c r="BD148" t="s">
        <v>417</v>
      </c>
      <c r="BE148" t="s">
        <v>417</v>
      </c>
      <c r="BF148">
        <v>0</v>
      </c>
      <c r="BG148">
        <v>0</v>
      </c>
      <c r="BH148">
        <f>1-BF148/BG148</f>
        <v>0</v>
      </c>
      <c r="BI148">
        <v>0.5</v>
      </c>
      <c r="BJ148">
        <f>CS148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417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1393</v>
      </c>
      <c r="CA148">
        <v>300</v>
      </c>
      <c r="CB148">
        <v>300</v>
      </c>
      <c r="CC148">
        <v>300</v>
      </c>
      <c r="CD148">
        <v>10378</v>
      </c>
      <c r="CE148">
        <v>2050</v>
      </c>
      <c r="CF148">
        <v>-0.00730649</v>
      </c>
      <c r="CG148">
        <v>-4.53</v>
      </c>
      <c r="CH148" t="s">
        <v>417</v>
      </c>
      <c r="CI148" t="s">
        <v>417</v>
      </c>
      <c r="CJ148" t="s">
        <v>417</v>
      </c>
      <c r="CK148" t="s">
        <v>417</v>
      </c>
      <c r="CL148" t="s">
        <v>417</v>
      </c>
      <c r="CM148" t="s">
        <v>417</v>
      </c>
      <c r="CN148" t="s">
        <v>417</v>
      </c>
      <c r="CO148" t="s">
        <v>417</v>
      </c>
      <c r="CP148" t="s">
        <v>417</v>
      </c>
      <c r="CQ148" t="s">
        <v>417</v>
      </c>
      <c r="CR148">
        <f>$B$11*DQ148+$C$11*DR148+$F$11*EC148*(1-EF148)</f>
        <v>0</v>
      </c>
      <c r="CS148">
        <f>CR148*CT148</f>
        <v>0</v>
      </c>
      <c r="CT148">
        <f>($B$11*$D$9+$C$11*$D$9+$F$11*((EP148+EH148)/MAX(EP148+EH148+EQ148, 0.1)*$I$9+EQ148/MAX(EP148+EH148+EQ148, 0.1)*$J$9))/($B$11+$C$11+$F$11)</f>
        <v>0</v>
      </c>
      <c r="CU148">
        <f>($B$11*$K$9+$C$11*$K$9+$F$11*((EP148+EH148)/MAX(EP148+EH148+EQ148, 0.1)*$P$9+EQ148/MAX(EP148+EH148+EQ148, 0.1)*$Q$9))/($B$11+$C$11+$F$11)</f>
        <v>0</v>
      </c>
      <c r="CV148">
        <v>6</v>
      </c>
      <c r="CW148">
        <v>0.5</v>
      </c>
      <c r="CX148" t="s">
        <v>418</v>
      </c>
      <c r="CY148">
        <v>2</v>
      </c>
      <c r="CZ148" t="b">
        <v>1</v>
      </c>
      <c r="DA148">
        <v>1652372389.5</v>
      </c>
      <c r="DB148">
        <v>291.9242222222223</v>
      </c>
      <c r="DC148">
        <v>281.3567407407407</v>
      </c>
      <c r="DD148">
        <v>24.4407</v>
      </c>
      <c r="DE148">
        <v>16.98341481481481</v>
      </c>
      <c r="DF148">
        <v>291.3211111111111</v>
      </c>
      <c r="DG148">
        <v>24.39778148148148</v>
      </c>
      <c r="DH148">
        <v>400.0807777777778</v>
      </c>
      <c r="DI148">
        <v>90.40341111111111</v>
      </c>
      <c r="DJ148">
        <v>0.09999737777777779</v>
      </c>
      <c r="DK148">
        <v>30.98245555555556</v>
      </c>
      <c r="DL148">
        <v>30.02868148148148</v>
      </c>
      <c r="DM148">
        <v>999.9000000000001</v>
      </c>
      <c r="DN148">
        <v>0</v>
      </c>
      <c r="DO148">
        <v>0</v>
      </c>
      <c r="DP148">
        <v>9993.728518518517</v>
      </c>
      <c r="DQ148">
        <v>0</v>
      </c>
      <c r="DR148">
        <v>483.1431111111111</v>
      </c>
      <c r="DS148">
        <v>10.56734148148148</v>
      </c>
      <c r="DT148">
        <v>299.2379259259259</v>
      </c>
      <c r="DU148">
        <v>286.2161851851852</v>
      </c>
      <c r="DV148">
        <v>7.457285555555556</v>
      </c>
      <c r="DW148">
        <v>281.3567407407407</v>
      </c>
      <c r="DX148">
        <v>16.98341481481481</v>
      </c>
      <c r="DY148">
        <v>2.209522592592593</v>
      </c>
      <c r="DZ148">
        <v>1.535358518518519</v>
      </c>
      <c r="EA148">
        <v>19.03151481481482</v>
      </c>
      <c r="EB148">
        <v>13.32463333333333</v>
      </c>
      <c r="EC148">
        <v>1499.99037037037</v>
      </c>
      <c r="ED148">
        <v>0.972997037037037</v>
      </c>
      <c r="EE148">
        <v>0.02700324074074074</v>
      </c>
      <c r="EF148">
        <v>0</v>
      </c>
      <c r="EG148">
        <v>1719.789259259259</v>
      </c>
      <c r="EH148">
        <v>5.00097</v>
      </c>
      <c r="EI148">
        <v>26560.11481481481</v>
      </c>
      <c r="EJ148">
        <v>12491.51111111111</v>
      </c>
      <c r="EK148">
        <v>39.94166666666666</v>
      </c>
      <c r="EL148">
        <v>41.43933333333333</v>
      </c>
      <c r="EM148">
        <v>40.15714814814814</v>
      </c>
      <c r="EN148">
        <v>41.31666666666666</v>
      </c>
      <c r="EO148">
        <v>41.09233333333333</v>
      </c>
      <c r="EP148">
        <v>1454.61962962963</v>
      </c>
      <c r="EQ148">
        <v>40.37074074074073</v>
      </c>
      <c r="ER148">
        <v>0</v>
      </c>
      <c r="ES148">
        <v>1231</v>
      </c>
      <c r="ET148">
        <v>0</v>
      </c>
      <c r="EU148">
        <v>1719.872692307692</v>
      </c>
      <c r="EV148">
        <v>-30.35247862951817</v>
      </c>
      <c r="EW148">
        <v>-400.2803418836079</v>
      </c>
      <c r="EX148">
        <v>26560.35384615384</v>
      </c>
      <c r="EY148">
        <v>15</v>
      </c>
      <c r="EZ148">
        <v>1652371289.6</v>
      </c>
      <c r="FA148" t="s">
        <v>515</v>
      </c>
      <c r="FB148">
        <v>1652371289.6</v>
      </c>
      <c r="FC148">
        <v>1652371275.1</v>
      </c>
      <c r="FD148">
        <v>24</v>
      </c>
      <c r="FE148">
        <v>0.442</v>
      </c>
      <c r="FF148">
        <v>0.001</v>
      </c>
      <c r="FG148">
        <v>-2.63</v>
      </c>
      <c r="FH148">
        <v>0.007</v>
      </c>
      <c r="FI148">
        <v>1620</v>
      </c>
      <c r="FJ148">
        <v>22</v>
      </c>
      <c r="FK148">
        <v>0.08</v>
      </c>
      <c r="FL148">
        <v>0.04</v>
      </c>
      <c r="FM148">
        <v>9.761684499999999</v>
      </c>
      <c r="FN148">
        <v>17.51802844277673</v>
      </c>
      <c r="FO148">
        <v>1.68654631037062</v>
      </c>
      <c r="FP148">
        <v>-1</v>
      </c>
      <c r="FQ148">
        <v>7.5545965</v>
      </c>
      <c r="FR148">
        <v>-1.966435497185748</v>
      </c>
      <c r="FS148">
        <v>0.1920541451069204</v>
      </c>
      <c r="FT148">
        <v>0</v>
      </c>
      <c r="FU148">
        <v>0</v>
      </c>
      <c r="FV148">
        <v>0</v>
      </c>
      <c r="FW148">
        <v>0</v>
      </c>
      <c r="FX148">
        <v>-1</v>
      </c>
      <c r="FY148">
        <v>0</v>
      </c>
      <c r="FZ148">
        <v>1</v>
      </c>
      <c r="GA148" t="s">
        <v>432</v>
      </c>
      <c r="GB148">
        <v>2.69596</v>
      </c>
      <c r="GC148">
        <v>2.70521</v>
      </c>
      <c r="GD148">
        <v>0.06526990000000001</v>
      </c>
      <c r="GE148">
        <v>0.0621861</v>
      </c>
      <c r="GF148">
        <v>0.107324</v>
      </c>
      <c r="GG148">
        <v>0.08230850000000001</v>
      </c>
      <c r="GH148">
        <v>29389.4</v>
      </c>
      <c r="GI148">
        <v>29611.8</v>
      </c>
      <c r="GJ148">
        <v>29247.2</v>
      </c>
      <c r="GK148">
        <v>29218</v>
      </c>
      <c r="GL148">
        <v>34565</v>
      </c>
      <c r="GM148">
        <v>35692.4</v>
      </c>
      <c r="GN148">
        <v>41164.2</v>
      </c>
      <c r="GO148">
        <v>41688.3</v>
      </c>
      <c r="GP148">
        <v>1.72693</v>
      </c>
      <c r="GQ148">
        <v>2.03035</v>
      </c>
      <c r="GR148">
        <v>0.0492185</v>
      </c>
      <c r="GS148">
        <v>0</v>
      </c>
      <c r="GT148">
        <v>29.1917</v>
      </c>
      <c r="GU148">
        <v>999.9</v>
      </c>
      <c r="GV148">
        <v>44.9</v>
      </c>
      <c r="GW148">
        <v>33.2</v>
      </c>
      <c r="GX148">
        <v>25.3765</v>
      </c>
      <c r="GY148">
        <v>63.188</v>
      </c>
      <c r="GZ148">
        <v>29.0785</v>
      </c>
      <c r="HA148">
        <v>1</v>
      </c>
      <c r="HB148">
        <v>0.252797</v>
      </c>
      <c r="HC148">
        <v>1.83435</v>
      </c>
      <c r="HD148">
        <v>20.3719</v>
      </c>
      <c r="HE148">
        <v>5.21744</v>
      </c>
      <c r="HF148">
        <v>12.0099</v>
      </c>
      <c r="HG148">
        <v>4.98805</v>
      </c>
      <c r="HH148">
        <v>3.28842</v>
      </c>
      <c r="HI148">
        <v>2724.2</v>
      </c>
      <c r="HJ148">
        <v>9999</v>
      </c>
      <c r="HK148">
        <v>9999</v>
      </c>
      <c r="HL148">
        <v>50.1</v>
      </c>
      <c r="HM148">
        <v>1.86722</v>
      </c>
      <c r="HN148">
        <v>1.86621</v>
      </c>
      <c r="HO148">
        <v>1.86578</v>
      </c>
      <c r="HP148">
        <v>1.86569</v>
      </c>
      <c r="HQ148">
        <v>1.86746</v>
      </c>
      <c r="HR148">
        <v>1.86999</v>
      </c>
      <c r="HS148">
        <v>1.86862</v>
      </c>
      <c r="HT148">
        <v>1.86998</v>
      </c>
      <c r="HU148">
        <v>0</v>
      </c>
      <c r="HV148">
        <v>0</v>
      </c>
      <c r="HW148">
        <v>0</v>
      </c>
      <c r="HX148">
        <v>0</v>
      </c>
      <c r="HY148" t="s">
        <v>421</v>
      </c>
      <c r="HZ148" t="s">
        <v>422</v>
      </c>
      <c r="IA148" t="s">
        <v>423</v>
      </c>
      <c r="IB148" t="s">
        <v>423</v>
      </c>
      <c r="IC148" t="s">
        <v>423</v>
      </c>
      <c r="ID148" t="s">
        <v>423</v>
      </c>
      <c r="IE148">
        <v>0</v>
      </c>
      <c r="IF148">
        <v>100</v>
      </c>
      <c r="IG148">
        <v>100</v>
      </c>
      <c r="IH148">
        <v>0.655</v>
      </c>
      <c r="II148">
        <v>0.0425</v>
      </c>
      <c r="IJ148">
        <v>1.257309091789605</v>
      </c>
      <c r="IK148">
        <v>-0.002185601614162945</v>
      </c>
      <c r="IL148">
        <v>-2.252308143750626E-07</v>
      </c>
      <c r="IM148">
        <v>5.915558436307541E-11</v>
      </c>
      <c r="IN148">
        <v>-0.118683452207699</v>
      </c>
      <c r="IO148">
        <v>-0.007570214193104963</v>
      </c>
      <c r="IP148">
        <v>0.0009214429922928372</v>
      </c>
      <c r="IQ148">
        <v>-1.392260276065805E-05</v>
      </c>
      <c r="IR148">
        <v>17</v>
      </c>
      <c r="IS148">
        <v>2272</v>
      </c>
      <c r="IT148">
        <v>1</v>
      </c>
      <c r="IU148">
        <v>31</v>
      </c>
      <c r="IV148">
        <v>18.5</v>
      </c>
      <c r="IW148">
        <v>18.7</v>
      </c>
      <c r="IX148">
        <v>0.683594</v>
      </c>
      <c r="IY148">
        <v>2.24854</v>
      </c>
      <c r="IZ148">
        <v>1.39648</v>
      </c>
      <c r="JA148">
        <v>2.35474</v>
      </c>
      <c r="JB148">
        <v>1.49536</v>
      </c>
      <c r="JC148">
        <v>2.27905</v>
      </c>
      <c r="JD148">
        <v>36.8366</v>
      </c>
      <c r="JE148">
        <v>15.2615</v>
      </c>
      <c r="JF148">
        <v>18</v>
      </c>
      <c r="JG148">
        <v>389.135</v>
      </c>
      <c r="JH148">
        <v>566.103</v>
      </c>
      <c r="JI148">
        <v>27.5645</v>
      </c>
      <c r="JJ148">
        <v>30.6271</v>
      </c>
      <c r="JK148">
        <v>30.0003</v>
      </c>
      <c r="JL148">
        <v>30.5361</v>
      </c>
      <c r="JM148">
        <v>30.4482</v>
      </c>
      <c r="JN148">
        <v>13.6799</v>
      </c>
      <c r="JO148">
        <v>32.3356</v>
      </c>
      <c r="JP148">
        <v>0</v>
      </c>
      <c r="JQ148">
        <v>27.581</v>
      </c>
      <c r="JR148">
        <v>232.829</v>
      </c>
      <c r="JS148">
        <v>17.3732</v>
      </c>
      <c r="JT148">
        <v>99.96939999999999</v>
      </c>
      <c r="JU148">
        <v>100.07</v>
      </c>
    </row>
    <row r="149" spans="1:281">
      <c r="A149">
        <v>133</v>
      </c>
      <c r="B149">
        <v>1652372402</v>
      </c>
      <c r="C149">
        <v>4308.400000095367</v>
      </c>
      <c r="D149" t="s">
        <v>734</v>
      </c>
      <c r="E149" t="s">
        <v>735</v>
      </c>
      <c r="F149">
        <v>5</v>
      </c>
      <c r="G149" t="s">
        <v>711</v>
      </c>
      <c r="H149" t="s">
        <v>414</v>
      </c>
      <c r="I149">
        <v>1652372394.214286</v>
      </c>
      <c r="J149">
        <f>(K149)/1000</f>
        <v>0</v>
      </c>
      <c r="K149">
        <f>IF(CZ149, AN149, AH149)</f>
        <v>0</v>
      </c>
      <c r="L149">
        <f>IF(CZ149, AI149, AG149)</f>
        <v>0</v>
      </c>
      <c r="M149">
        <f>DB149 - IF(AU149&gt;1, L149*CV149*100.0/(AW149*DP149), 0)</f>
        <v>0</v>
      </c>
      <c r="N149">
        <f>((T149-J149/2)*M149-L149)/(T149+J149/2)</f>
        <v>0</v>
      </c>
      <c r="O149">
        <f>N149*(DI149+DJ149)/1000.0</f>
        <v>0</v>
      </c>
      <c r="P149">
        <f>(DB149 - IF(AU149&gt;1, L149*CV149*100.0/(AW149*DP149), 0))*(DI149+DJ149)/1000.0</f>
        <v>0</v>
      </c>
      <c r="Q149">
        <f>2.0/((1/S149-1/R149)+SIGN(S149)*SQRT((1/S149-1/R149)*(1/S149-1/R149) + 4*CW149/((CW149+1)*(CW149+1))*(2*1/S149*1/R149-1/R149*1/R149)))</f>
        <v>0</v>
      </c>
      <c r="R149">
        <f>IF(LEFT(CX149,1)&lt;&gt;"0",IF(LEFT(CX149,1)="1",3.0,CY149),$D$5+$E$5*(DP149*DI149/($K$5*1000))+$F$5*(DP149*DI149/($K$5*1000))*MAX(MIN(CV149,$J$5),$I$5)*MAX(MIN(CV149,$J$5),$I$5)+$G$5*MAX(MIN(CV149,$J$5),$I$5)*(DP149*DI149/($K$5*1000))+$H$5*(DP149*DI149/($K$5*1000))*(DP149*DI149/($K$5*1000)))</f>
        <v>0</v>
      </c>
      <c r="S149">
        <f>J149*(1000-(1000*0.61365*exp(17.502*W149/(240.97+W149))/(DI149+DJ149)+DD149)/2)/(1000*0.61365*exp(17.502*W149/(240.97+W149))/(DI149+DJ149)-DD149)</f>
        <v>0</v>
      </c>
      <c r="T149">
        <f>1/((CW149+1)/(Q149/1.6)+1/(R149/1.37)) + CW149/((CW149+1)/(Q149/1.6) + CW149/(R149/1.37))</f>
        <v>0</v>
      </c>
      <c r="U149">
        <f>(CR149*CU149)</f>
        <v>0</v>
      </c>
      <c r="V149">
        <f>(DK149+(U149+2*0.95*5.67E-8*(((DK149+$B$7)+273)^4-(DK149+273)^4)-44100*J149)/(1.84*29.3*R149+8*0.95*5.67E-8*(DK149+273)^3))</f>
        <v>0</v>
      </c>
      <c r="W149">
        <f>($C$7*DL149+$D$7*DM149+$E$7*V149)</f>
        <v>0</v>
      </c>
      <c r="X149">
        <f>0.61365*exp(17.502*W149/(240.97+W149))</f>
        <v>0</v>
      </c>
      <c r="Y149">
        <f>(Z149/AA149*100)</f>
        <v>0</v>
      </c>
      <c r="Z149">
        <f>DD149*(DI149+DJ149)/1000</f>
        <v>0</v>
      </c>
      <c r="AA149">
        <f>0.61365*exp(17.502*DK149/(240.97+DK149))</f>
        <v>0</v>
      </c>
      <c r="AB149">
        <f>(X149-DD149*(DI149+DJ149)/1000)</f>
        <v>0</v>
      </c>
      <c r="AC149">
        <f>(-J149*44100)</f>
        <v>0</v>
      </c>
      <c r="AD149">
        <f>2*29.3*R149*0.92*(DK149-W149)</f>
        <v>0</v>
      </c>
      <c r="AE149">
        <f>2*0.95*5.67E-8*(((DK149+$B$7)+273)^4-(W149+273)^4)</f>
        <v>0</v>
      </c>
      <c r="AF149">
        <f>U149+AE149+AC149+AD149</f>
        <v>0</v>
      </c>
      <c r="AG149">
        <f>DH149*AU149*(DC149-DB149*(1000-AU149*DE149)/(1000-AU149*DD149))/(100*CV149)</f>
        <v>0</v>
      </c>
      <c r="AH149">
        <f>1000*DH149*AU149*(DD149-DE149)/(100*CV149*(1000-AU149*DD149))</f>
        <v>0</v>
      </c>
      <c r="AI149">
        <f>(AJ149 - AK149 - DI149*1E3/(8.314*(DK149+273.15)) * AM149/DH149 * AL149) * DH149/(100*CV149) * (1000 - DE149)/1000</f>
        <v>0</v>
      </c>
      <c r="AJ149">
        <v>257.189078670922</v>
      </c>
      <c r="AK149">
        <v>261.7380969696969</v>
      </c>
      <c r="AL149">
        <v>-3.144484309779497</v>
      </c>
      <c r="AM149">
        <v>65.96288611109561</v>
      </c>
      <c r="AN149">
        <f>(AP149 - AO149 + DI149*1E3/(8.314*(DK149+273.15)) * AR149/DH149 * AQ149) * DH149/(100*CV149) * 1000/(1000 - AP149)</f>
        <v>0</v>
      </c>
      <c r="AO149">
        <v>17.12483580548471</v>
      </c>
      <c r="AP149">
        <v>24.37308881118882</v>
      </c>
      <c r="AQ149">
        <v>-0.01327623708754965</v>
      </c>
      <c r="AR149">
        <v>81.18387902069509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MAX(0,($B$13+$C$13*DP149)/(1+$D$13*DP149)*DI149/(DK149+273)*$E$13)</f>
        <v>0</v>
      </c>
      <c r="AX149" t="s">
        <v>417</v>
      </c>
      <c r="AY149" t="s">
        <v>417</v>
      </c>
      <c r="AZ149">
        <v>0</v>
      </c>
      <c r="BA149">
        <v>0</v>
      </c>
      <c r="BB149">
        <f>1-AZ149/BA149</f>
        <v>0</v>
      </c>
      <c r="BC149">
        <v>0</v>
      </c>
      <c r="BD149" t="s">
        <v>417</v>
      </c>
      <c r="BE149" t="s">
        <v>417</v>
      </c>
      <c r="BF149">
        <v>0</v>
      </c>
      <c r="BG149">
        <v>0</v>
      </c>
      <c r="BH149">
        <f>1-BF149/BG149</f>
        <v>0</v>
      </c>
      <c r="BI149">
        <v>0.5</v>
      </c>
      <c r="BJ149">
        <f>CS149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417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1393</v>
      </c>
      <c r="CA149">
        <v>300</v>
      </c>
      <c r="CB149">
        <v>300</v>
      </c>
      <c r="CC149">
        <v>300</v>
      </c>
      <c r="CD149">
        <v>10378</v>
      </c>
      <c r="CE149">
        <v>2050</v>
      </c>
      <c r="CF149">
        <v>-0.00730649</v>
      </c>
      <c r="CG149">
        <v>-4.53</v>
      </c>
      <c r="CH149" t="s">
        <v>417</v>
      </c>
      <c r="CI149" t="s">
        <v>417</v>
      </c>
      <c r="CJ149" t="s">
        <v>417</v>
      </c>
      <c r="CK149" t="s">
        <v>417</v>
      </c>
      <c r="CL149" t="s">
        <v>417</v>
      </c>
      <c r="CM149" t="s">
        <v>417</v>
      </c>
      <c r="CN149" t="s">
        <v>417</v>
      </c>
      <c r="CO149" t="s">
        <v>417</v>
      </c>
      <c r="CP149" t="s">
        <v>417</v>
      </c>
      <c r="CQ149" t="s">
        <v>417</v>
      </c>
      <c r="CR149">
        <f>$B$11*DQ149+$C$11*DR149+$F$11*EC149*(1-EF149)</f>
        <v>0</v>
      </c>
      <c r="CS149">
        <f>CR149*CT149</f>
        <v>0</v>
      </c>
      <c r="CT149">
        <f>($B$11*$D$9+$C$11*$D$9+$F$11*((EP149+EH149)/MAX(EP149+EH149+EQ149, 0.1)*$I$9+EQ149/MAX(EP149+EH149+EQ149, 0.1)*$J$9))/($B$11+$C$11+$F$11)</f>
        <v>0</v>
      </c>
      <c r="CU149">
        <f>($B$11*$K$9+$C$11*$K$9+$F$11*((EP149+EH149)/MAX(EP149+EH149+EQ149, 0.1)*$P$9+EQ149/MAX(EP149+EH149+EQ149, 0.1)*$Q$9))/($B$11+$C$11+$F$11)</f>
        <v>0</v>
      </c>
      <c r="CV149">
        <v>6</v>
      </c>
      <c r="CW149">
        <v>0.5</v>
      </c>
      <c r="CX149" t="s">
        <v>418</v>
      </c>
      <c r="CY149">
        <v>2</v>
      </c>
      <c r="CZ149" t="b">
        <v>1</v>
      </c>
      <c r="DA149">
        <v>1652372394.214286</v>
      </c>
      <c r="DB149">
        <v>277.60425</v>
      </c>
      <c r="DC149">
        <v>265.7320714285714</v>
      </c>
      <c r="DD149">
        <v>24.41600357142857</v>
      </c>
      <c r="DE149">
        <v>17.09652142857143</v>
      </c>
      <c r="DF149">
        <v>276.9682500000001</v>
      </c>
      <c r="DG149">
        <v>24.37339285714285</v>
      </c>
      <c r="DH149">
        <v>400.0674642857143</v>
      </c>
      <c r="DI149">
        <v>90.40208571428572</v>
      </c>
      <c r="DJ149">
        <v>0.09999262857142856</v>
      </c>
      <c r="DK149">
        <v>30.94591785714286</v>
      </c>
      <c r="DL149">
        <v>30.00920714285714</v>
      </c>
      <c r="DM149">
        <v>999.9000000000002</v>
      </c>
      <c r="DN149">
        <v>0</v>
      </c>
      <c r="DO149">
        <v>0</v>
      </c>
      <c r="DP149">
        <v>9991.6975</v>
      </c>
      <c r="DQ149">
        <v>0</v>
      </c>
      <c r="DR149">
        <v>483.5467142857142</v>
      </c>
      <c r="DS149">
        <v>11.87212785714286</v>
      </c>
      <c r="DT149">
        <v>284.5521428571429</v>
      </c>
      <c r="DU149">
        <v>270.35275</v>
      </c>
      <c r="DV149">
        <v>7.31948107142857</v>
      </c>
      <c r="DW149">
        <v>265.7320714285714</v>
      </c>
      <c r="DX149">
        <v>17.09652142857143</v>
      </c>
      <c r="DY149">
        <v>2.207257142857143</v>
      </c>
      <c r="DZ149">
        <v>1.545560714285715</v>
      </c>
      <c r="EA149">
        <v>19.01506785714286</v>
      </c>
      <c r="EB149">
        <v>13.42628571428572</v>
      </c>
      <c r="EC149">
        <v>1499.99</v>
      </c>
      <c r="ED149">
        <v>0.9729971428571428</v>
      </c>
      <c r="EE149">
        <v>0.02700312857142857</v>
      </c>
      <c r="EF149">
        <v>0</v>
      </c>
      <c r="EG149">
        <v>1717.835357142857</v>
      </c>
      <c r="EH149">
        <v>5.00097</v>
      </c>
      <c r="EI149">
        <v>26530.74642857143</v>
      </c>
      <c r="EJ149">
        <v>12491.51071428571</v>
      </c>
      <c r="EK149">
        <v>39.95274999999999</v>
      </c>
      <c r="EL149">
        <v>41.455</v>
      </c>
      <c r="EM149">
        <v>40.17592857142856</v>
      </c>
      <c r="EN149">
        <v>41.32324999999999</v>
      </c>
      <c r="EO149">
        <v>41.10475</v>
      </c>
      <c r="EP149">
        <v>1454.619285714286</v>
      </c>
      <c r="EQ149">
        <v>40.37071428571427</v>
      </c>
      <c r="ER149">
        <v>0</v>
      </c>
      <c r="ES149">
        <v>1235.799999952316</v>
      </c>
      <c r="ET149">
        <v>0</v>
      </c>
      <c r="EU149">
        <v>1717.846923076923</v>
      </c>
      <c r="EV149">
        <v>-18.1442735159169</v>
      </c>
      <c r="EW149">
        <v>-413.7606841663288</v>
      </c>
      <c r="EX149">
        <v>26530.81153846154</v>
      </c>
      <c r="EY149">
        <v>15</v>
      </c>
      <c r="EZ149">
        <v>1652371289.6</v>
      </c>
      <c r="FA149" t="s">
        <v>515</v>
      </c>
      <c r="FB149">
        <v>1652371289.6</v>
      </c>
      <c r="FC149">
        <v>1652371275.1</v>
      </c>
      <c r="FD149">
        <v>24</v>
      </c>
      <c r="FE149">
        <v>0.442</v>
      </c>
      <c r="FF149">
        <v>0.001</v>
      </c>
      <c r="FG149">
        <v>-2.63</v>
      </c>
      <c r="FH149">
        <v>0.007</v>
      </c>
      <c r="FI149">
        <v>1620</v>
      </c>
      <c r="FJ149">
        <v>22</v>
      </c>
      <c r="FK149">
        <v>0.08</v>
      </c>
      <c r="FL149">
        <v>0.04</v>
      </c>
      <c r="FM149">
        <v>10.97173219512195</v>
      </c>
      <c r="FN149">
        <v>16.84297066202092</v>
      </c>
      <c r="FO149">
        <v>1.662315616082214</v>
      </c>
      <c r="FP149">
        <v>-1</v>
      </c>
      <c r="FQ149">
        <v>7.420706097560975</v>
      </c>
      <c r="FR149">
        <v>-1.759122648083638</v>
      </c>
      <c r="FS149">
        <v>0.1763637173138823</v>
      </c>
      <c r="FT149">
        <v>0</v>
      </c>
      <c r="FU149">
        <v>0</v>
      </c>
      <c r="FV149">
        <v>0</v>
      </c>
      <c r="FW149">
        <v>0</v>
      </c>
      <c r="FX149">
        <v>-1</v>
      </c>
      <c r="FY149">
        <v>0</v>
      </c>
      <c r="FZ149">
        <v>1</v>
      </c>
      <c r="GA149" t="s">
        <v>432</v>
      </c>
      <c r="GB149">
        <v>2.69581</v>
      </c>
      <c r="GC149">
        <v>2.70506</v>
      </c>
      <c r="GD149">
        <v>0.0620875</v>
      </c>
      <c r="GE149">
        <v>0.0587115</v>
      </c>
      <c r="GF149">
        <v>0.107222</v>
      </c>
      <c r="GG149">
        <v>0.0829377</v>
      </c>
      <c r="GH149">
        <v>29488.8</v>
      </c>
      <c r="GI149">
        <v>29721.6</v>
      </c>
      <c r="GJ149">
        <v>29246.5</v>
      </c>
      <c r="GK149">
        <v>29218.1</v>
      </c>
      <c r="GL149">
        <v>34568.1</v>
      </c>
      <c r="GM149">
        <v>35667.8</v>
      </c>
      <c r="GN149">
        <v>41163.2</v>
      </c>
      <c r="GO149">
        <v>41688.5</v>
      </c>
      <c r="GP149">
        <v>1.7264</v>
      </c>
      <c r="GQ149">
        <v>2.0302</v>
      </c>
      <c r="GR149">
        <v>0.0485629</v>
      </c>
      <c r="GS149">
        <v>0</v>
      </c>
      <c r="GT149">
        <v>29.184</v>
      </c>
      <c r="GU149">
        <v>999.9</v>
      </c>
      <c r="GV149">
        <v>44.9</v>
      </c>
      <c r="GW149">
        <v>33.2</v>
      </c>
      <c r="GX149">
        <v>25.375</v>
      </c>
      <c r="GY149">
        <v>63.618</v>
      </c>
      <c r="GZ149">
        <v>29.0785</v>
      </c>
      <c r="HA149">
        <v>1</v>
      </c>
      <c r="HB149">
        <v>0.253171</v>
      </c>
      <c r="HC149">
        <v>-0.323129</v>
      </c>
      <c r="HD149">
        <v>20.3386</v>
      </c>
      <c r="HE149">
        <v>5.21549</v>
      </c>
      <c r="HF149">
        <v>12.0099</v>
      </c>
      <c r="HG149">
        <v>4.98725</v>
      </c>
      <c r="HH149">
        <v>3.28808</v>
      </c>
      <c r="HI149">
        <v>2724.4</v>
      </c>
      <c r="HJ149">
        <v>9999</v>
      </c>
      <c r="HK149">
        <v>9999</v>
      </c>
      <c r="HL149">
        <v>50.1</v>
      </c>
      <c r="HM149">
        <v>1.86722</v>
      </c>
      <c r="HN149">
        <v>1.8662</v>
      </c>
      <c r="HO149">
        <v>1.86578</v>
      </c>
      <c r="HP149">
        <v>1.86567</v>
      </c>
      <c r="HQ149">
        <v>1.86746</v>
      </c>
      <c r="HR149">
        <v>1.86998</v>
      </c>
      <c r="HS149">
        <v>1.86864</v>
      </c>
      <c r="HT149">
        <v>1.86998</v>
      </c>
      <c r="HU149">
        <v>0</v>
      </c>
      <c r="HV149">
        <v>0</v>
      </c>
      <c r="HW149">
        <v>0</v>
      </c>
      <c r="HX149">
        <v>0</v>
      </c>
      <c r="HY149" t="s">
        <v>421</v>
      </c>
      <c r="HZ149" t="s">
        <v>422</v>
      </c>
      <c r="IA149" t="s">
        <v>423</v>
      </c>
      <c r="IB149" t="s">
        <v>423</v>
      </c>
      <c r="IC149" t="s">
        <v>423</v>
      </c>
      <c r="ID149" t="s">
        <v>423</v>
      </c>
      <c r="IE149">
        <v>0</v>
      </c>
      <c r="IF149">
        <v>100</v>
      </c>
      <c r="IG149">
        <v>100</v>
      </c>
      <c r="IH149">
        <v>0.6909999999999999</v>
      </c>
      <c r="II149">
        <v>0.0421</v>
      </c>
      <c r="IJ149">
        <v>1.257309091789605</v>
      </c>
      <c r="IK149">
        <v>-0.002185601614162945</v>
      </c>
      <c r="IL149">
        <v>-2.252308143750626E-07</v>
      </c>
      <c r="IM149">
        <v>5.915558436307541E-11</v>
      </c>
      <c r="IN149">
        <v>-0.118683452207699</v>
      </c>
      <c r="IO149">
        <v>-0.007570214193104963</v>
      </c>
      <c r="IP149">
        <v>0.0009214429922928372</v>
      </c>
      <c r="IQ149">
        <v>-1.392260276065805E-05</v>
      </c>
      <c r="IR149">
        <v>17</v>
      </c>
      <c r="IS149">
        <v>2272</v>
      </c>
      <c r="IT149">
        <v>1</v>
      </c>
      <c r="IU149">
        <v>31</v>
      </c>
      <c r="IV149">
        <v>18.5</v>
      </c>
      <c r="IW149">
        <v>18.8</v>
      </c>
      <c r="IX149">
        <v>0.649414</v>
      </c>
      <c r="IY149">
        <v>2.24609</v>
      </c>
      <c r="IZ149">
        <v>1.39648</v>
      </c>
      <c r="JA149">
        <v>2.35474</v>
      </c>
      <c r="JB149">
        <v>1.49536</v>
      </c>
      <c r="JC149">
        <v>2.27173</v>
      </c>
      <c r="JD149">
        <v>36.8366</v>
      </c>
      <c r="JE149">
        <v>15.1827</v>
      </c>
      <c r="JF149">
        <v>18</v>
      </c>
      <c r="JG149">
        <v>388.886</v>
      </c>
      <c r="JH149">
        <v>566.033</v>
      </c>
      <c r="JI149">
        <v>27.5657</v>
      </c>
      <c r="JJ149">
        <v>30.6351</v>
      </c>
      <c r="JK149">
        <v>30.0005</v>
      </c>
      <c r="JL149">
        <v>30.5414</v>
      </c>
      <c r="JM149">
        <v>30.4527</v>
      </c>
      <c r="JN149">
        <v>13.0085</v>
      </c>
      <c r="JO149">
        <v>32.0246</v>
      </c>
      <c r="JP149">
        <v>0</v>
      </c>
      <c r="JQ149">
        <v>29.3228</v>
      </c>
      <c r="JR149">
        <v>219.473</v>
      </c>
      <c r="JS149">
        <v>17.3992</v>
      </c>
      <c r="JT149">
        <v>99.9669</v>
      </c>
      <c r="JU149">
        <v>100.07</v>
      </c>
    </row>
    <row r="150" spans="1:281">
      <c r="A150">
        <v>134</v>
      </c>
      <c r="B150">
        <v>1652372407</v>
      </c>
      <c r="C150">
        <v>4313.400000095367</v>
      </c>
      <c r="D150" t="s">
        <v>736</v>
      </c>
      <c r="E150" t="s">
        <v>737</v>
      </c>
      <c r="F150">
        <v>5</v>
      </c>
      <c r="G150" t="s">
        <v>711</v>
      </c>
      <c r="H150" t="s">
        <v>414</v>
      </c>
      <c r="I150">
        <v>1652372399.5</v>
      </c>
      <c r="J150">
        <f>(K150)/1000</f>
        <v>0</v>
      </c>
      <c r="K150">
        <f>IF(CZ150, AN150, AH150)</f>
        <v>0</v>
      </c>
      <c r="L150">
        <f>IF(CZ150, AI150, AG150)</f>
        <v>0</v>
      </c>
      <c r="M150">
        <f>DB150 - IF(AU150&gt;1, L150*CV150*100.0/(AW150*DP150), 0)</f>
        <v>0</v>
      </c>
      <c r="N150">
        <f>((T150-J150/2)*M150-L150)/(T150+J150/2)</f>
        <v>0</v>
      </c>
      <c r="O150">
        <f>N150*(DI150+DJ150)/1000.0</f>
        <v>0</v>
      </c>
      <c r="P150">
        <f>(DB150 - IF(AU150&gt;1, L150*CV150*100.0/(AW150*DP150), 0))*(DI150+DJ150)/1000.0</f>
        <v>0</v>
      </c>
      <c r="Q150">
        <f>2.0/((1/S150-1/R150)+SIGN(S150)*SQRT((1/S150-1/R150)*(1/S150-1/R150) + 4*CW150/((CW150+1)*(CW150+1))*(2*1/S150*1/R150-1/R150*1/R150)))</f>
        <v>0</v>
      </c>
      <c r="R150">
        <f>IF(LEFT(CX150,1)&lt;&gt;"0",IF(LEFT(CX150,1)="1",3.0,CY150),$D$5+$E$5*(DP150*DI150/($K$5*1000))+$F$5*(DP150*DI150/($K$5*1000))*MAX(MIN(CV150,$J$5),$I$5)*MAX(MIN(CV150,$J$5),$I$5)+$G$5*MAX(MIN(CV150,$J$5),$I$5)*(DP150*DI150/($K$5*1000))+$H$5*(DP150*DI150/($K$5*1000))*(DP150*DI150/($K$5*1000)))</f>
        <v>0</v>
      </c>
      <c r="S150">
        <f>J150*(1000-(1000*0.61365*exp(17.502*W150/(240.97+W150))/(DI150+DJ150)+DD150)/2)/(1000*0.61365*exp(17.502*W150/(240.97+W150))/(DI150+DJ150)-DD150)</f>
        <v>0</v>
      </c>
      <c r="T150">
        <f>1/((CW150+1)/(Q150/1.6)+1/(R150/1.37)) + CW150/((CW150+1)/(Q150/1.6) + CW150/(R150/1.37))</f>
        <v>0</v>
      </c>
      <c r="U150">
        <f>(CR150*CU150)</f>
        <v>0</v>
      </c>
      <c r="V150">
        <f>(DK150+(U150+2*0.95*5.67E-8*(((DK150+$B$7)+273)^4-(DK150+273)^4)-44100*J150)/(1.84*29.3*R150+8*0.95*5.67E-8*(DK150+273)^3))</f>
        <v>0</v>
      </c>
      <c r="W150">
        <f>($C$7*DL150+$D$7*DM150+$E$7*V150)</f>
        <v>0</v>
      </c>
      <c r="X150">
        <f>0.61365*exp(17.502*W150/(240.97+W150))</f>
        <v>0</v>
      </c>
      <c r="Y150">
        <f>(Z150/AA150*100)</f>
        <v>0</v>
      </c>
      <c r="Z150">
        <f>DD150*(DI150+DJ150)/1000</f>
        <v>0</v>
      </c>
      <c r="AA150">
        <f>0.61365*exp(17.502*DK150/(240.97+DK150))</f>
        <v>0</v>
      </c>
      <c r="AB150">
        <f>(X150-DD150*(DI150+DJ150)/1000)</f>
        <v>0</v>
      </c>
      <c r="AC150">
        <f>(-J150*44100)</f>
        <v>0</v>
      </c>
      <c r="AD150">
        <f>2*29.3*R150*0.92*(DK150-W150)</f>
        <v>0</v>
      </c>
      <c r="AE150">
        <f>2*0.95*5.67E-8*(((DK150+$B$7)+273)^4-(W150+273)^4)</f>
        <v>0</v>
      </c>
      <c r="AF150">
        <f>U150+AE150+AC150+AD150</f>
        <v>0</v>
      </c>
      <c r="AG150">
        <f>DH150*AU150*(DC150-DB150*(1000-AU150*DE150)/(1000-AU150*DD150))/(100*CV150)</f>
        <v>0</v>
      </c>
      <c r="AH150">
        <f>1000*DH150*AU150*(DD150-DE150)/(100*CV150*(1000-AU150*DD150))</f>
        <v>0</v>
      </c>
      <c r="AI150">
        <f>(AJ150 - AK150 - DI150*1E3/(8.314*(DK150+273.15)) * AM150/DH150 * AL150) * DH150/(100*CV150) * (1000 - DE150)/1000</f>
        <v>0</v>
      </c>
      <c r="AJ150">
        <v>240.2825659324534</v>
      </c>
      <c r="AK150">
        <v>246.0322000000001</v>
      </c>
      <c r="AL150">
        <v>-3.142717386595614</v>
      </c>
      <c r="AM150">
        <v>65.96288611109561</v>
      </c>
      <c r="AN150">
        <f>(AP150 - AO150 + DI150*1E3/(8.314*(DK150+273.15)) * AR150/DH150 * AQ150) * DH150/(100*CV150) * 1000/(1000 - AP150)</f>
        <v>0</v>
      </c>
      <c r="AO150">
        <v>17.30378880677612</v>
      </c>
      <c r="AP150">
        <v>24.38775244755245</v>
      </c>
      <c r="AQ150">
        <v>-0.0002078357278492014</v>
      </c>
      <c r="AR150">
        <v>81.18387902069509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MAX(0,($B$13+$C$13*DP150)/(1+$D$13*DP150)*DI150/(DK150+273)*$E$13)</f>
        <v>0</v>
      </c>
      <c r="AX150" t="s">
        <v>417</v>
      </c>
      <c r="AY150" t="s">
        <v>417</v>
      </c>
      <c r="AZ150">
        <v>0</v>
      </c>
      <c r="BA150">
        <v>0</v>
      </c>
      <c r="BB150">
        <f>1-AZ150/BA150</f>
        <v>0</v>
      </c>
      <c r="BC150">
        <v>0</v>
      </c>
      <c r="BD150" t="s">
        <v>417</v>
      </c>
      <c r="BE150" t="s">
        <v>417</v>
      </c>
      <c r="BF150">
        <v>0</v>
      </c>
      <c r="BG150">
        <v>0</v>
      </c>
      <c r="BH150">
        <f>1-BF150/BG150</f>
        <v>0</v>
      </c>
      <c r="BI150">
        <v>0.5</v>
      </c>
      <c r="BJ150">
        <f>CS150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417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1393</v>
      </c>
      <c r="CA150">
        <v>300</v>
      </c>
      <c r="CB150">
        <v>300</v>
      </c>
      <c r="CC150">
        <v>300</v>
      </c>
      <c r="CD150">
        <v>10378</v>
      </c>
      <c r="CE150">
        <v>2050</v>
      </c>
      <c r="CF150">
        <v>-0.00730649</v>
      </c>
      <c r="CG150">
        <v>-4.53</v>
      </c>
      <c r="CH150" t="s">
        <v>417</v>
      </c>
      <c r="CI150" t="s">
        <v>417</v>
      </c>
      <c r="CJ150" t="s">
        <v>417</v>
      </c>
      <c r="CK150" t="s">
        <v>417</v>
      </c>
      <c r="CL150" t="s">
        <v>417</v>
      </c>
      <c r="CM150" t="s">
        <v>417</v>
      </c>
      <c r="CN150" t="s">
        <v>417</v>
      </c>
      <c r="CO150" t="s">
        <v>417</v>
      </c>
      <c r="CP150" t="s">
        <v>417</v>
      </c>
      <c r="CQ150" t="s">
        <v>417</v>
      </c>
      <c r="CR150">
        <f>$B$11*DQ150+$C$11*DR150+$F$11*EC150*(1-EF150)</f>
        <v>0</v>
      </c>
      <c r="CS150">
        <f>CR150*CT150</f>
        <v>0</v>
      </c>
      <c r="CT150">
        <f>($B$11*$D$9+$C$11*$D$9+$F$11*((EP150+EH150)/MAX(EP150+EH150+EQ150, 0.1)*$I$9+EQ150/MAX(EP150+EH150+EQ150, 0.1)*$J$9))/($B$11+$C$11+$F$11)</f>
        <v>0</v>
      </c>
      <c r="CU150">
        <f>($B$11*$K$9+$C$11*$K$9+$F$11*((EP150+EH150)/MAX(EP150+EH150+EQ150, 0.1)*$P$9+EQ150/MAX(EP150+EH150+EQ150, 0.1)*$Q$9))/($B$11+$C$11+$F$11)</f>
        <v>0</v>
      </c>
      <c r="CV150">
        <v>6</v>
      </c>
      <c r="CW150">
        <v>0.5</v>
      </c>
      <c r="CX150" t="s">
        <v>418</v>
      </c>
      <c r="CY150">
        <v>2</v>
      </c>
      <c r="CZ150" t="b">
        <v>1</v>
      </c>
      <c r="DA150">
        <v>1652372399.5</v>
      </c>
      <c r="DB150">
        <v>261.4832962962963</v>
      </c>
      <c r="DC150">
        <v>248.1692592592592</v>
      </c>
      <c r="DD150">
        <v>24.39493703703704</v>
      </c>
      <c r="DE150">
        <v>17.21345555555556</v>
      </c>
      <c r="DF150">
        <v>260.8102592592593</v>
      </c>
      <c r="DG150">
        <v>24.35258888888889</v>
      </c>
      <c r="DH150">
        <v>400.0732222222222</v>
      </c>
      <c r="DI150">
        <v>90.40017777777777</v>
      </c>
      <c r="DJ150">
        <v>0.1000137185185185</v>
      </c>
      <c r="DK150">
        <v>30.90762222222222</v>
      </c>
      <c r="DL150">
        <v>29.98533333333333</v>
      </c>
      <c r="DM150">
        <v>999.9000000000001</v>
      </c>
      <c r="DN150">
        <v>0</v>
      </c>
      <c r="DO150">
        <v>0</v>
      </c>
      <c r="DP150">
        <v>9998.213333333333</v>
      </c>
      <c r="DQ150">
        <v>0</v>
      </c>
      <c r="DR150">
        <v>477.7991111111111</v>
      </c>
      <c r="DS150">
        <v>13.31395925925926</v>
      </c>
      <c r="DT150">
        <v>268.021888888889</v>
      </c>
      <c r="DU150">
        <v>252.5144074074074</v>
      </c>
      <c r="DV150">
        <v>7.181485185185185</v>
      </c>
      <c r="DW150">
        <v>248.1692592592592</v>
      </c>
      <c r="DX150">
        <v>17.21345555555556</v>
      </c>
      <c r="DY150">
        <v>2.205305555555555</v>
      </c>
      <c r="DZ150">
        <v>1.556098518518519</v>
      </c>
      <c r="EA150">
        <v>19.00091111111111</v>
      </c>
      <c r="EB150">
        <v>13.53053703703704</v>
      </c>
      <c r="EC150">
        <v>1500.007777777778</v>
      </c>
      <c r="ED150">
        <v>0.9729974074074074</v>
      </c>
      <c r="EE150">
        <v>0.02700284814814815</v>
      </c>
      <c r="EF150">
        <v>0</v>
      </c>
      <c r="EG150">
        <v>1716.601111111111</v>
      </c>
      <c r="EH150">
        <v>5.00097</v>
      </c>
      <c r="EI150">
        <v>26524.62592592592</v>
      </c>
      <c r="EJ150">
        <v>12491.65555555556</v>
      </c>
      <c r="EK150">
        <v>39.965</v>
      </c>
      <c r="EL150">
        <v>41.47199999999999</v>
      </c>
      <c r="EM150">
        <v>40.1824074074074</v>
      </c>
      <c r="EN150">
        <v>41.32599999999999</v>
      </c>
      <c r="EO150">
        <v>41.12033333333333</v>
      </c>
      <c r="EP150">
        <v>1454.637037037037</v>
      </c>
      <c r="EQ150">
        <v>40.37074074074073</v>
      </c>
      <c r="ER150">
        <v>0</v>
      </c>
      <c r="ES150">
        <v>1241.199999809265</v>
      </c>
      <c r="ET150">
        <v>0</v>
      </c>
      <c r="EU150">
        <v>1716.5032</v>
      </c>
      <c r="EV150">
        <v>-9.86076924721737</v>
      </c>
      <c r="EW150">
        <v>332.038461599156</v>
      </c>
      <c r="EX150">
        <v>26529.388</v>
      </c>
      <c r="EY150">
        <v>15</v>
      </c>
      <c r="EZ150">
        <v>1652371289.6</v>
      </c>
      <c r="FA150" t="s">
        <v>515</v>
      </c>
      <c r="FB150">
        <v>1652371289.6</v>
      </c>
      <c r="FC150">
        <v>1652371275.1</v>
      </c>
      <c r="FD150">
        <v>24</v>
      </c>
      <c r="FE150">
        <v>0.442</v>
      </c>
      <c r="FF150">
        <v>0.001</v>
      </c>
      <c r="FG150">
        <v>-2.63</v>
      </c>
      <c r="FH150">
        <v>0.007</v>
      </c>
      <c r="FI150">
        <v>1620</v>
      </c>
      <c r="FJ150">
        <v>22</v>
      </c>
      <c r="FK150">
        <v>0.08</v>
      </c>
      <c r="FL150">
        <v>0.04</v>
      </c>
      <c r="FM150">
        <v>12.54083325</v>
      </c>
      <c r="FN150">
        <v>16.16983508442774</v>
      </c>
      <c r="FO150">
        <v>1.557993226415615</v>
      </c>
      <c r="FP150">
        <v>-1</v>
      </c>
      <c r="FQ150">
        <v>7.24951375</v>
      </c>
      <c r="FR150">
        <v>-1.598947429643537</v>
      </c>
      <c r="FS150">
        <v>0.1561754536200791</v>
      </c>
      <c r="FT150">
        <v>0</v>
      </c>
      <c r="FU150">
        <v>0</v>
      </c>
      <c r="FV150">
        <v>0</v>
      </c>
      <c r="FW150">
        <v>0</v>
      </c>
      <c r="FX150">
        <v>-1</v>
      </c>
      <c r="FY150">
        <v>0</v>
      </c>
      <c r="FZ150">
        <v>1</v>
      </c>
      <c r="GA150" t="s">
        <v>432</v>
      </c>
      <c r="GB150">
        <v>2.6956</v>
      </c>
      <c r="GC150">
        <v>2.70522</v>
      </c>
      <c r="GD150">
        <v>0.0588313</v>
      </c>
      <c r="GE150">
        <v>0.0551772</v>
      </c>
      <c r="GF150">
        <v>0.107269</v>
      </c>
      <c r="GG150">
        <v>0.08317289999999999</v>
      </c>
      <c r="GH150">
        <v>29590.8</v>
      </c>
      <c r="GI150">
        <v>29832.1</v>
      </c>
      <c r="GJ150">
        <v>29246.2</v>
      </c>
      <c r="GK150">
        <v>29217</v>
      </c>
      <c r="GL150">
        <v>34565.8</v>
      </c>
      <c r="GM150">
        <v>35657.4</v>
      </c>
      <c r="GN150">
        <v>41162.7</v>
      </c>
      <c r="GO150">
        <v>41687.2</v>
      </c>
      <c r="GP150">
        <v>1.727</v>
      </c>
      <c r="GQ150">
        <v>2.03008</v>
      </c>
      <c r="GR150">
        <v>0.0490844</v>
      </c>
      <c r="GS150">
        <v>0</v>
      </c>
      <c r="GT150">
        <v>29.1726</v>
      </c>
      <c r="GU150">
        <v>999.9</v>
      </c>
      <c r="GV150">
        <v>44.9</v>
      </c>
      <c r="GW150">
        <v>33.2</v>
      </c>
      <c r="GX150">
        <v>25.3785</v>
      </c>
      <c r="GY150">
        <v>63.238</v>
      </c>
      <c r="GZ150">
        <v>29.5913</v>
      </c>
      <c r="HA150">
        <v>1</v>
      </c>
      <c r="HB150">
        <v>0.194794</v>
      </c>
      <c r="HC150">
        <v>-2.91145</v>
      </c>
      <c r="HD150">
        <v>20.3453</v>
      </c>
      <c r="HE150">
        <v>5.21774</v>
      </c>
      <c r="HF150">
        <v>12.0099</v>
      </c>
      <c r="HG150">
        <v>4.988</v>
      </c>
      <c r="HH150">
        <v>3.2884</v>
      </c>
      <c r="HI150">
        <v>2724.4</v>
      </c>
      <c r="HJ150">
        <v>9999</v>
      </c>
      <c r="HK150">
        <v>9999</v>
      </c>
      <c r="HL150">
        <v>50.1</v>
      </c>
      <c r="HM150">
        <v>1.86722</v>
      </c>
      <c r="HN150">
        <v>1.86622</v>
      </c>
      <c r="HO150">
        <v>1.86578</v>
      </c>
      <c r="HP150">
        <v>1.86568</v>
      </c>
      <c r="HQ150">
        <v>1.86746</v>
      </c>
      <c r="HR150">
        <v>1.86998</v>
      </c>
      <c r="HS150">
        <v>1.86864</v>
      </c>
      <c r="HT150">
        <v>1.86997</v>
      </c>
      <c r="HU150">
        <v>0</v>
      </c>
      <c r="HV150">
        <v>0</v>
      </c>
      <c r="HW150">
        <v>0</v>
      </c>
      <c r="HX150">
        <v>0</v>
      </c>
      <c r="HY150" t="s">
        <v>421</v>
      </c>
      <c r="HZ150" t="s">
        <v>422</v>
      </c>
      <c r="IA150" t="s">
        <v>423</v>
      </c>
      <c r="IB150" t="s">
        <v>423</v>
      </c>
      <c r="IC150" t="s">
        <v>423</v>
      </c>
      <c r="ID150" t="s">
        <v>423</v>
      </c>
      <c r="IE150">
        <v>0</v>
      </c>
      <c r="IF150">
        <v>100</v>
      </c>
      <c r="IG150">
        <v>100</v>
      </c>
      <c r="IH150">
        <v>0.726</v>
      </c>
      <c r="II150">
        <v>0.0423</v>
      </c>
      <c r="IJ150">
        <v>1.257309091789605</v>
      </c>
      <c r="IK150">
        <v>-0.002185601614162945</v>
      </c>
      <c r="IL150">
        <v>-2.252308143750626E-07</v>
      </c>
      <c r="IM150">
        <v>5.915558436307541E-11</v>
      </c>
      <c r="IN150">
        <v>-0.118683452207699</v>
      </c>
      <c r="IO150">
        <v>-0.007570214193104963</v>
      </c>
      <c r="IP150">
        <v>0.0009214429922928372</v>
      </c>
      <c r="IQ150">
        <v>-1.392260276065805E-05</v>
      </c>
      <c r="IR150">
        <v>17</v>
      </c>
      <c r="IS150">
        <v>2272</v>
      </c>
      <c r="IT150">
        <v>1</v>
      </c>
      <c r="IU150">
        <v>31</v>
      </c>
      <c r="IV150">
        <v>18.6</v>
      </c>
      <c r="IW150">
        <v>18.9</v>
      </c>
      <c r="IX150">
        <v>0.6152339999999999</v>
      </c>
      <c r="IY150">
        <v>2.24731</v>
      </c>
      <c r="IZ150">
        <v>1.39648</v>
      </c>
      <c r="JA150">
        <v>2.35474</v>
      </c>
      <c r="JB150">
        <v>1.49536</v>
      </c>
      <c r="JC150">
        <v>2.28882</v>
      </c>
      <c r="JD150">
        <v>36.8366</v>
      </c>
      <c r="JE150">
        <v>15.2615</v>
      </c>
      <c r="JF150">
        <v>18</v>
      </c>
      <c r="JG150">
        <v>389.242</v>
      </c>
      <c r="JH150">
        <v>565.9880000000001</v>
      </c>
      <c r="JI150">
        <v>29.0584</v>
      </c>
      <c r="JJ150">
        <v>30.6424</v>
      </c>
      <c r="JK150">
        <v>30.0041</v>
      </c>
      <c r="JL150">
        <v>30.5473</v>
      </c>
      <c r="JM150">
        <v>30.4578</v>
      </c>
      <c r="JN150">
        <v>12.2529</v>
      </c>
      <c r="JO150">
        <v>32.0246</v>
      </c>
      <c r="JP150">
        <v>0</v>
      </c>
      <c r="JQ150">
        <v>29.3449</v>
      </c>
      <c r="JR150">
        <v>199.423</v>
      </c>
      <c r="JS150">
        <v>17.4835</v>
      </c>
      <c r="JT150">
        <v>99.9657</v>
      </c>
      <c r="JU150">
        <v>100.067</v>
      </c>
    </row>
    <row r="151" spans="1:281">
      <c r="A151">
        <v>135</v>
      </c>
      <c r="B151">
        <v>1652372412</v>
      </c>
      <c r="C151">
        <v>4318.400000095367</v>
      </c>
      <c r="D151" t="s">
        <v>738</v>
      </c>
      <c r="E151" t="s">
        <v>739</v>
      </c>
      <c r="F151">
        <v>5</v>
      </c>
      <c r="G151" t="s">
        <v>711</v>
      </c>
      <c r="H151" t="s">
        <v>414</v>
      </c>
      <c r="I151">
        <v>1652372404.214286</v>
      </c>
      <c r="J151">
        <f>(K151)/1000</f>
        <v>0</v>
      </c>
      <c r="K151">
        <f>IF(CZ151, AN151, AH151)</f>
        <v>0</v>
      </c>
      <c r="L151">
        <f>IF(CZ151, AI151, AG151)</f>
        <v>0</v>
      </c>
      <c r="M151">
        <f>DB151 - IF(AU151&gt;1, L151*CV151*100.0/(AW151*DP151), 0)</f>
        <v>0</v>
      </c>
      <c r="N151">
        <f>((T151-J151/2)*M151-L151)/(T151+J151/2)</f>
        <v>0</v>
      </c>
      <c r="O151">
        <f>N151*(DI151+DJ151)/1000.0</f>
        <v>0</v>
      </c>
      <c r="P151">
        <f>(DB151 - IF(AU151&gt;1, L151*CV151*100.0/(AW151*DP151), 0))*(DI151+DJ151)/1000.0</f>
        <v>0</v>
      </c>
      <c r="Q151">
        <f>2.0/((1/S151-1/R151)+SIGN(S151)*SQRT((1/S151-1/R151)*(1/S151-1/R151) + 4*CW151/((CW151+1)*(CW151+1))*(2*1/S151*1/R151-1/R151*1/R151)))</f>
        <v>0</v>
      </c>
      <c r="R151">
        <f>IF(LEFT(CX151,1)&lt;&gt;"0",IF(LEFT(CX151,1)="1",3.0,CY151),$D$5+$E$5*(DP151*DI151/($K$5*1000))+$F$5*(DP151*DI151/($K$5*1000))*MAX(MIN(CV151,$J$5),$I$5)*MAX(MIN(CV151,$J$5),$I$5)+$G$5*MAX(MIN(CV151,$J$5),$I$5)*(DP151*DI151/($K$5*1000))+$H$5*(DP151*DI151/($K$5*1000))*(DP151*DI151/($K$5*1000)))</f>
        <v>0</v>
      </c>
      <c r="S151">
        <f>J151*(1000-(1000*0.61365*exp(17.502*W151/(240.97+W151))/(DI151+DJ151)+DD151)/2)/(1000*0.61365*exp(17.502*W151/(240.97+W151))/(DI151+DJ151)-DD151)</f>
        <v>0</v>
      </c>
      <c r="T151">
        <f>1/((CW151+1)/(Q151/1.6)+1/(R151/1.37)) + CW151/((CW151+1)/(Q151/1.6) + CW151/(R151/1.37))</f>
        <v>0</v>
      </c>
      <c r="U151">
        <f>(CR151*CU151)</f>
        <v>0</v>
      </c>
      <c r="V151">
        <f>(DK151+(U151+2*0.95*5.67E-8*(((DK151+$B$7)+273)^4-(DK151+273)^4)-44100*J151)/(1.84*29.3*R151+8*0.95*5.67E-8*(DK151+273)^3))</f>
        <v>0</v>
      </c>
      <c r="W151">
        <f>($C$7*DL151+$D$7*DM151+$E$7*V151)</f>
        <v>0</v>
      </c>
      <c r="X151">
        <f>0.61365*exp(17.502*W151/(240.97+W151))</f>
        <v>0</v>
      </c>
      <c r="Y151">
        <f>(Z151/AA151*100)</f>
        <v>0</v>
      </c>
      <c r="Z151">
        <f>DD151*(DI151+DJ151)/1000</f>
        <v>0</v>
      </c>
      <c r="AA151">
        <f>0.61365*exp(17.502*DK151/(240.97+DK151))</f>
        <v>0</v>
      </c>
      <c r="AB151">
        <f>(X151-DD151*(DI151+DJ151)/1000)</f>
        <v>0</v>
      </c>
      <c r="AC151">
        <f>(-J151*44100)</f>
        <v>0</v>
      </c>
      <c r="AD151">
        <f>2*29.3*R151*0.92*(DK151-W151)</f>
        <v>0</v>
      </c>
      <c r="AE151">
        <f>2*0.95*5.67E-8*(((DK151+$B$7)+273)^4-(W151+273)^4)</f>
        <v>0</v>
      </c>
      <c r="AF151">
        <f>U151+AE151+AC151+AD151</f>
        <v>0</v>
      </c>
      <c r="AG151">
        <f>DH151*AU151*(DC151-DB151*(1000-AU151*DE151)/(1000-AU151*DD151))/(100*CV151)</f>
        <v>0</v>
      </c>
      <c r="AH151">
        <f>1000*DH151*AU151*(DD151-DE151)/(100*CV151*(1000-AU151*DD151))</f>
        <v>0</v>
      </c>
      <c r="AI151">
        <f>(AJ151 - AK151 - DI151*1E3/(8.314*(DK151+273.15)) * AM151/DH151 * AL151) * DH151/(100*CV151) * (1000 - DE151)/1000</f>
        <v>0</v>
      </c>
      <c r="AJ151">
        <v>223.5181086433183</v>
      </c>
      <c r="AK151">
        <v>230.4531939393939</v>
      </c>
      <c r="AL151">
        <v>-3.117081029024637</v>
      </c>
      <c r="AM151">
        <v>65.96288611109561</v>
      </c>
      <c r="AN151">
        <f>(AP151 - AO151 + DI151*1E3/(8.314*(DK151+273.15)) * AR151/DH151 * AQ151) * DH151/(100*CV151) * 1000/(1000 - AP151)</f>
        <v>0</v>
      </c>
      <c r="AO151">
        <v>17.36967282292941</v>
      </c>
      <c r="AP151">
        <v>24.40453776223779</v>
      </c>
      <c r="AQ151">
        <v>0.008261382014224782</v>
      </c>
      <c r="AR151">
        <v>81.18387902069509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MAX(0,($B$13+$C$13*DP151)/(1+$D$13*DP151)*DI151/(DK151+273)*$E$13)</f>
        <v>0</v>
      </c>
      <c r="AX151" t="s">
        <v>417</v>
      </c>
      <c r="AY151" t="s">
        <v>417</v>
      </c>
      <c r="AZ151">
        <v>0</v>
      </c>
      <c r="BA151">
        <v>0</v>
      </c>
      <c r="BB151">
        <f>1-AZ151/BA151</f>
        <v>0</v>
      </c>
      <c r="BC151">
        <v>0</v>
      </c>
      <c r="BD151" t="s">
        <v>417</v>
      </c>
      <c r="BE151" t="s">
        <v>417</v>
      </c>
      <c r="BF151">
        <v>0</v>
      </c>
      <c r="BG151">
        <v>0</v>
      </c>
      <c r="BH151">
        <f>1-BF151/BG151</f>
        <v>0</v>
      </c>
      <c r="BI151">
        <v>0.5</v>
      </c>
      <c r="BJ151">
        <f>CS151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417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1393</v>
      </c>
      <c r="CA151">
        <v>300</v>
      </c>
      <c r="CB151">
        <v>300</v>
      </c>
      <c r="CC151">
        <v>300</v>
      </c>
      <c r="CD151">
        <v>10378</v>
      </c>
      <c r="CE151">
        <v>2050</v>
      </c>
      <c r="CF151">
        <v>-0.00730649</v>
      </c>
      <c r="CG151">
        <v>-4.53</v>
      </c>
      <c r="CH151" t="s">
        <v>417</v>
      </c>
      <c r="CI151" t="s">
        <v>417</v>
      </c>
      <c r="CJ151" t="s">
        <v>417</v>
      </c>
      <c r="CK151" t="s">
        <v>417</v>
      </c>
      <c r="CL151" t="s">
        <v>417</v>
      </c>
      <c r="CM151" t="s">
        <v>417</v>
      </c>
      <c r="CN151" t="s">
        <v>417</v>
      </c>
      <c r="CO151" t="s">
        <v>417</v>
      </c>
      <c r="CP151" t="s">
        <v>417</v>
      </c>
      <c r="CQ151" t="s">
        <v>417</v>
      </c>
      <c r="CR151">
        <f>$B$11*DQ151+$C$11*DR151+$F$11*EC151*(1-EF151)</f>
        <v>0</v>
      </c>
      <c r="CS151">
        <f>CR151*CT151</f>
        <v>0</v>
      </c>
      <c r="CT151">
        <f>($B$11*$D$9+$C$11*$D$9+$F$11*((EP151+EH151)/MAX(EP151+EH151+EQ151, 0.1)*$I$9+EQ151/MAX(EP151+EH151+EQ151, 0.1)*$J$9))/($B$11+$C$11+$F$11)</f>
        <v>0</v>
      </c>
      <c r="CU151">
        <f>($B$11*$K$9+$C$11*$K$9+$F$11*((EP151+EH151)/MAX(EP151+EH151+EQ151, 0.1)*$P$9+EQ151/MAX(EP151+EH151+EQ151, 0.1)*$Q$9))/($B$11+$C$11+$F$11)</f>
        <v>0</v>
      </c>
      <c r="CV151">
        <v>6</v>
      </c>
      <c r="CW151">
        <v>0.5</v>
      </c>
      <c r="CX151" t="s">
        <v>418</v>
      </c>
      <c r="CY151">
        <v>2</v>
      </c>
      <c r="CZ151" t="b">
        <v>1</v>
      </c>
      <c r="DA151">
        <v>1652372404.214286</v>
      </c>
      <c r="DB151">
        <v>247.068</v>
      </c>
      <c r="DC151">
        <v>232.5656071428571</v>
      </c>
      <c r="DD151">
        <v>24.38965357142857</v>
      </c>
      <c r="DE151">
        <v>17.30245714285714</v>
      </c>
      <c r="DF151">
        <v>246.3619285714285</v>
      </c>
      <c r="DG151">
        <v>24.34738214285715</v>
      </c>
      <c r="DH151">
        <v>400.0575</v>
      </c>
      <c r="DI151">
        <v>90.39803571428573</v>
      </c>
      <c r="DJ151">
        <v>0.1000080571428572</v>
      </c>
      <c r="DK151">
        <v>30.89402857142857</v>
      </c>
      <c r="DL151">
        <v>29.98211428571429</v>
      </c>
      <c r="DM151">
        <v>999.9000000000002</v>
      </c>
      <c r="DN151">
        <v>0</v>
      </c>
      <c r="DO151">
        <v>0</v>
      </c>
      <c r="DP151">
        <v>10002.76107142857</v>
      </c>
      <c r="DQ151">
        <v>0</v>
      </c>
      <c r="DR151">
        <v>489.4216428571428</v>
      </c>
      <c r="DS151">
        <v>14.50233928571428</v>
      </c>
      <c r="DT151">
        <v>253.2443928571429</v>
      </c>
      <c r="DU151">
        <v>236.6591785714286</v>
      </c>
      <c r="DV151">
        <v>7.087199285714285</v>
      </c>
      <c r="DW151">
        <v>232.5656071428571</v>
      </c>
      <c r="DX151">
        <v>17.30245714285714</v>
      </c>
      <c r="DY151">
        <v>2.204776428571428</v>
      </c>
      <c r="DZ151">
        <v>1.564107857142857</v>
      </c>
      <c r="EA151">
        <v>18.99706428571428</v>
      </c>
      <c r="EB151">
        <v>13.60951071428571</v>
      </c>
      <c r="EC151">
        <v>1500.022857142857</v>
      </c>
      <c r="ED151">
        <v>0.9729973214285713</v>
      </c>
      <c r="EE151">
        <v>0.02700293928571428</v>
      </c>
      <c r="EF151">
        <v>0</v>
      </c>
      <c r="EG151">
        <v>1715.782857142857</v>
      </c>
      <c r="EH151">
        <v>5.00097</v>
      </c>
      <c r="EI151">
        <v>26586.71428571429</v>
      </c>
      <c r="EJ151">
        <v>12491.78214285714</v>
      </c>
      <c r="EK151">
        <v>39.97525</v>
      </c>
      <c r="EL151">
        <v>41.491</v>
      </c>
      <c r="EM151">
        <v>40.18699999999999</v>
      </c>
      <c r="EN151">
        <v>41.33675</v>
      </c>
      <c r="EO151">
        <v>41.125</v>
      </c>
      <c r="EP151">
        <v>1454.651785714286</v>
      </c>
      <c r="EQ151">
        <v>40.37107142857142</v>
      </c>
      <c r="ER151">
        <v>0</v>
      </c>
      <c r="ES151">
        <v>1246</v>
      </c>
      <c r="ET151">
        <v>0</v>
      </c>
      <c r="EU151">
        <v>1715.7</v>
      </c>
      <c r="EV151">
        <v>-8.237692307695152</v>
      </c>
      <c r="EW151">
        <v>1272.492305321987</v>
      </c>
      <c r="EX151">
        <v>26593.092</v>
      </c>
      <c r="EY151">
        <v>15</v>
      </c>
      <c r="EZ151">
        <v>1652371289.6</v>
      </c>
      <c r="FA151" t="s">
        <v>515</v>
      </c>
      <c r="FB151">
        <v>1652371289.6</v>
      </c>
      <c r="FC151">
        <v>1652371275.1</v>
      </c>
      <c r="FD151">
        <v>24</v>
      </c>
      <c r="FE151">
        <v>0.442</v>
      </c>
      <c r="FF151">
        <v>0.001</v>
      </c>
      <c r="FG151">
        <v>-2.63</v>
      </c>
      <c r="FH151">
        <v>0.007</v>
      </c>
      <c r="FI151">
        <v>1620</v>
      </c>
      <c r="FJ151">
        <v>22</v>
      </c>
      <c r="FK151">
        <v>0.08</v>
      </c>
      <c r="FL151">
        <v>0.04</v>
      </c>
      <c r="FM151">
        <v>13.6118725</v>
      </c>
      <c r="FN151">
        <v>15.35081088180108</v>
      </c>
      <c r="FO151">
        <v>1.477748336488236</v>
      </c>
      <c r="FP151">
        <v>-1</v>
      </c>
      <c r="FQ151">
        <v>7.164091250000001</v>
      </c>
      <c r="FR151">
        <v>-1.345126041275819</v>
      </c>
      <c r="FS151">
        <v>0.1356763301056506</v>
      </c>
      <c r="FT151">
        <v>0</v>
      </c>
      <c r="FU151">
        <v>0</v>
      </c>
      <c r="FV151">
        <v>0</v>
      </c>
      <c r="FW151">
        <v>0</v>
      </c>
      <c r="FX151">
        <v>-1</v>
      </c>
      <c r="FY151">
        <v>0</v>
      </c>
      <c r="FZ151">
        <v>1</v>
      </c>
      <c r="GA151" t="s">
        <v>432</v>
      </c>
      <c r="GB151">
        <v>2.69594</v>
      </c>
      <c r="GC151">
        <v>2.70529</v>
      </c>
      <c r="GD151">
        <v>0.0555338</v>
      </c>
      <c r="GE151">
        <v>0.0515463</v>
      </c>
      <c r="GF151">
        <v>0.107305</v>
      </c>
      <c r="GG151">
        <v>0.08326070000000001</v>
      </c>
      <c r="GH151">
        <v>29694.3</v>
      </c>
      <c r="GI151">
        <v>29946</v>
      </c>
      <c r="GJ151">
        <v>29246.1</v>
      </c>
      <c r="GK151">
        <v>29216.4</v>
      </c>
      <c r="GL151">
        <v>34563.9</v>
      </c>
      <c r="GM151">
        <v>35653</v>
      </c>
      <c r="GN151">
        <v>41162.2</v>
      </c>
      <c r="GO151">
        <v>41686.2</v>
      </c>
      <c r="GP151">
        <v>1.727</v>
      </c>
      <c r="GQ151">
        <v>2.03008</v>
      </c>
      <c r="GR151">
        <v>0.0525117</v>
      </c>
      <c r="GS151">
        <v>0</v>
      </c>
      <c r="GT151">
        <v>29.1601</v>
      </c>
      <c r="GU151">
        <v>999.9</v>
      </c>
      <c r="GV151">
        <v>44.9</v>
      </c>
      <c r="GW151">
        <v>33.2</v>
      </c>
      <c r="GX151">
        <v>25.3762</v>
      </c>
      <c r="GY151">
        <v>63.518</v>
      </c>
      <c r="GZ151">
        <v>29.6835</v>
      </c>
      <c r="HA151">
        <v>1</v>
      </c>
      <c r="HB151">
        <v>0.253455</v>
      </c>
      <c r="HC151">
        <v>-0.975599</v>
      </c>
      <c r="HD151">
        <v>20.3764</v>
      </c>
      <c r="HE151">
        <v>5.21714</v>
      </c>
      <c r="HF151">
        <v>12.0099</v>
      </c>
      <c r="HG151">
        <v>4.98815</v>
      </c>
      <c r="HH151">
        <v>3.2885</v>
      </c>
      <c r="HI151">
        <v>2724.6</v>
      </c>
      <c r="HJ151">
        <v>9999</v>
      </c>
      <c r="HK151">
        <v>9999</v>
      </c>
      <c r="HL151">
        <v>50.1</v>
      </c>
      <c r="HM151">
        <v>1.86722</v>
      </c>
      <c r="HN151">
        <v>1.86623</v>
      </c>
      <c r="HO151">
        <v>1.86581</v>
      </c>
      <c r="HP151">
        <v>1.86569</v>
      </c>
      <c r="HQ151">
        <v>1.8675</v>
      </c>
      <c r="HR151">
        <v>1.86998</v>
      </c>
      <c r="HS151">
        <v>1.86865</v>
      </c>
      <c r="HT151">
        <v>1.87</v>
      </c>
      <c r="HU151">
        <v>0</v>
      </c>
      <c r="HV151">
        <v>0</v>
      </c>
      <c r="HW151">
        <v>0</v>
      </c>
      <c r="HX151">
        <v>0</v>
      </c>
      <c r="HY151" t="s">
        <v>421</v>
      </c>
      <c r="HZ151" t="s">
        <v>422</v>
      </c>
      <c r="IA151" t="s">
        <v>423</v>
      </c>
      <c r="IB151" t="s">
        <v>423</v>
      </c>
      <c r="IC151" t="s">
        <v>423</v>
      </c>
      <c r="ID151" t="s">
        <v>423</v>
      </c>
      <c r="IE151">
        <v>0</v>
      </c>
      <c r="IF151">
        <v>100</v>
      </c>
      <c r="IG151">
        <v>100</v>
      </c>
      <c r="IH151">
        <v>0.761</v>
      </c>
      <c r="II151">
        <v>0.0424</v>
      </c>
      <c r="IJ151">
        <v>1.257309091789605</v>
      </c>
      <c r="IK151">
        <v>-0.002185601614162945</v>
      </c>
      <c r="IL151">
        <v>-2.252308143750626E-07</v>
      </c>
      <c r="IM151">
        <v>5.915558436307541E-11</v>
      </c>
      <c r="IN151">
        <v>-0.118683452207699</v>
      </c>
      <c r="IO151">
        <v>-0.007570214193104963</v>
      </c>
      <c r="IP151">
        <v>0.0009214429922928372</v>
      </c>
      <c r="IQ151">
        <v>-1.392260276065805E-05</v>
      </c>
      <c r="IR151">
        <v>17</v>
      </c>
      <c r="IS151">
        <v>2272</v>
      </c>
      <c r="IT151">
        <v>1</v>
      </c>
      <c r="IU151">
        <v>31</v>
      </c>
      <c r="IV151">
        <v>18.7</v>
      </c>
      <c r="IW151">
        <v>18.9</v>
      </c>
      <c r="IX151">
        <v>0.577393</v>
      </c>
      <c r="IY151">
        <v>2.24609</v>
      </c>
      <c r="IZ151">
        <v>1.39648</v>
      </c>
      <c r="JA151">
        <v>2.35474</v>
      </c>
      <c r="JB151">
        <v>1.49536</v>
      </c>
      <c r="JC151">
        <v>2.37305</v>
      </c>
      <c r="JD151">
        <v>36.8366</v>
      </c>
      <c r="JE151">
        <v>15.2703</v>
      </c>
      <c r="JF151">
        <v>18</v>
      </c>
      <c r="JG151">
        <v>389.273</v>
      </c>
      <c r="JH151">
        <v>566.032</v>
      </c>
      <c r="JI151">
        <v>29.4971</v>
      </c>
      <c r="JJ151">
        <v>30.6497</v>
      </c>
      <c r="JK151">
        <v>29.9975</v>
      </c>
      <c r="JL151">
        <v>30.5526</v>
      </c>
      <c r="JM151">
        <v>30.4625</v>
      </c>
      <c r="JN151">
        <v>11.566</v>
      </c>
      <c r="JO151">
        <v>31.7376</v>
      </c>
      <c r="JP151">
        <v>0</v>
      </c>
      <c r="JQ151">
        <v>29.3549</v>
      </c>
      <c r="JR151">
        <v>185.952</v>
      </c>
      <c r="JS151">
        <v>17.5809</v>
      </c>
      <c r="JT151">
        <v>99.9648</v>
      </c>
      <c r="JU151">
        <v>100.064</v>
      </c>
    </row>
    <row r="152" spans="1:281">
      <c r="A152">
        <v>136</v>
      </c>
      <c r="B152">
        <v>1652372417</v>
      </c>
      <c r="C152">
        <v>4323.400000095367</v>
      </c>
      <c r="D152" t="s">
        <v>740</v>
      </c>
      <c r="E152" t="s">
        <v>741</v>
      </c>
      <c r="F152">
        <v>5</v>
      </c>
      <c r="G152" t="s">
        <v>711</v>
      </c>
      <c r="H152" t="s">
        <v>414</v>
      </c>
      <c r="I152">
        <v>1652372409.5</v>
      </c>
      <c r="J152">
        <f>(K152)/1000</f>
        <v>0</v>
      </c>
      <c r="K152">
        <f>IF(CZ152, AN152, AH152)</f>
        <v>0</v>
      </c>
      <c r="L152">
        <f>IF(CZ152, AI152, AG152)</f>
        <v>0</v>
      </c>
      <c r="M152">
        <f>DB152 - IF(AU152&gt;1, L152*CV152*100.0/(AW152*DP152), 0)</f>
        <v>0</v>
      </c>
      <c r="N152">
        <f>((T152-J152/2)*M152-L152)/(T152+J152/2)</f>
        <v>0</v>
      </c>
      <c r="O152">
        <f>N152*(DI152+DJ152)/1000.0</f>
        <v>0</v>
      </c>
      <c r="P152">
        <f>(DB152 - IF(AU152&gt;1, L152*CV152*100.0/(AW152*DP152), 0))*(DI152+DJ152)/1000.0</f>
        <v>0</v>
      </c>
      <c r="Q152">
        <f>2.0/((1/S152-1/R152)+SIGN(S152)*SQRT((1/S152-1/R152)*(1/S152-1/R152) + 4*CW152/((CW152+1)*(CW152+1))*(2*1/S152*1/R152-1/R152*1/R152)))</f>
        <v>0</v>
      </c>
      <c r="R152">
        <f>IF(LEFT(CX152,1)&lt;&gt;"0",IF(LEFT(CX152,1)="1",3.0,CY152),$D$5+$E$5*(DP152*DI152/($K$5*1000))+$F$5*(DP152*DI152/($K$5*1000))*MAX(MIN(CV152,$J$5),$I$5)*MAX(MIN(CV152,$J$5),$I$5)+$G$5*MAX(MIN(CV152,$J$5),$I$5)*(DP152*DI152/($K$5*1000))+$H$5*(DP152*DI152/($K$5*1000))*(DP152*DI152/($K$5*1000)))</f>
        <v>0</v>
      </c>
      <c r="S152">
        <f>J152*(1000-(1000*0.61365*exp(17.502*W152/(240.97+W152))/(DI152+DJ152)+DD152)/2)/(1000*0.61365*exp(17.502*W152/(240.97+W152))/(DI152+DJ152)-DD152)</f>
        <v>0</v>
      </c>
      <c r="T152">
        <f>1/((CW152+1)/(Q152/1.6)+1/(R152/1.37)) + CW152/((CW152+1)/(Q152/1.6) + CW152/(R152/1.37))</f>
        <v>0</v>
      </c>
      <c r="U152">
        <f>(CR152*CU152)</f>
        <v>0</v>
      </c>
      <c r="V152">
        <f>(DK152+(U152+2*0.95*5.67E-8*(((DK152+$B$7)+273)^4-(DK152+273)^4)-44100*J152)/(1.84*29.3*R152+8*0.95*5.67E-8*(DK152+273)^3))</f>
        <v>0</v>
      </c>
      <c r="W152">
        <f>($C$7*DL152+$D$7*DM152+$E$7*V152)</f>
        <v>0</v>
      </c>
      <c r="X152">
        <f>0.61365*exp(17.502*W152/(240.97+W152))</f>
        <v>0</v>
      </c>
      <c r="Y152">
        <f>(Z152/AA152*100)</f>
        <v>0</v>
      </c>
      <c r="Z152">
        <f>DD152*(DI152+DJ152)/1000</f>
        <v>0</v>
      </c>
      <c r="AA152">
        <f>0.61365*exp(17.502*DK152/(240.97+DK152))</f>
        <v>0</v>
      </c>
      <c r="AB152">
        <f>(X152-DD152*(DI152+DJ152)/1000)</f>
        <v>0</v>
      </c>
      <c r="AC152">
        <f>(-J152*44100)</f>
        <v>0</v>
      </c>
      <c r="AD152">
        <f>2*29.3*R152*0.92*(DK152-W152)</f>
        <v>0</v>
      </c>
      <c r="AE152">
        <f>2*0.95*5.67E-8*(((DK152+$B$7)+273)^4-(W152+273)^4)</f>
        <v>0</v>
      </c>
      <c r="AF152">
        <f>U152+AE152+AC152+AD152</f>
        <v>0</v>
      </c>
      <c r="AG152">
        <f>DH152*AU152*(DC152-DB152*(1000-AU152*DE152)/(1000-AU152*DD152))/(100*CV152)</f>
        <v>0</v>
      </c>
      <c r="AH152">
        <f>1000*DH152*AU152*(DD152-DE152)/(100*CV152*(1000-AU152*DD152))</f>
        <v>0</v>
      </c>
      <c r="AI152">
        <f>(AJ152 - AK152 - DI152*1E3/(8.314*(DK152+273.15)) * AM152/DH152 * AL152) * DH152/(100*CV152) * (1000 - DE152)/1000</f>
        <v>0</v>
      </c>
      <c r="AJ152">
        <v>206.6350894355756</v>
      </c>
      <c r="AK152">
        <v>214.7529151515151</v>
      </c>
      <c r="AL152">
        <v>-3.145488130734703</v>
      </c>
      <c r="AM152">
        <v>65.96288611109561</v>
      </c>
      <c r="AN152">
        <f>(AP152 - AO152 + DI152*1E3/(8.314*(DK152+273.15)) * AR152/DH152 * AQ152) * DH152/(100*CV152) * 1000/(1000 - AP152)</f>
        <v>0</v>
      </c>
      <c r="AO152">
        <v>17.40077867368415</v>
      </c>
      <c r="AP152">
        <v>24.40445034965035</v>
      </c>
      <c r="AQ152">
        <v>-0.001037908893543315</v>
      </c>
      <c r="AR152">
        <v>81.18387902069509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MAX(0,($B$13+$C$13*DP152)/(1+$D$13*DP152)*DI152/(DK152+273)*$E$13)</f>
        <v>0</v>
      </c>
      <c r="AX152" t="s">
        <v>417</v>
      </c>
      <c r="AY152" t="s">
        <v>417</v>
      </c>
      <c r="AZ152">
        <v>0</v>
      </c>
      <c r="BA152">
        <v>0</v>
      </c>
      <c r="BB152">
        <f>1-AZ152/BA152</f>
        <v>0</v>
      </c>
      <c r="BC152">
        <v>0</v>
      </c>
      <c r="BD152" t="s">
        <v>417</v>
      </c>
      <c r="BE152" t="s">
        <v>417</v>
      </c>
      <c r="BF152">
        <v>0</v>
      </c>
      <c r="BG152">
        <v>0</v>
      </c>
      <c r="BH152">
        <f>1-BF152/BG152</f>
        <v>0</v>
      </c>
      <c r="BI152">
        <v>0.5</v>
      </c>
      <c r="BJ152">
        <f>CS152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417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1393</v>
      </c>
      <c r="CA152">
        <v>300</v>
      </c>
      <c r="CB152">
        <v>300</v>
      </c>
      <c r="CC152">
        <v>300</v>
      </c>
      <c r="CD152">
        <v>10378</v>
      </c>
      <c r="CE152">
        <v>2050</v>
      </c>
      <c r="CF152">
        <v>-0.00730649</v>
      </c>
      <c r="CG152">
        <v>-4.53</v>
      </c>
      <c r="CH152" t="s">
        <v>417</v>
      </c>
      <c r="CI152" t="s">
        <v>417</v>
      </c>
      <c r="CJ152" t="s">
        <v>417</v>
      </c>
      <c r="CK152" t="s">
        <v>417</v>
      </c>
      <c r="CL152" t="s">
        <v>417</v>
      </c>
      <c r="CM152" t="s">
        <v>417</v>
      </c>
      <c r="CN152" t="s">
        <v>417</v>
      </c>
      <c r="CO152" t="s">
        <v>417</v>
      </c>
      <c r="CP152" t="s">
        <v>417</v>
      </c>
      <c r="CQ152" t="s">
        <v>417</v>
      </c>
      <c r="CR152">
        <f>$B$11*DQ152+$C$11*DR152+$F$11*EC152*(1-EF152)</f>
        <v>0</v>
      </c>
      <c r="CS152">
        <f>CR152*CT152</f>
        <v>0</v>
      </c>
      <c r="CT152">
        <f>($B$11*$D$9+$C$11*$D$9+$F$11*((EP152+EH152)/MAX(EP152+EH152+EQ152, 0.1)*$I$9+EQ152/MAX(EP152+EH152+EQ152, 0.1)*$J$9))/($B$11+$C$11+$F$11)</f>
        <v>0</v>
      </c>
      <c r="CU152">
        <f>($B$11*$K$9+$C$11*$K$9+$F$11*((EP152+EH152)/MAX(EP152+EH152+EQ152, 0.1)*$P$9+EQ152/MAX(EP152+EH152+EQ152, 0.1)*$Q$9))/($B$11+$C$11+$F$11)</f>
        <v>0</v>
      </c>
      <c r="CV152">
        <v>6</v>
      </c>
      <c r="CW152">
        <v>0.5</v>
      </c>
      <c r="CX152" t="s">
        <v>418</v>
      </c>
      <c r="CY152">
        <v>2</v>
      </c>
      <c r="CZ152" t="b">
        <v>1</v>
      </c>
      <c r="DA152">
        <v>1652372409.5</v>
      </c>
      <c r="DB152">
        <v>230.9077407407407</v>
      </c>
      <c r="DC152">
        <v>215.0928518518519</v>
      </c>
      <c r="DD152">
        <v>24.39457037037037</v>
      </c>
      <c r="DE152">
        <v>17.39057407407407</v>
      </c>
      <c r="DF152">
        <v>230.1646666666667</v>
      </c>
      <c r="DG152">
        <v>24.35224444444445</v>
      </c>
      <c r="DH152">
        <v>400.0682962962962</v>
      </c>
      <c r="DI152">
        <v>90.39732222222221</v>
      </c>
      <c r="DJ152">
        <v>0.1000106555555556</v>
      </c>
      <c r="DK152">
        <v>30.90311851851852</v>
      </c>
      <c r="DL152">
        <v>30.00042962962963</v>
      </c>
      <c r="DM152">
        <v>999.9000000000001</v>
      </c>
      <c r="DN152">
        <v>0</v>
      </c>
      <c r="DO152">
        <v>0</v>
      </c>
      <c r="DP152">
        <v>10013.72888888889</v>
      </c>
      <c r="DQ152">
        <v>0</v>
      </c>
      <c r="DR152">
        <v>514.1942962962964</v>
      </c>
      <c r="DS152">
        <v>15.81481851851852</v>
      </c>
      <c r="DT152">
        <v>236.6812222222222</v>
      </c>
      <c r="DU152">
        <v>218.8989259259259</v>
      </c>
      <c r="DV152">
        <v>7.003999259259261</v>
      </c>
      <c r="DW152">
        <v>215.0928518518519</v>
      </c>
      <c r="DX152">
        <v>17.39057407407407</v>
      </c>
      <c r="DY152">
        <v>2.205204444444445</v>
      </c>
      <c r="DZ152">
        <v>1.572061481481481</v>
      </c>
      <c r="EA152">
        <v>19.00016666666667</v>
      </c>
      <c r="EB152">
        <v>13.68758518518518</v>
      </c>
      <c r="EC152">
        <v>1500.028148148149</v>
      </c>
      <c r="ED152">
        <v>0.9729972222222222</v>
      </c>
      <c r="EE152">
        <v>0.02700304444444444</v>
      </c>
      <c r="EF152">
        <v>0</v>
      </c>
      <c r="EG152">
        <v>1714.844814814815</v>
      </c>
      <c r="EH152">
        <v>5.00097</v>
      </c>
      <c r="EI152">
        <v>26654.11111111111</v>
      </c>
      <c r="EJ152">
        <v>12491.81481481482</v>
      </c>
      <c r="EK152">
        <v>39.986</v>
      </c>
      <c r="EL152">
        <v>41.49533333333333</v>
      </c>
      <c r="EM152">
        <v>40.18699999999999</v>
      </c>
      <c r="EN152">
        <v>41.34699999999999</v>
      </c>
      <c r="EO152">
        <v>41.125</v>
      </c>
      <c r="EP152">
        <v>1454.657037037037</v>
      </c>
      <c r="EQ152">
        <v>40.37111111111111</v>
      </c>
      <c r="ER152">
        <v>0</v>
      </c>
      <c r="ES152">
        <v>1250.799999952316</v>
      </c>
      <c r="ET152">
        <v>0</v>
      </c>
      <c r="EU152">
        <v>1714.8316</v>
      </c>
      <c r="EV152">
        <v>-13.18538463696036</v>
      </c>
      <c r="EW152">
        <v>761.2846157397539</v>
      </c>
      <c r="EX152">
        <v>26654.536</v>
      </c>
      <c r="EY152">
        <v>15</v>
      </c>
      <c r="EZ152">
        <v>1652371289.6</v>
      </c>
      <c r="FA152" t="s">
        <v>515</v>
      </c>
      <c r="FB152">
        <v>1652371289.6</v>
      </c>
      <c r="FC152">
        <v>1652371275.1</v>
      </c>
      <c r="FD152">
        <v>24</v>
      </c>
      <c r="FE152">
        <v>0.442</v>
      </c>
      <c r="FF152">
        <v>0.001</v>
      </c>
      <c r="FG152">
        <v>-2.63</v>
      </c>
      <c r="FH152">
        <v>0.007</v>
      </c>
      <c r="FI152">
        <v>1620</v>
      </c>
      <c r="FJ152">
        <v>22</v>
      </c>
      <c r="FK152">
        <v>0.08</v>
      </c>
      <c r="FL152">
        <v>0.04</v>
      </c>
      <c r="FM152">
        <v>14.94227317073171</v>
      </c>
      <c r="FN152">
        <v>15.08998954703831</v>
      </c>
      <c r="FO152">
        <v>1.489406560333046</v>
      </c>
      <c r="FP152">
        <v>-1</v>
      </c>
      <c r="FQ152">
        <v>7.068288292682927</v>
      </c>
      <c r="FR152">
        <v>-0.963458466898955</v>
      </c>
      <c r="FS152">
        <v>0.1047516967882234</v>
      </c>
      <c r="FT152">
        <v>0</v>
      </c>
      <c r="FU152">
        <v>0</v>
      </c>
      <c r="FV152">
        <v>0</v>
      </c>
      <c r="FW152">
        <v>0</v>
      </c>
      <c r="FX152">
        <v>-1</v>
      </c>
      <c r="FY152">
        <v>0</v>
      </c>
      <c r="FZ152">
        <v>1</v>
      </c>
      <c r="GA152" t="s">
        <v>432</v>
      </c>
      <c r="GB152">
        <v>2.69583</v>
      </c>
      <c r="GC152">
        <v>2.70515</v>
      </c>
      <c r="GD152">
        <v>0.0521406</v>
      </c>
      <c r="GE152">
        <v>0.0479386</v>
      </c>
      <c r="GF152">
        <v>0.10731</v>
      </c>
      <c r="GG152">
        <v>0.0836293</v>
      </c>
      <c r="GH152">
        <v>29800.7</v>
      </c>
      <c r="GI152">
        <v>30060.5</v>
      </c>
      <c r="GJ152">
        <v>29245.9</v>
      </c>
      <c r="GK152">
        <v>29216.9</v>
      </c>
      <c r="GL152">
        <v>34563.5</v>
      </c>
      <c r="GM152">
        <v>35638.9</v>
      </c>
      <c r="GN152">
        <v>41162</v>
      </c>
      <c r="GO152">
        <v>41686.7</v>
      </c>
      <c r="GP152">
        <v>1.72645</v>
      </c>
      <c r="GQ152">
        <v>2.03008</v>
      </c>
      <c r="GR152">
        <v>0.0564307</v>
      </c>
      <c r="GS152">
        <v>0</v>
      </c>
      <c r="GT152">
        <v>29.1462</v>
      </c>
      <c r="GU152">
        <v>999.9</v>
      </c>
      <c r="GV152">
        <v>44.9</v>
      </c>
      <c r="GW152">
        <v>33.2</v>
      </c>
      <c r="GX152">
        <v>25.3746</v>
      </c>
      <c r="GY152">
        <v>63.408</v>
      </c>
      <c r="GZ152">
        <v>29.4351</v>
      </c>
      <c r="HA152">
        <v>1</v>
      </c>
      <c r="HB152">
        <v>0.251839</v>
      </c>
      <c r="HC152">
        <v>-0.0924918</v>
      </c>
      <c r="HD152">
        <v>20.3809</v>
      </c>
      <c r="HE152">
        <v>5.21669</v>
      </c>
      <c r="HF152">
        <v>12.0099</v>
      </c>
      <c r="HG152">
        <v>4.9879</v>
      </c>
      <c r="HH152">
        <v>3.2884</v>
      </c>
      <c r="HI152">
        <v>2724.6</v>
      </c>
      <c r="HJ152">
        <v>9999</v>
      </c>
      <c r="HK152">
        <v>9999</v>
      </c>
      <c r="HL152">
        <v>50.1</v>
      </c>
      <c r="HM152">
        <v>1.86722</v>
      </c>
      <c r="HN152">
        <v>1.86626</v>
      </c>
      <c r="HO152">
        <v>1.86581</v>
      </c>
      <c r="HP152">
        <v>1.86569</v>
      </c>
      <c r="HQ152">
        <v>1.86751</v>
      </c>
      <c r="HR152">
        <v>1.87002</v>
      </c>
      <c r="HS152">
        <v>1.86865</v>
      </c>
      <c r="HT152">
        <v>1.87008</v>
      </c>
      <c r="HU152">
        <v>0</v>
      </c>
      <c r="HV152">
        <v>0</v>
      </c>
      <c r="HW152">
        <v>0</v>
      </c>
      <c r="HX152">
        <v>0</v>
      </c>
      <c r="HY152" t="s">
        <v>421</v>
      </c>
      <c r="HZ152" t="s">
        <v>422</v>
      </c>
      <c r="IA152" t="s">
        <v>423</v>
      </c>
      <c r="IB152" t="s">
        <v>423</v>
      </c>
      <c r="IC152" t="s">
        <v>423</v>
      </c>
      <c r="ID152" t="s">
        <v>423</v>
      </c>
      <c r="IE152">
        <v>0</v>
      </c>
      <c r="IF152">
        <v>100</v>
      </c>
      <c r="IG152">
        <v>100</v>
      </c>
      <c r="IH152">
        <v>0.795</v>
      </c>
      <c r="II152">
        <v>0.0425</v>
      </c>
      <c r="IJ152">
        <v>1.257309091789605</v>
      </c>
      <c r="IK152">
        <v>-0.002185601614162945</v>
      </c>
      <c r="IL152">
        <v>-2.252308143750626E-07</v>
      </c>
      <c r="IM152">
        <v>5.915558436307541E-11</v>
      </c>
      <c r="IN152">
        <v>-0.118683452207699</v>
      </c>
      <c r="IO152">
        <v>-0.007570214193104963</v>
      </c>
      <c r="IP152">
        <v>0.0009214429922928372</v>
      </c>
      <c r="IQ152">
        <v>-1.392260276065805E-05</v>
      </c>
      <c r="IR152">
        <v>17</v>
      </c>
      <c r="IS152">
        <v>2272</v>
      </c>
      <c r="IT152">
        <v>1</v>
      </c>
      <c r="IU152">
        <v>31</v>
      </c>
      <c r="IV152">
        <v>18.8</v>
      </c>
      <c r="IW152">
        <v>19</v>
      </c>
      <c r="IX152">
        <v>0.539551</v>
      </c>
      <c r="IY152">
        <v>2.25342</v>
      </c>
      <c r="IZ152">
        <v>1.39648</v>
      </c>
      <c r="JA152">
        <v>2.35474</v>
      </c>
      <c r="JB152">
        <v>1.49536</v>
      </c>
      <c r="JC152">
        <v>2.36328</v>
      </c>
      <c r="JD152">
        <v>36.8604</v>
      </c>
      <c r="JE152">
        <v>15.2703</v>
      </c>
      <c r="JF152">
        <v>18</v>
      </c>
      <c r="JG152">
        <v>389.013</v>
      </c>
      <c r="JH152">
        <v>566.081</v>
      </c>
      <c r="JI152">
        <v>29.5402</v>
      </c>
      <c r="JJ152">
        <v>30.6577</v>
      </c>
      <c r="JK152">
        <v>29.9982</v>
      </c>
      <c r="JL152">
        <v>30.5583</v>
      </c>
      <c r="JM152">
        <v>30.4677</v>
      </c>
      <c r="JN152">
        <v>10.7955</v>
      </c>
      <c r="JO152">
        <v>31.4321</v>
      </c>
      <c r="JP152">
        <v>0</v>
      </c>
      <c r="JQ152">
        <v>29.4335</v>
      </c>
      <c r="JR152">
        <v>165.668</v>
      </c>
      <c r="JS152">
        <v>17.6723</v>
      </c>
      <c r="JT152">
        <v>99.96429999999999</v>
      </c>
      <c r="JU152">
        <v>100.066</v>
      </c>
    </row>
    <row r="153" spans="1:281">
      <c r="A153">
        <v>137</v>
      </c>
      <c r="B153">
        <v>1652372422</v>
      </c>
      <c r="C153">
        <v>4328.400000095367</v>
      </c>
      <c r="D153" t="s">
        <v>742</v>
      </c>
      <c r="E153" t="s">
        <v>743</v>
      </c>
      <c r="F153">
        <v>5</v>
      </c>
      <c r="G153" t="s">
        <v>711</v>
      </c>
      <c r="H153" t="s">
        <v>414</v>
      </c>
      <c r="I153">
        <v>1652372414.214286</v>
      </c>
      <c r="J153">
        <f>(K153)/1000</f>
        <v>0</v>
      </c>
      <c r="K153">
        <f>IF(CZ153, AN153, AH153)</f>
        <v>0</v>
      </c>
      <c r="L153">
        <f>IF(CZ153, AI153, AG153)</f>
        <v>0</v>
      </c>
      <c r="M153">
        <f>DB153 - IF(AU153&gt;1, L153*CV153*100.0/(AW153*DP153), 0)</f>
        <v>0</v>
      </c>
      <c r="N153">
        <f>((T153-J153/2)*M153-L153)/(T153+J153/2)</f>
        <v>0</v>
      </c>
      <c r="O153">
        <f>N153*(DI153+DJ153)/1000.0</f>
        <v>0</v>
      </c>
      <c r="P153">
        <f>(DB153 - IF(AU153&gt;1, L153*CV153*100.0/(AW153*DP153), 0))*(DI153+DJ153)/1000.0</f>
        <v>0</v>
      </c>
      <c r="Q153">
        <f>2.0/((1/S153-1/R153)+SIGN(S153)*SQRT((1/S153-1/R153)*(1/S153-1/R153) + 4*CW153/((CW153+1)*(CW153+1))*(2*1/S153*1/R153-1/R153*1/R153)))</f>
        <v>0</v>
      </c>
      <c r="R153">
        <f>IF(LEFT(CX153,1)&lt;&gt;"0",IF(LEFT(CX153,1)="1",3.0,CY153),$D$5+$E$5*(DP153*DI153/($K$5*1000))+$F$5*(DP153*DI153/($K$5*1000))*MAX(MIN(CV153,$J$5),$I$5)*MAX(MIN(CV153,$J$5),$I$5)+$G$5*MAX(MIN(CV153,$J$5),$I$5)*(DP153*DI153/($K$5*1000))+$H$5*(DP153*DI153/($K$5*1000))*(DP153*DI153/($K$5*1000)))</f>
        <v>0</v>
      </c>
      <c r="S153">
        <f>J153*(1000-(1000*0.61365*exp(17.502*W153/(240.97+W153))/(DI153+DJ153)+DD153)/2)/(1000*0.61365*exp(17.502*W153/(240.97+W153))/(DI153+DJ153)-DD153)</f>
        <v>0</v>
      </c>
      <c r="T153">
        <f>1/((CW153+1)/(Q153/1.6)+1/(R153/1.37)) + CW153/((CW153+1)/(Q153/1.6) + CW153/(R153/1.37))</f>
        <v>0</v>
      </c>
      <c r="U153">
        <f>(CR153*CU153)</f>
        <v>0</v>
      </c>
      <c r="V153">
        <f>(DK153+(U153+2*0.95*5.67E-8*(((DK153+$B$7)+273)^4-(DK153+273)^4)-44100*J153)/(1.84*29.3*R153+8*0.95*5.67E-8*(DK153+273)^3))</f>
        <v>0</v>
      </c>
      <c r="W153">
        <f>($C$7*DL153+$D$7*DM153+$E$7*V153)</f>
        <v>0</v>
      </c>
      <c r="X153">
        <f>0.61365*exp(17.502*W153/(240.97+W153))</f>
        <v>0</v>
      </c>
      <c r="Y153">
        <f>(Z153/AA153*100)</f>
        <v>0</v>
      </c>
      <c r="Z153">
        <f>DD153*(DI153+DJ153)/1000</f>
        <v>0</v>
      </c>
      <c r="AA153">
        <f>0.61365*exp(17.502*DK153/(240.97+DK153))</f>
        <v>0</v>
      </c>
      <c r="AB153">
        <f>(X153-DD153*(DI153+DJ153)/1000)</f>
        <v>0</v>
      </c>
      <c r="AC153">
        <f>(-J153*44100)</f>
        <v>0</v>
      </c>
      <c r="AD153">
        <f>2*29.3*R153*0.92*(DK153-W153)</f>
        <v>0</v>
      </c>
      <c r="AE153">
        <f>2*0.95*5.67E-8*(((DK153+$B$7)+273)^4-(W153+273)^4)</f>
        <v>0</v>
      </c>
      <c r="AF153">
        <f>U153+AE153+AC153+AD153</f>
        <v>0</v>
      </c>
      <c r="AG153">
        <f>DH153*AU153*(DC153-DB153*(1000-AU153*DE153)/(1000-AU153*DD153))/(100*CV153)</f>
        <v>0</v>
      </c>
      <c r="AH153">
        <f>1000*DH153*AU153*(DD153-DE153)/(100*CV153*(1000-AU153*DD153))</f>
        <v>0</v>
      </c>
      <c r="AI153">
        <f>(AJ153 - AK153 - DI153*1E3/(8.314*(DK153+273.15)) * AM153/DH153 * AL153) * DH153/(100*CV153) * (1000 - DE153)/1000</f>
        <v>0</v>
      </c>
      <c r="AJ153">
        <v>190.2297315147108</v>
      </c>
      <c r="AK153">
        <v>199.2176424242424</v>
      </c>
      <c r="AL153">
        <v>-3.107198639611008</v>
      </c>
      <c r="AM153">
        <v>65.96288611109561</v>
      </c>
      <c r="AN153">
        <f>(AP153 - AO153 + DI153*1E3/(8.314*(DK153+273.15)) * AR153/DH153 * AQ153) * DH153/(100*CV153) * 1000/(1000 - AP153)</f>
        <v>0</v>
      </c>
      <c r="AO153">
        <v>17.50518496315811</v>
      </c>
      <c r="AP153">
        <v>24.42444055944058</v>
      </c>
      <c r="AQ153">
        <v>0.0001184011928396792</v>
      </c>
      <c r="AR153">
        <v>81.18387902069509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MAX(0,($B$13+$C$13*DP153)/(1+$D$13*DP153)*DI153/(DK153+273)*$E$13)</f>
        <v>0</v>
      </c>
      <c r="AX153" t="s">
        <v>417</v>
      </c>
      <c r="AY153" t="s">
        <v>417</v>
      </c>
      <c r="AZ153">
        <v>0</v>
      </c>
      <c r="BA153">
        <v>0</v>
      </c>
      <c r="BB153">
        <f>1-AZ153/BA153</f>
        <v>0</v>
      </c>
      <c r="BC153">
        <v>0</v>
      </c>
      <c r="BD153" t="s">
        <v>417</v>
      </c>
      <c r="BE153" t="s">
        <v>417</v>
      </c>
      <c r="BF153">
        <v>0</v>
      </c>
      <c r="BG153">
        <v>0</v>
      </c>
      <c r="BH153">
        <f>1-BF153/BG153</f>
        <v>0</v>
      </c>
      <c r="BI153">
        <v>0.5</v>
      </c>
      <c r="BJ153">
        <f>CS153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417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1393</v>
      </c>
      <c r="CA153">
        <v>300</v>
      </c>
      <c r="CB153">
        <v>300</v>
      </c>
      <c r="CC153">
        <v>300</v>
      </c>
      <c r="CD153">
        <v>10378</v>
      </c>
      <c r="CE153">
        <v>2050</v>
      </c>
      <c r="CF153">
        <v>-0.00730649</v>
      </c>
      <c r="CG153">
        <v>-4.53</v>
      </c>
      <c r="CH153" t="s">
        <v>417</v>
      </c>
      <c r="CI153" t="s">
        <v>417</v>
      </c>
      <c r="CJ153" t="s">
        <v>417</v>
      </c>
      <c r="CK153" t="s">
        <v>417</v>
      </c>
      <c r="CL153" t="s">
        <v>417</v>
      </c>
      <c r="CM153" t="s">
        <v>417</v>
      </c>
      <c r="CN153" t="s">
        <v>417</v>
      </c>
      <c r="CO153" t="s">
        <v>417</v>
      </c>
      <c r="CP153" t="s">
        <v>417</v>
      </c>
      <c r="CQ153" t="s">
        <v>417</v>
      </c>
      <c r="CR153">
        <f>$B$11*DQ153+$C$11*DR153+$F$11*EC153*(1-EF153)</f>
        <v>0</v>
      </c>
      <c r="CS153">
        <f>CR153*CT153</f>
        <v>0</v>
      </c>
      <c r="CT153">
        <f>($B$11*$D$9+$C$11*$D$9+$F$11*((EP153+EH153)/MAX(EP153+EH153+EQ153, 0.1)*$I$9+EQ153/MAX(EP153+EH153+EQ153, 0.1)*$J$9))/($B$11+$C$11+$F$11)</f>
        <v>0</v>
      </c>
      <c r="CU153">
        <f>($B$11*$K$9+$C$11*$K$9+$F$11*((EP153+EH153)/MAX(EP153+EH153+EQ153, 0.1)*$P$9+EQ153/MAX(EP153+EH153+EQ153, 0.1)*$Q$9))/($B$11+$C$11+$F$11)</f>
        <v>0</v>
      </c>
      <c r="CV153">
        <v>6</v>
      </c>
      <c r="CW153">
        <v>0.5</v>
      </c>
      <c r="CX153" t="s">
        <v>418</v>
      </c>
      <c r="CY153">
        <v>2</v>
      </c>
      <c r="CZ153" t="b">
        <v>1</v>
      </c>
      <c r="DA153">
        <v>1652372414.214286</v>
      </c>
      <c r="DB153">
        <v>216.5361785714286</v>
      </c>
      <c r="DC153">
        <v>199.5608571428572</v>
      </c>
      <c r="DD153">
        <v>24.40527142857143</v>
      </c>
      <c r="DE153">
        <v>17.45545</v>
      </c>
      <c r="DF153">
        <v>215.7603571428571</v>
      </c>
      <c r="DG153">
        <v>24.36281071428572</v>
      </c>
      <c r="DH153">
        <v>400.0629642857143</v>
      </c>
      <c r="DI153">
        <v>90.39740714285713</v>
      </c>
      <c r="DJ153">
        <v>0.09996958928571428</v>
      </c>
      <c r="DK153">
        <v>30.92911071428572</v>
      </c>
      <c r="DL153">
        <v>30.03608214285714</v>
      </c>
      <c r="DM153">
        <v>999.9000000000002</v>
      </c>
      <c r="DN153">
        <v>0</v>
      </c>
      <c r="DO153">
        <v>0</v>
      </c>
      <c r="DP153">
        <v>10010.28892857143</v>
      </c>
      <c r="DQ153">
        <v>0</v>
      </c>
      <c r="DR153">
        <v>528.8457500000001</v>
      </c>
      <c r="DS153">
        <v>16.97529285714286</v>
      </c>
      <c r="DT153">
        <v>221.9528214285714</v>
      </c>
      <c r="DU153">
        <v>203.1051071428572</v>
      </c>
      <c r="DV153">
        <v>6.9498275</v>
      </c>
      <c r="DW153">
        <v>199.5608571428572</v>
      </c>
      <c r="DX153">
        <v>17.45545</v>
      </c>
      <c r="DY153">
        <v>2.206175357142857</v>
      </c>
      <c r="DZ153">
        <v>1.577928571428571</v>
      </c>
      <c r="EA153">
        <v>19.00721428571429</v>
      </c>
      <c r="EB153">
        <v>13.7448</v>
      </c>
      <c r="EC153">
        <v>1500.025357142857</v>
      </c>
      <c r="ED153">
        <v>0.9729971428571428</v>
      </c>
      <c r="EE153">
        <v>0.02700312857142857</v>
      </c>
      <c r="EF153">
        <v>0</v>
      </c>
      <c r="EG153">
        <v>1713.596428571428</v>
      </c>
      <c r="EH153">
        <v>5.00097</v>
      </c>
      <c r="EI153">
        <v>26675.78571428571</v>
      </c>
      <c r="EJ153">
        <v>12491.80357142857</v>
      </c>
      <c r="EK153">
        <v>39.9955</v>
      </c>
      <c r="EL153">
        <v>41.5</v>
      </c>
      <c r="EM153">
        <v>40.18699999999999</v>
      </c>
      <c r="EN153">
        <v>41.366</v>
      </c>
      <c r="EO153">
        <v>41.125</v>
      </c>
      <c r="EP153">
        <v>1454.654285714285</v>
      </c>
      <c r="EQ153">
        <v>40.37107142857143</v>
      </c>
      <c r="ER153">
        <v>0</v>
      </c>
      <c r="ES153">
        <v>1256.199999809265</v>
      </c>
      <c r="ET153">
        <v>0</v>
      </c>
      <c r="EU153">
        <v>1713.433461538462</v>
      </c>
      <c r="EV153">
        <v>-19.89230769298234</v>
      </c>
      <c r="EW153">
        <v>-592.3418788438138</v>
      </c>
      <c r="EX153">
        <v>26670.84615384615</v>
      </c>
      <c r="EY153">
        <v>15</v>
      </c>
      <c r="EZ153">
        <v>1652371289.6</v>
      </c>
      <c r="FA153" t="s">
        <v>515</v>
      </c>
      <c r="FB153">
        <v>1652371289.6</v>
      </c>
      <c r="FC153">
        <v>1652371275.1</v>
      </c>
      <c r="FD153">
        <v>24</v>
      </c>
      <c r="FE153">
        <v>0.442</v>
      </c>
      <c r="FF153">
        <v>0.001</v>
      </c>
      <c r="FG153">
        <v>-2.63</v>
      </c>
      <c r="FH153">
        <v>0.007</v>
      </c>
      <c r="FI153">
        <v>1620</v>
      </c>
      <c r="FJ153">
        <v>22</v>
      </c>
      <c r="FK153">
        <v>0.08</v>
      </c>
      <c r="FL153">
        <v>0.04</v>
      </c>
      <c r="FM153">
        <v>16.362325</v>
      </c>
      <c r="FN153">
        <v>14.72261988742962</v>
      </c>
      <c r="FO153">
        <v>1.422885173467979</v>
      </c>
      <c r="FP153">
        <v>-1</v>
      </c>
      <c r="FQ153">
        <v>6.97290475</v>
      </c>
      <c r="FR153">
        <v>-0.7019003752345265</v>
      </c>
      <c r="FS153">
        <v>0.0709424972772844</v>
      </c>
      <c r="FT153">
        <v>0</v>
      </c>
      <c r="FU153">
        <v>0</v>
      </c>
      <c r="FV153">
        <v>0</v>
      </c>
      <c r="FW153">
        <v>0</v>
      </c>
      <c r="FX153">
        <v>-1</v>
      </c>
      <c r="FY153">
        <v>0</v>
      </c>
      <c r="FZ153">
        <v>1</v>
      </c>
      <c r="GA153" t="s">
        <v>432</v>
      </c>
      <c r="GB153">
        <v>2.69567</v>
      </c>
      <c r="GC153">
        <v>2.70509</v>
      </c>
      <c r="GD153">
        <v>0.0486985</v>
      </c>
      <c r="GE153">
        <v>0.0440227</v>
      </c>
      <c r="GF153">
        <v>0.107384</v>
      </c>
      <c r="GG153">
        <v>0.0839864</v>
      </c>
      <c r="GH153">
        <v>29909.2</v>
      </c>
      <c r="GI153">
        <v>30184.2</v>
      </c>
      <c r="GJ153">
        <v>29246.2</v>
      </c>
      <c r="GK153">
        <v>29217.1</v>
      </c>
      <c r="GL153">
        <v>34560.9</v>
      </c>
      <c r="GM153">
        <v>35625</v>
      </c>
      <c r="GN153">
        <v>41162.3</v>
      </c>
      <c r="GO153">
        <v>41686.8</v>
      </c>
      <c r="GP153">
        <v>1.7261</v>
      </c>
      <c r="GQ153">
        <v>2.0302</v>
      </c>
      <c r="GR153">
        <v>0.0589117</v>
      </c>
      <c r="GS153">
        <v>0</v>
      </c>
      <c r="GT153">
        <v>29.1339</v>
      </c>
      <c r="GU153">
        <v>999.9</v>
      </c>
      <c r="GV153">
        <v>44.9</v>
      </c>
      <c r="GW153">
        <v>33.2</v>
      </c>
      <c r="GX153">
        <v>25.3748</v>
      </c>
      <c r="GY153">
        <v>63.148</v>
      </c>
      <c r="GZ153">
        <v>29.0905</v>
      </c>
      <c r="HA153">
        <v>1</v>
      </c>
      <c r="HB153">
        <v>0.251723</v>
      </c>
      <c r="HC153">
        <v>0.292015</v>
      </c>
      <c r="HD153">
        <v>20.3811</v>
      </c>
      <c r="HE153">
        <v>5.21744</v>
      </c>
      <c r="HF153">
        <v>12.0099</v>
      </c>
      <c r="HG153">
        <v>4.98835</v>
      </c>
      <c r="HH153">
        <v>3.2884</v>
      </c>
      <c r="HI153">
        <v>2724.6</v>
      </c>
      <c r="HJ153">
        <v>9999</v>
      </c>
      <c r="HK153">
        <v>9999</v>
      </c>
      <c r="HL153">
        <v>50.1</v>
      </c>
      <c r="HM153">
        <v>1.86722</v>
      </c>
      <c r="HN153">
        <v>1.86624</v>
      </c>
      <c r="HO153">
        <v>1.86582</v>
      </c>
      <c r="HP153">
        <v>1.86569</v>
      </c>
      <c r="HQ153">
        <v>1.86751</v>
      </c>
      <c r="HR153">
        <v>1.87</v>
      </c>
      <c r="HS153">
        <v>1.86865</v>
      </c>
      <c r="HT153">
        <v>1.87004</v>
      </c>
      <c r="HU153">
        <v>0</v>
      </c>
      <c r="HV153">
        <v>0</v>
      </c>
      <c r="HW153">
        <v>0</v>
      </c>
      <c r="HX153">
        <v>0</v>
      </c>
      <c r="HY153" t="s">
        <v>421</v>
      </c>
      <c r="HZ153" t="s">
        <v>422</v>
      </c>
      <c r="IA153" t="s">
        <v>423</v>
      </c>
      <c r="IB153" t="s">
        <v>423</v>
      </c>
      <c r="IC153" t="s">
        <v>423</v>
      </c>
      <c r="ID153" t="s">
        <v>423</v>
      </c>
      <c r="IE153">
        <v>0</v>
      </c>
      <c r="IF153">
        <v>100</v>
      </c>
      <c r="IG153">
        <v>100</v>
      </c>
      <c r="IH153">
        <v>0.83</v>
      </c>
      <c r="II153">
        <v>0.0428</v>
      </c>
      <c r="IJ153">
        <v>1.257309091789605</v>
      </c>
      <c r="IK153">
        <v>-0.002185601614162945</v>
      </c>
      <c r="IL153">
        <v>-2.252308143750626E-07</v>
      </c>
      <c r="IM153">
        <v>5.915558436307541E-11</v>
      </c>
      <c r="IN153">
        <v>-0.118683452207699</v>
      </c>
      <c r="IO153">
        <v>-0.007570214193104963</v>
      </c>
      <c r="IP153">
        <v>0.0009214429922928372</v>
      </c>
      <c r="IQ153">
        <v>-1.392260276065805E-05</v>
      </c>
      <c r="IR153">
        <v>17</v>
      </c>
      <c r="IS153">
        <v>2272</v>
      </c>
      <c r="IT153">
        <v>1</v>
      </c>
      <c r="IU153">
        <v>31</v>
      </c>
      <c r="IV153">
        <v>18.9</v>
      </c>
      <c r="IW153">
        <v>19.1</v>
      </c>
      <c r="IX153">
        <v>0.507812</v>
      </c>
      <c r="IY153">
        <v>2.25464</v>
      </c>
      <c r="IZ153">
        <v>1.39648</v>
      </c>
      <c r="JA153">
        <v>2.35474</v>
      </c>
      <c r="JB153">
        <v>1.49536</v>
      </c>
      <c r="JC153">
        <v>2.34009</v>
      </c>
      <c r="JD153">
        <v>36.8604</v>
      </c>
      <c r="JE153">
        <v>15.2703</v>
      </c>
      <c r="JF153">
        <v>18</v>
      </c>
      <c r="JG153">
        <v>388.857</v>
      </c>
      <c r="JH153">
        <v>566.2140000000001</v>
      </c>
      <c r="JI153">
        <v>29.5413</v>
      </c>
      <c r="JJ153">
        <v>30.6644</v>
      </c>
      <c r="JK153">
        <v>29.9995</v>
      </c>
      <c r="JL153">
        <v>30.5636</v>
      </c>
      <c r="JM153">
        <v>30.4717</v>
      </c>
      <c r="JN153">
        <v>10.0924</v>
      </c>
      <c r="JO153">
        <v>31.1261</v>
      </c>
      <c r="JP153">
        <v>0</v>
      </c>
      <c r="JQ153">
        <v>29.3571</v>
      </c>
      <c r="JR153">
        <v>152.302</v>
      </c>
      <c r="JS153">
        <v>17.7341</v>
      </c>
      <c r="JT153">
        <v>99.9652</v>
      </c>
      <c r="JU153">
        <v>100.066</v>
      </c>
    </row>
    <row r="154" spans="1:281">
      <c r="A154">
        <v>138</v>
      </c>
      <c r="B154">
        <v>1652372427</v>
      </c>
      <c r="C154">
        <v>4333.400000095367</v>
      </c>
      <c r="D154" t="s">
        <v>744</v>
      </c>
      <c r="E154" t="s">
        <v>745</v>
      </c>
      <c r="F154">
        <v>5</v>
      </c>
      <c r="G154" t="s">
        <v>711</v>
      </c>
      <c r="H154" t="s">
        <v>414</v>
      </c>
      <c r="I154">
        <v>1652372419.5</v>
      </c>
      <c r="J154">
        <f>(K154)/1000</f>
        <v>0</v>
      </c>
      <c r="K154">
        <f>IF(CZ154, AN154, AH154)</f>
        <v>0</v>
      </c>
      <c r="L154">
        <f>IF(CZ154, AI154, AG154)</f>
        <v>0</v>
      </c>
      <c r="M154">
        <f>DB154 - IF(AU154&gt;1, L154*CV154*100.0/(AW154*DP154), 0)</f>
        <v>0</v>
      </c>
      <c r="N154">
        <f>((T154-J154/2)*M154-L154)/(T154+J154/2)</f>
        <v>0</v>
      </c>
      <c r="O154">
        <f>N154*(DI154+DJ154)/1000.0</f>
        <v>0</v>
      </c>
      <c r="P154">
        <f>(DB154 - IF(AU154&gt;1, L154*CV154*100.0/(AW154*DP154), 0))*(DI154+DJ154)/1000.0</f>
        <v>0</v>
      </c>
      <c r="Q154">
        <f>2.0/((1/S154-1/R154)+SIGN(S154)*SQRT((1/S154-1/R154)*(1/S154-1/R154) + 4*CW154/((CW154+1)*(CW154+1))*(2*1/S154*1/R154-1/R154*1/R154)))</f>
        <v>0</v>
      </c>
      <c r="R154">
        <f>IF(LEFT(CX154,1)&lt;&gt;"0",IF(LEFT(CX154,1)="1",3.0,CY154),$D$5+$E$5*(DP154*DI154/($K$5*1000))+$F$5*(DP154*DI154/($K$5*1000))*MAX(MIN(CV154,$J$5),$I$5)*MAX(MIN(CV154,$J$5),$I$5)+$G$5*MAX(MIN(CV154,$J$5),$I$5)*(DP154*DI154/($K$5*1000))+$H$5*(DP154*DI154/($K$5*1000))*(DP154*DI154/($K$5*1000)))</f>
        <v>0</v>
      </c>
      <c r="S154">
        <f>J154*(1000-(1000*0.61365*exp(17.502*W154/(240.97+W154))/(DI154+DJ154)+DD154)/2)/(1000*0.61365*exp(17.502*W154/(240.97+W154))/(DI154+DJ154)-DD154)</f>
        <v>0</v>
      </c>
      <c r="T154">
        <f>1/((CW154+1)/(Q154/1.6)+1/(R154/1.37)) + CW154/((CW154+1)/(Q154/1.6) + CW154/(R154/1.37))</f>
        <v>0</v>
      </c>
      <c r="U154">
        <f>(CR154*CU154)</f>
        <v>0</v>
      </c>
      <c r="V154">
        <f>(DK154+(U154+2*0.95*5.67E-8*(((DK154+$B$7)+273)^4-(DK154+273)^4)-44100*J154)/(1.84*29.3*R154+8*0.95*5.67E-8*(DK154+273)^3))</f>
        <v>0</v>
      </c>
      <c r="W154">
        <f>($C$7*DL154+$D$7*DM154+$E$7*V154)</f>
        <v>0</v>
      </c>
      <c r="X154">
        <f>0.61365*exp(17.502*W154/(240.97+W154))</f>
        <v>0</v>
      </c>
      <c r="Y154">
        <f>(Z154/AA154*100)</f>
        <v>0</v>
      </c>
      <c r="Z154">
        <f>DD154*(DI154+DJ154)/1000</f>
        <v>0</v>
      </c>
      <c r="AA154">
        <f>0.61365*exp(17.502*DK154/(240.97+DK154))</f>
        <v>0</v>
      </c>
      <c r="AB154">
        <f>(X154-DD154*(DI154+DJ154)/1000)</f>
        <v>0</v>
      </c>
      <c r="AC154">
        <f>(-J154*44100)</f>
        <v>0</v>
      </c>
      <c r="AD154">
        <f>2*29.3*R154*0.92*(DK154-W154)</f>
        <v>0</v>
      </c>
      <c r="AE154">
        <f>2*0.95*5.67E-8*(((DK154+$B$7)+273)^4-(W154+273)^4)</f>
        <v>0</v>
      </c>
      <c r="AF154">
        <f>U154+AE154+AC154+AD154</f>
        <v>0</v>
      </c>
      <c r="AG154">
        <f>DH154*AU154*(DC154-DB154*(1000-AU154*DE154)/(1000-AU154*DD154))/(100*CV154)</f>
        <v>0</v>
      </c>
      <c r="AH154">
        <f>1000*DH154*AU154*(DD154-DE154)/(100*CV154*(1000-AU154*DD154))</f>
        <v>0</v>
      </c>
      <c r="AI154">
        <f>(AJ154 - AK154 - DI154*1E3/(8.314*(DK154+273.15)) * AM154/DH154 * AL154) * DH154/(100*CV154) * (1000 - DE154)/1000</f>
        <v>0</v>
      </c>
      <c r="AJ154">
        <v>172.8131095964459</v>
      </c>
      <c r="AK154">
        <v>183.4856787878788</v>
      </c>
      <c r="AL154">
        <v>-3.141930043523182</v>
      </c>
      <c r="AM154">
        <v>65.96288611109561</v>
      </c>
      <c r="AN154">
        <f>(AP154 - AO154 + DI154*1E3/(8.314*(DK154+273.15)) * AR154/DH154 * AQ154) * DH154/(100*CV154) * 1000/(1000 - AP154)</f>
        <v>0</v>
      </c>
      <c r="AO154">
        <v>17.61526286590563</v>
      </c>
      <c r="AP154">
        <v>24.46553076923077</v>
      </c>
      <c r="AQ154">
        <v>0.007335182946795464</v>
      </c>
      <c r="AR154">
        <v>81.18387902069509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MAX(0,($B$13+$C$13*DP154)/(1+$D$13*DP154)*DI154/(DK154+273)*$E$13)</f>
        <v>0</v>
      </c>
      <c r="AX154" t="s">
        <v>417</v>
      </c>
      <c r="AY154" t="s">
        <v>417</v>
      </c>
      <c r="AZ154">
        <v>0</v>
      </c>
      <c r="BA154">
        <v>0</v>
      </c>
      <c r="BB154">
        <f>1-AZ154/BA154</f>
        <v>0</v>
      </c>
      <c r="BC154">
        <v>0</v>
      </c>
      <c r="BD154" t="s">
        <v>417</v>
      </c>
      <c r="BE154" t="s">
        <v>417</v>
      </c>
      <c r="BF154">
        <v>0</v>
      </c>
      <c r="BG154">
        <v>0</v>
      </c>
      <c r="BH154">
        <f>1-BF154/BG154</f>
        <v>0</v>
      </c>
      <c r="BI154">
        <v>0.5</v>
      </c>
      <c r="BJ154">
        <f>CS154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417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1393</v>
      </c>
      <c r="CA154">
        <v>300</v>
      </c>
      <c r="CB154">
        <v>300</v>
      </c>
      <c r="CC154">
        <v>300</v>
      </c>
      <c r="CD154">
        <v>10378</v>
      </c>
      <c r="CE154">
        <v>2050</v>
      </c>
      <c r="CF154">
        <v>-0.00730649</v>
      </c>
      <c r="CG154">
        <v>-4.53</v>
      </c>
      <c r="CH154" t="s">
        <v>417</v>
      </c>
      <c r="CI154" t="s">
        <v>417</v>
      </c>
      <c r="CJ154" t="s">
        <v>417</v>
      </c>
      <c r="CK154" t="s">
        <v>417</v>
      </c>
      <c r="CL154" t="s">
        <v>417</v>
      </c>
      <c r="CM154" t="s">
        <v>417</v>
      </c>
      <c r="CN154" t="s">
        <v>417</v>
      </c>
      <c r="CO154" t="s">
        <v>417</v>
      </c>
      <c r="CP154" t="s">
        <v>417</v>
      </c>
      <c r="CQ154" t="s">
        <v>417</v>
      </c>
      <c r="CR154">
        <f>$B$11*DQ154+$C$11*DR154+$F$11*EC154*(1-EF154)</f>
        <v>0</v>
      </c>
      <c r="CS154">
        <f>CR154*CT154</f>
        <v>0</v>
      </c>
      <c r="CT154">
        <f>($B$11*$D$9+$C$11*$D$9+$F$11*((EP154+EH154)/MAX(EP154+EH154+EQ154, 0.1)*$I$9+EQ154/MAX(EP154+EH154+EQ154, 0.1)*$J$9))/($B$11+$C$11+$F$11)</f>
        <v>0</v>
      </c>
      <c r="CU154">
        <f>($B$11*$K$9+$C$11*$K$9+$F$11*((EP154+EH154)/MAX(EP154+EH154+EQ154, 0.1)*$P$9+EQ154/MAX(EP154+EH154+EQ154, 0.1)*$Q$9))/($B$11+$C$11+$F$11)</f>
        <v>0</v>
      </c>
      <c r="CV154">
        <v>6</v>
      </c>
      <c r="CW154">
        <v>0.5</v>
      </c>
      <c r="CX154" t="s">
        <v>418</v>
      </c>
      <c r="CY154">
        <v>2</v>
      </c>
      <c r="CZ154" t="b">
        <v>1</v>
      </c>
      <c r="DA154">
        <v>1652372419.5</v>
      </c>
      <c r="DB154">
        <v>200.4072962962963</v>
      </c>
      <c r="DC154">
        <v>182.0311851851852</v>
      </c>
      <c r="DD154">
        <v>24.42140740740741</v>
      </c>
      <c r="DE154">
        <v>17.54953333333333</v>
      </c>
      <c r="DF154">
        <v>199.5948888888888</v>
      </c>
      <c r="DG154">
        <v>24.37873333333333</v>
      </c>
      <c r="DH154">
        <v>400.0811851851852</v>
      </c>
      <c r="DI154">
        <v>90.39834814814813</v>
      </c>
      <c r="DJ154">
        <v>0.1000106666666667</v>
      </c>
      <c r="DK154">
        <v>30.9559037037037</v>
      </c>
      <c r="DL154">
        <v>30.07677777777778</v>
      </c>
      <c r="DM154">
        <v>999.9000000000001</v>
      </c>
      <c r="DN154">
        <v>0</v>
      </c>
      <c r="DO154">
        <v>0</v>
      </c>
      <c r="DP154">
        <v>10002.01185185185</v>
      </c>
      <c r="DQ154">
        <v>0</v>
      </c>
      <c r="DR154">
        <v>519.7226296296295</v>
      </c>
      <c r="DS154">
        <v>18.37625185185185</v>
      </c>
      <c r="DT154">
        <v>205.4238148148148</v>
      </c>
      <c r="DU154">
        <v>185.2815555555555</v>
      </c>
      <c r="DV154">
        <v>6.871870740740741</v>
      </c>
      <c r="DW154">
        <v>182.0311851851852</v>
      </c>
      <c r="DX154">
        <v>17.54953333333333</v>
      </c>
      <c r="DY154">
        <v>2.207655555555556</v>
      </c>
      <c r="DZ154">
        <v>1.58645037037037</v>
      </c>
      <c r="EA154">
        <v>19.01796296296297</v>
      </c>
      <c r="EB154">
        <v>13.82764074074074</v>
      </c>
      <c r="EC154">
        <v>1500.018148148148</v>
      </c>
      <c r="ED154">
        <v>0.972997037037037</v>
      </c>
      <c r="EE154">
        <v>0.02700324074074074</v>
      </c>
      <c r="EF154">
        <v>0</v>
      </c>
      <c r="EG154">
        <v>1711.351851851852</v>
      </c>
      <c r="EH154">
        <v>5.00097</v>
      </c>
      <c r="EI154">
        <v>26585.55185185185</v>
      </c>
      <c r="EJ154">
        <v>12491.73333333333</v>
      </c>
      <c r="EK154">
        <v>40</v>
      </c>
      <c r="EL154">
        <v>41.5</v>
      </c>
      <c r="EM154">
        <v>40.18699999999999</v>
      </c>
      <c r="EN154">
        <v>41.37033333333333</v>
      </c>
      <c r="EO154">
        <v>41.125</v>
      </c>
      <c r="EP154">
        <v>1454.646666666666</v>
      </c>
      <c r="EQ154">
        <v>40.37148148148147</v>
      </c>
      <c r="ER154">
        <v>0</v>
      </c>
      <c r="ES154">
        <v>1261</v>
      </c>
      <c r="ET154">
        <v>0</v>
      </c>
      <c r="EU154">
        <v>1711.305769230769</v>
      </c>
      <c r="EV154">
        <v>-31.20512822638221</v>
      </c>
      <c r="EW154">
        <v>-1433.155555710262</v>
      </c>
      <c r="EX154">
        <v>26584.58461538462</v>
      </c>
      <c r="EY154">
        <v>15</v>
      </c>
      <c r="EZ154">
        <v>1652371289.6</v>
      </c>
      <c r="FA154" t="s">
        <v>515</v>
      </c>
      <c r="FB154">
        <v>1652371289.6</v>
      </c>
      <c r="FC154">
        <v>1652371275.1</v>
      </c>
      <c r="FD154">
        <v>24</v>
      </c>
      <c r="FE154">
        <v>0.442</v>
      </c>
      <c r="FF154">
        <v>0.001</v>
      </c>
      <c r="FG154">
        <v>-2.63</v>
      </c>
      <c r="FH154">
        <v>0.007</v>
      </c>
      <c r="FI154">
        <v>1620</v>
      </c>
      <c r="FJ154">
        <v>22</v>
      </c>
      <c r="FK154">
        <v>0.08</v>
      </c>
      <c r="FL154">
        <v>0.04</v>
      </c>
      <c r="FM154">
        <v>17.6770425</v>
      </c>
      <c r="FN154">
        <v>15.8143846153846</v>
      </c>
      <c r="FO154">
        <v>1.53205177358461</v>
      </c>
      <c r="FP154">
        <v>-1</v>
      </c>
      <c r="FQ154">
        <v>6.9131575</v>
      </c>
      <c r="FR154">
        <v>-0.8900078048780378</v>
      </c>
      <c r="FS154">
        <v>0.08702883716763088</v>
      </c>
      <c r="FT154">
        <v>0</v>
      </c>
      <c r="FU154">
        <v>0</v>
      </c>
      <c r="FV154">
        <v>0</v>
      </c>
      <c r="FW154">
        <v>0</v>
      </c>
      <c r="FX154">
        <v>-1</v>
      </c>
      <c r="FY154">
        <v>0</v>
      </c>
      <c r="FZ154">
        <v>1</v>
      </c>
      <c r="GA154" t="s">
        <v>432</v>
      </c>
      <c r="GB154">
        <v>2.69587</v>
      </c>
      <c r="GC154">
        <v>2.70521</v>
      </c>
      <c r="GD154">
        <v>0.0451458</v>
      </c>
      <c r="GE154">
        <v>0.0401973</v>
      </c>
      <c r="GF154">
        <v>0.107504</v>
      </c>
      <c r="GG154">
        <v>0.0841867</v>
      </c>
      <c r="GH154">
        <v>30020.4</v>
      </c>
      <c r="GI154">
        <v>30304.8</v>
      </c>
      <c r="GJ154">
        <v>29245.8</v>
      </c>
      <c r="GK154">
        <v>29217</v>
      </c>
      <c r="GL154">
        <v>34555.6</v>
      </c>
      <c r="GM154">
        <v>35616.8</v>
      </c>
      <c r="GN154">
        <v>41161.6</v>
      </c>
      <c r="GO154">
        <v>41686.5</v>
      </c>
      <c r="GP154">
        <v>1.7265</v>
      </c>
      <c r="GQ154">
        <v>2.02992</v>
      </c>
      <c r="GR154">
        <v>0.060983</v>
      </c>
      <c r="GS154">
        <v>0</v>
      </c>
      <c r="GT154">
        <v>29.124</v>
      </c>
      <c r="GU154">
        <v>999.9</v>
      </c>
      <c r="GV154">
        <v>44.8</v>
      </c>
      <c r="GW154">
        <v>33.2</v>
      </c>
      <c r="GX154">
        <v>25.3211</v>
      </c>
      <c r="GY154">
        <v>63.068</v>
      </c>
      <c r="GZ154">
        <v>29.0745</v>
      </c>
      <c r="HA154">
        <v>1</v>
      </c>
      <c r="HB154">
        <v>0.253023</v>
      </c>
      <c r="HC154">
        <v>0.77967</v>
      </c>
      <c r="HD154">
        <v>20.3794</v>
      </c>
      <c r="HE154">
        <v>5.21789</v>
      </c>
      <c r="HF154">
        <v>12.0099</v>
      </c>
      <c r="HG154">
        <v>4.98835</v>
      </c>
      <c r="HH154">
        <v>3.28853</v>
      </c>
      <c r="HI154">
        <v>2724.8</v>
      </c>
      <c r="HJ154">
        <v>9999</v>
      </c>
      <c r="HK154">
        <v>9999</v>
      </c>
      <c r="HL154">
        <v>50.1</v>
      </c>
      <c r="HM154">
        <v>1.86722</v>
      </c>
      <c r="HN154">
        <v>1.8662</v>
      </c>
      <c r="HO154">
        <v>1.86578</v>
      </c>
      <c r="HP154">
        <v>1.86569</v>
      </c>
      <c r="HQ154">
        <v>1.86751</v>
      </c>
      <c r="HR154">
        <v>1.86998</v>
      </c>
      <c r="HS154">
        <v>1.86863</v>
      </c>
      <c r="HT154">
        <v>1.87007</v>
      </c>
      <c r="HU154">
        <v>0</v>
      </c>
      <c r="HV154">
        <v>0</v>
      </c>
      <c r="HW154">
        <v>0</v>
      </c>
      <c r="HX154">
        <v>0</v>
      </c>
      <c r="HY154" t="s">
        <v>421</v>
      </c>
      <c r="HZ154" t="s">
        <v>422</v>
      </c>
      <c r="IA154" t="s">
        <v>423</v>
      </c>
      <c r="IB154" t="s">
        <v>423</v>
      </c>
      <c r="IC154" t="s">
        <v>423</v>
      </c>
      <c r="ID154" t="s">
        <v>423</v>
      </c>
      <c r="IE154">
        <v>0</v>
      </c>
      <c r="IF154">
        <v>100</v>
      </c>
      <c r="IG154">
        <v>100</v>
      </c>
      <c r="IH154">
        <v>0.864</v>
      </c>
      <c r="II154">
        <v>0.0433</v>
      </c>
      <c r="IJ154">
        <v>1.257309091789605</v>
      </c>
      <c r="IK154">
        <v>-0.002185601614162945</v>
      </c>
      <c r="IL154">
        <v>-2.252308143750626E-07</v>
      </c>
      <c r="IM154">
        <v>5.915558436307541E-11</v>
      </c>
      <c r="IN154">
        <v>-0.118683452207699</v>
      </c>
      <c r="IO154">
        <v>-0.007570214193104963</v>
      </c>
      <c r="IP154">
        <v>0.0009214429922928372</v>
      </c>
      <c r="IQ154">
        <v>-1.392260276065805E-05</v>
      </c>
      <c r="IR154">
        <v>17</v>
      </c>
      <c r="IS154">
        <v>2272</v>
      </c>
      <c r="IT154">
        <v>1</v>
      </c>
      <c r="IU154">
        <v>31</v>
      </c>
      <c r="IV154">
        <v>19</v>
      </c>
      <c r="IW154">
        <v>19.2</v>
      </c>
      <c r="IX154">
        <v>0.466309</v>
      </c>
      <c r="IY154">
        <v>2.26929</v>
      </c>
      <c r="IZ154">
        <v>1.39648</v>
      </c>
      <c r="JA154">
        <v>2.35474</v>
      </c>
      <c r="JB154">
        <v>1.49536</v>
      </c>
      <c r="JC154">
        <v>2.26074</v>
      </c>
      <c r="JD154">
        <v>36.8604</v>
      </c>
      <c r="JE154">
        <v>15.2615</v>
      </c>
      <c r="JF154">
        <v>18</v>
      </c>
      <c r="JG154">
        <v>389.107</v>
      </c>
      <c r="JH154">
        <v>566.049</v>
      </c>
      <c r="JI154">
        <v>29.4394</v>
      </c>
      <c r="JJ154">
        <v>30.671</v>
      </c>
      <c r="JK154">
        <v>30.0006</v>
      </c>
      <c r="JL154">
        <v>30.5695</v>
      </c>
      <c r="JM154">
        <v>30.4762</v>
      </c>
      <c r="JN154">
        <v>9.31955</v>
      </c>
      <c r="JO154">
        <v>30.8236</v>
      </c>
      <c r="JP154">
        <v>0</v>
      </c>
      <c r="JQ154">
        <v>29.2544</v>
      </c>
      <c r="JR154">
        <v>132.21</v>
      </c>
      <c r="JS154">
        <v>17.7868</v>
      </c>
      <c r="JT154">
        <v>99.9637</v>
      </c>
      <c r="JU154">
        <v>100.066</v>
      </c>
    </row>
    <row r="155" spans="1:281">
      <c r="A155">
        <v>139</v>
      </c>
      <c r="B155">
        <v>1652372432</v>
      </c>
      <c r="C155">
        <v>4338.400000095367</v>
      </c>
      <c r="D155" t="s">
        <v>746</v>
      </c>
      <c r="E155" t="s">
        <v>747</v>
      </c>
      <c r="F155">
        <v>5</v>
      </c>
      <c r="G155" t="s">
        <v>711</v>
      </c>
      <c r="H155" t="s">
        <v>414</v>
      </c>
      <c r="I155">
        <v>1652372424.214286</v>
      </c>
      <c r="J155">
        <f>(K155)/1000</f>
        <v>0</v>
      </c>
      <c r="K155">
        <f>IF(CZ155, AN155, AH155)</f>
        <v>0</v>
      </c>
      <c r="L155">
        <f>IF(CZ155, AI155, AG155)</f>
        <v>0</v>
      </c>
      <c r="M155">
        <f>DB155 - IF(AU155&gt;1, L155*CV155*100.0/(AW155*DP155), 0)</f>
        <v>0</v>
      </c>
      <c r="N155">
        <f>((T155-J155/2)*M155-L155)/(T155+J155/2)</f>
        <v>0</v>
      </c>
      <c r="O155">
        <f>N155*(DI155+DJ155)/1000.0</f>
        <v>0</v>
      </c>
      <c r="P155">
        <f>(DB155 - IF(AU155&gt;1, L155*CV155*100.0/(AW155*DP155), 0))*(DI155+DJ155)/1000.0</f>
        <v>0</v>
      </c>
      <c r="Q155">
        <f>2.0/((1/S155-1/R155)+SIGN(S155)*SQRT((1/S155-1/R155)*(1/S155-1/R155) + 4*CW155/((CW155+1)*(CW155+1))*(2*1/S155*1/R155-1/R155*1/R155)))</f>
        <v>0</v>
      </c>
      <c r="R155">
        <f>IF(LEFT(CX155,1)&lt;&gt;"0",IF(LEFT(CX155,1)="1",3.0,CY155),$D$5+$E$5*(DP155*DI155/($K$5*1000))+$F$5*(DP155*DI155/($K$5*1000))*MAX(MIN(CV155,$J$5),$I$5)*MAX(MIN(CV155,$J$5),$I$5)+$G$5*MAX(MIN(CV155,$J$5),$I$5)*(DP155*DI155/($K$5*1000))+$H$5*(DP155*DI155/($K$5*1000))*(DP155*DI155/($K$5*1000)))</f>
        <v>0</v>
      </c>
      <c r="S155">
        <f>J155*(1000-(1000*0.61365*exp(17.502*W155/(240.97+W155))/(DI155+DJ155)+DD155)/2)/(1000*0.61365*exp(17.502*W155/(240.97+W155))/(DI155+DJ155)-DD155)</f>
        <v>0</v>
      </c>
      <c r="T155">
        <f>1/((CW155+1)/(Q155/1.6)+1/(R155/1.37)) + CW155/((CW155+1)/(Q155/1.6) + CW155/(R155/1.37))</f>
        <v>0</v>
      </c>
      <c r="U155">
        <f>(CR155*CU155)</f>
        <v>0</v>
      </c>
      <c r="V155">
        <f>(DK155+(U155+2*0.95*5.67E-8*(((DK155+$B$7)+273)^4-(DK155+273)^4)-44100*J155)/(1.84*29.3*R155+8*0.95*5.67E-8*(DK155+273)^3))</f>
        <v>0</v>
      </c>
      <c r="W155">
        <f>($C$7*DL155+$D$7*DM155+$E$7*V155)</f>
        <v>0</v>
      </c>
      <c r="X155">
        <f>0.61365*exp(17.502*W155/(240.97+W155))</f>
        <v>0</v>
      </c>
      <c r="Y155">
        <f>(Z155/AA155*100)</f>
        <v>0</v>
      </c>
      <c r="Z155">
        <f>DD155*(DI155+DJ155)/1000</f>
        <v>0</v>
      </c>
      <c r="AA155">
        <f>0.61365*exp(17.502*DK155/(240.97+DK155))</f>
        <v>0</v>
      </c>
      <c r="AB155">
        <f>(X155-DD155*(DI155+DJ155)/1000)</f>
        <v>0</v>
      </c>
      <c r="AC155">
        <f>(-J155*44100)</f>
        <v>0</v>
      </c>
      <c r="AD155">
        <f>2*29.3*R155*0.92*(DK155-W155)</f>
        <v>0</v>
      </c>
      <c r="AE155">
        <f>2*0.95*5.67E-8*(((DK155+$B$7)+273)^4-(W155+273)^4)</f>
        <v>0</v>
      </c>
      <c r="AF155">
        <f>U155+AE155+AC155+AD155</f>
        <v>0</v>
      </c>
      <c r="AG155">
        <f>DH155*AU155*(DC155-DB155*(1000-AU155*DE155)/(1000-AU155*DD155))/(100*CV155)</f>
        <v>0</v>
      </c>
      <c r="AH155">
        <f>1000*DH155*AU155*(DD155-DE155)/(100*CV155*(1000-AU155*DD155))</f>
        <v>0</v>
      </c>
      <c r="AI155">
        <f>(AJ155 - AK155 - DI155*1E3/(8.314*(DK155+273.15)) * AM155/DH155 * AL155) * DH155/(100*CV155) * (1000 - DE155)/1000</f>
        <v>0</v>
      </c>
      <c r="AJ155">
        <v>156.2994110043617</v>
      </c>
      <c r="AK155">
        <v>167.8276242424242</v>
      </c>
      <c r="AL155">
        <v>-3.125626795294709</v>
      </c>
      <c r="AM155">
        <v>65.96288611109561</v>
      </c>
      <c r="AN155">
        <f>(AP155 - AO155 + DI155*1E3/(8.314*(DK155+273.15)) * AR155/DH155 * AQ155) * DH155/(100*CV155) * 1000/(1000 - AP155)</f>
        <v>0</v>
      </c>
      <c r="AO155">
        <v>17.66947471237611</v>
      </c>
      <c r="AP155">
        <v>24.50059510489513</v>
      </c>
      <c r="AQ155">
        <v>0.008873314873155246</v>
      </c>
      <c r="AR155">
        <v>81.18387902069509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MAX(0,($B$13+$C$13*DP155)/(1+$D$13*DP155)*DI155/(DK155+273)*$E$13)</f>
        <v>0</v>
      </c>
      <c r="AX155" t="s">
        <v>417</v>
      </c>
      <c r="AY155" t="s">
        <v>417</v>
      </c>
      <c r="AZ155">
        <v>0</v>
      </c>
      <c r="BA155">
        <v>0</v>
      </c>
      <c r="BB155">
        <f>1-AZ155/BA155</f>
        <v>0</v>
      </c>
      <c r="BC155">
        <v>0</v>
      </c>
      <c r="BD155" t="s">
        <v>417</v>
      </c>
      <c r="BE155" t="s">
        <v>417</v>
      </c>
      <c r="BF155">
        <v>0</v>
      </c>
      <c r="BG155">
        <v>0</v>
      </c>
      <c r="BH155">
        <f>1-BF155/BG155</f>
        <v>0</v>
      </c>
      <c r="BI155">
        <v>0.5</v>
      </c>
      <c r="BJ155">
        <f>CS155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417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1393</v>
      </c>
      <c r="CA155">
        <v>300</v>
      </c>
      <c r="CB155">
        <v>300</v>
      </c>
      <c r="CC155">
        <v>300</v>
      </c>
      <c r="CD155">
        <v>10378</v>
      </c>
      <c r="CE155">
        <v>2050</v>
      </c>
      <c r="CF155">
        <v>-0.00730649</v>
      </c>
      <c r="CG155">
        <v>-4.53</v>
      </c>
      <c r="CH155" t="s">
        <v>417</v>
      </c>
      <c r="CI155" t="s">
        <v>417</v>
      </c>
      <c r="CJ155" t="s">
        <v>417</v>
      </c>
      <c r="CK155" t="s">
        <v>417</v>
      </c>
      <c r="CL155" t="s">
        <v>417</v>
      </c>
      <c r="CM155" t="s">
        <v>417</v>
      </c>
      <c r="CN155" t="s">
        <v>417</v>
      </c>
      <c r="CO155" t="s">
        <v>417</v>
      </c>
      <c r="CP155" t="s">
        <v>417</v>
      </c>
      <c r="CQ155" t="s">
        <v>417</v>
      </c>
      <c r="CR155">
        <f>$B$11*DQ155+$C$11*DR155+$F$11*EC155*(1-EF155)</f>
        <v>0</v>
      </c>
      <c r="CS155">
        <f>CR155*CT155</f>
        <v>0</v>
      </c>
      <c r="CT155">
        <f>($B$11*$D$9+$C$11*$D$9+$F$11*((EP155+EH155)/MAX(EP155+EH155+EQ155, 0.1)*$I$9+EQ155/MAX(EP155+EH155+EQ155, 0.1)*$J$9))/($B$11+$C$11+$F$11)</f>
        <v>0</v>
      </c>
      <c r="CU155">
        <f>($B$11*$K$9+$C$11*$K$9+$F$11*((EP155+EH155)/MAX(EP155+EH155+EQ155, 0.1)*$P$9+EQ155/MAX(EP155+EH155+EQ155, 0.1)*$Q$9))/($B$11+$C$11+$F$11)</f>
        <v>0</v>
      </c>
      <c r="CV155">
        <v>6</v>
      </c>
      <c r="CW155">
        <v>0.5</v>
      </c>
      <c r="CX155" t="s">
        <v>418</v>
      </c>
      <c r="CY155">
        <v>2</v>
      </c>
      <c r="CZ155" t="b">
        <v>1</v>
      </c>
      <c r="DA155">
        <v>1652372424.214286</v>
      </c>
      <c r="DB155">
        <v>186.0027142857143</v>
      </c>
      <c r="DC155">
        <v>166.3859642857143</v>
      </c>
      <c r="DD155">
        <v>24.44858928571429</v>
      </c>
      <c r="DE155">
        <v>17.62655357142857</v>
      </c>
      <c r="DF155">
        <v>185.1575714285714</v>
      </c>
      <c r="DG155">
        <v>24.405575</v>
      </c>
      <c r="DH155">
        <v>400.071357142857</v>
      </c>
      <c r="DI155">
        <v>90.39859285714284</v>
      </c>
      <c r="DJ155">
        <v>0.1000000607142857</v>
      </c>
      <c r="DK155">
        <v>30.96592857142857</v>
      </c>
      <c r="DL155">
        <v>30.10265714285714</v>
      </c>
      <c r="DM155">
        <v>999.9000000000002</v>
      </c>
      <c r="DN155">
        <v>0</v>
      </c>
      <c r="DO155">
        <v>0</v>
      </c>
      <c r="DP155">
        <v>9999.930714285714</v>
      </c>
      <c r="DQ155">
        <v>0</v>
      </c>
      <c r="DR155">
        <v>492.8929642857143</v>
      </c>
      <c r="DS155">
        <v>19.61690714285714</v>
      </c>
      <c r="DT155">
        <v>190.6637857142857</v>
      </c>
      <c r="DU155">
        <v>169.3702857142857</v>
      </c>
      <c r="DV155">
        <v>6.82203142857143</v>
      </c>
      <c r="DW155">
        <v>166.3859642857143</v>
      </c>
      <c r="DX155">
        <v>17.62655357142857</v>
      </c>
      <c r="DY155">
        <v>2.210118214285714</v>
      </c>
      <c r="DZ155">
        <v>1.593416785714286</v>
      </c>
      <c r="EA155">
        <v>19.03582857142857</v>
      </c>
      <c r="EB155">
        <v>13.89515714285714</v>
      </c>
      <c r="EC155">
        <v>1500.007857142857</v>
      </c>
      <c r="ED155">
        <v>0.9729973214285713</v>
      </c>
      <c r="EE155">
        <v>0.02700293928571428</v>
      </c>
      <c r="EF155">
        <v>0</v>
      </c>
      <c r="EG155">
        <v>1708.227142857143</v>
      </c>
      <c r="EH155">
        <v>5.00097</v>
      </c>
      <c r="EI155">
        <v>26473.30714285714</v>
      </c>
      <c r="EJ155">
        <v>12491.65714285714</v>
      </c>
      <c r="EK155">
        <v>40</v>
      </c>
      <c r="EL155">
        <v>41.5</v>
      </c>
      <c r="EM155">
        <v>40.18699999999999</v>
      </c>
      <c r="EN155">
        <v>41.375</v>
      </c>
      <c r="EO155">
        <v>41.125</v>
      </c>
      <c r="EP155">
        <v>1454.636785714286</v>
      </c>
      <c r="EQ155">
        <v>40.37107142857142</v>
      </c>
      <c r="ER155">
        <v>0</v>
      </c>
      <c r="ES155">
        <v>1265.799999952316</v>
      </c>
      <c r="ET155">
        <v>0</v>
      </c>
      <c r="EU155">
        <v>1708.182692307692</v>
      </c>
      <c r="EV155">
        <v>-46.89196584384261</v>
      </c>
      <c r="EW155">
        <v>-1679.911112089284</v>
      </c>
      <c r="EX155">
        <v>26472.02307692308</v>
      </c>
      <c r="EY155">
        <v>15</v>
      </c>
      <c r="EZ155">
        <v>1652371289.6</v>
      </c>
      <c r="FA155" t="s">
        <v>515</v>
      </c>
      <c r="FB155">
        <v>1652371289.6</v>
      </c>
      <c r="FC155">
        <v>1652371275.1</v>
      </c>
      <c r="FD155">
        <v>24</v>
      </c>
      <c r="FE155">
        <v>0.442</v>
      </c>
      <c r="FF155">
        <v>0.001</v>
      </c>
      <c r="FG155">
        <v>-2.63</v>
      </c>
      <c r="FH155">
        <v>0.007</v>
      </c>
      <c r="FI155">
        <v>1620</v>
      </c>
      <c r="FJ155">
        <v>22</v>
      </c>
      <c r="FK155">
        <v>0.08</v>
      </c>
      <c r="FL155">
        <v>0.04</v>
      </c>
      <c r="FM155">
        <v>18.76599756097561</v>
      </c>
      <c r="FN155">
        <v>15.91773240418118</v>
      </c>
      <c r="FO155">
        <v>1.580922282609929</v>
      </c>
      <c r="FP155">
        <v>-1</v>
      </c>
      <c r="FQ155">
        <v>6.864876341463415</v>
      </c>
      <c r="FR155">
        <v>-0.7302073170731921</v>
      </c>
      <c r="FS155">
        <v>0.07583718010722126</v>
      </c>
      <c r="FT155">
        <v>0</v>
      </c>
      <c r="FU155">
        <v>0</v>
      </c>
      <c r="FV155">
        <v>0</v>
      </c>
      <c r="FW155">
        <v>0</v>
      </c>
      <c r="FX155">
        <v>-1</v>
      </c>
      <c r="FY155">
        <v>0</v>
      </c>
      <c r="FZ155">
        <v>1</v>
      </c>
      <c r="GA155" t="s">
        <v>432</v>
      </c>
      <c r="GB155">
        <v>2.69592</v>
      </c>
      <c r="GC155">
        <v>2.70513</v>
      </c>
      <c r="GD155">
        <v>0.041538</v>
      </c>
      <c r="GE155">
        <v>0.0361182</v>
      </c>
      <c r="GF155">
        <v>0.10761</v>
      </c>
      <c r="GG155">
        <v>0.08438859999999999</v>
      </c>
      <c r="GH155">
        <v>30133.5</v>
      </c>
      <c r="GI155">
        <v>30433.5</v>
      </c>
      <c r="GJ155">
        <v>29245.4</v>
      </c>
      <c r="GK155">
        <v>29216.9</v>
      </c>
      <c r="GL155">
        <v>34550.9</v>
      </c>
      <c r="GM155">
        <v>35608.8</v>
      </c>
      <c r="GN155">
        <v>41161</v>
      </c>
      <c r="GO155">
        <v>41686.5</v>
      </c>
      <c r="GP155">
        <v>1.7262</v>
      </c>
      <c r="GQ155">
        <v>2.02975</v>
      </c>
      <c r="GR155">
        <v>0.0622123</v>
      </c>
      <c r="GS155">
        <v>0</v>
      </c>
      <c r="GT155">
        <v>29.1179</v>
      </c>
      <c r="GU155">
        <v>999.9</v>
      </c>
      <c r="GV155">
        <v>44.8</v>
      </c>
      <c r="GW155">
        <v>33.2</v>
      </c>
      <c r="GX155">
        <v>25.3207</v>
      </c>
      <c r="GY155">
        <v>63.138</v>
      </c>
      <c r="GZ155">
        <v>29.3389</v>
      </c>
      <c r="HA155">
        <v>1</v>
      </c>
      <c r="HB155">
        <v>0.254416</v>
      </c>
      <c r="HC155">
        <v>1.05066</v>
      </c>
      <c r="HD155">
        <v>20.3779</v>
      </c>
      <c r="HE155">
        <v>5.21714</v>
      </c>
      <c r="HF155">
        <v>12.0099</v>
      </c>
      <c r="HG155">
        <v>4.9883</v>
      </c>
      <c r="HH155">
        <v>3.28833</v>
      </c>
      <c r="HI155">
        <v>2724.8</v>
      </c>
      <c r="HJ155">
        <v>9999</v>
      </c>
      <c r="HK155">
        <v>9999</v>
      </c>
      <c r="HL155">
        <v>50.1</v>
      </c>
      <c r="HM155">
        <v>1.86722</v>
      </c>
      <c r="HN155">
        <v>1.86622</v>
      </c>
      <c r="HO155">
        <v>1.86581</v>
      </c>
      <c r="HP155">
        <v>1.86567</v>
      </c>
      <c r="HQ155">
        <v>1.86747</v>
      </c>
      <c r="HR155">
        <v>1.86997</v>
      </c>
      <c r="HS155">
        <v>1.86861</v>
      </c>
      <c r="HT155">
        <v>1.87003</v>
      </c>
      <c r="HU155">
        <v>0</v>
      </c>
      <c r="HV155">
        <v>0</v>
      </c>
      <c r="HW155">
        <v>0</v>
      </c>
      <c r="HX155">
        <v>0</v>
      </c>
      <c r="HY155" t="s">
        <v>421</v>
      </c>
      <c r="HZ155" t="s">
        <v>422</v>
      </c>
      <c r="IA155" t="s">
        <v>423</v>
      </c>
      <c r="IB155" t="s">
        <v>423</v>
      </c>
      <c r="IC155" t="s">
        <v>423</v>
      </c>
      <c r="ID155" t="s">
        <v>423</v>
      </c>
      <c r="IE155">
        <v>0</v>
      </c>
      <c r="IF155">
        <v>100</v>
      </c>
      <c r="IG155">
        <v>100</v>
      </c>
      <c r="IH155">
        <v>0.899</v>
      </c>
      <c r="II155">
        <v>0.0437</v>
      </c>
      <c r="IJ155">
        <v>1.257309091789605</v>
      </c>
      <c r="IK155">
        <v>-0.002185601614162945</v>
      </c>
      <c r="IL155">
        <v>-2.252308143750626E-07</v>
      </c>
      <c r="IM155">
        <v>5.915558436307541E-11</v>
      </c>
      <c r="IN155">
        <v>-0.118683452207699</v>
      </c>
      <c r="IO155">
        <v>-0.007570214193104963</v>
      </c>
      <c r="IP155">
        <v>0.0009214429922928372</v>
      </c>
      <c r="IQ155">
        <v>-1.392260276065805E-05</v>
      </c>
      <c r="IR155">
        <v>17</v>
      </c>
      <c r="IS155">
        <v>2272</v>
      </c>
      <c r="IT155">
        <v>1</v>
      </c>
      <c r="IU155">
        <v>31</v>
      </c>
      <c r="IV155">
        <v>19</v>
      </c>
      <c r="IW155">
        <v>19.3</v>
      </c>
      <c r="IX155">
        <v>0.430908</v>
      </c>
      <c r="IY155">
        <v>2.26929</v>
      </c>
      <c r="IZ155">
        <v>1.39648</v>
      </c>
      <c r="JA155">
        <v>2.35474</v>
      </c>
      <c r="JB155">
        <v>1.49536</v>
      </c>
      <c r="JC155">
        <v>2.29492</v>
      </c>
      <c r="JD155">
        <v>36.8604</v>
      </c>
      <c r="JE155">
        <v>15.2615</v>
      </c>
      <c r="JF155">
        <v>18</v>
      </c>
      <c r="JG155">
        <v>388.978</v>
      </c>
      <c r="JH155">
        <v>565.961</v>
      </c>
      <c r="JI155">
        <v>29.2955</v>
      </c>
      <c r="JJ155">
        <v>30.6777</v>
      </c>
      <c r="JK155">
        <v>30.0011</v>
      </c>
      <c r="JL155">
        <v>30.5748</v>
      </c>
      <c r="JM155">
        <v>30.4808</v>
      </c>
      <c r="JN155">
        <v>8.60843</v>
      </c>
      <c r="JO155">
        <v>30.8236</v>
      </c>
      <c r="JP155">
        <v>0</v>
      </c>
      <c r="JQ155">
        <v>29.1317</v>
      </c>
      <c r="JR155">
        <v>118.786</v>
      </c>
      <c r="JS155">
        <v>17.8368</v>
      </c>
      <c r="JT155">
        <v>99.9623</v>
      </c>
      <c r="JU155">
        <v>100.065</v>
      </c>
    </row>
    <row r="156" spans="1:281">
      <c r="A156">
        <v>140</v>
      </c>
      <c r="B156">
        <v>1652372437</v>
      </c>
      <c r="C156">
        <v>4343.400000095367</v>
      </c>
      <c r="D156" t="s">
        <v>748</v>
      </c>
      <c r="E156" t="s">
        <v>749</v>
      </c>
      <c r="F156">
        <v>5</v>
      </c>
      <c r="G156" t="s">
        <v>711</v>
      </c>
      <c r="H156" t="s">
        <v>414</v>
      </c>
      <c r="I156">
        <v>1652372429.5</v>
      </c>
      <c r="J156">
        <f>(K156)/1000</f>
        <v>0</v>
      </c>
      <c r="K156">
        <f>IF(CZ156, AN156, AH156)</f>
        <v>0</v>
      </c>
      <c r="L156">
        <f>IF(CZ156, AI156, AG156)</f>
        <v>0</v>
      </c>
      <c r="M156">
        <f>DB156 - IF(AU156&gt;1, L156*CV156*100.0/(AW156*DP156), 0)</f>
        <v>0</v>
      </c>
      <c r="N156">
        <f>((T156-J156/2)*M156-L156)/(T156+J156/2)</f>
        <v>0</v>
      </c>
      <c r="O156">
        <f>N156*(DI156+DJ156)/1000.0</f>
        <v>0</v>
      </c>
      <c r="P156">
        <f>(DB156 - IF(AU156&gt;1, L156*CV156*100.0/(AW156*DP156), 0))*(DI156+DJ156)/1000.0</f>
        <v>0</v>
      </c>
      <c r="Q156">
        <f>2.0/((1/S156-1/R156)+SIGN(S156)*SQRT((1/S156-1/R156)*(1/S156-1/R156) + 4*CW156/((CW156+1)*(CW156+1))*(2*1/S156*1/R156-1/R156*1/R156)))</f>
        <v>0</v>
      </c>
      <c r="R156">
        <f>IF(LEFT(CX156,1)&lt;&gt;"0",IF(LEFT(CX156,1)="1",3.0,CY156),$D$5+$E$5*(DP156*DI156/($K$5*1000))+$F$5*(DP156*DI156/($K$5*1000))*MAX(MIN(CV156,$J$5),$I$5)*MAX(MIN(CV156,$J$5),$I$5)+$G$5*MAX(MIN(CV156,$J$5),$I$5)*(DP156*DI156/($K$5*1000))+$H$5*(DP156*DI156/($K$5*1000))*(DP156*DI156/($K$5*1000)))</f>
        <v>0</v>
      </c>
      <c r="S156">
        <f>J156*(1000-(1000*0.61365*exp(17.502*W156/(240.97+W156))/(DI156+DJ156)+DD156)/2)/(1000*0.61365*exp(17.502*W156/(240.97+W156))/(DI156+DJ156)-DD156)</f>
        <v>0</v>
      </c>
      <c r="T156">
        <f>1/((CW156+1)/(Q156/1.6)+1/(R156/1.37)) + CW156/((CW156+1)/(Q156/1.6) + CW156/(R156/1.37))</f>
        <v>0</v>
      </c>
      <c r="U156">
        <f>(CR156*CU156)</f>
        <v>0</v>
      </c>
      <c r="V156">
        <f>(DK156+(U156+2*0.95*5.67E-8*(((DK156+$B$7)+273)^4-(DK156+273)^4)-44100*J156)/(1.84*29.3*R156+8*0.95*5.67E-8*(DK156+273)^3))</f>
        <v>0</v>
      </c>
      <c r="W156">
        <f>($C$7*DL156+$D$7*DM156+$E$7*V156)</f>
        <v>0</v>
      </c>
      <c r="X156">
        <f>0.61365*exp(17.502*W156/(240.97+W156))</f>
        <v>0</v>
      </c>
      <c r="Y156">
        <f>(Z156/AA156*100)</f>
        <v>0</v>
      </c>
      <c r="Z156">
        <f>DD156*(DI156+DJ156)/1000</f>
        <v>0</v>
      </c>
      <c r="AA156">
        <f>0.61365*exp(17.502*DK156/(240.97+DK156))</f>
        <v>0</v>
      </c>
      <c r="AB156">
        <f>(X156-DD156*(DI156+DJ156)/1000)</f>
        <v>0</v>
      </c>
      <c r="AC156">
        <f>(-J156*44100)</f>
        <v>0</v>
      </c>
      <c r="AD156">
        <f>2*29.3*R156*0.92*(DK156-W156)</f>
        <v>0</v>
      </c>
      <c r="AE156">
        <f>2*0.95*5.67E-8*(((DK156+$B$7)+273)^4-(W156+273)^4)</f>
        <v>0</v>
      </c>
      <c r="AF156">
        <f>U156+AE156+AC156+AD156</f>
        <v>0</v>
      </c>
      <c r="AG156">
        <f>DH156*AU156*(DC156-DB156*(1000-AU156*DE156)/(1000-AU156*DD156))/(100*CV156)</f>
        <v>0</v>
      </c>
      <c r="AH156">
        <f>1000*DH156*AU156*(DD156-DE156)/(100*CV156*(1000-AU156*DD156))</f>
        <v>0</v>
      </c>
      <c r="AI156">
        <f>(AJ156 - AK156 - DI156*1E3/(8.314*(DK156+273.15)) * AM156/DH156 * AL156) * DH156/(100*CV156) * (1000 - DE156)/1000</f>
        <v>0</v>
      </c>
      <c r="AJ156">
        <v>138.9470909081657</v>
      </c>
      <c r="AK156">
        <v>151.9983818181818</v>
      </c>
      <c r="AL156">
        <v>-3.169509753740538</v>
      </c>
      <c r="AM156">
        <v>65.96288611109561</v>
      </c>
      <c r="AN156">
        <f>(AP156 - AO156 + DI156*1E3/(8.314*(DK156+273.15)) * AR156/DH156 * AQ156) * DH156/(100*CV156) * 1000/(1000 - AP156)</f>
        <v>0</v>
      </c>
      <c r="AO156">
        <v>17.72408704328187</v>
      </c>
      <c r="AP156">
        <v>24.52518531468533</v>
      </c>
      <c r="AQ156">
        <v>0.006916467644343411</v>
      </c>
      <c r="AR156">
        <v>81.18387902069509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MAX(0,($B$13+$C$13*DP156)/(1+$D$13*DP156)*DI156/(DK156+273)*$E$13)</f>
        <v>0</v>
      </c>
      <c r="AX156" t="s">
        <v>417</v>
      </c>
      <c r="AY156" t="s">
        <v>417</v>
      </c>
      <c r="AZ156">
        <v>0</v>
      </c>
      <c r="BA156">
        <v>0</v>
      </c>
      <c r="BB156">
        <f>1-AZ156/BA156</f>
        <v>0</v>
      </c>
      <c r="BC156">
        <v>0</v>
      </c>
      <c r="BD156" t="s">
        <v>417</v>
      </c>
      <c r="BE156" t="s">
        <v>417</v>
      </c>
      <c r="BF156">
        <v>0</v>
      </c>
      <c r="BG156">
        <v>0</v>
      </c>
      <c r="BH156">
        <f>1-BF156/BG156</f>
        <v>0</v>
      </c>
      <c r="BI156">
        <v>0.5</v>
      </c>
      <c r="BJ156">
        <f>CS156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417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1393</v>
      </c>
      <c r="CA156">
        <v>300</v>
      </c>
      <c r="CB156">
        <v>300</v>
      </c>
      <c r="CC156">
        <v>300</v>
      </c>
      <c r="CD156">
        <v>10378</v>
      </c>
      <c r="CE156">
        <v>2050</v>
      </c>
      <c r="CF156">
        <v>-0.00730649</v>
      </c>
      <c r="CG156">
        <v>-4.53</v>
      </c>
      <c r="CH156" t="s">
        <v>417</v>
      </c>
      <c r="CI156" t="s">
        <v>417</v>
      </c>
      <c r="CJ156" t="s">
        <v>417</v>
      </c>
      <c r="CK156" t="s">
        <v>417</v>
      </c>
      <c r="CL156" t="s">
        <v>417</v>
      </c>
      <c r="CM156" t="s">
        <v>417</v>
      </c>
      <c r="CN156" t="s">
        <v>417</v>
      </c>
      <c r="CO156" t="s">
        <v>417</v>
      </c>
      <c r="CP156" t="s">
        <v>417</v>
      </c>
      <c r="CQ156" t="s">
        <v>417</v>
      </c>
      <c r="CR156">
        <f>$B$11*DQ156+$C$11*DR156+$F$11*EC156*(1-EF156)</f>
        <v>0</v>
      </c>
      <c r="CS156">
        <f>CR156*CT156</f>
        <v>0</v>
      </c>
      <c r="CT156">
        <f>($B$11*$D$9+$C$11*$D$9+$F$11*((EP156+EH156)/MAX(EP156+EH156+EQ156, 0.1)*$I$9+EQ156/MAX(EP156+EH156+EQ156, 0.1)*$J$9))/($B$11+$C$11+$F$11)</f>
        <v>0</v>
      </c>
      <c r="CU156">
        <f>($B$11*$K$9+$C$11*$K$9+$F$11*((EP156+EH156)/MAX(EP156+EH156+EQ156, 0.1)*$P$9+EQ156/MAX(EP156+EH156+EQ156, 0.1)*$Q$9))/($B$11+$C$11+$F$11)</f>
        <v>0</v>
      </c>
      <c r="CV156">
        <v>6</v>
      </c>
      <c r="CW156">
        <v>0.5</v>
      </c>
      <c r="CX156" t="s">
        <v>418</v>
      </c>
      <c r="CY156">
        <v>2</v>
      </c>
      <c r="CZ156" t="b">
        <v>1</v>
      </c>
      <c r="DA156">
        <v>1652372429.5</v>
      </c>
      <c r="DB156">
        <v>169.8096296296297</v>
      </c>
      <c r="DC156">
        <v>148.7044444444444</v>
      </c>
      <c r="DD156">
        <v>24.48486296296296</v>
      </c>
      <c r="DE156">
        <v>17.69681481481481</v>
      </c>
      <c r="DF156">
        <v>168.9278518518518</v>
      </c>
      <c r="DG156">
        <v>24.4413925925926</v>
      </c>
      <c r="DH156">
        <v>400.0677037037037</v>
      </c>
      <c r="DI156">
        <v>90.39928148148148</v>
      </c>
      <c r="DJ156">
        <v>0.1000036333333333</v>
      </c>
      <c r="DK156">
        <v>30.96715925925926</v>
      </c>
      <c r="DL156">
        <v>30.12112222222222</v>
      </c>
      <c r="DM156">
        <v>999.9000000000001</v>
      </c>
      <c r="DN156">
        <v>0</v>
      </c>
      <c r="DO156">
        <v>0</v>
      </c>
      <c r="DP156">
        <v>9995.375555555556</v>
      </c>
      <c r="DQ156">
        <v>0</v>
      </c>
      <c r="DR156">
        <v>467.9594074074075</v>
      </c>
      <c r="DS156">
        <v>21.10540000000001</v>
      </c>
      <c r="DT156">
        <v>174.0714814814815</v>
      </c>
      <c r="DU156">
        <v>151.3827407407408</v>
      </c>
      <c r="DV156">
        <v>6.788037777777778</v>
      </c>
      <c r="DW156">
        <v>148.7044444444444</v>
      </c>
      <c r="DX156">
        <v>17.69681481481481</v>
      </c>
      <c r="DY156">
        <v>2.213412962962963</v>
      </c>
      <c r="DZ156">
        <v>1.59977962962963</v>
      </c>
      <c r="EA156">
        <v>19.05971111111111</v>
      </c>
      <c r="EB156">
        <v>13.95663703703704</v>
      </c>
      <c r="EC156">
        <v>1499.987037037037</v>
      </c>
      <c r="ED156">
        <v>0.9729972222222222</v>
      </c>
      <c r="EE156">
        <v>0.02700304444444444</v>
      </c>
      <c r="EF156">
        <v>0</v>
      </c>
      <c r="EG156">
        <v>1703.129629629629</v>
      </c>
      <c r="EH156">
        <v>5.00097</v>
      </c>
      <c r="EI156">
        <v>26330.28518518519</v>
      </c>
      <c r="EJ156">
        <v>12491.47407407407</v>
      </c>
      <c r="EK156">
        <v>40</v>
      </c>
      <c r="EL156">
        <v>41.5</v>
      </c>
      <c r="EM156">
        <v>40.18699999999999</v>
      </c>
      <c r="EN156">
        <v>41.375</v>
      </c>
      <c r="EO156">
        <v>41.125</v>
      </c>
      <c r="EP156">
        <v>1454.615925925926</v>
      </c>
      <c r="EQ156">
        <v>40.37111111111111</v>
      </c>
      <c r="ER156">
        <v>0</v>
      </c>
      <c r="ES156">
        <v>1271.199999809265</v>
      </c>
      <c r="ET156">
        <v>0</v>
      </c>
      <c r="EU156">
        <v>1702.5968</v>
      </c>
      <c r="EV156">
        <v>-70.00230779226601</v>
      </c>
      <c r="EW156">
        <v>-1371.946155739825</v>
      </c>
      <c r="EX156">
        <v>26319.192</v>
      </c>
      <c r="EY156">
        <v>15</v>
      </c>
      <c r="EZ156">
        <v>1652371289.6</v>
      </c>
      <c r="FA156" t="s">
        <v>515</v>
      </c>
      <c r="FB156">
        <v>1652371289.6</v>
      </c>
      <c r="FC156">
        <v>1652371275.1</v>
      </c>
      <c r="FD156">
        <v>24</v>
      </c>
      <c r="FE156">
        <v>0.442</v>
      </c>
      <c r="FF156">
        <v>0.001</v>
      </c>
      <c r="FG156">
        <v>-2.63</v>
      </c>
      <c r="FH156">
        <v>0.007</v>
      </c>
      <c r="FI156">
        <v>1620</v>
      </c>
      <c r="FJ156">
        <v>22</v>
      </c>
      <c r="FK156">
        <v>0.08</v>
      </c>
      <c r="FL156">
        <v>0.04</v>
      </c>
      <c r="FM156">
        <v>20.3260625</v>
      </c>
      <c r="FN156">
        <v>16.67995159474669</v>
      </c>
      <c r="FO156">
        <v>1.614560701040301</v>
      </c>
      <c r="FP156">
        <v>-1</v>
      </c>
      <c r="FQ156">
        <v>6.80959</v>
      </c>
      <c r="FR156">
        <v>-0.3628230393996368</v>
      </c>
      <c r="FS156">
        <v>0.03896582483407734</v>
      </c>
      <c r="FT156">
        <v>1</v>
      </c>
      <c r="FU156">
        <v>0</v>
      </c>
      <c r="FV156">
        <v>0</v>
      </c>
      <c r="FW156">
        <v>0</v>
      </c>
      <c r="FX156">
        <v>-1</v>
      </c>
      <c r="FY156">
        <v>1</v>
      </c>
      <c r="FZ156">
        <v>1</v>
      </c>
      <c r="GA156" t="s">
        <v>420</v>
      </c>
      <c r="GB156">
        <v>2.69558</v>
      </c>
      <c r="GC156">
        <v>2.70498</v>
      </c>
      <c r="GD156">
        <v>0.0378056</v>
      </c>
      <c r="GE156">
        <v>0.0321007</v>
      </c>
      <c r="GF156">
        <v>0.107677</v>
      </c>
      <c r="GG156">
        <v>0.0846079</v>
      </c>
      <c r="GH156">
        <v>30250.1</v>
      </c>
      <c r="GI156">
        <v>30559.5</v>
      </c>
      <c r="GJ156">
        <v>29244.8</v>
      </c>
      <c r="GK156">
        <v>29216.1</v>
      </c>
      <c r="GL156">
        <v>34547.7</v>
      </c>
      <c r="GM156">
        <v>35599.1</v>
      </c>
      <c r="GN156">
        <v>41160.4</v>
      </c>
      <c r="GO156">
        <v>41685.2</v>
      </c>
      <c r="GP156">
        <v>1.726</v>
      </c>
      <c r="GQ156">
        <v>2.02982</v>
      </c>
      <c r="GR156">
        <v>0.0621378</v>
      </c>
      <c r="GS156">
        <v>0</v>
      </c>
      <c r="GT156">
        <v>29.1135</v>
      </c>
      <c r="GU156">
        <v>999.9</v>
      </c>
      <c r="GV156">
        <v>44.8</v>
      </c>
      <c r="GW156">
        <v>33.2</v>
      </c>
      <c r="GX156">
        <v>25.3203</v>
      </c>
      <c r="GY156">
        <v>62.968</v>
      </c>
      <c r="GZ156">
        <v>29.6554</v>
      </c>
      <c r="HA156">
        <v>1</v>
      </c>
      <c r="HB156">
        <v>0.255546</v>
      </c>
      <c r="HC156">
        <v>1.21973</v>
      </c>
      <c r="HD156">
        <v>20.3765</v>
      </c>
      <c r="HE156">
        <v>5.21639</v>
      </c>
      <c r="HF156">
        <v>12.0099</v>
      </c>
      <c r="HG156">
        <v>4.9874</v>
      </c>
      <c r="HH156">
        <v>3.2883</v>
      </c>
      <c r="HI156">
        <v>2725.1</v>
      </c>
      <c r="HJ156">
        <v>9999</v>
      </c>
      <c r="HK156">
        <v>9999</v>
      </c>
      <c r="HL156">
        <v>50.1</v>
      </c>
      <c r="HM156">
        <v>1.86722</v>
      </c>
      <c r="HN156">
        <v>1.86622</v>
      </c>
      <c r="HO156">
        <v>1.8658</v>
      </c>
      <c r="HP156">
        <v>1.86568</v>
      </c>
      <c r="HQ156">
        <v>1.86749</v>
      </c>
      <c r="HR156">
        <v>1.86998</v>
      </c>
      <c r="HS156">
        <v>1.86862</v>
      </c>
      <c r="HT156">
        <v>1.87002</v>
      </c>
      <c r="HU156">
        <v>0</v>
      </c>
      <c r="HV156">
        <v>0</v>
      </c>
      <c r="HW156">
        <v>0</v>
      </c>
      <c r="HX156">
        <v>0</v>
      </c>
      <c r="HY156" t="s">
        <v>421</v>
      </c>
      <c r="HZ156" t="s">
        <v>422</v>
      </c>
      <c r="IA156" t="s">
        <v>423</v>
      </c>
      <c r="IB156" t="s">
        <v>423</v>
      </c>
      <c r="IC156" t="s">
        <v>423</v>
      </c>
      <c r="ID156" t="s">
        <v>423</v>
      </c>
      <c r="IE156">
        <v>0</v>
      </c>
      <c r="IF156">
        <v>100</v>
      </c>
      <c r="IG156">
        <v>100</v>
      </c>
      <c r="IH156">
        <v>0.9340000000000001</v>
      </c>
      <c r="II156">
        <v>0.044</v>
      </c>
      <c r="IJ156">
        <v>1.257309091789605</v>
      </c>
      <c r="IK156">
        <v>-0.002185601614162945</v>
      </c>
      <c r="IL156">
        <v>-2.252308143750626E-07</v>
      </c>
      <c r="IM156">
        <v>5.915558436307541E-11</v>
      </c>
      <c r="IN156">
        <v>-0.118683452207699</v>
      </c>
      <c r="IO156">
        <v>-0.007570214193104963</v>
      </c>
      <c r="IP156">
        <v>0.0009214429922928372</v>
      </c>
      <c r="IQ156">
        <v>-1.392260276065805E-05</v>
      </c>
      <c r="IR156">
        <v>17</v>
      </c>
      <c r="IS156">
        <v>2272</v>
      </c>
      <c r="IT156">
        <v>1</v>
      </c>
      <c r="IU156">
        <v>31</v>
      </c>
      <c r="IV156">
        <v>19.1</v>
      </c>
      <c r="IW156">
        <v>19.4</v>
      </c>
      <c r="IX156">
        <v>0.401611</v>
      </c>
      <c r="IY156">
        <v>2.27173</v>
      </c>
      <c r="IZ156">
        <v>1.39648</v>
      </c>
      <c r="JA156">
        <v>2.35474</v>
      </c>
      <c r="JB156">
        <v>1.49536</v>
      </c>
      <c r="JC156">
        <v>2.29492</v>
      </c>
      <c r="JD156">
        <v>36.8604</v>
      </c>
      <c r="JE156">
        <v>15.2615</v>
      </c>
      <c r="JF156">
        <v>18</v>
      </c>
      <c r="JG156">
        <v>388.902</v>
      </c>
      <c r="JH156">
        <v>566.067</v>
      </c>
      <c r="JI156">
        <v>29.1432</v>
      </c>
      <c r="JJ156">
        <v>30.683</v>
      </c>
      <c r="JK156">
        <v>30.001</v>
      </c>
      <c r="JL156">
        <v>30.5801</v>
      </c>
      <c r="JM156">
        <v>30.486</v>
      </c>
      <c r="JN156">
        <v>7.82916</v>
      </c>
      <c r="JO156">
        <v>30.5107</v>
      </c>
      <c r="JP156">
        <v>0</v>
      </c>
      <c r="JQ156">
        <v>28.9998</v>
      </c>
      <c r="JR156">
        <v>98.7291</v>
      </c>
      <c r="JS156">
        <v>17.8853</v>
      </c>
      <c r="JT156">
        <v>99.9605</v>
      </c>
      <c r="JU156">
        <v>100.063</v>
      </c>
    </row>
    <row r="157" spans="1:281">
      <c r="A157">
        <v>141</v>
      </c>
      <c r="B157">
        <v>1652372442</v>
      </c>
      <c r="C157">
        <v>4348.400000095367</v>
      </c>
      <c r="D157" t="s">
        <v>750</v>
      </c>
      <c r="E157" t="s">
        <v>751</v>
      </c>
      <c r="F157">
        <v>5</v>
      </c>
      <c r="G157" t="s">
        <v>711</v>
      </c>
      <c r="H157" t="s">
        <v>414</v>
      </c>
      <c r="I157">
        <v>1652372434.214286</v>
      </c>
      <c r="J157">
        <f>(K157)/1000</f>
        <v>0</v>
      </c>
      <c r="K157">
        <f>IF(CZ157, AN157, AH157)</f>
        <v>0</v>
      </c>
      <c r="L157">
        <f>IF(CZ157, AI157, AG157)</f>
        <v>0</v>
      </c>
      <c r="M157">
        <f>DB157 - IF(AU157&gt;1, L157*CV157*100.0/(AW157*DP157), 0)</f>
        <v>0</v>
      </c>
      <c r="N157">
        <f>((T157-J157/2)*M157-L157)/(T157+J157/2)</f>
        <v>0</v>
      </c>
      <c r="O157">
        <f>N157*(DI157+DJ157)/1000.0</f>
        <v>0</v>
      </c>
      <c r="P157">
        <f>(DB157 - IF(AU157&gt;1, L157*CV157*100.0/(AW157*DP157), 0))*(DI157+DJ157)/1000.0</f>
        <v>0</v>
      </c>
      <c r="Q157">
        <f>2.0/((1/S157-1/R157)+SIGN(S157)*SQRT((1/S157-1/R157)*(1/S157-1/R157) + 4*CW157/((CW157+1)*(CW157+1))*(2*1/S157*1/R157-1/R157*1/R157)))</f>
        <v>0</v>
      </c>
      <c r="R157">
        <f>IF(LEFT(CX157,1)&lt;&gt;"0",IF(LEFT(CX157,1)="1",3.0,CY157),$D$5+$E$5*(DP157*DI157/($K$5*1000))+$F$5*(DP157*DI157/($K$5*1000))*MAX(MIN(CV157,$J$5),$I$5)*MAX(MIN(CV157,$J$5),$I$5)+$G$5*MAX(MIN(CV157,$J$5),$I$5)*(DP157*DI157/($K$5*1000))+$H$5*(DP157*DI157/($K$5*1000))*(DP157*DI157/($K$5*1000)))</f>
        <v>0</v>
      </c>
      <c r="S157">
        <f>J157*(1000-(1000*0.61365*exp(17.502*W157/(240.97+W157))/(DI157+DJ157)+DD157)/2)/(1000*0.61365*exp(17.502*W157/(240.97+W157))/(DI157+DJ157)-DD157)</f>
        <v>0</v>
      </c>
      <c r="T157">
        <f>1/((CW157+1)/(Q157/1.6)+1/(R157/1.37)) + CW157/((CW157+1)/(Q157/1.6) + CW157/(R157/1.37))</f>
        <v>0</v>
      </c>
      <c r="U157">
        <f>(CR157*CU157)</f>
        <v>0</v>
      </c>
      <c r="V157">
        <f>(DK157+(U157+2*0.95*5.67E-8*(((DK157+$B$7)+273)^4-(DK157+273)^4)-44100*J157)/(1.84*29.3*R157+8*0.95*5.67E-8*(DK157+273)^3))</f>
        <v>0</v>
      </c>
      <c r="W157">
        <f>($C$7*DL157+$D$7*DM157+$E$7*V157)</f>
        <v>0</v>
      </c>
      <c r="X157">
        <f>0.61365*exp(17.502*W157/(240.97+W157))</f>
        <v>0</v>
      </c>
      <c r="Y157">
        <f>(Z157/AA157*100)</f>
        <v>0</v>
      </c>
      <c r="Z157">
        <f>DD157*(DI157+DJ157)/1000</f>
        <v>0</v>
      </c>
      <c r="AA157">
        <f>0.61365*exp(17.502*DK157/(240.97+DK157))</f>
        <v>0</v>
      </c>
      <c r="AB157">
        <f>(X157-DD157*(DI157+DJ157)/1000)</f>
        <v>0</v>
      </c>
      <c r="AC157">
        <f>(-J157*44100)</f>
        <v>0</v>
      </c>
      <c r="AD157">
        <f>2*29.3*R157*0.92*(DK157-W157)</f>
        <v>0</v>
      </c>
      <c r="AE157">
        <f>2*0.95*5.67E-8*(((DK157+$B$7)+273)^4-(W157+273)^4)</f>
        <v>0</v>
      </c>
      <c r="AF157">
        <f>U157+AE157+AC157+AD157</f>
        <v>0</v>
      </c>
      <c r="AG157">
        <f>DH157*AU157*(DC157-DB157*(1000-AU157*DE157)/(1000-AU157*DD157))/(100*CV157)</f>
        <v>0</v>
      </c>
      <c r="AH157">
        <f>1000*DH157*AU157*(DD157-DE157)/(100*CV157*(1000-AU157*DD157))</f>
        <v>0</v>
      </c>
      <c r="AI157">
        <f>(AJ157 - AK157 - DI157*1E3/(8.314*(DK157+273.15)) * AM157/DH157 * AL157) * DH157/(100*CV157) * (1000 - DE157)/1000</f>
        <v>0</v>
      </c>
      <c r="AJ157">
        <v>122.3647025648923</v>
      </c>
      <c r="AK157">
        <v>136.3506666666666</v>
      </c>
      <c r="AL157">
        <v>-3.126694282150154</v>
      </c>
      <c r="AM157">
        <v>65.96288611109561</v>
      </c>
      <c r="AN157">
        <f>(AP157 - AO157 + DI157*1E3/(8.314*(DK157+273.15)) * AR157/DH157 * AQ157) * DH157/(100*CV157) * 1000/(1000 - AP157)</f>
        <v>0</v>
      </c>
      <c r="AO157">
        <v>17.79823025701097</v>
      </c>
      <c r="AP157">
        <v>24.55757832167833</v>
      </c>
      <c r="AQ157">
        <v>0.00163224023698978</v>
      </c>
      <c r="AR157">
        <v>81.18387902069509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MAX(0,($B$13+$C$13*DP157)/(1+$D$13*DP157)*DI157/(DK157+273)*$E$13)</f>
        <v>0</v>
      </c>
      <c r="AX157" t="s">
        <v>417</v>
      </c>
      <c r="AY157" t="s">
        <v>417</v>
      </c>
      <c r="AZ157">
        <v>0</v>
      </c>
      <c r="BA157">
        <v>0</v>
      </c>
      <c r="BB157">
        <f>1-AZ157/BA157</f>
        <v>0</v>
      </c>
      <c r="BC157">
        <v>0</v>
      </c>
      <c r="BD157" t="s">
        <v>417</v>
      </c>
      <c r="BE157" t="s">
        <v>417</v>
      </c>
      <c r="BF157">
        <v>0</v>
      </c>
      <c r="BG157">
        <v>0</v>
      </c>
      <c r="BH157">
        <f>1-BF157/BG157</f>
        <v>0</v>
      </c>
      <c r="BI157">
        <v>0.5</v>
      </c>
      <c r="BJ157">
        <f>CS157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417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1393</v>
      </c>
      <c r="CA157">
        <v>300</v>
      </c>
      <c r="CB157">
        <v>300</v>
      </c>
      <c r="CC157">
        <v>300</v>
      </c>
      <c r="CD157">
        <v>10378</v>
      </c>
      <c r="CE157">
        <v>2050</v>
      </c>
      <c r="CF157">
        <v>-0.00730649</v>
      </c>
      <c r="CG157">
        <v>-4.53</v>
      </c>
      <c r="CH157" t="s">
        <v>417</v>
      </c>
      <c r="CI157" t="s">
        <v>417</v>
      </c>
      <c r="CJ157" t="s">
        <v>417</v>
      </c>
      <c r="CK157" t="s">
        <v>417</v>
      </c>
      <c r="CL157" t="s">
        <v>417</v>
      </c>
      <c r="CM157" t="s">
        <v>417</v>
      </c>
      <c r="CN157" t="s">
        <v>417</v>
      </c>
      <c r="CO157" t="s">
        <v>417</v>
      </c>
      <c r="CP157" t="s">
        <v>417</v>
      </c>
      <c r="CQ157" t="s">
        <v>417</v>
      </c>
      <c r="CR157">
        <f>$B$11*DQ157+$C$11*DR157+$F$11*EC157*(1-EF157)</f>
        <v>0</v>
      </c>
      <c r="CS157">
        <f>CR157*CT157</f>
        <v>0</v>
      </c>
      <c r="CT157">
        <f>($B$11*$D$9+$C$11*$D$9+$F$11*((EP157+EH157)/MAX(EP157+EH157+EQ157, 0.1)*$I$9+EQ157/MAX(EP157+EH157+EQ157, 0.1)*$J$9))/($B$11+$C$11+$F$11)</f>
        <v>0</v>
      </c>
      <c r="CU157">
        <f>($B$11*$K$9+$C$11*$K$9+$F$11*((EP157+EH157)/MAX(EP157+EH157+EQ157, 0.1)*$P$9+EQ157/MAX(EP157+EH157+EQ157, 0.1)*$Q$9))/($B$11+$C$11+$F$11)</f>
        <v>0</v>
      </c>
      <c r="CV157">
        <v>6</v>
      </c>
      <c r="CW157">
        <v>0.5</v>
      </c>
      <c r="CX157" t="s">
        <v>418</v>
      </c>
      <c r="CY157">
        <v>2</v>
      </c>
      <c r="CZ157" t="b">
        <v>1</v>
      </c>
      <c r="DA157">
        <v>1652372434.214286</v>
      </c>
      <c r="DB157">
        <v>155.3409285714286</v>
      </c>
      <c r="DC157">
        <v>133.0607142857143</v>
      </c>
      <c r="DD157">
        <v>24.51440357142857</v>
      </c>
      <c r="DE157">
        <v>17.75373571428571</v>
      </c>
      <c r="DF157">
        <v>154.4263928571429</v>
      </c>
      <c r="DG157">
        <v>24.47058214285715</v>
      </c>
      <c r="DH157">
        <v>400.0658214285714</v>
      </c>
      <c r="DI157">
        <v>90.399225</v>
      </c>
      <c r="DJ157">
        <v>0.09997437499999999</v>
      </c>
      <c r="DK157">
        <v>30.95921785714285</v>
      </c>
      <c r="DL157">
        <v>30.12257857142857</v>
      </c>
      <c r="DM157">
        <v>999.9000000000002</v>
      </c>
      <c r="DN157">
        <v>0</v>
      </c>
      <c r="DO157">
        <v>0</v>
      </c>
      <c r="DP157">
        <v>10000.29964285714</v>
      </c>
      <c r="DQ157">
        <v>0</v>
      </c>
      <c r="DR157">
        <v>455.1570357142857</v>
      </c>
      <c r="DS157">
        <v>22.28028928571429</v>
      </c>
      <c r="DT157">
        <v>159.2444285714286</v>
      </c>
      <c r="DU157">
        <v>135.4648571428571</v>
      </c>
      <c r="DV157">
        <v>6.760672857142857</v>
      </c>
      <c r="DW157">
        <v>133.0607142857143</v>
      </c>
      <c r="DX157">
        <v>17.75373571428571</v>
      </c>
      <c r="DY157">
        <v>2.216082857142857</v>
      </c>
      <c r="DZ157">
        <v>1.604923571428572</v>
      </c>
      <c r="EA157">
        <v>19.07905357142857</v>
      </c>
      <c r="EB157">
        <v>14.00608214285714</v>
      </c>
      <c r="EC157">
        <v>1500.002499999999</v>
      </c>
      <c r="ED157">
        <v>0.9729974999999998</v>
      </c>
      <c r="EE157">
        <v>0.02700275</v>
      </c>
      <c r="EF157">
        <v>0</v>
      </c>
      <c r="EG157">
        <v>1696.75</v>
      </c>
      <c r="EH157">
        <v>5.00097</v>
      </c>
      <c r="EI157">
        <v>26216.63928571429</v>
      </c>
      <c r="EJ157">
        <v>12491.61071428572</v>
      </c>
      <c r="EK157">
        <v>40</v>
      </c>
      <c r="EL157">
        <v>41.5</v>
      </c>
      <c r="EM157">
        <v>40.18699999999999</v>
      </c>
      <c r="EN157">
        <v>41.375</v>
      </c>
      <c r="EO157">
        <v>41.125</v>
      </c>
      <c r="EP157">
        <v>1454.631071428572</v>
      </c>
      <c r="EQ157">
        <v>40.37142857142856</v>
      </c>
      <c r="ER157">
        <v>0</v>
      </c>
      <c r="ES157">
        <v>1276</v>
      </c>
      <c r="ET157">
        <v>0</v>
      </c>
      <c r="EU157">
        <v>1695.9592</v>
      </c>
      <c r="EV157">
        <v>-95.16384600821327</v>
      </c>
      <c r="EW157">
        <v>-1535.199997750923</v>
      </c>
      <c r="EX157">
        <v>26202.784</v>
      </c>
      <c r="EY157">
        <v>15</v>
      </c>
      <c r="EZ157">
        <v>1652371289.6</v>
      </c>
      <c r="FA157" t="s">
        <v>515</v>
      </c>
      <c r="FB157">
        <v>1652371289.6</v>
      </c>
      <c r="FC157">
        <v>1652371275.1</v>
      </c>
      <c r="FD157">
        <v>24</v>
      </c>
      <c r="FE157">
        <v>0.442</v>
      </c>
      <c r="FF157">
        <v>0.001</v>
      </c>
      <c r="FG157">
        <v>-2.63</v>
      </c>
      <c r="FH157">
        <v>0.007</v>
      </c>
      <c r="FI157">
        <v>1620</v>
      </c>
      <c r="FJ157">
        <v>22</v>
      </c>
      <c r="FK157">
        <v>0.08</v>
      </c>
      <c r="FL157">
        <v>0.04</v>
      </c>
      <c r="FM157">
        <v>21.46653170731707</v>
      </c>
      <c r="FN157">
        <v>15.2807142857143</v>
      </c>
      <c r="FO157">
        <v>1.514948389918481</v>
      </c>
      <c r="FP157">
        <v>-1</v>
      </c>
      <c r="FQ157">
        <v>6.775386341463415</v>
      </c>
      <c r="FR157">
        <v>-0.3358498954703876</v>
      </c>
      <c r="FS157">
        <v>0.03618415431097538</v>
      </c>
      <c r="FT157">
        <v>1</v>
      </c>
      <c r="FU157">
        <v>0</v>
      </c>
      <c r="FV157">
        <v>0</v>
      </c>
      <c r="FW157">
        <v>0</v>
      </c>
      <c r="FX157">
        <v>-1</v>
      </c>
      <c r="FY157">
        <v>1</v>
      </c>
      <c r="FZ157">
        <v>1</v>
      </c>
      <c r="GA157" t="s">
        <v>420</v>
      </c>
      <c r="GB157">
        <v>2.69556</v>
      </c>
      <c r="GC157">
        <v>2.7052</v>
      </c>
      <c r="GD157">
        <v>0.034046</v>
      </c>
      <c r="GE157">
        <v>0.0278656</v>
      </c>
      <c r="GF157">
        <v>0.107776</v>
      </c>
      <c r="GG157">
        <v>0.0847868</v>
      </c>
      <c r="GH157">
        <v>30367.9</v>
      </c>
      <c r="GI157">
        <v>30693</v>
      </c>
      <c r="GJ157">
        <v>29244.4</v>
      </c>
      <c r="GK157">
        <v>29215.9</v>
      </c>
      <c r="GL157">
        <v>34543.4</v>
      </c>
      <c r="GM157">
        <v>35591.7</v>
      </c>
      <c r="GN157">
        <v>41160</v>
      </c>
      <c r="GO157">
        <v>41684.9</v>
      </c>
      <c r="GP157">
        <v>1.72582</v>
      </c>
      <c r="GQ157">
        <v>2.02973</v>
      </c>
      <c r="GR157">
        <v>0.0610724</v>
      </c>
      <c r="GS157">
        <v>0</v>
      </c>
      <c r="GT157">
        <v>29.1078</v>
      </c>
      <c r="GU157">
        <v>999.9</v>
      </c>
      <c r="GV157">
        <v>44.8</v>
      </c>
      <c r="GW157">
        <v>33.2</v>
      </c>
      <c r="GX157">
        <v>25.3218</v>
      </c>
      <c r="GY157">
        <v>63.308</v>
      </c>
      <c r="GZ157">
        <v>29.7236</v>
      </c>
      <c r="HA157">
        <v>1</v>
      </c>
      <c r="HB157">
        <v>0.256435</v>
      </c>
      <c r="HC157">
        <v>1.31214</v>
      </c>
      <c r="HD157">
        <v>20.3758</v>
      </c>
      <c r="HE157">
        <v>5.21699</v>
      </c>
      <c r="HF157">
        <v>12.0099</v>
      </c>
      <c r="HG157">
        <v>4.988</v>
      </c>
      <c r="HH157">
        <v>3.28835</v>
      </c>
      <c r="HI157">
        <v>2725.1</v>
      </c>
      <c r="HJ157">
        <v>9999</v>
      </c>
      <c r="HK157">
        <v>9999</v>
      </c>
      <c r="HL157">
        <v>50.1</v>
      </c>
      <c r="HM157">
        <v>1.86722</v>
      </c>
      <c r="HN157">
        <v>1.86617</v>
      </c>
      <c r="HO157">
        <v>1.86582</v>
      </c>
      <c r="HP157">
        <v>1.86569</v>
      </c>
      <c r="HQ157">
        <v>1.86752</v>
      </c>
      <c r="HR157">
        <v>1.86998</v>
      </c>
      <c r="HS157">
        <v>1.86865</v>
      </c>
      <c r="HT157">
        <v>1.87003</v>
      </c>
      <c r="HU157">
        <v>0</v>
      </c>
      <c r="HV157">
        <v>0</v>
      </c>
      <c r="HW157">
        <v>0</v>
      </c>
      <c r="HX157">
        <v>0</v>
      </c>
      <c r="HY157" t="s">
        <v>421</v>
      </c>
      <c r="HZ157" t="s">
        <v>422</v>
      </c>
      <c r="IA157" t="s">
        <v>423</v>
      </c>
      <c r="IB157" t="s">
        <v>423</v>
      </c>
      <c r="IC157" t="s">
        <v>423</v>
      </c>
      <c r="ID157" t="s">
        <v>423</v>
      </c>
      <c r="IE157">
        <v>0</v>
      </c>
      <c r="IF157">
        <v>100</v>
      </c>
      <c r="IG157">
        <v>100</v>
      </c>
      <c r="IH157">
        <v>0.969</v>
      </c>
      <c r="II157">
        <v>0.0444</v>
      </c>
      <c r="IJ157">
        <v>1.257309091789605</v>
      </c>
      <c r="IK157">
        <v>-0.002185601614162945</v>
      </c>
      <c r="IL157">
        <v>-2.252308143750626E-07</v>
      </c>
      <c r="IM157">
        <v>5.915558436307541E-11</v>
      </c>
      <c r="IN157">
        <v>-0.118683452207699</v>
      </c>
      <c r="IO157">
        <v>-0.007570214193104963</v>
      </c>
      <c r="IP157">
        <v>0.0009214429922928372</v>
      </c>
      <c r="IQ157">
        <v>-1.392260276065805E-05</v>
      </c>
      <c r="IR157">
        <v>17</v>
      </c>
      <c r="IS157">
        <v>2272</v>
      </c>
      <c r="IT157">
        <v>1</v>
      </c>
      <c r="IU157">
        <v>31</v>
      </c>
      <c r="IV157">
        <v>19.2</v>
      </c>
      <c r="IW157">
        <v>19.4</v>
      </c>
      <c r="IX157">
        <v>0.355225</v>
      </c>
      <c r="IY157">
        <v>2.27539</v>
      </c>
      <c r="IZ157">
        <v>1.39648</v>
      </c>
      <c r="JA157">
        <v>2.35474</v>
      </c>
      <c r="JB157">
        <v>1.49536</v>
      </c>
      <c r="JC157">
        <v>2.37549</v>
      </c>
      <c r="JD157">
        <v>36.8842</v>
      </c>
      <c r="JE157">
        <v>15.2703</v>
      </c>
      <c r="JF157">
        <v>18</v>
      </c>
      <c r="JG157">
        <v>388.84</v>
      </c>
      <c r="JH157">
        <v>566.029</v>
      </c>
      <c r="JI157">
        <v>28.993</v>
      </c>
      <c r="JJ157">
        <v>30.6894</v>
      </c>
      <c r="JK157">
        <v>30.001</v>
      </c>
      <c r="JL157">
        <v>30.5854</v>
      </c>
      <c r="JM157">
        <v>30.4901</v>
      </c>
      <c r="JN157">
        <v>7.11364</v>
      </c>
      <c r="JO157">
        <v>30.5107</v>
      </c>
      <c r="JP157">
        <v>0</v>
      </c>
      <c r="JQ157">
        <v>28.8845</v>
      </c>
      <c r="JR157">
        <v>85.33</v>
      </c>
      <c r="JS157">
        <v>17.9157</v>
      </c>
      <c r="JT157">
        <v>99.95950000000001</v>
      </c>
      <c r="JU157">
        <v>100.062</v>
      </c>
    </row>
    <row r="158" spans="1:281">
      <c r="A158">
        <v>142</v>
      </c>
      <c r="B158">
        <v>1652372447</v>
      </c>
      <c r="C158">
        <v>4353.400000095367</v>
      </c>
      <c r="D158" t="s">
        <v>752</v>
      </c>
      <c r="E158" t="s">
        <v>753</v>
      </c>
      <c r="F158">
        <v>5</v>
      </c>
      <c r="G158" t="s">
        <v>711</v>
      </c>
      <c r="H158" t="s">
        <v>414</v>
      </c>
      <c r="I158">
        <v>1652372439.5</v>
      </c>
      <c r="J158">
        <f>(K158)/1000</f>
        <v>0</v>
      </c>
      <c r="K158">
        <f>IF(CZ158, AN158, AH158)</f>
        <v>0</v>
      </c>
      <c r="L158">
        <f>IF(CZ158, AI158, AG158)</f>
        <v>0</v>
      </c>
      <c r="M158">
        <f>DB158 - IF(AU158&gt;1, L158*CV158*100.0/(AW158*DP158), 0)</f>
        <v>0</v>
      </c>
      <c r="N158">
        <f>((T158-J158/2)*M158-L158)/(T158+J158/2)</f>
        <v>0</v>
      </c>
      <c r="O158">
        <f>N158*(DI158+DJ158)/1000.0</f>
        <v>0</v>
      </c>
      <c r="P158">
        <f>(DB158 - IF(AU158&gt;1, L158*CV158*100.0/(AW158*DP158), 0))*(DI158+DJ158)/1000.0</f>
        <v>0</v>
      </c>
      <c r="Q158">
        <f>2.0/((1/S158-1/R158)+SIGN(S158)*SQRT((1/S158-1/R158)*(1/S158-1/R158) + 4*CW158/((CW158+1)*(CW158+1))*(2*1/S158*1/R158-1/R158*1/R158)))</f>
        <v>0</v>
      </c>
      <c r="R158">
        <f>IF(LEFT(CX158,1)&lt;&gt;"0",IF(LEFT(CX158,1)="1",3.0,CY158),$D$5+$E$5*(DP158*DI158/($K$5*1000))+$F$5*(DP158*DI158/($K$5*1000))*MAX(MIN(CV158,$J$5),$I$5)*MAX(MIN(CV158,$J$5),$I$5)+$G$5*MAX(MIN(CV158,$J$5),$I$5)*(DP158*DI158/($K$5*1000))+$H$5*(DP158*DI158/($K$5*1000))*(DP158*DI158/($K$5*1000)))</f>
        <v>0</v>
      </c>
      <c r="S158">
        <f>J158*(1000-(1000*0.61365*exp(17.502*W158/(240.97+W158))/(DI158+DJ158)+DD158)/2)/(1000*0.61365*exp(17.502*W158/(240.97+W158))/(DI158+DJ158)-DD158)</f>
        <v>0</v>
      </c>
      <c r="T158">
        <f>1/((CW158+1)/(Q158/1.6)+1/(R158/1.37)) + CW158/((CW158+1)/(Q158/1.6) + CW158/(R158/1.37))</f>
        <v>0</v>
      </c>
      <c r="U158">
        <f>(CR158*CU158)</f>
        <v>0</v>
      </c>
      <c r="V158">
        <f>(DK158+(U158+2*0.95*5.67E-8*(((DK158+$B$7)+273)^4-(DK158+273)^4)-44100*J158)/(1.84*29.3*R158+8*0.95*5.67E-8*(DK158+273)^3))</f>
        <v>0</v>
      </c>
      <c r="W158">
        <f>($C$7*DL158+$D$7*DM158+$E$7*V158)</f>
        <v>0</v>
      </c>
      <c r="X158">
        <f>0.61365*exp(17.502*W158/(240.97+W158))</f>
        <v>0</v>
      </c>
      <c r="Y158">
        <f>(Z158/AA158*100)</f>
        <v>0</v>
      </c>
      <c r="Z158">
        <f>DD158*(DI158+DJ158)/1000</f>
        <v>0</v>
      </c>
      <c r="AA158">
        <f>0.61365*exp(17.502*DK158/(240.97+DK158))</f>
        <v>0</v>
      </c>
      <c r="AB158">
        <f>(X158-DD158*(DI158+DJ158)/1000)</f>
        <v>0</v>
      </c>
      <c r="AC158">
        <f>(-J158*44100)</f>
        <v>0</v>
      </c>
      <c r="AD158">
        <f>2*29.3*R158*0.92*(DK158-W158)</f>
        <v>0</v>
      </c>
      <c r="AE158">
        <f>2*0.95*5.67E-8*(((DK158+$B$7)+273)^4-(W158+273)^4)</f>
        <v>0</v>
      </c>
      <c r="AF158">
        <f>U158+AE158+AC158+AD158</f>
        <v>0</v>
      </c>
      <c r="AG158">
        <f>DH158*AU158*(DC158-DB158*(1000-AU158*DE158)/(1000-AU158*DD158))/(100*CV158)</f>
        <v>0</v>
      </c>
      <c r="AH158">
        <f>1000*DH158*AU158*(DD158-DE158)/(100*CV158*(1000-AU158*DD158))</f>
        <v>0</v>
      </c>
      <c r="AI158">
        <f>(AJ158 - AK158 - DI158*1E3/(8.314*(DK158+273.15)) * AM158/DH158 * AL158) * DH158/(100*CV158) * (1000 - DE158)/1000</f>
        <v>0</v>
      </c>
      <c r="AJ158">
        <v>104.9297365748993</v>
      </c>
      <c r="AK158">
        <v>120.5190121212121</v>
      </c>
      <c r="AL158">
        <v>-3.167119073915472</v>
      </c>
      <c r="AM158">
        <v>65.96288611109561</v>
      </c>
      <c r="AN158">
        <f>(AP158 - AO158 + DI158*1E3/(8.314*(DK158+273.15)) * AR158/DH158 * AQ158) * DH158/(100*CV158) * 1000/(1000 - AP158)</f>
        <v>0</v>
      </c>
      <c r="AO158">
        <v>17.84355724381907</v>
      </c>
      <c r="AP158">
        <v>24.58299020979022</v>
      </c>
      <c r="AQ158">
        <v>0.008075010175664079</v>
      </c>
      <c r="AR158">
        <v>81.18387902069509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MAX(0,($B$13+$C$13*DP158)/(1+$D$13*DP158)*DI158/(DK158+273)*$E$13)</f>
        <v>0</v>
      </c>
      <c r="AX158" t="s">
        <v>417</v>
      </c>
      <c r="AY158" t="s">
        <v>417</v>
      </c>
      <c r="AZ158">
        <v>0</v>
      </c>
      <c r="BA158">
        <v>0</v>
      </c>
      <c r="BB158">
        <f>1-AZ158/BA158</f>
        <v>0</v>
      </c>
      <c r="BC158">
        <v>0</v>
      </c>
      <c r="BD158" t="s">
        <v>417</v>
      </c>
      <c r="BE158" t="s">
        <v>417</v>
      </c>
      <c r="BF158">
        <v>0</v>
      </c>
      <c r="BG158">
        <v>0</v>
      </c>
      <c r="BH158">
        <f>1-BF158/BG158</f>
        <v>0</v>
      </c>
      <c r="BI158">
        <v>0.5</v>
      </c>
      <c r="BJ158">
        <f>CS158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417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1393</v>
      </c>
      <c r="CA158">
        <v>300</v>
      </c>
      <c r="CB158">
        <v>300</v>
      </c>
      <c r="CC158">
        <v>300</v>
      </c>
      <c r="CD158">
        <v>10378</v>
      </c>
      <c r="CE158">
        <v>2050</v>
      </c>
      <c r="CF158">
        <v>-0.00730649</v>
      </c>
      <c r="CG158">
        <v>-4.53</v>
      </c>
      <c r="CH158" t="s">
        <v>417</v>
      </c>
      <c r="CI158" t="s">
        <v>417</v>
      </c>
      <c r="CJ158" t="s">
        <v>417</v>
      </c>
      <c r="CK158" t="s">
        <v>417</v>
      </c>
      <c r="CL158" t="s">
        <v>417</v>
      </c>
      <c r="CM158" t="s">
        <v>417</v>
      </c>
      <c r="CN158" t="s">
        <v>417</v>
      </c>
      <c r="CO158" t="s">
        <v>417</v>
      </c>
      <c r="CP158" t="s">
        <v>417</v>
      </c>
      <c r="CQ158" t="s">
        <v>417</v>
      </c>
      <c r="CR158">
        <f>$B$11*DQ158+$C$11*DR158+$F$11*EC158*(1-EF158)</f>
        <v>0</v>
      </c>
      <c r="CS158">
        <f>CR158*CT158</f>
        <v>0</v>
      </c>
      <c r="CT158">
        <f>($B$11*$D$9+$C$11*$D$9+$F$11*((EP158+EH158)/MAX(EP158+EH158+EQ158, 0.1)*$I$9+EQ158/MAX(EP158+EH158+EQ158, 0.1)*$J$9))/($B$11+$C$11+$F$11)</f>
        <v>0</v>
      </c>
      <c r="CU158">
        <f>($B$11*$K$9+$C$11*$K$9+$F$11*((EP158+EH158)/MAX(EP158+EH158+EQ158, 0.1)*$P$9+EQ158/MAX(EP158+EH158+EQ158, 0.1)*$Q$9))/($B$11+$C$11+$F$11)</f>
        <v>0</v>
      </c>
      <c r="CV158">
        <v>6</v>
      </c>
      <c r="CW158">
        <v>0.5</v>
      </c>
      <c r="CX158" t="s">
        <v>418</v>
      </c>
      <c r="CY158">
        <v>2</v>
      </c>
      <c r="CZ158" t="b">
        <v>1</v>
      </c>
      <c r="DA158">
        <v>1652372439.5</v>
      </c>
      <c r="DB158">
        <v>139.1111851851852</v>
      </c>
      <c r="DC158">
        <v>115.3246703703704</v>
      </c>
      <c r="DD158">
        <v>24.54513333333334</v>
      </c>
      <c r="DE158">
        <v>17.80617777777778</v>
      </c>
      <c r="DF158">
        <v>138.1601111111111</v>
      </c>
      <c r="DG158">
        <v>24.50092592592593</v>
      </c>
      <c r="DH158">
        <v>400.0689999999999</v>
      </c>
      <c r="DI158">
        <v>90.39874444444443</v>
      </c>
      <c r="DJ158">
        <v>0.09999014814814818</v>
      </c>
      <c r="DK158">
        <v>30.94502592592593</v>
      </c>
      <c r="DL158">
        <v>30.11157777777778</v>
      </c>
      <c r="DM158">
        <v>999.9000000000001</v>
      </c>
      <c r="DN158">
        <v>0</v>
      </c>
      <c r="DO158">
        <v>0</v>
      </c>
      <c r="DP158">
        <v>9997.065555555557</v>
      </c>
      <c r="DQ158">
        <v>0</v>
      </c>
      <c r="DR158">
        <v>449.3594074074074</v>
      </c>
      <c r="DS158">
        <v>23.78652222222222</v>
      </c>
      <c r="DT158">
        <v>142.6113333333333</v>
      </c>
      <c r="DU158">
        <v>117.4148962962963</v>
      </c>
      <c r="DV158">
        <v>6.73895888888889</v>
      </c>
      <c r="DW158">
        <v>115.3246703703704</v>
      </c>
      <c r="DX158">
        <v>17.80617777777778</v>
      </c>
      <c r="DY158">
        <v>2.218848888888889</v>
      </c>
      <c r="DZ158">
        <v>1.609655925925926</v>
      </c>
      <c r="EA158">
        <v>19.09905925925926</v>
      </c>
      <c r="EB158">
        <v>14.05150740740741</v>
      </c>
      <c r="EC158">
        <v>1500.027777777778</v>
      </c>
      <c r="ED158">
        <v>0.9729977777777776</v>
      </c>
      <c r="EE158">
        <v>0.02700245555555555</v>
      </c>
      <c r="EF158">
        <v>0</v>
      </c>
      <c r="EG158">
        <v>1687.188888888889</v>
      </c>
      <c r="EH158">
        <v>5.00097</v>
      </c>
      <c r="EI158">
        <v>26059.30740740741</v>
      </c>
      <c r="EJ158">
        <v>12491.82222222222</v>
      </c>
      <c r="EK158">
        <v>40</v>
      </c>
      <c r="EL158">
        <v>41.5</v>
      </c>
      <c r="EM158">
        <v>40.194</v>
      </c>
      <c r="EN158">
        <v>41.375</v>
      </c>
      <c r="EO158">
        <v>41.125</v>
      </c>
      <c r="EP158">
        <v>1454.655555555555</v>
      </c>
      <c r="EQ158">
        <v>40.37148148148147</v>
      </c>
      <c r="ER158">
        <v>0</v>
      </c>
      <c r="ES158">
        <v>1280.799999952316</v>
      </c>
      <c r="ET158">
        <v>0</v>
      </c>
      <c r="EU158">
        <v>1687.1032</v>
      </c>
      <c r="EV158">
        <v>-124.1099999898554</v>
      </c>
      <c r="EW158">
        <v>-2001.092307766366</v>
      </c>
      <c r="EX158">
        <v>26057.492</v>
      </c>
      <c r="EY158">
        <v>15</v>
      </c>
      <c r="EZ158">
        <v>1652371289.6</v>
      </c>
      <c r="FA158" t="s">
        <v>515</v>
      </c>
      <c r="FB158">
        <v>1652371289.6</v>
      </c>
      <c r="FC158">
        <v>1652371275.1</v>
      </c>
      <c r="FD158">
        <v>24</v>
      </c>
      <c r="FE158">
        <v>0.442</v>
      </c>
      <c r="FF158">
        <v>0.001</v>
      </c>
      <c r="FG158">
        <v>-2.63</v>
      </c>
      <c r="FH158">
        <v>0.007</v>
      </c>
      <c r="FI158">
        <v>1620</v>
      </c>
      <c r="FJ158">
        <v>22</v>
      </c>
      <c r="FK158">
        <v>0.08</v>
      </c>
      <c r="FL158">
        <v>0.04</v>
      </c>
      <c r="FM158">
        <v>22.81184390243903</v>
      </c>
      <c r="FN158">
        <v>16.80832264808362</v>
      </c>
      <c r="FO158">
        <v>1.665612767641721</v>
      </c>
      <c r="FP158">
        <v>-1</v>
      </c>
      <c r="FQ158">
        <v>6.755353658536585</v>
      </c>
      <c r="FR158">
        <v>-0.3035491986062598</v>
      </c>
      <c r="FS158">
        <v>0.03414986624664715</v>
      </c>
      <c r="FT158">
        <v>1</v>
      </c>
      <c r="FU158">
        <v>0</v>
      </c>
      <c r="FV158">
        <v>0</v>
      </c>
      <c r="FW158">
        <v>0</v>
      </c>
      <c r="FX158">
        <v>-1</v>
      </c>
      <c r="FY158">
        <v>1</v>
      </c>
      <c r="FZ158">
        <v>1</v>
      </c>
      <c r="GA158" t="s">
        <v>420</v>
      </c>
      <c r="GB158">
        <v>2.69581</v>
      </c>
      <c r="GC158">
        <v>2.70507</v>
      </c>
      <c r="GD158">
        <v>0.0301696</v>
      </c>
      <c r="GE158">
        <v>0.0236317</v>
      </c>
      <c r="GF158">
        <v>0.107842</v>
      </c>
      <c r="GG158">
        <v>0.08479440000000001</v>
      </c>
      <c r="GH158">
        <v>30489.8</v>
      </c>
      <c r="GI158">
        <v>30826.4</v>
      </c>
      <c r="GJ158">
        <v>29244.6</v>
      </c>
      <c r="GK158">
        <v>29215.8</v>
      </c>
      <c r="GL158">
        <v>34541.1</v>
      </c>
      <c r="GM158">
        <v>35591</v>
      </c>
      <c r="GN158">
        <v>41160.3</v>
      </c>
      <c r="GO158">
        <v>41684.5</v>
      </c>
      <c r="GP158">
        <v>1.72605</v>
      </c>
      <c r="GQ158">
        <v>2.0296</v>
      </c>
      <c r="GR158">
        <v>0.0607818</v>
      </c>
      <c r="GS158">
        <v>0</v>
      </c>
      <c r="GT158">
        <v>29.1002</v>
      </c>
      <c r="GU158">
        <v>999.9</v>
      </c>
      <c r="GV158">
        <v>44.8</v>
      </c>
      <c r="GW158">
        <v>33.2</v>
      </c>
      <c r="GX158">
        <v>25.3178</v>
      </c>
      <c r="GY158">
        <v>63.498</v>
      </c>
      <c r="GZ158">
        <v>29.2508</v>
      </c>
      <c r="HA158">
        <v>1</v>
      </c>
      <c r="HB158">
        <v>0.256987</v>
      </c>
      <c r="HC158">
        <v>1.30948</v>
      </c>
      <c r="HD158">
        <v>20.376</v>
      </c>
      <c r="HE158">
        <v>5.21774</v>
      </c>
      <c r="HF158">
        <v>12.0099</v>
      </c>
      <c r="HG158">
        <v>4.98815</v>
      </c>
      <c r="HH158">
        <v>3.28853</v>
      </c>
      <c r="HI158">
        <v>2725.3</v>
      </c>
      <c r="HJ158">
        <v>9999</v>
      </c>
      <c r="HK158">
        <v>9999</v>
      </c>
      <c r="HL158">
        <v>50.1</v>
      </c>
      <c r="HM158">
        <v>1.86722</v>
      </c>
      <c r="HN158">
        <v>1.86623</v>
      </c>
      <c r="HO158">
        <v>1.86581</v>
      </c>
      <c r="HP158">
        <v>1.86569</v>
      </c>
      <c r="HQ158">
        <v>1.8675</v>
      </c>
      <c r="HR158">
        <v>1.86999</v>
      </c>
      <c r="HS158">
        <v>1.86868</v>
      </c>
      <c r="HT158">
        <v>1.87003</v>
      </c>
      <c r="HU158">
        <v>0</v>
      </c>
      <c r="HV158">
        <v>0</v>
      </c>
      <c r="HW158">
        <v>0</v>
      </c>
      <c r="HX158">
        <v>0</v>
      </c>
      <c r="HY158" t="s">
        <v>421</v>
      </c>
      <c r="HZ158" t="s">
        <v>422</v>
      </c>
      <c r="IA158" t="s">
        <v>423</v>
      </c>
      <c r="IB158" t="s">
        <v>423</v>
      </c>
      <c r="IC158" t="s">
        <v>423</v>
      </c>
      <c r="ID158" t="s">
        <v>423</v>
      </c>
      <c r="IE158">
        <v>0</v>
      </c>
      <c r="IF158">
        <v>100</v>
      </c>
      <c r="IG158">
        <v>100</v>
      </c>
      <c r="IH158">
        <v>1.003</v>
      </c>
      <c r="II158">
        <v>0.0447</v>
      </c>
      <c r="IJ158">
        <v>1.257309091789605</v>
      </c>
      <c r="IK158">
        <v>-0.002185601614162945</v>
      </c>
      <c r="IL158">
        <v>-2.252308143750626E-07</v>
      </c>
      <c r="IM158">
        <v>5.915558436307541E-11</v>
      </c>
      <c r="IN158">
        <v>-0.118683452207699</v>
      </c>
      <c r="IO158">
        <v>-0.007570214193104963</v>
      </c>
      <c r="IP158">
        <v>0.0009214429922928372</v>
      </c>
      <c r="IQ158">
        <v>-1.392260276065805E-05</v>
      </c>
      <c r="IR158">
        <v>17</v>
      </c>
      <c r="IS158">
        <v>2272</v>
      </c>
      <c r="IT158">
        <v>1</v>
      </c>
      <c r="IU158">
        <v>31</v>
      </c>
      <c r="IV158">
        <v>19.3</v>
      </c>
      <c r="IW158">
        <v>19.5</v>
      </c>
      <c r="IX158">
        <v>0.317383</v>
      </c>
      <c r="IY158">
        <v>2.28882</v>
      </c>
      <c r="IZ158">
        <v>1.39648</v>
      </c>
      <c r="JA158">
        <v>2.35474</v>
      </c>
      <c r="JB158">
        <v>1.49536</v>
      </c>
      <c r="JC158">
        <v>2.34619</v>
      </c>
      <c r="JD158">
        <v>36.8842</v>
      </c>
      <c r="JE158">
        <v>15.2615</v>
      </c>
      <c r="JF158">
        <v>18</v>
      </c>
      <c r="JG158">
        <v>388.991</v>
      </c>
      <c r="JH158">
        <v>565.984</v>
      </c>
      <c r="JI158">
        <v>28.8629</v>
      </c>
      <c r="JJ158">
        <v>30.695</v>
      </c>
      <c r="JK158">
        <v>30.0007</v>
      </c>
      <c r="JL158">
        <v>30.5907</v>
      </c>
      <c r="JM158">
        <v>30.4952</v>
      </c>
      <c r="JN158">
        <v>6.34079</v>
      </c>
      <c r="JO158">
        <v>30.2366</v>
      </c>
      <c r="JP158">
        <v>0</v>
      </c>
      <c r="JQ158">
        <v>28.7904</v>
      </c>
      <c r="JR158">
        <v>65.29300000000001</v>
      </c>
      <c r="JS158">
        <v>17.9585</v>
      </c>
      <c r="JT158">
        <v>99.9602</v>
      </c>
      <c r="JU158">
        <v>100.061</v>
      </c>
    </row>
    <row r="159" spans="1:281">
      <c r="A159">
        <v>143</v>
      </c>
      <c r="B159">
        <v>1652372452</v>
      </c>
      <c r="C159">
        <v>4358.400000095367</v>
      </c>
      <c r="D159" t="s">
        <v>754</v>
      </c>
      <c r="E159" t="s">
        <v>755</v>
      </c>
      <c r="F159">
        <v>5</v>
      </c>
      <c r="G159" t="s">
        <v>711</v>
      </c>
      <c r="H159" t="s">
        <v>414</v>
      </c>
      <c r="I159">
        <v>1652372444.214286</v>
      </c>
      <c r="J159">
        <f>(K159)/1000</f>
        <v>0</v>
      </c>
      <c r="K159">
        <f>IF(CZ159, AN159, AH159)</f>
        <v>0</v>
      </c>
      <c r="L159">
        <f>IF(CZ159, AI159, AG159)</f>
        <v>0</v>
      </c>
      <c r="M159">
        <f>DB159 - IF(AU159&gt;1, L159*CV159*100.0/(AW159*DP159), 0)</f>
        <v>0</v>
      </c>
      <c r="N159">
        <f>((T159-J159/2)*M159-L159)/(T159+J159/2)</f>
        <v>0</v>
      </c>
      <c r="O159">
        <f>N159*(DI159+DJ159)/1000.0</f>
        <v>0</v>
      </c>
      <c r="P159">
        <f>(DB159 - IF(AU159&gt;1, L159*CV159*100.0/(AW159*DP159), 0))*(DI159+DJ159)/1000.0</f>
        <v>0</v>
      </c>
      <c r="Q159">
        <f>2.0/((1/S159-1/R159)+SIGN(S159)*SQRT((1/S159-1/R159)*(1/S159-1/R159) + 4*CW159/((CW159+1)*(CW159+1))*(2*1/S159*1/R159-1/R159*1/R159)))</f>
        <v>0</v>
      </c>
      <c r="R159">
        <f>IF(LEFT(CX159,1)&lt;&gt;"0",IF(LEFT(CX159,1)="1",3.0,CY159),$D$5+$E$5*(DP159*DI159/($K$5*1000))+$F$5*(DP159*DI159/($K$5*1000))*MAX(MIN(CV159,$J$5),$I$5)*MAX(MIN(CV159,$J$5),$I$5)+$G$5*MAX(MIN(CV159,$J$5),$I$5)*(DP159*DI159/($K$5*1000))+$H$5*(DP159*DI159/($K$5*1000))*(DP159*DI159/($K$5*1000)))</f>
        <v>0</v>
      </c>
      <c r="S159">
        <f>J159*(1000-(1000*0.61365*exp(17.502*W159/(240.97+W159))/(DI159+DJ159)+DD159)/2)/(1000*0.61365*exp(17.502*W159/(240.97+W159))/(DI159+DJ159)-DD159)</f>
        <v>0</v>
      </c>
      <c r="T159">
        <f>1/((CW159+1)/(Q159/1.6)+1/(R159/1.37)) + CW159/((CW159+1)/(Q159/1.6) + CW159/(R159/1.37))</f>
        <v>0</v>
      </c>
      <c r="U159">
        <f>(CR159*CU159)</f>
        <v>0</v>
      </c>
      <c r="V159">
        <f>(DK159+(U159+2*0.95*5.67E-8*(((DK159+$B$7)+273)^4-(DK159+273)^4)-44100*J159)/(1.84*29.3*R159+8*0.95*5.67E-8*(DK159+273)^3))</f>
        <v>0</v>
      </c>
      <c r="W159">
        <f>($C$7*DL159+$D$7*DM159+$E$7*V159)</f>
        <v>0</v>
      </c>
      <c r="X159">
        <f>0.61365*exp(17.502*W159/(240.97+W159))</f>
        <v>0</v>
      </c>
      <c r="Y159">
        <f>(Z159/AA159*100)</f>
        <v>0</v>
      </c>
      <c r="Z159">
        <f>DD159*(DI159+DJ159)/1000</f>
        <v>0</v>
      </c>
      <c r="AA159">
        <f>0.61365*exp(17.502*DK159/(240.97+DK159))</f>
        <v>0</v>
      </c>
      <c r="AB159">
        <f>(X159-DD159*(DI159+DJ159)/1000)</f>
        <v>0</v>
      </c>
      <c r="AC159">
        <f>(-J159*44100)</f>
        <v>0</v>
      </c>
      <c r="AD159">
        <f>2*29.3*R159*0.92*(DK159-W159)</f>
        <v>0</v>
      </c>
      <c r="AE159">
        <f>2*0.95*5.67E-8*(((DK159+$B$7)+273)^4-(W159+273)^4)</f>
        <v>0</v>
      </c>
      <c r="AF159">
        <f>U159+AE159+AC159+AD159</f>
        <v>0</v>
      </c>
      <c r="AG159">
        <f>DH159*AU159*(DC159-DB159*(1000-AU159*DE159)/(1000-AU159*DD159))/(100*CV159)</f>
        <v>0</v>
      </c>
      <c r="AH159">
        <f>1000*DH159*AU159*(DD159-DE159)/(100*CV159*(1000-AU159*DD159))</f>
        <v>0</v>
      </c>
      <c r="AI159">
        <f>(AJ159 - AK159 - DI159*1E3/(8.314*(DK159+273.15)) * AM159/DH159 * AL159) * DH159/(100*CV159) * (1000 - DE159)/1000</f>
        <v>0</v>
      </c>
      <c r="AJ159">
        <v>88.12943207660447</v>
      </c>
      <c r="AK159">
        <v>104.8000121212121</v>
      </c>
      <c r="AL159">
        <v>-3.139291774641523</v>
      </c>
      <c r="AM159">
        <v>65.96288611109561</v>
      </c>
      <c r="AN159">
        <f>(AP159 - AO159 + DI159*1E3/(8.314*(DK159+273.15)) * AR159/DH159 * AQ159) * DH159/(100*CV159) * 1000/(1000 - AP159)</f>
        <v>0</v>
      </c>
      <c r="AO159">
        <v>17.84700577470439</v>
      </c>
      <c r="AP159">
        <v>24.59008111888114</v>
      </c>
      <c r="AQ159">
        <v>0.0004747005692331262</v>
      </c>
      <c r="AR159">
        <v>81.18387902069509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MAX(0,($B$13+$C$13*DP159)/(1+$D$13*DP159)*DI159/(DK159+273)*$E$13)</f>
        <v>0</v>
      </c>
      <c r="AX159" t="s">
        <v>417</v>
      </c>
      <c r="AY159" t="s">
        <v>417</v>
      </c>
      <c r="AZ159">
        <v>0</v>
      </c>
      <c r="BA159">
        <v>0</v>
      </c>
      <c r="BB159">
        <f>1-AZ159/BA159</f>
        <v>0</v>
      </c>
      <c r="BC159">
        <v>0</v>
      </c>
      <c r="BD159" t="s">
        <v>417</v>
      </c>
      <c r="BE159" t="s">
        <v>417</v>
      </c>
      <c r="BF159">
        <v>0</v>
      </c>
      <c r="BG159">
        <v>0</v>
      </c>
      <c r="BH159">
        <f>1-BF159/BG159</f>
        <v>0</v>
      </c>
      <c r="BI159">
        <v>0.5</v>
      </c>
      <c r="BJ159">
        <f>CS159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417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1393</v>
      </c>
      <c r="CA159">
        <v>300</v>
      </c>
      <c r="CB159">
        <v>300</v>
      </c>
      <c r="CC159">
        <v>300</v>
      </c>
      <c r="CD159">
        <v>10378</v>
      </c>
      <c r="CE159">
        <v>2050</v>
      </c>
      <c r="CF159">
        <v>-0.00730649</v>
      </c>
      <c r="CG159">
        <v>-4.53</v>
      </c>
      <c r="CH159" t="s">
        <v>417</v>
      </c>
      <c r="CI159" t="s">
        <v>417</v>
      </c>
      <c r="CJ159" t="s">
        <v>417</v>
      </c>
      <c r="CK159" t="s">
        <v>417</v>
      </c>
      <c r="CL159" t="s">
        <v>417</v>
      </c>
      <c r="CM159" t="s">
        <v>417</v>
      </c>
      <c r="CN159" t="s">
        <v>417</v>
      </c>
      <c r="CO159" t="s">
        <v>417</v>
      </c>
      <c r="CP159" t="s">
        <v>417</v>
      </c>
      <c r="CQ159" t="s">
        <v>417</v>
      </c>
      <c r="CR159">
        <f>$B$11*DQ159+$C$11*DR159+$F$11*EC159*(1-EF159)</f>
        <v>0</v>
      </c>
      <c r="CS159">
        <f>CR159*CT159</f>
        <v>0</v>
      </c>
      <c r="CT159">
        <f>($B$11*$D$9+$C$11*$D$9+$F$11*((EP159+EH159)/MAX(EP159+EH159+EQ159, 0.1)*$I$9+EQ159/MAX(EP159+EH159+EQ159, 0.1)*$J$9))/($B$11+$C$11+$F$11)</f>
        <v>0</v>
      </c>
      <c r="CU159">
        <f>($B$11*$K$9+$C$11*$K$9+$F$11*((EP159+EH159)/MAX(EP159+EH159+EQ159, 0.1)*$P$9+EQ159/MAX(EP159+EH159+EQ159, 0.1)*$Q$9))/($B$11+$C$11+$F$11)</f>
        <v>0</v>
      </c>
      <c r="CV159">
        <v>6</v>
      </c>
      <c r="CW159">
        <v>0.5</v>
      </c>
      <c r="CX159" t="s">
        <v>418</v>
      </c>
      <c r="CY159">
        <v>2</v>
      </c>
      <c r="CZ159" t="b">
        <v>1</v>
      </c>
      <c r="DA159">
        <v>1652372444.214286</v>
      </c>
      <c r="DB159">
        <v>124.6056428571428</v>
      </c>
      <c r="DC159">
        <v>99.58836071428571</v>
      </c>
      <c r="DD159">
        <v>24.56678571428571</v>
      </c>
      <c r="DE159">
        <v>17.84513928571428</v>
      </c>
      <c r="DF159">
        <v>123.622</v>
      </c>
      <c r="DG159">
        <v>24.52231071428571</v>
      </c>
      <c r="DH159">
        <v>400.0737500000001</v>
      </c>
      <c r="DI159">
        <v>90.39775357142857</v>
      </c>
      <c r="DJ159">
        <v>0.1000034857142857</v>
      </c>
      <c r="DK159">
        <v>30.92708928571428</v>
      </c>
      <c r="DL159">
        <v>30.09750714285714</v>
      </c>
      <c r="DM159">
        <v>999.9000000000002</v>
      </c>
      <c r="DN159">
        <v>0</v>
      </c>
      <c r="DO159">
        <v>0</v>
      </c>
      <c r="DP159">
        <v>10001.94928571428</v>
      </c>
      <c r="DQ159">
        <v>0</v>
      </c>
      <c r="DR159">
        <v>444.3866785714285</v>
      </c>
      <c r="DS159">
        <v>25.01725357142857</v>
      </c>
      <c r="DT159">
        <v>127.7436071428571</v>
      </c>
      <c r="DU159">
        <v>101.3976107142857</v>
      </c>
      <c r="DV159">
        <v>6.721648571428572</v>
      </c>
      <c r="DW159">
        <v>99.58836071428571</v>
      </c>
      <c r="DX159">
        <v>17.84513928571428</v>
      </c>
      <c r="DY159">
        <v>2.220781785714286</v>
      </c>
      <c r="DZ159">
        <v>1.613161071428571</v>
      </c>
      <c r="EA159">
        <v>19.11302857142857</v>
      </c>
      <c r="EB159">
        <v>14.08508571428571</v>
      </c>
      <c r="EC159">
        <v>1500.041785714286</v>
      </c>
      <c r="ED159">
        <v>0.9729985714285713</v>
      </c>
      <c r="EE159">
        <v>0.02700161428571428</v>
      </c>
      <c r="EF159">
        <v>0</v>
      </c>
      <c r="EG159">
        <v>1676.207857142857</v>
      </c>
      <c r="EH159">
        <v>5.00097</v>
      </c>
      <c r="EI159">
        <v>25883.63214285715</v>
      </c>
      <c r="EJ159">
        <v>12491.94642857143</v>
      </c>
      <c r="EK159">
        <v>40</v>
      </c>
      <c r="EL159">
        <v>41.5</v>
      </c>
      <c r="EM159">
        <v>40.2095</v>
      </c>
      <c r="EN159">
        <v>41.375</v>
      </c>
      <c r="EO159">
        <v>41.125</v>
      </c>
      <c r="EP159">
        <v>1454.67</v>
      </c>
      <c r="EQ159">
        <v>40.37107142857142</v>
      </c>
      <c r="ER159">
        <v>0</v>
      </c>
      <c r="ES159">
        <v>1286.199999809265</v>
      </c>
      <c r="ET159">
        <v>0</v>
      </c>
      <c r="EU159">
        <v>1675.034230769231</v>
      </c>
      <c r="EV159">
        <v>-158.4208546641849</v>
      </c>
      <c r="EW159">
        <v>-2537.859828759075</v>
      </c>
      <c r="EX159">
        <v>25865.53076923077</v>
      </c>
      <c r="EY159">
        <v>15</v>
      </c>
      <c r="EZ159">
        <v>1652371289.6</v>
      </c>
      <c r="FA159" t="s">
        <v>515</v>
      </c>
      <c r="FB159">
        <v>1652371289.6</v>
      </c>
      <c r="FC159">
        <v>1652371275.1</v>
      </c>
      <c r="FD159">
        <v>24</v>
      </c>
      <c r="FE159">
        <v>0.442</v>
      </c>
      <c r="FF159">
        <v>0.001</v>
      </c>
      <c r="FG159">
        <v>-2.63</v>
      </c>
      <c r="FH159">
        <v>0.007</v>
      </c>
      <c r="FI159">
        <v>1620</v>
      </c>
      <c r="FJ159">
        <v>22</v>
      </c>
      <c r="FK159">
        <v>0.08</v>
      </c>
      <c r="FL159">
        <v>0.04</v>
      </c>
      <c r="FM159">
        <v>24.17917804878049</v>
      </c>
      <c r="FN159">
        <v>16.00461533101046</v>
      </c>
      <c r="FO159">
        <v>1.586278743153787</v>
      </c>
      <c r="FP159">
        <v>-1</v>
      </c>
      <c r="FQ159">
        <v>6.737999999999998</v>
      </c>
      <c r="FR159">
        <v>-0.1859609059233378</v>
      </c>
      <c r="FS159">
        <v>0.02646420804250663</v>
      </c>
      <c r="FT159">
        <v>1</v>
      </c>
      <c r="FU159">
        <v>0</v>
      </c>
      <c r="FV159">
        <v>0</v>
      </c>
      <c r="FW159">
        <v>0</v>
      </c>
      <c r="FX159">
        <v>-1</v>
      </c>
      <c r="FY159">
        <v>1</v>
      </c>
      <c r="FZ159">
        <v>1</v>
      </c>
      <c r="GA159" t="s">
        <v>420</v>
      </c>
      <c r="GB159">
        <v>2.69571</v>
      </c>
      <c r="GC159">
        <v>2.7052</v>
      </c>
      <c r="GD159">
        <v>0.0262643</v>
      </c>
      <c r="GE159">
        <v>0.0192693</v>
      </c>
      <c r="GF159">
        <v>0.107864</v>
      </c>
      <c r="GG159">
        <v>0.084967</v>
      </c>
      <c r="GH159">
        <v>30612.8</v>
      </c>
      <c r="GI159">
        <v>30963.7</v>
      </c>
      <c r="GJ159">
        <v>29244.9</v>
      </c>
      <c r="GK159">
        <v>29215.5</v>
      </c>
      <c r="GL159">
        <v>34540.4</v>
      </c>
      <c r="GM159">
        <v>35583.8</v>
      </c>
      <c r="GN159">
        <v>41160.6</v>
      </c>
      <c r="GO159">
        <v>41684.1</v>
      </c>
      <c r="GP159">
        <v>1.72585</v>
      </c>
      <c r="GQ159">
        <v>2.02965</v>
      </c>
      <c r="GR159">
        <v>0.060685</v>
      </c>
      <c r="GS159">
        <v>0</v>
      </c>
      <c r="GT159">
        <v>29.0914</v>
      </c>
      <c r="GU159">
        <v>999.9</v>
      </c>
      <c r="GV159">
        <v>44.8</v>
      </c>
      <c r="GW159">
        <v>33.2</v>
      </c>
      <c r="GX159">
        <v>25.3209</v>
      </c>
      <c r="GY159">
        <v>63.508</v>
      </c>
      <c r="GZ159">
        <v>28.9463</v>
      </c>
      <c r="HA159">
        <v>1</v>
      </c>
      <c r="HB159">
        <v>0.257312</v>
      </c>
      <c r="HC159">
        <v>1.2781</v>
      </c>
      <c r="HD159">
        <v>20.3762</v>
      </c>
      <c r="HE159">
        <v>5.21834</v>
      </c>
      <c r="HF159">
        <v>12.0099</v>
      </c>
      <c r="HG159">
        <v>4.9885</v>
      </c>
      <c r="HH159">
        <v>3.28855</v>
      </c>
      <c r="HI159">
        <v>2725.3</v>
      </c>
      <c r="HJ159">
        <v>9999</v>
      </c>
      <c r="HK159">
        <v>9999</v>
      </c>
      <c r="HL159">
        <v>50.1</v>
      </c>
      <c r="HM159">
        <v>1.86722</v>
      </c>
      <c r="HN159">
        <v>1.86622</v>
      </c>
      <c r="HO159">
        <v>1.86581</v>
      </c>
      <c r="HP159">
        <v>1.86569</v>
      </c>
      <c r="HQ159">
        <v>1.86751</v>
      </c>
      <c r="HR159">
        <v>1.86997</v>
      </c>
      <c r="HS159">
        <v>1.86868</v>
      </c>
      <c r="HT159">
        <v>1.87001</v>
      </c>
      <c r="HU159">
        <v>0</v>
      </c>
      <c r="HV159">
        <v>0</v>
      </c>
      <c r="HW159">
        <v>0</v>
      </c>
      <c r="HX159">
        <v>0</v>
      </c>
      <c r="HY159" t="s">
        <v>421</v>
      </c>
      <c r="HZ159" t="s">
        <v>422</v>
      </c>
      <c r="IA159" t="s">
        <v>423</v>
      </c>
      <c r="IB159" t="s">
        <v>423</v>
      </c>
      <c r="IC159" t="s">
        <v>423</v>
      </c>
      <c r="ID159" t="s">
        <v>423</v>
      </c>
      <c r="IE159">
        <v>0</v>
      </c>
      <c r="IF159">
        <v>100</v>
      </c>
      <c r="IG159">
        <v>100</v>
      </c>
      <c r="IH159">
        <v>1.037</v>
      </c>
      <c r="II159">
        <v>0.0448</v>
      </c>
      <c r="IJ159">
        <v>1.257309091789605</v>
      </c>
      <c r="IK159">
        <v>-0.002185601614162945</v>
      </c>
      <c r="IL159">
        <v>-2.252308143750626E-07</v>
      </c>
      <c r="IM159">
        <v>5.915558436307541E-11</v>
      </c>
      <c r="IN159">
        <v>-0.118683452207699</v>
      </c>
      <c r="IO159">
        <v>-0.007570214193104963</v>
      </c>
      <c r="IP159">
        <v>0.0009214429922928372</v>
      </c>
      <c r="IQ159">
        <v>-1.392260276065805E-05</v>
      </c>
      <c r="IR159">
        <v>17</v>
      </c>
      <c r="IS159">
        <v>2272</v>
      </c>
      <c r="IT159">
        <v>1</v>
      </c>
      <c r="IU159">
        <v>31</v>
      </c>
      <c r="IV159">
        <v>19.4</v>
      </c>
      <c r="IW159">
        <v>19.6</v>
      </c>
      <c r="IX159">
        <v>0.284424</v>
      </c>
      <c r="IY159">
        <v>2.2998</v>
      </c>
      <c r="IZ159">
        <v>1.39648</v>
      </c>
      <c r="JA159">
        <v>2.35474</v>
      </c>
      <c r="JB159">
        <v>1.49536</v>
      </c>
      <c r="JC159">
        <v>2.32422</v>
      </c>
      <c r="JD159">
        <v>36.8842</v>
      </c>
      <c r="JE159">
        <v>15.2615</v>
      </c>
      <c r="JF159">
        <v>18</v>
      </c>
      <c r="JG159">
        <v>388.916</v>
      </c>
      <c r="JH159">
        <v>566.0650000000001</v>
      </c>
      <c r="JI159">
        <v>28.7615</v>
      </c>
      <c r="JJ159">
        <v>30.701</v>
      </c>
      <c r="JK159">
        <v>30.0005</v>
      </c>
      <c r="JL159">
        <v>30.5959</v>
      </c>
      <c r="JM159">
        <v>30.4997</v>
      </c>
      <c r="JN159">
        <v>5.6349</v>
      </c>
      <c r="JO159">
        <v>30.2366</v>
      </c>
      <c r="JP159">
        <v>0</v>
      </c>
      <c r="JQ159">
        <v>28.7032</v>
      </c>
      <c r="JR159">
        <v>51.9345</v>
      </c>
      <c r="JS159">
        <v>17.9866</v>
      </c>
      <c r="JT159">
        <v>99.9609</v>
      </c>
      <c r="JU159">
        <v>100.06</v>
      </c>
    </row>
    <row r="160" spans="1:281">
      <c r="A160">
        <v>144</v>
      </c>
      <c r="B160">
        <v>1652372457</v>
      </c>
      <c r="C160">
        <v>4363.400000095367</v>
      </c>
      <c r="D160" t="s">
        <v>756</v>
      </c>
      <c r="E160" t="s">
        <v>757</v>
      </c>
      <c r="F160">
        <v>5</v>
      </c>
      <c r="G160" t="s">
        <v>711</v>
      </c>
      <c r="H160" t="s">
        <v>414</v>
      </c>
      <c r="I160">
        <v>1652372449.5</v>
      </c>
      <c r="J160">
        <f>(K160)/1000</f>
        <v>0</v>
      </c>
      <c r="K160">
        <f>IF(CZ160, AN160, AH160)</f>
        <v>0</v>
      </c>
      <c r="L160">
        <f>IF(CZ160, AI160, AG160)</f>
        <v>0</v>
      </c>
      <c r="M160">
        <f>DB160 - IF(AU160&gt;1, L160*CV160*100.0/(AW160*DP160), 0)</f>
        <v>0</v>
      </c>
      <c r="N160">
        <f>((T160-J160/2)*M160-L160)/(T160+J160/2)</f>
        <v>0</v>
      </c>
      <c r="O160">
        <f>N160*(DI160+DJ160)/1000.0</f>
        <v>0</v>
      </c>
      <c r="P160">
        <f>(DB160 - IF(AU160&gt;1, L160*CV160*100.0/(AW160*DP160), 0))*(DI160+DJ160)/1000.0</f>
        <v>0</v>
      </c>
      <c r="Q160">
        <f>2.0/((1/S160-1/R160)+SIGN(S160)*SQRT((1/S160-1/R160)*(1/S160-1/R160) + 4*CW160/((CW160+1)*(CW160+1))*(2*1/S160*1/R160-1/R160*1/R160)))</f>
        <v>0</v>
      </c>
      <c r="R160">
        <f>IF(LEFT(CX160,1)&lt;&gt;"0",IF(LEFT(CX160,1)="1",3.0,CY160),$D$5+$E$5*(DP160*DI160/($K$5*1000))+$F$5*(DP160*DI160/($K$5*1000))*MAX(MIN(CV160,$J$5),$I$5)*MAX(MIN(CV160,$J$5),$I$5)+$G$5*MAX(MIN(CV160,$J$5),$I$5)*(DP160*DI160/($K$5*1000))+$H$5*(DP160*DI160/($K$5*1000))*(DP160*DI160/($K$5*1000)))</f>
        <v>0</v>
      </c>
      <c r="S160">
        <f>J160*(1000-(1000*0.61365*exp(17.502*W160/(240.97+W160))/(DI160+DJ160)+DD160)/2)/(1000*0.61365*exp(17.502*W160/(240.97+W160))/(DI160+DJ160)-DD160)</f>
        <v>0</v>
      </c>
      <c r="T160">
        <f>1/((CW160+1)/(Q160/1.6)+1/(R160/1.37)) + CW160/((CW160+1)/(Q160/1.6) + CW160/(R160/1.37))</f>
        <v>0</v>
      </c>
      <c r="U160">
        <f>(CR160*CU160)</f>
        <v>0</v>
      </c>
      <c r="V160">
        <f>(DK160+(U160+2*0.95*5.67E-8*(((DK160+$B$7)+273)^4-(DK160+273)^4)-44100*J160)/(1.84*29.3*R160+8*0.95*5.67E-8*(DK160+273)^3))</f>
        <v>0</v>
      </c>
      <c r="W160">
        <f>($C$7*DL160+$D$7*DM160+$E$7*V160)</f>
        <v>0</v>
      </c>
      <c r="X160">
        <f>0.61365*exp(17.502*W160/(240.97+W160))</f>
        <v>0</v>
      </c>
      <c r="Y160">
        <f>(Z160/AA160*100)</f>
        <v>0</v>
      </c>
      <c r="Z160">
        <f>DD160*(DI160+DJ160)/1000</f>
        <v>0</v>
      </c>
      <c r="AA160">
        <f>0.61365*exp(17.502*DK160/(240.97+DK160))</f>
        <v>0</v>
      </c>
      <c r="AB160">
        <f>(X160-DD160*(DI160+DJ160)/1000)</f>
        <v>0</v>
      </c>
      <c r="AC160">
        <f>(-J160*44100)</f>
        <v>0</v>
      </c>
      <c r="AD160">
        <f>2*29.3*R160*0.92*(DK160-W160)</f>
        <v>0</v>
      </c>
      <c r="AE160">
        <f>2*0.95*5.67E-8*(((DK160+$B$7)+273)^4-(W160+273)^4)</f>
        <v>0</v>
      </c>
      <c r="AF160">
        <f>U160+AE160+AC160+AD160</f>
        <v>0</v>
      </c>
      <c r="AG160">
        <f>DH160*AU160*(DC160-DB160*(1000-AU160*DE160)/(1000-AU160*DD160))/(100*CV160)</f>
        <v>0</v>
      </c>
      <c r="AH160">
        <f>1000*DH160*AU160*(DD160-DE160)/(100*CV160*(1000-AU160*DD160))</f>
        <v>0</v>
      </c>
      <c r="AI160">
        <f>(AJ160 - AK160 - DI160*1E3/(8.314*(DK160+273.15)) * AM160/DH160 * AL160) * DH160/(100*CV160) * (1000 - DE160)/1000</f>
        <v>0</v>
      </c>
      <c r="AJ160">
        <v>70.73025506209767</v>
      </c>
      <c r="AK160">
        <v>88.97601030303026</v>
      </c>
      <c r="AL160">
        <v>-3.168472391355032</v>
      </c>
      <c r="AM160">
        <v>65.96288611109561</v>
      </c>
      <c r="AN160">
        <f>(AP160 - AO160 + DI160*1E3/(8.314*(DK160+273.15)) * AR160/DH160 * AQ160) * DH160/(100*CV160) * 1000/(1000 - AP160)</f>
        <v>0</v>
      </c>
      <c r="AO160">
        <v>17.89857074508971</v>
      </c>
      <c r="AP160">
        <v>24.60714615384617</v>
      </c>
      <c r="AQ160">
        <v>0.005966463080680177</v>
      </c>
      <c r="AR160">
        <v>81.18387902069509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MAX(0,($B$13+$C$13*DP160)/(1+$D$13*DP160)*DI160/(DK160+273)*$E$13)</f>
        <v>0</v>
      </c>
      <c r="AX160" t="s">
        <v>417</v>
      </c>
      <c r="AY160" t="s">
        <v>417</v>
      </c>
      <c r="AZ160">
        <v>0</v>
      </c>
      <c r="BA160">
        <v>0</v>
      </c>
      <c r="BB160">
        <f>1-AZ160/BA160</f>
        <v>0</v>
      </c>
      <c r="BC160">
        <v>0</v>
      </c>
      <c r="BD160" t="s">
        <v>417</v>
      </c>
      <c r="BE160" t="s">
        <v>417</v>
      </c>
      <c r="BF160">
        <v>0</v>
      </c>
      <c r="BG160">
        <v>0</v>
      </c>
      <c r="BH160">
        <f>1-BF160/BG160</f>
        <v>0</v>
      </c>
      <c r="BI160">
        <v>0.5</v>
      </c>
      <c r="BJ160">
        <f>CS160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417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1393</v>
      </c>
      <c r="CA160">
        <v>300</v>
      </c>
      <c r="CB160">
        <v>300</v>
      </c>
      <c r="CC160">
        <v>300</v>
      </c>
      <c r="CD160">
        <v>10378</v>
      </c>
      <c r="CE160">
        <v>2050</v>
      </c>
      <c r="CF160">
        <v>-0.00730649</v>
      </c>
      <c r="CG160">
        <v>-4.53</v>
      </c>
      <c r="CH160" t="s">
        <v>417</v>
      </c>
      <c r="CI160" t="s">
        <v>417</v>
      </c>
      <c r="CJ160" t="s">
        <v>417</v>
      </c>
      <c r="CK160" t="s">
        <v>417</v>
      </c>
      <c r="CL160" t="s">
        <v>417</v>
      </c>
      <c r="CM160" t="s">
        <v>417</v>
      </c>
      <c r="CN160" t="s">
        <v>417</v>
      </c>
      <c r="CO160" t="s">
        <v>417</v>
      </c>
      <c r="CP160" t="s">
        <v>417</v>
      </c>
      <c r="CQ160" t="s">
        <v>417</v>
      </c>
      <c r="CR160">
        <f>$B$11*DQ160+$C$11*DR160+$F$11*EC160*(1-EF160)</f>
        <v>0</v>
      </c>
      <c r="CS160">
        <f>CR160*CT160</f>
        <v>0</v>
      </c>
      <c r="CT160">
        <f>($B$11*$D$9+$C$11*$D$9+$F$11*((EP160+EH160)/MAX(EP160+EH160+EQ160, 0.1)*$I$9+EQ160/MAX(EP160+EH160+EQ160, 0.1)*$J$9))/($B$11+$C$11+$F$11)</f>
        <v>0</v>
      </c>
      <c r="CU160">
        <f>($B$11*$K$9+$C$11*$K$9+$F$11*((EP160+EH160)/MAX(EP160+EH160+EQ160, 0.1)*$P$9+EQ160/MAX(EP160+EH160+EQ160, 0.1)*$Q$9))/($B$11+$C$11+$F$11)</f>
        <v>0</v>
      </c>
      <c r="CV160">
        <v>6</v>
      </c>
      <c r="CW160">
        <v>0.5</v>
      </c>
      <c r="CX160" t="s">
        <v>418</v>
      </c>
      <c r="CY160">
        <v>2</v>
      </c>
      <c r="CZ160" t="b">
        <v>1</v>
      </c>
      <c r="DA160">
        <v>1652372449.5</v>
      </c>
      <c r="DB160">
        <v>108.3555185185185</v>
      </c>
      <c r="DC160">
        <v>81.74973703703702</v>
      </c>
      <c r="DD160">
        <v>24.58810740740741</v>
      </c>
      <c r="DE160">
        <v>17.87262962962963</v>
      </c>
      <c r="DF160">
        <v>107.3354592592593</v>
      </c>
      <c r="DG160">
        <v>24.54335185185185</v>
      </c>
      <c r="DH160">
        <v>400.0687037037038</v>
      </c>
      <c r="DI160">
        <v>90.39585185185187</v>
      </c>
      <c r="DJ160">
        <v>0.1000112296296296</v>
      </c>
      <c r="DK160">
        <v>30.90574074074074</v>
      </c>
      <c r="DL160">
        <v>30.07974814814815</v>
      </c>
      <c r="DM160">
        <v>999.9000000000001</v>
      </c>
      <c r="DN160">
        <v>0</v>
      </c>
      <c r="DO160">
        <v>0</v>
      </c>
      <c r="DP160">
        <v>10001.25111111111</v>
      </c>
      <c r="DQ160">
        <v>0</v>
      </c>
      <c r="DR160">
        <v>440.1213703703703</v>
      </c>
      <c r="DS160">
        <v>26.60578518518518</v>
      </c>
      <c r="DT160">
        <v>111.0867814814815</v>
      </c>
      <c r="DU160">
        <v>83.23710370370371</v>
      </c>
      <c r="DV160">
        <v>6.715468888888889</v>
      </c>
      <c r="DW160">
        <v>81.74973703703702</v>
      </c>
      <c r="DX160">
        <v>17.87262962962963</v>
      </c>
      <c r="DY160">
        <v>2.222662592592592</v>
      </c>
      <c r="DZ160">
        <v>1.615612592592593</v>
      </c>
      <c r="EA160">
        <v>19.1266</v>
      </c>
      <c r="EB160">
        <v>14.10850740740741</v>
      </c>
      <c r="EC160">
        <v>1500.012962962963</v>
      </c>
      <c r="ED160">
        <v>0.9729990740740739</v>
      </c>
      <c r="EE160">
        <v>0.02700108148148148</v>
      </c>
      <c r="EF160">
        <v>0</v>
      </c>
      <c r="EG160">
        <v>1660.967407407407</v>
      </c>
      <c r="EH160">
        <v>5.00097</v>
      </c>
      <c r="EI160">
        <v>25648.4962962963</v>
      </c>
      <c r="EJ160">
        <v>12491.70740740741</v>
      </c>
      <c r="EK160">
        <v>40</v>
      </c>
      <c r="EL160">
        <v>41.5</v>
      </c>
      <c r="EM160">
        <v>40.22666666666666</v>
      </c>
      <c r="EN160">
        <v>41.375</v>
      </c>
      <c r="EO160">
        <v>41.125</v>
      </c>
      <c r="EP160">
        <v>1454.642222222222</v>
      </c>
      <c r="EQ160">
        <v>40.36999999999999</v>
      </c>
      <c r="ER160">
        <v>0</v>
      </c>
      <c r="ES160">
        <v>1291</v>
      </c>
      <c r="ET160">
        <v>0</v>
      </c>
      <c r="EU160">
        <v>1660.990384615385</v>
      </c>
      <c r="EV160">
        <v>-191.7842735194368</v>
      </c>
      <c r="EW160">
        <v>-2857.668376335354</v>
      </c>
      <c r="EX160">
        <v>25650.06153846154</v>
      </c>
      <c r="EY160">
        <v>15</v>
      </c>
      <c r="EZ160">
        <v>1652371289.6</v>
      </c>
      <c r="FA160" t="s">
        <v>515</v>
      </c>
      <c r="FB160">
        <v>1652371289.6</v>
      </c>
      <c r="FC160">
        <v>1652371275.1</v>
      </c>
      <c r="FD160">
        <v>24</v>
      </c>
      <c r="FE160">
        <v>0.442</v>
      </c>
      <c r="FF160">
        <v>0.001</v>
      </c>
      <c r="FG160">
        <v>-2.63</v>
      </c>
      <c r="FH160">
        <v>0.007</v>
      </c>
      <c r="FI160">
        <v>1620</v>
      </c>
      <c r="FJ160">
        <v>22</v>
      </c>
      <c r="FK160">
        <v>0.08</v>
      </c>
      <c r="FL160">
        <v>0.04</v>
      </c>
      <c r="FM160">
        <v>25.56634634146342</v>
      </c>
      <c r="FN160">
        <v>17.63843414634144</v>
      </c>
      <c r="FO160">
        <v>1.745062511019208</v>
      </c>
      <c r="FP160">
        <v>-1</v>
      </c>
      <c r="FQ160">
        <v>6.717683170731707</v>
      </c>
      <c r="FR160">
        <v>-0.09510585365854117</v>
      </c>
      <c r="FS160">
        <v>0.01654756771442666</v>
      </c>
      <c r="FT160">
        <v>1</v>
      </c>
      <c r="FU160">
        <v>0</v>
      </c>
      <c r="FV160">
        <v>0</v>
      </c>
      <c r="FW160">
        <v>0</v>
      </c>
      <c r="FX160">
        <v>-1</v>
      </c>
      <c r="FY160">
        <v>1</v>
      </c>
      <c r="FZ160">
        <v>1</v>
      </c>
      <c r="GA160" t="s">
        <v>420</v>
      </c>
      <c r="GB160">
        <v>2.69583</v>
      </c>
      <c r="GC160">
        <v>2.70528</v>
      </c>
      <c r="GD160">
        <v>0.0222661</v>
      </c>
      <c r="GE160">
        <v>0.0149048</v>
      </c>
      <c r="GF160">
        <v>0.107906</v>
      </c>
      <c r="GG160">
        <v>0.08501980000000001</v>
      </c>
      <c r="GH160">
        <v>30737.6</v>
      </c>
      <c r="GI160">
        <v>31101.5</v>
      </c>
      <c r="GJ160">
        <v>29244.1</v>
      </c>
      <c r="GK160">
        <v>29215.5</v>
      </c>
      <c r="GL160">
        <v>34538</v>
      </c>
      <c r="GM160">
        <v>35581.7</v>
      </c>
      <c r="GN160">
        <v>41159.8</v>
      </c>
      <c r="GO160">
        <v>41684.1</v>
      </c>
      <c r="GP160">
        <v>1.72578</v>
      </c>
      <c r="GQ160">
        <v>2.0295</v>
      </c>
      <c r="GR160">
        <v>0.059709</v>
      </c>
      <c r="GS160">
        <v>0</v>
      </c>
      <c r="GT160">
        <v>29.0833</v>
      </c>
      <c r="GU160">
        <v>999.9</v>
      </c>
      <c r="GV160">
        <v>44.8</v>
      </c>
      <c r="GW160">
        <v>33.2</v>
      </c>
      <c r="GX160">
        <v>25.3211</v>
      </c>
      <c r="GY160">
        <v>63.458</v>
      </c>
      <c r="GZ160">
        <v>29.0865</v>
      </c>
      <c r="HA160">
        <v>1</v>
      </c>
      <c r="HB160">
        <v>0.25781</v>
      </c>
      <c r="HC160">
        <v>1.25478</v>
      </c>
      <c r="HD160">
        <v>20.3766</v>
      </c>
      <c r="HE160">
        <v>5.21729</v>
      </c>
      <c r="HF160">
        <v>12.0099</v>
      </c>
      <c r="HG160">
        <v>4.98815</v>
      </c>
      <c r="HH160">
        <v>3.28845</v>
      </c>
      <c r="HI160">
        <v>2725.5</v>
      </c>
      <c r="HJ160">
        <v>9999</v>
      </c>
      <c r="HK160">
        <v>9999</v>
      </c>
      <c r="HL160">
        <v>50.1</v>
      </c>
      <c r="HM160">
        <v>1.86722</v>
      </c>
      <c r="HN160">
        <v>1.86621</v>
      </c>
      <c r="HO160">
        <v>1.86583</v>
      </c>
      <c r="HP160">
        <v>1.86569</v>
      </c>
      <c r="HQ160">
        <v>1.8675</v>
      </c>
      <c r="HR160">
        <v>1.86999</v>
      </c>
      <c r="HS160">
        <v>1.86868</v>
      </c>
      <c r="HT160">
        <v>1.87002</v>
      </c>
      <c r="HU160">
        <v>0</v>
      </c>
      <c r="HV160">
        <v>0</v>
      </c>
      <c r="HW160">
        <v>0</v>
      </c>
      <c r="HX160">
        <v>0</v>
      </c>
      <c r="HY160" t="s">
        <v>421</v>
      </c>
      <c r="HZ160" t="s">
        <v>422</v>
      </c>
      <c r="IA160" t="s">
        <v>423</v>
      </c>
      <c r="IB160" t="s">
        <v>423</v>
      </c>
      <c r="IC160" t="s">
        <v>423</v>
      </c>
      <c r="ID160" t="s">
        <v>423</v>
      </c>
      <c r="IE160">
        <v>0</v>
      </c>
      <c r="IF160">
        <v>100</v>
      </c>
      <c r="IG160">
        <v>100</v>
      </c>
      <c r="IH160">
        <v>1.072</v>
      </c>
      <c r="II160">
        <v>0.0449</v>
      </c>
      <c r="IJ160">
        <v>1.257309091789605</v>
      </c>
      <c r="IK160">
        <v>-0.002185601614162945</v>
      </c>
      <c r="IL160">
        <v>-2.252308143750626E-07</v>
      </c>
      <c r="IM160">
        <v>5.915558436307541E-11</v>
      </c>
      <c r="IN160">
        <v>-0.118683452207699</v>
      </c>
      <c r="IO160">
        <v>-0.007570214193104963</v>
      </c>
      <c r="IP160">
        <v>0.0009214429922928372</v>
      </c>
      <c r="IQ160">
        <v>-1.392260276065805E-05</v>
      </c>
      <c r="IR160">
        <v>17</v>
      </c>
      <c r="IS160">
        <v>2272</v>
      </c>
      <c r="IT160">
        <v>1</v>
      </c>
      <c r="IU160">
        <v>31</v>
      </c>
      <c r="IV160">
        <v>19.5</v>
      </c>
      <c r="IW160">
        <v>19.7</v>
      </c>
      <c r="IX160">
        <v>0.244141</v>
      </c>
      <c r="IY160">
        <v>2.31567</v>
      </c>
      <c r="IZ160">
        <v>1.39648</v>
      </c>
      <c r="JA160">
        <v>2.35352</v>
      </c>
      <c r="JB160">
        <v>1.49536</v>
      </c>
      <c r="JC160">
        <v>2.27661</v>
      </c>
      <c r="JD160">
        <v>36.8842</v>
      </c>
      <c r="JE160">
        <v>15.2528</v>
      </c>
      <c r="JF160">
        <v>18</v>
      </c>
      <c r="JG160">
        <v>388.907</v>
      </c>
      <c r="JH160">
        <v>565.996</v>
      </c>
      <c r="JI160">
        <v>28.6763</v>
      </c>
      <c r="JJ160">
        <v>30.7064</v>
      </c>
      <c r="JK160">
        <v>30.0005</v>
      </c>
      <c r="JL160">
        <v>30.6012</v>
      </c>
      <c r="JM160">
        <v>30.5044</v>
      </c>
      <c r="JN160">
        <v>4.8978</v>
      </c>
      <c r="JO160">
        <v>29.9459</v>
      </c>
      <c r="JP160">
        <v>0</v>
      </c>
      <c r="JQ160">
        <v>28.6368</v>
      </c>
      <c r="JR160">
        <v>31.8964</v>
      </c>
      <c r="JS160">
        <v>18.0262</v>
      </c>
      <c r="JT160">
        <v>99.9586</v>
      </c>
      <c r="JU160">
        <v>100.06</v>
      </c>
    </row>
    <row r="161" spans="1:281">
      <c r="A161">
        <v>145</v>
      </c>
      <c r="B161">
        <v>1652372494</v>
      </c>
      <c r="C161">
        <v>4400.400000095367</v>
      </c>
      <c r="D161" t="s">
        <v>758</v>
      </c>
      <c r="E161" t="s">
        <v>759</v>
      </c>
      <c r="F161">
        <v>5</v>
      </c>
      <c r="G161" t="s">
        <v>711</v>
      </c>
      <c r="H161" t="s">
        <v>414</v>
      </c>
      <c r="I161">
        <v>1652372486</v>
      </c>
      <c r="J161">
        <f>(K161)/1000</f>
        <v>0</v>
      </c>
      <c r="K161">
        <f>IF(CZ161, AN161, AH161)</f>
        <v>0</v>
      </c>
      <c r="L161">
        <f>IF(CZ161, AI161, AG161)</f>
        <v>0</v>
      </c>
      <c r="M161">
        <f>DB161 - IF(AU161&gt;1, L161*CV161*100.0/(AW161*DP161), 0)</f>
        <v>0</v>
      </c>
      <c r="N161">
        <f>((T161-J161/2)*M161-L161)/(T161+J161/2)</f>
        <v>0</v>
      </c>
      <c r="O161">
        <f>N161*(DI161+DJ161)/1000.0</f>
        <v>0</v>
      </c>
      <c r="P161">
        <f>(DB161 - IF(AU161&gt;1, L161*CV161*100.0/(AW161*DP161), 0))*(DI161+DJ161)/1000.0</f>
        <v>0</v>
      </c>
      <c r="Q161">
        <f>2.0/((1/S161-1/R161)+SIGN(S161)*SQRT((1/S161-1/R161)*(1/S161-1/R161) + 4*CW161/((CW161+1)*(CW161+1))*(2*1/S161*1/R161-1/R161*1/R161)))</f>
        <v>0</v>
      </c>
      <c r="R161">
        <f>IF(LEFT(CX161,1)&lt;&gt;"0",IF(LEFT(CX161,1)="1",3.0,CY161),$D$5+$E$5*(DP161*DI161/($K$5*1000))+$F$5*(DP161*DI161/($K$5*1000))*MAX(MIN(CV161,$J$5),$I$5)*MAX(MIN(CV161,$J$5),$I$5)+$G$5*MAX(MIN(CV161,$J$5),$I$5)*(DP161*DI161/($K$5*1000))+$H$5*(DP161*DI161/($K$5*1000))*(DP161*DI161/($K$5*1000)))</f>
        <v>0</v>
      </c>
      <c r="S161">
        <f>J161*(1000-(1000*0.61365*exp(17.502*W161/(240.97+W161))/(DI161+DJ161)+DD161)/2)/(1000*0.61365*exp(17.502*W161/(240.97+W161))/(DI161+DJ161)-DD161)</f>
        <v>0</v>
      </c>
      <c r="T161">
        <f>1/((CW161+1)/(Q161/1.6)+1/(R161/1.37)) + CW161/((CW161+1)/(Q161/1.6) + CW161/(R161/1.37))</f>
        <v>0</v>
      </c>
      <c r="U161">
        <f>(CR161*CU161)</f>
        <v>0</v>
      </c>
      <c r="V161">
        <f>(DK161+(U161+2*0.95*5.67E-8*(((DK161+$B$7)+273)^4-(DK161+273)^4)-44100*J161)/(1.84*29.3*R161+8*0.95*5.67E-8*(DK161+273)^3))</f>
        <v>0</v>
      </c>
      <c r="W161">
        <f>($C$7*DL161+$D$7*DM161+$E$7*V161)</f>
        <v>0</v>
      </c>
      <c r="X161">
        <f>0.61365*exp(17.502*W161/(240.97+W161))</f>
        <v>0</v>
      </c>
      <c r="Y161">
        <f>(Z161/AA161*100)</f>
        <v>0</v>
      </c>
      <c r="Z161">
        <f>DD161*(DI161+DJ161)/1000</f>
        <v>0</v>
      </c>
      <c r="AA161">
        <f>0.61365*exp(17.502*DK161/(240.97+DK161))</f>
        <v>0</v>
      </c>
      <c r="AB161">
        <f>(X161-DD161*(DI161+DJ161)/1000)</f>
        <v>0</v>
      </c>
      <c r="AC161">
        <f>(-J161*44100)</f>
        <v>0</v>
      </c>
      <c r="AD161">
        <f>2*29.3*R161*0.92*(DK161-W161)</f>
        <v>0</v>
      </c>
      <c r="AE161">
        <f>2*0.95*5.67E-8*(((DK161+$B$7)+273)^4-(W161+273)^4)</f>
        <v>0</v>
      </c>
      <c r="AF161">
        <f>U161+AE161+AC161+AD161</f>
        <v>0</v>
      </c>
      <c r="AG161">
        <f>DH161*AU161*(DC161-DB161*(1000-AU161*DE161)/(1000-AU161*DD161))/(100*CV161)</f>
        <v>0</v>
      </c>
      <c r="AH161">
        <f>1000*DH161*AU161*(DD161-DE161)/(100*CV161*(1000-AU161*DD161))</f>
        <v>0</v>
      </c>
      <c r="AI161">
        <f>(AJ161 - AK161 - DI161*1E3/(8.314*(DK161+273.15)) * AM161/DH161 * AL161) * DH161/(100*CV161) * (1000 - DE161)/1000</f>
        <v>0</v>
      </c>
      <c r="AJ161">
        <v>427.6372721379474</v>
      </c>
      <c r="AK161">
        <v>387.7646787878786</v>
      </c>
      <c r="AL161">
        <v>3.264809048300566</v>
      </c>
      <c r="AM161">
        <v>65.96288611109561</v>
      </c>
      <c r="AN161">
        <f>(AP161 - AO161 + DI161*1E3/(8.314*(DK161+273.15)) * AR161/DH161 * AQ161) * DH161/(100*CV161) * 1000/(1000 - AP161)</f>
        <v>0</v>
      </c>
      <c r="AO161">
        <v>18.03377698291794</v>
      </c>
      <c r="AP161">
        <v>24.70175874125875</v>
      </c>
      <c r="AQ161">
        <v>5.577387593195462E-05</v>
      </c>
      <c r="AR161">
        <v>81.18387902069509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MAX(0,($B$13+$C$13*DP161)/(1+$D$13*DP161)*DI161/(DK161+273)*$E$13)</f>
        <v>0</v>
      </c>
      <c r="AX161" t="s">
        <v>417</v>
      </c>
      <c r="AY161" t="s">
        <v>417</v>
      </c>
      <c r="AZ161">
        <v>0</v>
      </c>
      <c r="BA161">
        <v>0</v>
      </c>
      <c r="BB161">
        <f>1-AZ161/BA161</f>
        <v>0</v>
      </c>
      <c r="BC161">
        <v>0</v>
      </c>
      <c r="BD161" t="s">
        <v>417</v>
      </c>
      <c r="BE161" t="s">
        <v>417</v>
      </c>
      <c r="BF161">
        <v>0</v>
      </c>
      <c r="BG161">
        <v>0</v>
      </c>
      <c r="BH161">
        <f>1-BF161/BG161</f>
        <v>0</v>
      </c>
      <c r="BI161">
        <v>0.5</v>
      </c>
      <c r="BJ161">
        <f>CS161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417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1393</v>
      </c>
      <c r="CA161">
        <v>300</v>
      </c>
      <c r="CB161">
        <v>300</v>
      </c>
      <c r="CC161">
        <v>300</v>
      </c>
      <c r="CD161">
        <v>10378</v>
      </c>
      <c r="CE161">
        <v>2050</v>
      </c>
      <c r="CF161">
        <v>-0.00730649</v>
      </c>
      <c r="CG161">
        <v>-4.53</v>
      </c>
      <c r="CH161" t="s">
        <v>417</v>
      </c>
      <c r="CI161" t="s">
        <v>417</v>
      </c>
      <c r="CJ161" t="s">
        <v>417</v>
      </c>
      <c r="CK161" t="s">
        <v>417</v>
      </c>
      <c r="CL161" t="s">
        <v>417</v>
      </c>
      <c r="CM161" t="s">
        <v>417</v>
      </c>
      <c r="CN161" t="s">
        <v>417</v>
      </c>
      <c r="CO161" t="s">
        <v>417</v>
      </c>
      <c r="CP161" t="s">
        <v>417</v>
      </c>
      <c r="CQ161" t="s">
        <v>417</v>
      </c>
      <c r="CR161">
        <f>$B$11*DQ161+$C$11*DR161+$F$11*EC161*(1-EF161)</f>
        <v>0</v>
      </c>
      <c r="CS161">
        <f>CR161*CT161</f>
        <v>0</v>
      </c>
      <c r="CT161">
        <f>($B$11*$D$9+$C$11*$D$9+$F$11*((EP161+EH161)/MAX(EP161+EH161+EQ161, 0.1)*$I$9+EQ161/MAX(EP161+EH161+EQ161, 0.1)*$J$9))/($B$11+$C$11+$F$11)</f>
        <v>0</v>
      </c>
      <c r="CU161">
        <f>($B$11*$K$9+$C$11*$K$9+$F$11*((EP161+EH161)/MAX(EP161+EH161+EQ161, 0.1)*$P$9+EQ161/MAX(EP161+EH161+EQ161, 0.1)*$Q$9))/($B$11+$C$11+$F$11)</f>
        <v>0</v>
      </c>
      <c r="CV161">
        <v>6</v>
      </c>
      <c r="CW161">
        <v>0.5</v>
      </c>
      <c r="CX161" t="s">
        <v>418</v>
      </c>
      <c r="CY161">
        <v>2</v>
      </c>
      <c r="CZ161" t="b">
        <v>1</v>
      </c>
      <c r="DA161">
        <v>1652372486</v>
      </c>
      <c r="DB161">
        <v>340.3713548387097</v>
      </c>
      <c r="DC161">
        <v>418.1455806451613</v>
      </c>
      <c r="DD161">
        <v>24.69963548387097</v>
      </c>
      <c r="DE161">
        <v>18.03464838709678</v>
      </c>
      <c r="DF161">
        <v>339.8808064516129</v>
      </c>
      <c r="DG161">
        <v>24.65353225806452</v>
      </c>
      <c r="DH161">
        <v>400.0605483870967</v>
      </c>
      <c r="DI161">
        <v>90.39650322580644</v>
      </c>
      <c r="DJ161">
        <v>0.09994794193548386</v>
      </c>
      <c r="DK161">
        <v>30.80420322580645</v>
      </c>
      <c r="DL161">
        <v>29.98197741935484</v>
      </c>
      <c r="DM161">
        <v>999.9000000000003</v>
      </c>
      <c r="DN161">
        <v>0</v>
      </c>
      <c r="DO161">
        <v>0</v>
      </c>
      <c r="DP161">
        <v>10014.71838709677</v>
      </c>
      <c r="DQ161">
        <v>0</v>
      </c>
      <c r="DR161">
        <v>435.216064516129</v>
      </c>
      <c r="DS161">
        <v>-77.7741935483871</v>
      </c>
      <c r="DT161">
        <v>348.9912903225807</v>
      </c>
      <c r="DU161">
        <v>425.8251612903226</v>
      </c>
      <c r="DV161">
        <v>6.665009032258064</v>
      </c>
      <c r="DW161">
        <v>418.1455806451613</v>
      </c>
      <c r="DX161">
        <v>18.03464838709678</v>
      </c>
      <c r="DY161">
        <v>2.232761935483871</v>
      </c>
      <c r="DZ161">
        <v>1.630268709677419</v>
      </c>
      <c r="EA161">
        <v>19.19934193548387</v>
      </c>
      <c r="EB161">
        <v>14.24791935483871</v>
      </c>
      <c r="EC161">
        <v>1500.016774193549</v>
      </c>
      <c r="ED161">
        <v>0.9729970967741935</v>
      </c>
      <c r="EE161">
        <v>0.02700317741935483</v>
      </c>
      <c r="EF161">
        <v>0</v>
      </c>
      <c r="EG161">
        <v>1749.000322580645</v>
      </c>
      <c r="EH161">
        <v>5.000969999999999</v>
      </c>
      <c r="EI161">
        <v>27015.53225806451</v>
      </c>
      <c r="EJ161">
        <v>12491.73548387097</v>
      </c>
      <c r="EK161">
        <v>40.02199999999999</v>
      </c>
      <c r="EL161">
        <v>41.504</v>
      </c>
      <c r="EM161">
        <v>40.25</v>
      </c>
      <c r="EN161">
        <v>41.375</v>
      </c>
      <c r="EO161">
        <v>41.125</v>
      </c>
      <c r="EP161">
        <v>1454.645806451613</v>
      </c>
      <c r="EQ161">
        <v>40.37096774193546</v>
      </c>
      <c r="ER161">
        <v>0</v>
      </c>
      <c r="ES161">
        <v>1328.199999809265</v>
      </c>
      <c r="ET161">
        <v>0</v>
      </c>
      <c r="EU161">
        <v>1753.145384615385</v>
      </c>
      <c r="EV161">
        <v>380.0772650943131</v>
      </c>
      <c r="EW161">
        <v>5600.430771414642</v>
      </c>
      <c r="EX161">
        <v>27077.30000000001</v>
      </c>
      <c r="EY161">
        <v>15</v>
      </c>
      <c r="EZ161">
        <v>1652371289.6</v>
      </c>
      <c r="FA161" t="s">
        <v>515</v>
      </c>
      <c r="FB161">
        <v>1652371289.6</v>
      </c>
      <c r="FC161">
        <v>1652371275.1</v>
      </c>
      <c r="FD161">
        <v>24</v>
      </c>
      <c r="FE161">
        <v>0.442</v>
      </c>
      <c r="FF161">
        <v>0.001</v>
      </c>
      <c r="FG161">
        <v>-2.63</v>
      </c>
      <c r="FH161">
        <v>0.007</v>
      </c>
      <c r="FI161">
        <v>1620</v>
      </c>
      <c r="FJ161">
        <v>22</v>
      </c>
      <c r="FK161">
        <v>0.08</v>
      </c>
      <c r="FL161">
        <v>0.04</v>
      </c>
      <c r="FM161">
        <v>-98.40729999999999</v>
      </c>
      <c r="FN161">
        <v>470.8630626641654</v>
      </c>
      <c r="FO161">
        <v>46.47152315522378</v>
      </c>
      <c r="FP161">
        <v>-1</v>
      </c>
      <c r="FQ161">
        <v>6.66293875</v>
      </c>
      <c r="FR161">
        <v>0.0446633020637817</v>
      </c>
      <c r="FS161">
        <v>0.004537609606114238</v>
      </c>
      <c r="FT161">
        <v>1</v>
      </c>
      <c r="FU161">
        <v>0</v>
      </c>
      <c r="FV161">
        <v>0</v>
      </c>
      <c r="FW161">
        <v>0</v>
      </c>
      <c r="FX161">
        <v>-1</v>
      </c>
      <c r="FY161">
        <v>1</v>
      </c>
      <c r="FZ161">
        <v>1</v>
      </c>
      <c r="GA161" t="s">
        <v>420</v>
      </c>
      <c r="GB161">
        <v>2.69548</v>
      </c>
      <c r="GC161">
        <v>2.70494</v>
      </c>
      <c r="GD161">
        <v>0.0863163</v>
      </c>
      <c r="GE161">
        <v>0.0925173</v>
      </c>
      <c r="GF161">
        <v>0.108189</v>
      </c>
      <c r="GG161">
        <v>0.0854171</v>
      </c>
      <c r="GH161">
        <v>28721.9</v>
      </c>
      <c r="GI161">
        <v>28649.6</v>
      </c>
      <c r="GJ161">
        <v>29242.2</v>
      </c>
      <c r="GK161">
        <v>29214.2</v>
      </c>
      <c r="GL161">
        <v>34525.8</v>
      </c>
      <c r="GM161">
        <v>35566.4</v>
      </c>
      <c r="GN161">
        <v>41156.9</v>
      </c>
      <c r="GO161">
        <v>41682.8</v>
      </c>
      <c r="GP161">
        <v>1.72528</v>
      </c>
      <c r="GQ161">
        <v>2.03032</v>
      </c>
      <c r="GR161">
        <v>0.0591278</v>
      </c>
      <c r="GS161">
        <v>0</v>
      </c>
      <c r="GT161">
        <v>29.0361</v>
      </c>
      <c r="GU161">
        <v>999.9</v>
      </c>
      <c r="GV161">
        <v>44.7</v>
      </c>
      <c r="GW161">
        <v>33.2</v>
      </c>
      <c r="GX161">
        <v>25.263</v>
      </c>
      <c r="GY161">
        <v>63.058</v>
      </c>
      <c r="GZ161">
        <v>29.1787</v>
      </c>
      <c r="HA161">
        <v>1</v>
      </c>
      <c r="HB161">
        <v>0.259151</v>
      </c>
      <c r="HC161">
        <v>0.456008</v>
      </c>
      <c r="HD161">
        <v>20.3812</v>
      </c>
      <c r="HE161">
        <v>5.22058</v>
      </c>
      <c r="HF161">
        <v>12.0099</v>
      </c>
      <c r="HG161">
        <v>4.98935</v>
      </c>
      <c r="HH161">
        <v>3.289</v>
      </c>
      <c r="HI161">
        <v>2726.2</v>
      </c>
      <c r="HJ161">
        <v>9999</v>
      </c>
      <c r="HK161">
        <v>9999</v>
      </c>
      <c r="HL161">
        <v>50.1</v>
      </c>
      <c r="HM161">
        <v>1.86722</v>
      </c>
      <c r="HN161">
        <v>1.86619</v>
      </c>
      <c r="HO161">
        <v>1.86575</v>
      </c>
      <c r="HP161">
        <v>1.86569</v>
      </c>
      <c r="HQ161">
        <v>1.86748</v>
      </c>
      <c r="HR161">
        <v>1.86997</v>
      </c>
      <c r="HS161">
        <v>1.86861</v>
      </c>
      <c r="HT161">
        <v>1.86997</v>
      </c>
      <c r="HU161">
        <v>0</v>
      </c>
      <c r="HV161">
        <v>0</v>
      </c>
      <c r="HW161">
        <v>0</v>
      </c>
      <c r="HX161">
        <v>0</v>
      </c>
      <c r="HY161" t="s">
        <v>421</v>
      </c>
      <c r="HZ161" t="s">
        <v>422</v>
      </c>
      <c r="IA161" t="s">
        <v>423</v>
      </c>
      <c r="IB161" t="s">
        <v>423</v>
      </c>
      <c r="IC161" t="s">
        <v>423</v>
      </c>
      <c r="ID161" t="s">
        <v>423</v>
      </c>
      <c r="IE161">
        <v>0</v>
      </c>
      <c r="IF161">
        <v>100</v>
      </c>
      <c r="IG161">
        <v>100</v>
      </c>
      <c r="IH161">
        <v>0.4</v>
      </c>
      <c r="II161">
        <v>0.0461</v>
      </c>
      <c r="IJ161">
        <v>1.257309091789605</v>
      </c>
      <c r="IK161">
        <v>-0.002185601614162945</v>
      </c>
      <c r="IL161">
        <v>-2.252308143750626E-07</v>
      </c>
      <c r="IM161">
        <v>5.915558436307541E-11</v>
      </c>
      <c r="IN161">
        <v>-0.118683452207699</v>
      </c>
      <c r="IO161">
        <v>-0.007570214193104963</v>
      </c>
      <c r="IP161">
        <v>0.0009214429922928372</v>
      </c>
      <c r="IQ161">
        <v>-1.392260276065805E-05</v>
      </c>
      <c r="IR161">
        <v>17</v>
      </c>
      <c r="IS161">
        <v>2272</v>
      </c>
      <c r="IT161">
        <v>1</v>
      </c>
      <c r="IU161">
        <v>31</v>
      </c>
      <c r="IV161">
        <v>20.1</v>
      </c>
      <c r="IW161">
        <v>20.3</v>
      </c>
      <c r="IX161">
        <v>1.0498</v>
      </c>
      <c r="IY161">
        <v>2.24121</v>
      </c>
      <c r="IZ161">
        <v>1.39648</v>
      </c>
      <c r="JA161">
        <v>2.35474</v>
      </c>
      <c r="JB161">
        <v>1.49536</v>
      </c>
      <c r="JC161">
        <v>2.35474</v>
      </c>
      <c r="JD161">
        <v>36.908</v>
      </c>
      <c r="JE161">
        <v>15.2615</v>
      </c>
      <c r="JF161">
        <v>18</v>
      </c>
      <c r="JG161">
        <v>388.839</v>
      </c>
      <c r="JH161">
        <v>566.9059999999999</v>
      </c>
      <c r="JI161">
        <v>29.0612</v>
      </c>
      <c r="JJ161">
        <v>30.7449</v>
      </c>
      <c r="JK161">
        <v>30.0007</v>
      </c>
      <c r="JL161">
        <v>30.635</v>
      </c>
      <c r="JM161">
        <v>30.5347</v>
      </c>
      <c r="JN161">
        <v>21.099</v>
      </c>
      <c r="JO161">
        <v>29.9459</v>
      </c>
      <c r="JP161">
        <v>0</v>
      </c>
      <c r="JQ161">
        <v>29.0232</v>
      </c>
      <c r="JR161">
        <v>426.679</v>
      </c>
      <c r="JS161">
        <v>18.0015</v>
      </c>
      <c r="JT161">
        <v>99.95189999999999</v>
      </c>
      <c r="JU161">
        <v>100.057</v>
      </c>
    </row>
    <row r="162" spans="1:281">
      <c r="A162">
        <v>146</v>
      </c>
      <c r="B162">
        <v>1652372499</v>
      </c>
      <c r="C162">
        <v>4405.400000095367</v>
      </c>
      <c r="D162" t="s">
        <v>760</v>
      </c>
      <c r="E162" t="s">
        <v>761</v>
      </c>
      <c r="F162">
        <v>5</v>
      </c>
      <c r="G162" t="s">
        <v>711</v>
      </c>
      <c r="H162" t="s">
        <v>414</v>
      </c>
      <c r="I162">
        <v>1652372491.155172</v>
      </c>
      <c r="J162">
        <f>(K162)/1000</f>
        <v>0</v>
      </c>
      <c r="K162">
        <f>IF(CZ162, AN162, AH162)</f>
        <v>0</v>
      </c>
      <c r="L162">
        <f>IF(CZ162, AI162, AG162)</f>
        <v>0</v>
      </c>
      <c r="M162">
        <f>DB162 - IF(AU162&gt;1, L162*CV162*100.0/(AW162*DP162), 0)</f>
        <v>0</v>
      </c>
      <c r="N162">
        <f>((T162-J162/2)*M162-L162)/(T162+J162/2)</f>
        <v>0</v>
      </c>
      <c r="O162">
        <f>N162*(DI162+DJ162)/1000.0</f>
        <v>0</v>
      </c>
      <c r="P162">
        <f>(DB162 - IF(AU162&gt;1, L162*CV162*100.0/(AW162*DP162), 0))*(DI162+DJ162)/1000.0</f>
        <v>0</v>
      </c>
      <c r="Q162">
        <f>2.0/((1/S162-1/R162)+SIGN(S162)*SQRT((1/S162-1/R162)*(1/S162-1/R162) + 4*CW162/((CW162+1)*(CW162+1))*(2*1/S162*1/R162-1/R162*1/R162)))</f>
        <v>0</v>
      </c>
      <c r="R162">
        <f>IF(LEFT(CX162,1)&lt;&gt;"0",IF(LEFT(CX162,1)="1",3.0,CY162),$D$5+$E$5*(DP162*DI162/($K$5*1000))+$F$5*(DP162*DI162/($K$5*1000))*MAX(MIN(CV162,$J$5),$I$5)*MAX(MIN(CV162,$J$5),$I$5)+$G$5*MAX(MIN(CV162,$J$5),$I$5)*(DP162*DI162/($K$5*1000))+$H$5*(DP162*DI162/($K$5*1000))*(DP162*DI162/($K$5*1000)))</f>
        <v>0</v>
      </c>
      <c r="S162">
        <f>J162*(1000-(1000*0.61365*exp(17.502*W162/(240.97+W162))/(DI162+DJ162)+DD162)/2)/(1000*0.61365*exp(17.502*W162/(240.97+W162))/(DI162+DJ162)-DD162)</f>
        <v>0</v>
      </c>
      <c r="T162">
        <f>1/((CW162+1)/(Q162/1.6)+1/(R162/1.37)) + CW162/((CW162+1)/(Q162/1.6) + CW162/(R162/1.37))</f>
        <v>0</v>
      </c>
      <c r="U162">
        <f>(CR162*CU162)</f>
        <v>0</v>
      </c>
      <c r="V162">
        <f>(DK162+(U162+2*0.95*5.67E-8*(((DK162+$B$7)+273)^4-(DK162+273)^4)-44100*J162)/(1.84*29.3*R162+8*0.95*5.67E-8*(DK162+273)^3))</f>
        <v>0</v>
      </c>
      <c r="W162">
        <f>($C$7*DL162+$D$7*DM162+$E$7*V162)</f>
        <v>0</v>
      </c>
      <c r="X162">
        <f>0.61365*exp(17.502*W162/(240.97+W162))</f>
        <v>0</v>
      </c>
      <c r="Y162">
        <f>(Z162/AA162*100)</f>
        <v>0</v>
      </c>
      <c r="Z162">
        <f>DD162*(DI162+DJ162)/1000</f>
        <v>0</v>
      </c>
      <c r="AA162">
        <f>0.61365*exp(17.502*DK162/(240.97+DK162))</f>
        <v>0</v>
      </c>
      <c r="AB162">
        <f>(X162-DD162*(DI162+DJ162)/1000)</f>
        <v>0</v>
      </c>
      <c r="AC162">
        <f>(-J162*44100)</f>
        <v>0</v>
      </c>
      <c r="AD162">
        <f>2*29.3*R162*0.92*(DK162-W162)</f>
        <v>0</v>
      </c>
      <c r="AE162">
        <f>2*0.95*5.67E-8*(((DK162+$B$7)+273)^4-(W162+273)^4)</f>
        <v>0</v>
      </c>
      <c r="AF162">
        <f>U162+AE162+AC162+AD162</f>
        <v>0</v>
      </c>
      <c r="AG162">
        <f>DH162*AU162*(DC162-DB162*(1000-AU162*DE162)/(1000-AU162*DD162))/(100*CV162)</f>
        <v>0</v>
      </c>
      <c r="AH162">
        <f>1000*DH162*AU162*(DD162-DE162)/(100*CV162*(1000-AU162*DD162))</f>
        <v>0</v>
      </c>
      <c r="AI162">
        <f>(AJ162 - AK162 - DI162*1E3/(8.314*(DK162+273.15)) * AM162/DH162 * AL162) * DH162/(100*CV162) * (1000 - DE162)/1000</f>
        <v>0</v>
      </c>
      <c r="AJ162">
        <v>427.7451892902707</v>
      </c>
      <c r="AK162">
        <v>396.5175393939393</v>
      </c>
      <c r="AL162">
        <v>1.669751706807064</v>
      </c>
      <c r="AM162">
        <v>65.96288611109561</v>
      </c>
      <c r="AN162">
        <f>(AP162 - AO162 + DI162*1E3/(8.314*(DK162+273.15)) * AR162/DH162 * AQ162) * DH162/(100*CV162) * 1000/(1000 - AP162)</f>
        <v>0</v>
      </c>
      <c r="AO162">
        <v>18.03217634787318</v>
      </c>
      <c r="AP162">
        <v>24.70079020979023</v>
      </c>
      <c r="AQ162">
        <v>-9.203223429554854E-05</v>
      </c>
      <c r="AR162">
        <v>81.18387902069509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MAX(0,($B$13+$C$13*DP162)/(1+$D$13*DP162)*DI162/(DK162+273)*$E$13)</f>
        <v>0</v>
      </c>
      <c r="AX162" t="s">
        <v>417</v>
      </c>
      <c r="AY162" t="s">
        <v>417</v>
      </c>
      <c r="AZ162">
        <v>0</v>
      </c>
      <c r="BA162">
        <v>0</v>
      </c>
      <c r="BB162">
        <f>1-AZ162/BA162</f>
        <v>0</v>
      </c>
      <c r="BC162">
        <v>0</v>
      </c>
      <c r="BD162" t="s">
        <v>417</v>
      </c>
      <c r="BE162" t="s">
        <v>417</v>
      </c>
      <c r="BF162">
        <v>0</v>
      </c>
      <c r="BG162">
        <v>0</v>
      </c>
      <c r="BH162">
        <f>1-BF162/BG162</f>
        <v>0</v>
      </c>
      <c r="BI162">
        <v>0.5</v>
      </c>
      <c r="BJ162">
        <f>CS162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417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1393</v>
      </c>
      <c r="CA162">
        <v>300</v>
      </c>
      <c r="CB162">
        <v>300</v>
      </c>
      <c r="CC162">
        <v>300</v>
      </c>
      <c r="CD162">
        <v>10378</v>
      </c>
      <c r="CE162">
        <v>2050</v>
      </c>
      <c r="CF162">
        <v>-0.00730649</v>
      </c>
      <c r="CG162">
        <v>-4.53</v>
      </c>
      <c r="CH162" t="s">
        <v>417</v>
      </c>
      <c r="CI162" t="s">
        <v>417</v>
      </c>
      <c r="CJ162" t="s">
        <v>417</v>
      </c>
      <c r="CK162" t="s">
        <v>417</v>
      </c>
      <c r="CL162" t="s">
        <v>417</v>
      </c>
      <c r="CM162" t="s">
        <v>417</v>
      </c>
      <c r="CN162" t="s">
        <v>417</v>
      </c>
      <c r="CO162" t="s">
        <v>417</v>
      </c>
      <c r="CP162" t="s">
        <v>417</v>
      </c>
      <c r="CQ162" t="s">
        <v>417</v>
      </c>
      <c r="CR162">
        <f>$B$11*DQ162+$C$11*DR162+$F$11*EC162*(1-EF162)</f>
        <v>0</v>
      </c>
      <c r="CS162">
        <f>CR162*CT162</f>
        <v>0</v>
      </c>
      <c r="CT162">
        <f>($B$11*$D$9+$C$11*$D$9+$F$11*((EP162+EH162)/MAX(EP162+EH162+EQ162, 0.1)*$I$9+EQ162/MAX(EP162+EH162+EQ162, 0.1)*$J$9))/($B$11+$C$11+$F$11)</f>
        <v>0</v>
      </c>
      <c r="CU162">
        <f>($B$11*$K$9+$C$11*$K$9+$F$11*((EP162+EH162)/MAX(EP162+EH162+EQ162, 0.1)*$P$9+EQ162/MAX(EP162+EH162+EQ162, 0.1)*$Q$9))/($B$11+$C$11+$F$11)</f>
        <v>0</v>
      </c>
      <c r="CV162">
        <v>6</v>
      </c>
      <c r="CW162">
        <v>0.5</v>
      </c>
      <c r="CX162" t="s">
        <v>418</v>
      </c>
      <c r="CY162">
        <v>2</v>
      </c>
      <c r="CZ162" t="b">
        <v>1</v>
      </c>
      <c r="DA162">
        <v>1652372491.155172</v>
      </c>
      <c r="DB162">
        <v>367.623172413793</v>
      </c>
      <c r="DC162">
        <v>419.9932413793103</v>
      </c>
      <c r="DD162">
        <v>24.70053793103448</v>
      </c>
      <c r="DE162">
        <v>18.03318620689656</v>
      </c>
      <c r="DF162">
        <v>367.1959310344827</v>
      </c>
      <c r="DG162">
        <v>24.65441379310345</v>
      </c>
      <c r="DH162">
        <v>400.060275862069</v>
      </c>
      <c r="DI162">
        <v>90.39691724137933</v>
      </c>
      <c r="DJ162">
        <v>0.09995369310344829</v>
      </c>
      <c r="DK162">
        <v>30.80893103448276</v>
      </c>
      <c r="DL162">
        <v>29.98810689655172</v>
      </c>
      <c r="DM162">
        <v>999.9000000000002</v>
      </c>
      <c r="DN162">
        <v>0</v>
      </c>
      <c r="DO162">
        <v>0</v>
      </c>
      <c r="DP162">
        <v>10007.5075862069</v>
      </c>
      <c r="DQ162">
        <v>0</v>
      </c>
      <c r="DR162">
        <v>432.6944137931034</v>
      </c>
      <c r="DS162">
        <v>-52.37003793103449</v>
      </c>
      <c r="DT162">
        <v>376.9335862068965</v>
      </c>
      <c r="DU162">
        <v>427.7060689655173</v>
      </c>
      <c r="DV162">
        <v>6.667367241379311</v>
      </c>
      <c r="DW162">
        <v>419.9932413793103</v>
      </c>
      <c r="DX162">
        <v>18.03318620689656</v>
      </c>
      <c r="DY162">
        <v>2.232853793103448</v>
      </c>
      <c r="DZ162">
        <v>1.630144137931035</v>
      </c>
      <c r="EA162">
        <v>19.19999655172414</v>
      </c>
      <c r="EB162">
        <v>14.24674137931035</v>
      </c>
      <c r="EC162">
        <v>1499.986206896552</v>
      </c>
      <c r="ED162">
        <v>0.9729962068965519</v>
      </c>
      <c r="EE162">
        <v>0.02700412068965516</v>
      </c>
      <c r="EF162">
        <v>0</v>
      </c>
      <c r="EG162">
        <v>1776.540689655173</v>
      </c>
      <c r="EH162">
        <v>5.000969999999999</v>
      </c>
      <c r="EI162">
        <v>27427.79310344828</v>
      </c>
      <c r="EJ162">
        <v>12491.46896551724</v>
      </c>
      <c r="EK162">
        <v>40.02993103448274</v>
      </c>
      <c r="EL162">
        <v>41.51496551724137</v>
      </c>
      <c r="EM162">
        <v>40.25</v>
      </c>
      <c r="EN162">
        <v>41.37927586206896</v>
      </c>
      <c r="EO162">
        <v>41.125</v>
      </c>
      <c r="EP162">
        <v>1454.61551724138</v>
      </c>
      <c r="EQ162">
        <v>40.3706896551724</v>
      </c>
      <c r="ER162">
        <v>0</v>
      </c>
      <c r="ES162">
        <v>1333</v>
      </c>
      <c r="ET162">
        <v>0</v>
      </c>
      <c r="EU162">
        <v>1777.379230769231</v>
      </c>
      <c r="EV162">
        <v>218.1121366091202</v>
      </c>
      <c r="EW162">
        <v>3395.811964132456</v>
      </c>
      <c r="EX162">
        <v>27441.28846153846</v>
      </c>
      <c r="EY162">
        <v>15</v>
      </c>
      <c r="EZ162">
        <v>1652371289.6</v>
      </c>
      <c r="FA162" t="s">
        <v>515</v>
      </c>
      <c r="FB162">
        <v>1652371289.6</v>
      </c>
      <c r="FC162">
        <v>1652371275.1</v>
      </c>
      <c r="FD162">
        <v>24</v>
      </c>
      <c r="FE162">
        <v>0.442</v>
      </c>
      <c r="FF162">
        <v>0.001</v>
      </c>
      <c r="FG162">
        <v>-2.63</v>
      </c>
      <c r="FH162">
        <v>0.007</v>
      </c>
      <c r="FI162">
        <v>1620</v>
      </c>
      <c r="FJ162">
        <v>22</v>
      </c>
      <c r="FK162">
        <v>0.08</v>
      </c>
      <c r="FL162">
        <v>0.04</v>
      </c>
      <c r="FM162">
        <v>-71.42467500000001</v>
      </c>
      <c r="FN162">
        <v>319.2990191369607</v>
      </c>
      <c r="FO162">
        <v>31.9692453709401</v>
      </c>
      <c r="FP162">
        <v>-1</v>
      </c>
      <c r="FQ162">
        <v>6.665609000000001</v>
      </c>
      <c r="FR162">
        <v>0.02900330206376732</v>
      </c>
      <c r="FS162">
        <v>0.003016219322264235</v>
      </c>
      <c r="FT162">
        <v>1</v>
      </c>
      <c r="FU162">
        <v>0</v>
      </c>
      <c r="FV162">
        <v>0</v>
      </c>
      <c r="FW162">
        <v>0</v>
      </c>
      <c r="FX162">
        <v>-1</v>
      </c>
      <c r="FY162">
        <v>1</v>
      </c>
      <c r="FZ162">
        <v>1</v>
      </c>
      <c r="GA162" t="s">
        <v>420</v>
      </c>
      <c r="GB162">
        <v>2.69562</v>
      </c>
      <c r="GC162">
        <v>2.70497</v>
      </c>
      <c r="GD162">
        <v>0.0877382</v>
      </c>
      <c r="GE162">
        <v>0.0930917</v>
      </c>
      <c r="GF162">
        <v>0.108183</v>
      </c>
      <c r="GG162">
        <v>0.0854143</v>
      </c>
      <c r="GH162">
        <v>28676.9</v>
      </c>
      <c r="GI162">
        <v>28631.1</v>
      </c>
      <c r="GJ162">
        <v>29242</v>
      </c>
      <c r="GK162">
        <v>29213.9</v>
      </c>
      <c r="GL162">
        <v>34526.1</v>
      </c>
      <c r="GM162">
        <v>35566.1</v>
      </c>
      <c r="GN162">
        <v>41156.9</v>
      </c>
      <c r="GO162">
        <v>41682.4</v>
      </c>
      <c r="GP162">
        <v>1.7253</v>
      </c>
      <c r="GQ162">
        <v>2.03035</v>
      </c>
      <c r="GR162">
        <v>0.0587106</v>
      </c>
      <c r="GS162">
        <v>0</v>
      </c>
      <c r="GT162">
        <v>29.0336</v>
      </c>
      <c r="GU162">
        <v>999.9</v>
      </c>
      <c r="GV162">
        <v>44.7</v>
      </c>
      <c r="GW162">
        <v>33.3</v>
      </c>
      <c r="GX162">
        <v>25.4062</v>
      </c>
      <c r="GY162">
        <v>63.218</v>
      </c>
      <c r="GZ162">
        <v>28.9944</v>
      </c>
      <c r="HA162">
        <v>1</v>
      </c>
      <c r="HB162">
        <v>0.259342</v>
      </c>
      <c r="HC162">
        <v>0.567639</v>
      </c>
      <c r="HD162">
        <v>20.3804</v>
      </c>
      <c r="HE162">
        <v>5.21819</v>
      </c>
      <c r="HF162">
        <v>12.0099</v>
      </c>
      <c r="HG162">
        <v>4.9886</v>
      </c>
      <c r="HH162">
        <v>3.2885</v>
      </c>
      <c r="HI162">
        <v>2726.4</v>
      </c>
      <c r="HJ162">
        <v>9999</v>
      </c>
      <c r="HK162">
        <v>9999</v>
      </c>
      <c r="HL162">
        <v>50.1</v>
      </c>
      <c r="HM162">
        <v>1.86722</v>
      </c>
      <c r="HN162">
        <v>1.86622</v>
      </c>
      <c r="HO162">
        <v>1.86576</v>
      </c>
      <c r="HP162">
        <v>1.86569</v>
      </c>
      <c r="HQ162">
        <v>1.8675</v>
      </c>
      <c r="HR162">
        <v>1.86998</v>
      </c>
      <c r="HS162">
        <v>1.86862</v>
      </c>
      <c r="HT162">
        <v>1.86997</v>
      </c>
      <c r="HU162">
        <v>0</v>
      </c>
      <c r="HV162">
        <v>0</v>
      </c>
      <c r="HW162">
        <v>0</v>
      </c>
      <c r="HX162">
        <v>0</v>
      </c>
      <c r="HY162" t="s">
        <v>421</v>
      </c>
      <c r="HZ162" t="s">
        <v>422</v>
      </c>
      <c r="IA162" t="s">
        <v>423</v>
      </c>
      <c r="IB162" t="s">
        <v>423</v>
      </c>
      <c r="IC162" t="s">
        <v>423</v>
      </c>
      <c r="ID162" t="s">
        <v>423</v>
      </c>
      <c r="IE162">
        <v>0</v>
      </c>
      <c r="IF162">
        <v>100</v>
      </c>
      <c r="IG162">
        <v>100</v>
      </c>
      <c r="IH162">
        <v>0.382</v>
      </c>
      <c r="II162">
        <v>0.0461</v>
      </c>
      <c r="IJ162">
        <v>1.257309091789605</v>
      </c>
      <c r="IK162">
        <v>-0.002185601614162945</v>
      </c>
      <c r="IL162">
        <v>-2.252308143750626E-07</v>
      </c>
      <c r="IM162">
        <v>5.915558436307541E-11</v>
      </c>
      <c r="IN162">
        <v>-0.118683452207699</v>
      </c>
      <c r="IO162">
        <v>-0.007570214193104963</v>
      </c>
      <c r="IP162">
        <v>0.0009214429922928372</v>
      </c>
      <c r="IQ162">
        <v>-1.392260276065805E-05</v>
      </c>
      <c r="IR162">
        <v>17</v>
      </c>
      <c r="IS162">
        <v>2272</v>
      </c>
      <c r="IT162">
        <v>1</v>
      </c>
      <c r="IU162">
        <v>31</v>
      </c>
      <c r="IV162">
        <v>20.2</v>
      </c>
      <c r="IW162">
        <v>20.4</v>
      </c>
      <c r="IX162">
        <v>1.07788</v>
      </c>
      <c r="IY162">
        <v>2.24487</v>
      </c>
      <c r="IZ162">
        <v>1.39648</v>
      </c>
      <c r="JA162">
        <v>2.35474</v>
      </c>
      <c r="JB162">
        <v>1.49536</v>
      </c>
      <c r="JC162">
        <v>2.26196</v>
      </c>
      <c r="JD162">
        <v>36.908</v>
      </c>
      <c r="JE162">
        <v>15.244</v>
      </c>
      <c r="JF162">
        <v>18</v>
      </c>
      <c r="JG162">
        <v>388.88</v>
      </c>
      <c r="JH162">
        <v>566.967</v>
      </c>
      <c r="JI162">
        <v>29.0541</v>
      </c>
      <c r="JJ162">
        <v>30.7492</v>
      </c>
      <c r="JK162">
        <v>30.0004</v>
      </c>
      <c r="JL162">
        <v>30.6396</v>
      </c>
      <c r="JM162">
        <v>30.5391</v>
      </c>
      <c r="JN162">
        <v>21.5839</v>
      </c>
      <c r="JO162">
        <v>29.9459</v>
      </c>
      <c r="JP162">
        <v>0</v>
      </c>
      <c r="JQ162">
        <v>29.025</v>
      </c>
      <c r="JR162">
        <v>440.059</v>
      </c>
      <c r="JS162">
        <v>17.9996</v>
      </c>
      <c r="JT162">
        <v>99.9516</v>
      </c>
      <c r="JU162">
        <v>100.055</v>
      </c>
    </row>
    <row r="163" spans="1:281">
      <c r="A163">
        <v>147</v>
      </c>
      <c r="B163">
        <v>1652372504</v>
      </c>
      <c r="C163">
        <v>4410.400000095367</v>
      </c>
      <c r="D163" t="s">
        <v>762</v>
      </c>
      <c r="E163" t="s">
        <v>763</v>
      </c>
      <c r="F163">
        <v>5</v>
      </c>
      <c r="G163" t="s">
        <v>711</v>
      </c>
      <c r="H163" t="s">
        <v>414</v>
      </c>
      <c r="I163">
        <v>1652372496.232143</v>
      </c>
      <c r="J163">
        <f>(K163)/1000</f>
        <v>0</v>
      </c>
      <c r="K163">
        <f>IF(CZ163, AN163, AH163)</f>
        <v>0</v>
      </c>
      <c r="L163">
        <f>IF(CZ163, AI163, AG163)</f>
        <v>0</v>
      </c>
      <c r="M163">
        <f>DB163 - IF(AU163&gt;1, L163*CV163*100.0/(AW163*DP163), 0)</f>
        <v>0</v>
      </c>
      <c r="N163">
        <f>((T163-J163/2)*M163-L163)/(T163+J163/2)</f>
        <v>0</v>
      </c>
      <c r="O163">
        <f>N163*(DI163+DJ163)/1000.0</f>
        <v>0</v>
      </c>
      <c r="P163">
        <f>(DB163 - IF(AU163&gt;1, L163*CV163*100.0/(AW163*DP163), 0))*(DI163+DJ163)/1000.0</f>
        <v>0</v>
      </c>
      <c r="Q163">
        <f>2.0/((1/S163-1/R163)+SIGN(S163)*SQRT((1/S163-1/R163)*(1/S163-1/R163) + 4*CW163/((CW163+1)*(CW163+1))*(2*1/S163*1/R163-1/R163*1/R163)))</f>
        <v>0</v>
      </c>
      <c r="R163">
        <f>IF(LEFT(CX163,1)&lt;&gt;"0",IF(LEFT(CX163,1)="1",3.0,CY163),$D$5+$E$5*(DP163*DI163/($K$5*1000))+$F$5*(DP163*DI163/($K$5*1000))*MAX(MIN(CV163,$J$5),$I$5)*MAX(MIN(CV163,$J$5),$I$5)+$G$5*MAX(MIN(CV163,$J$5),$I$5)*(DP163*DI163/($K$5*1000))+$H$5*(DP163*DI163/($K$5*1000))*(DP163*DI163/($K$5*1000)))</f>
        <v>0</v>
      </c>
      <c r="S163">
        <f>J163*(1000-(1000*0.61365*exp(17.502*W163/(240.97+W163))/(DI163+DJ163)+DD163)/2)/(1000*0.61365*exp(17.502*W163/(240.97+W163))/(DI163+DJ163)-DD163)</f>
        <v>0</v>
      </c>
      <c r="T163">
        <f>1/((CW163+1)/(Q163/1.6)+1/(R163/1.37)) + CW163/((CW163+1)/(Q163/1.6) + CW163/(R163/1.37))</f>
        <v>0</v>
      </c>
      <c r="U163">
        <f>(CR163*CU163)</f>
        <v>0</v>
      </c>
      <c r="V163">
        <f>(DK163+(U163+2*0.95*5.67E-8*(((DK163+$B$7)+273)^4-(DK163+273)^4)-44100*J163)/(1.84*29.3*R163+8*0.95*5.67E-8*(DK163+273)^3))</f>
        <v>0</v>
      </c>
      <c r="W163">
        <f>($C$7*DL163+$D$7*DM163+$E$7*V163)</f>
        <v>0</v>
      </c>
      <c r="X163">
        <f>0.61365*exp(17.502*W163/(240.97+W163))</f>
        <v>0</v>
      </c>
      <c r="Y163">
        <f>(Z163/AA163*100)</f>
        <v>0</v>
      </c>
      <c r="Z163">
        <f>DD163*(DI163+DJ163)/1000</f>
        <v>0</v>
      </c>
      <c r="AA163">
        <f>0.61365*exp(17.502*DK163/(240.97+DK163))</f>
        <v>0</v>
      </c>
      <c r="AB163">
        <f>(X163-DD163*(DI163+DJ163)/1000)</f>
        <v>0</v>
      </c>
      <c r="AC163">
        <f>(-J163*44100)</f>
        <v>0</v>
      </c>
      <c r="AD163">
        <f>2*29.3*R163*0.92*(DK163-W163)</f>
        <v>0</v>
      </c>
      <c r="AE163">
        <f>2*0.95*5.67E-8*(((DK163+$B$7)+273)^4-(W163+273)^4)</f>
        <v>0</v>
      </c>
      <c r="AF163">
        <f>U163+AE163+AC163+AD163</f>
        <v>0</v>
      </c>
      <c r="AG163">
        <f>DH163*AU163*(DC163-DB163*(1000-AU163*DE163)/(1000-AU163*DD163))/(100*CV163)</f>
        <v>0</v>
      </c>
      <c r="AH163">
        <f>1000*DH163*AU163*(DD163-DE163)/(100*CV163*(1000-AU163*DD163))</f>
        <v>0</v>
      </c>
      <c r="AI163">
        <f>(AJ163 - AK163 - DI163*1E3/(8.314*(DK163+273.15)) * AM163/DH163 * AL163) * DH163/(100*CV163) * (1000 - DE163)/1000</f>
        <v>0</v>
      </c>
      <c r="AJ163">
        <v>433.8818113499116</v>
      </c>
      <c r="AK163">
        <v>403.6647212121209</v>
      </c>
      <c r="AL163">
        <v>1.420989219827977</v>
      </c>
      <c r="AM163">
        <v>65.96288611109561</v>
      </c>
      <c r="AN163">
        <f>(AP163 - AO163 + DI163*1E3/(8.314*(DK163+273.15)) * AR163/DH163 * AQ163) * DH163/(100*CV163) * 1000/(1000 - AP163)</f>
        <v>0</v>
      </c>
      <c r="AO163">
        <v>18.03189904694563</v>
      </c>
      <c r="AP163">
        <v>24.7039258741259</v>
      </c>
      <c r="AQ163">
        <v>0.0001075494395978827</v>
      </c>
      <c r="AR163">
        <v>81.18387902069509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MAX(0,($B$13+$C$13*DP163)/(1+$D$13*DP163)*DI163/(DK163+273)*$E$13)</f>
        <v>0</v>
      </c>
      <c r="AX163" t="s">
        <v>417</v>
      </c>
      <c r="AY163" t="s">
        <v>417</v>
      </c>
      <c r="AZ163">
        <v>0</v>
      </c>
      <c r="BA163">
        <v>0</v>
      </c>
      <c r="BB163">
        <f>1-AZ163/BA163</f>
        <v>0</v>
      </c>
      <c r="BC163">
        <v>0</v>
      </c>
      <c r="BD163" t="s">
        <v>417</v>
      </c>
      <c r="BE163" t="s">
        <v>417</v>
      </c>
      <c r="BF163">
        <v>0</v>
      </c>
      <c r="BG163">
        <v>0</v>
      </c>
      <c r="BH163">
        <f>1-BF163/BG163</f>
        <v>0</v>
      </c>
      <c r="BI163">
        <v>0.5</v>
      </c>
      <c r="BJ163">
        <f>CS163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417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1393</v>
      </c>
      <c r="CA163">
        <v>300</v>
      </c>
      <c r="CB163">
        <v>300</v>
      </c>
      <c r="CC163">
        <v>300</v>
      </c>
      <c r="CD163">
        <v>10378</v>
      </c>
      <c r="CE163">
        <v>2050</v>
      </c>
      <c r="CF163">
        <v>-0.00730649</v>
      </c>
      <c r="CG163">
        <v>-4.53</v>
      </c>
      <c r="CH163" t="s">
        <v>417</v>
      </c>
      <c r="CI163" t="s">
        <v>417</v>
      </c>
      <c r="CJ163" t="s">
        <v>417</v>
      </c>
      <c r="CK163" t="s">
        <v>417</v>
      </c>
      <c r="CL163" t="s">
        <v>417</v>
      </c>
      <c r="CM163" t="s">
        <v>417</v>
      </c>
      <c r="CN163" t="s">
        <v>417</v>
      </c>
      <c r="CO163" t="s">
        <v>417</v>
      </c>
      <c r="CP163" t="s">
        <v>417</v>
      </c>
      <c r="CQ163" t="s">
        <v>417</v>
      </c>
      <c r="CR163">
        <f>$B$11*DQ163+$C$11*DR163+$F$11*EC163*(1-EF163)</f>
        <v>0</v>
      </c>
      <c r="CS163">
        <f>CR163*CT163</f>
        <v>0</v>
      </c>
      <c r="CT163">
        <f>($B$11*$D$9+$C$11*$D$9+$F$11*((EP163+EH163)/MAX(EP163+EH163+EQ163, 0.1)*$I$9+EQ163/MAX(EP163+EH163+EQ163, 0.1)*$J$9))/($B$11+$C$11+$F$11)</f>
        <v>0</v>
      </c>
      <c r="CU163">
        <f>($B$11*$K$9+$C$11*$K$9+$F$11*((EP163+EH163)/MAX(EP163+EH163+EQ163, 0.1)*$P$9+EQ163/MAX(EP163+EH163+EQ163, 0.1)*$Q$9))/($B$11+$C$11+$F$11)</f>
        <v>0</v>
      </c>
      <c r="CV163">
        <v>6</v>
      </c>
      <c r="CW163">
        <v>0.5</v>
      </c>
      <c r="CX163" t="s">
        <v>418</v>
      </c>
      <c r="CY163">
        <v>2</v>
      </c>
      <c r="CZ163" t="b">
        <v>1</v>
      </c>
      <c r="DA163">
        <v>1652372496.232143</v>
      </c>
      <c r="DB163">
        <v>381.6832142857143</v>
      </c>
      <c r="DC163">
        <v>423.3911785714286</v>
      </c>
      <c r="DD163">
        <v>24.70133214285714</v>
      </c>
      <c r="DE163">
        <v>18.0322</v>
      </c>
      <c r="DF163">
        <v>381.2887500000001</v>
      </c>
      <c r="DG163">
        <v>24.65519285714285</v>
      </c>
      <c r="DH163">
        <v>400.0506428571428</v>
      </c>
      <c r="DI163">
        <v>90.39659285714285</v>
      </c>
      <c r="DJ163">
        <v>0.0999701892857143</v>
      </c>
      <c r="DK163">
        <v>30.81165714285714</v>
      </c>
      <c r="DL163">
        <v>29.99320714285714</v>
      </c>
      <c r="DM163">
        <v>999.9000000000002</v>
      </c>
      <c r="DN163">
        <v>0</v>
      </c>
      <c r="DO163">
        <v>0</v>
      </c>
      <c r="DP163">
        <v>9996.827499999999</v>
      </c>
      <c r="DQ163">
        <v>0</v>
      </c>
      <c r="DR163">
        <v>434.7456071428572</v>
      </c>
      <c r="DS163">
        <v>-41.70788928571429</v>
      </c>
      <c r="DT163">
        <v>391.3501428571429</v>
      </c>
      <c r="DU163">
        <v>431.1659285714286</v>
      </c>
      <c r="DV163">
        <v>6.669128214285713</v>
      </c>
      <c r="DW163">
        <v>423.3911785714286</v>
      </c>
      <c r="DX163">
        <v>18.0322</v>
      </c>
      <c r="DY163">
        <v>2.232916071428571</v>
      </c>
      <c r="DZ163">
        <v>1.630049285714286</v>
      </c>
      <c r="EA163">
        <v>19.20044285714286</v>
      </c>
      <c r="EB163">
        <v>14.24584285714286</v>
      </c>
      <c r="EC163">
        <v>1499.985714285714</v>
      </c>
      <c r="ED163">
        <v>0.9729960714285716</v>
      </c>
      <c r="EE163">
        <v>0.02700426428571428</v>
      </c>
      <c r="EF163">
        <v>0</v>
      </c>
      <c r="EG163">
        <v>1790.409642857143</v>
      </c>
      <c r="EH163">
        <v>5.00097</v>
      </c>
      <c r="EI163">
        <v>27657.41071428571</v>
      </c>
      <c r="EJ163">
        <v>12491.46071428571</v>
      </c>
      <c r="EK163">
        <v>40.04871428571428</v>
      </c>
      <c r="EL163">
        <v>41.52214285714285</v>
      </c>
      <c r="EM163">
        <v>40.25</v>
      </c>
      <c r="EN163">
        <v>41.38164285714286</v>
      </c>
      <c r="EO163">
        <v>41.125</v>
      </c>
      <c r="EP163">
        <v>1454.615357142857</v>
      </c>
      <c r="EQ163">
        <v>40.37035714285713</v>
      </c>
      <c r="ER163">
        <v>0</v>
      </c>
      <c r="ES163">
        <v>1337.799999952316</v>
      </c>
      <c r="ET163">
        <v>0</v>
      </c>
      <c r="EU163">
        <v>1790.443076923077</v>
      </c>
      <c r="EV163">
        <v>99.61846155281573</v>
      </c>
      <c r="EW163">
        <v>1859.941880936907</v>
      </c>
      <c r="EX163">
        <v>27657.47307692307</v>
      </c>
      <c r="EY163">
        <v>15</v>
      </c>
      <c r="EZ163">
        <v>1652371289.6</v>
      </c>
      <c r="FA163" t="s">
        <v>515</v>
      </c>
      <c r="FB163">
        <v>1652371289.6</v>
      </c>
      <c r="FC163">
        <v>1652371275.1</v>
      </c>
      <c r="FD163">
        <v>24</v>
      </c>
      <c r="FE163">
        <v>0.442</v>
      </c>
      <c r="FF163">
        <v>0.001</v>
      </c>
      <c r="FG163">
        <v>-2.63</v>
      </c>
      <c r="FH163">
        <v>0.007</v>
      </c>
      <c r="FI163">
        <v>1620</v>
      </c>
      <c r="FJ163">
        <v>22</v>
      </c>
      <c r="FK163">
        <v>0.08</v>
      </c>
      <c r="FL163">
        <v>0.04</v>
      </c>
      <c r="FM163">
        <v>-50.86841219512195</v>
      </c>
      <c r="FN163">
        <v>148.6171045296167</v>
      </c>
      <c r="FO163">
        <v>16.4440204378102</v>
      </c>
      <c r="FP163">
        <v>-1</v>
      </c>
      <c r="FQ163">
        <v>6.668050000000001</v>
      </c>
      <c r="FR163">
        <v>0.02035881533100189</v>
      </c>
      <c r="FS163">
        <v>0.002203221588005606</v>
      </c>
      <c r="FT163">
        <v>1</v>
      </c>
      <c r="FU163">
        <v>0</v>
      </c>
      <c r="FV163">
        <v>0</v>
      </c>
      <c r="FW163">
        <v>0</v>
      </c>
      <c r="FX163">
        <v>-1</v>
      </c>
      <c r="FY163">
        <v>1</v>
      </c>
      <c r="FZ163">
        <v>1</v>
      </c>
      <c r="GA163" t="s">
        <v>420</v>
      </c>
      <c r="GB163">
        <v>2.6957</v>
      </c>
      <c r="GC163">
        <v>2.70503</v>
      </c>
      <c r="GD163">
        <v>0.088994</v>
      </c>
      <c r="GE163">
        <v>0.0953137</v>
      </c>
      <c r="GF163">
        <v>0.10819</v>
      </c>
      <c r="GG163">
        <v>0.0854128</v>
      </c>
      <c r="GH163">
        <v>28637</v>
      </c>
      <c r="GI163">
        <v>28560.8</v>
      </c>
      <c r="GJ163">
        <v>29241.5</v>
      </c>
      <c r="GK163">
        <v>29213.7</v>
      </c>
      <c r="GL163">
        <v>34525.1</v>
      </c>
      <c r="GM163">
        <v>35565.9</v>
      </c>
      <c r="GN163">
        <v>41156.1</v>
      </c>
      <c r="GO163">
        <v>41682.1</v>
      </c>
      <c r="GP163">
        <v>1.72545</v>
      </c>
      <c r="GQ163">
        <v>2.03003</v>
      </c>
      <c r="GR163">
        <v>0.0588745</v>
      </c>
      <c r="GS163">
        <v>0</v>
      </c>
      <c r="GT163">
        <v>29.0298</v>
      </c>
      <c r="GU163">
        <v>999.9</v>
      </c>
      <c r="GV163">
        <v>44.7</v>
      </c>
      <c r="GW163">
        <v>33.3</v>
      </c>
      <c r="GX163">
        <v>25.4075</v>
      </c>
      <c r="GY163">
        <v>63.318</v>
      </c>
      <c r="GZ163">
        <v>29.4671</v>
      </c>
      <c r="HA163">
        <v>1</v>
      </c>
      <c r="HB163">
        <v>0.259606</v>
      </c>
      <c r="HC163">
        <v>0.575414</v>
      </c>
      <c r="HD163">
        <v>20.3804</v>
      </c>
      <c r="HE163">
        <v>5.21759</v>
      </c>
      <c r="HF163">
        <v>12.0099</v>
      </c>
      <c r="HG163">
        <v>4.98815</v>
      </c>
      <c r="HH163">
        <v>3.28845</v>
      </c>
      <c r="HI163">
        <v>2726.4</v>
      </c>
      <c r="HJ163">
        <v>9999</v>
      </c>
      <c r="HK163">
        <v>9999</v>
      </c>
      <c r="HL163">
        <v>50.1</v>
      </c>
      <c r="HM163">
        <v>1.86722</v>
      </c>
      <c r="HN163">
        <v>1.86623</v>
      </c>
      <c r="HO163">
        <v>1.86579</v>
      </c>
      <c r="HP163">
        <v>1.86569</v>
      </c>
      <c r="HQ163">
        <v>1.86751</v>
      </c>
      <c r="HR163">
        <v>1.86998</v>
      </c>
      <c r="HS163">
        <v>1.86861</v>
      </c>
      <c r="HT163">
        <v>1.86998</v>
      </c>
      <c r="HU163">
        <v>0</v>
      </c>
      <c r="HV163">
        <v>0</v>
      </c>
      <c r="HW163">
        <v>0</v>
      </c>
      <c r="HX163">
        <v>0</v>
      </c>
      <c r="HY163" t="s">
        <v>421</v>
      </c>
      <c r="HZ163" t="s">
        <v>422</v>
      </c>
      <c r="IA163" t="s">
        <v>423</v>
      </c>
      <c r="IB163" t="s">
        <v>423</v>
      </c>
      <c r="IC163" t="s">
        <v>423</v>
      </c>
      <c r="ID163" t="s">
        <v>423</v>
      </c>
      <c r="IE163">
        <v>0</v>
      </c>
      <c r="IF163">
        <v>100</v>
      </c>
      <c r="IG163">
        <v>100</v>
      </c>
      <c r="IH163">
        <v>0.365</v>
      </c>
      <c r="II163">
        <v>0.0462</v>
      </c>
      <c r="IJ163">
        <v>1.257309091789605</v>
      </c>
      <c r="IK163">
        <v>-0.002185601614162945</v>
      </c>
      <c r="IL163">
        <v>-2.252308143750626E-07</v>
      </c>
      <c r="IM163">
        <v>5.915558436307541E-11</v>
      </c>
      <c r="IN163">
        <v>-0.118683452207699</v>
      </c>
      <c r="IO163">
        <v>-0.007570214193104963</v>
      </c>
      <c r="IP163">
        <v>0.0009214429922928372</v>
      </c>
      <c r="IQ163">
        <v>-1.392260276065805E-05</v>
      </c>
      <c r="IR163">
        <v>17</v>
      </c>
      <c r="IS163">
        <v>2272</v>
      </c>
      <c r="IT163">
        <v>1</v>
      </c>
      <c r="IU163">
        <v>31</v>
      </c>
      <c r="IV163">
        <v>20.2</v>
      </c>
      <c r="IW163">
        <v>20.5</v>
      </c>
      <c r="IX163">
        <v>1.11084</v>
      </c>
      <c r="IY163">
        <v>2.20825</v>
      </c>
      <c r="IZ163">
        <v>1.39648</v>
      </c>
      <c r="JA163">
        <v>2.35474</v>
      </c>
      <c r="JB163">
        <v>1.49536</v>
      </c>
      <c r="JC163">
        <v>2.37061</v>
      </c>
      <c r="JD163">
        <v>36.9317</v>
      </c>
      <c r="JE163">
        <v>15.2528</v>
      </c>
      <c r="JF163">
        <v>18</v>
      </c>
      <c r="JG163">
        <v>388.984</v>
      </c>
      <c r="JH163">
        <v>566.754</v>
      </c>
      <c r="JI163">
        <v>29.0404</v>
      </c>
      <c r="JJ163">
        <v>30.7536</v>
      </c>
      <c r="JK163">
        <v>30.0004</v>
      </c>
      <c r="JL163">
        <v>30.6436</v>
      </c>
      <c r="JM163">
        <v>30.5425</v>
      </c>
      <c r="JN163">
        <v>22.2385</v>
      </c>
      <c r="JO163">
        <v>29.9459</v>
      </c>
      <c r="JP163">
        <v>0</v>
      </c>
      <c r="JQ163">
        <v>29.0309</v>
      </c>
      <c r="JR163">
        <v>460.096</v>
      </c>
      <c r="JS163">
        <v>17.9942</v>
      </c>
      <c r="JT163">
        <v>99.9498</v>
      </c>
      <c r="JU163">
        <v>100.055</v>
      </c>
    </row>
    <row r="164" spans="1:281">
      <c r="A164">
        <v>148</v>
      </c>
      <c r="B164">
        <v>1652372509</v>
      </c>
      <c r="C164">
        <v>4415.400000095367</v>
      </c>
      <c r="D164" t="s">
        <v>764</v>
      </c>
      <c r="E164" t="s">
        <v>765</v>
      </c>
      <c r="F164">
        <v>5</v>
      </c>
      <c r="G164" t="s">
        <v>711</v>
      </c>
      <c r="H164" t="s">
        <v>414</v>
      </c>
      <c r="I164">
        <v>1652372501.5</v>
      </c>
      <c r="J164">
        <f>(K164)/1000</f>
        <v>0</v>
      </c>
      <c r="K164">
        <f>IF(CZ164, AN164, AH164)</f>
        <v>0</v>
      </c>
      <c r="L164">
        <f>IF(CZ164, AI164, AG164)</f>
        <v>0</v>
      </c>
      <c r="M164">
        <f>DB164 - IF(AU164&gt;1, L164*CV164*100.0/(AW164*DP164), 0)</f>
        <v>0</v>
      </c>
      <c r="N164">
        <f>((T164-J164/2)*M164-L164)/(T164+J164/2)</f>
        <v>0</v>
      </c>
      <c r="O164">
        <f>N164*(DI164+DJ164)/1000.0</f>
        <v>0</v>
      </c>
      <c r="P164">
        <f>(DB164 - IF(AU164&gt;1, L164*CV164*100.0/(AW164*DP164), 0))*(DI164+DJ164)/1000.0</f>
        <v>0</v>
      </c>
      <c r="Q164">
        <f>2.0/((1/S164-1/R164)+SIGN(S164)*SQRT((1/S164-1/R164)*(1/S164-1/R164) + 4*CW164/((CW164+1)*(CW164+1))*(2*1/S164*1/R164-1/R164*1/R164)))</f>
        <v>0</v>
      </c>
      <c r="R164">
        <f>IF(LEFT(CX164,1)&lt;&gt;"0",IF(LEFT(CX164,1)="1",3.0,CY164),$D$5+$E$5*(DP164*DI164/($K$5*1000))+$F$5*(DP164*DI164/($K$5*1000))*MAX(MIN(CV164,$J$5),$I$5)*MAX(MIN(CV164,$J$5),$I$5)+$G$5*MAX(MIN(CV164,$J$5),$I$5)*(DP164*DI164/($K$5*1000))+$H$5*(DP164*DI164/($K$5*1000))*(DP164*DI164/($K$5*1000)))</f>
        <v>0</v>
      </c>
      <c r="S164">
        <f>J164*(1000-(1000*0.61365*exp(17.502*W164/(240.97+W164))/(DI164+DJ164)+DD164)/2)/(1000*0.61365*exp(17.502*W164/(240.97+W164))/(DI164+DJ164)-DD164)</f>
        <v>0</v>
      </c>
      <c r="T164">
        <f>1/((CW164+1)/(Q164/1.6)+1/(R164/1.37)) + CW164/((CW164+1)/(Q164/1.6) + CW164/(R164/1.37))</f>
        <v>0</v>
      </c>
      <c r="U164">
        <f>(CR164*CU164)</f>
        <v>0</v>
      </c>
      <c r="V164">
        <f>(DK164+(U164+2*0.95*5.67E-8*(((DK164+$B$7)+273)^4-(DK164+273)^4)-44100*J164)/(1.84*29.3*R164+8*0.95*5.67E-8*(DK164+273)^3))</f>
        <v>0</v>
      </c>
      <c r="W164">
        <f>($C$7*DL164+$D$7*DM164+$E$7*V164)</f>
        <v>0</v>
      </c>
      <c r="X164">
        <f>0.61365*exp(17.502*W164/(240.97+W164))</f>
        <v>0</v>
      </c>
      <c r="Y164">
        <f>(Z164/AA164*100)</f>
        <v>0</v>
      </c>
      <c r="Z164">
        <f>DD164*(DI164+DJ164)/1000</f>
        <v>0</v>
      </c>
      <c r="AA164">
        <f>0.61365*exp(17.502*DK164/(240.97+DK164))</f>
        <v>0</v>
      </c>
      <c r="AB164">
        <f>(X164-DD164*(DI164+DJ164)/1000)</f>
        <v>0</v>
      </c>
      <c r="AC164">
        <f>(-J164*44100)</f>
        <v>0</v>
      </c>
      <c r="AD164">
        <f>2*29.3*R164*0.92*(DK164-W164)</f>
        <v>0</v>
      </c>
      <c r="AE164">
        <f>2*0.95*5.67E-8*(((DK164+$B$7)+273)^4-(W164+273)^4)</f>
        <v>0</v>
      </c>
      <c r="AF164">
        <f>U164+AE164+AC164+AD164</f>
        <v>0</v>
      </c>
      <c r="AG164">
        <f>DH164*AU164*(DC164-DB164*(1000-AU164*DE164)/(1000-AU164*DD164))/(100*CV164)</f>
        <v>0</v>
      </c>
      <c r="AH164">
        <f>1000*DH164*AU164*(DD164-DE164)/(100*CV164*(1000-AU164*DD164))</f>
        <v>0</v>
      </c>
      <c r="AI164">
        <f>(AJ164 - AK164 - DI164*1E3/(8.314*(DK164+273.15)) * AM164/DH164 * AL164) * DH164/(100*CV164) * (1000 - DE164)/1000</f>
        <v>0</v>
      </c>
      <c r="AJ164">
        <v>448.5649083802109</v>
      </c>
      <c r="AK164">
        <v>413.7947818181817</v>
      </c>
      <c r="AL164">
        <v>2.060980766784287</v>
      </c>
      <c r="AM164">
        <v>65.96288611109561</v>
      </c>
      <c r="AN164">
        <f>(AP164 - AO164 + DI164*1E3/(8.314*(DK164+273.15)) * AR164/DH164 * AQ164) * DH164/(100*CV164) * 1000/(1000 - AP164)</f>
        <v>0</v>
      </c>
      <c r="AO164">
        <v>18.03195381335517</v>
      </c>
      <c r="AP164">
        <v>24.71121818181819</v>
      </c>
      <c r="AQ164">
        <v>-8.307380505046054E-05</v>
      </c>
      <c r="AR164">
        <v>81.18387902069509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MAX(0,($B$13+$C$13*DP164)/(1+$D$13*DP164)*DI164/(DK164+273)*$E$13)</f>
        <v>0</v>
      </c>
      <c r="AX164" t="s">
        <v>417</v>
      </c>
      <c r="AY164" t="s">
        <v>417</v>
      </c>
      <c r="AZ164">
        <v>0</v>
      </c>
      <c r="BA164">
        <v>0</v>
      </c>
      <c r="BB164">
        <f>1-AZ164/BA164</f>
        <v>0</v>
      </c>
      <c r="BC164">
        <v>0</v>
      </c>
      <c r="BD164" t="s">
        <v>417</v>
      </c>
      <c r="BE164" t="s">
        <v>417</v>
      </c>
      <c r="BF164">
        <v>0</v>
      </c>
      <c r="BG164">
        <v>0</v>
      </c>
      <c r="BH164">
        <f>1-BF164/BG164</f>
        <v>0</v>
      </c>
      <c r="BI164">
        <v>0.5</v>
      </c>
      <c r="BJ164">
        <f>CS164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417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1393</v>
      </c>
      <c r="CA164">
        <v>300</v>
      </c>
      <c r="CB164">
        <v>300</v>
      </c>
      <c r="CC164">
        <v>300</v>
      </c>
      <c r="CD164">
        <v>10378</v>
      </c>
      <c r="CE164">
        <v>2050</v>
      </c>
      <c r="CF164">
        <v>-0.00730649</v>
      </c>
      <c r="CG164">
        <v>-4.53</v>
      </c>
      <c r="CH164" t="s">
        <v>417</v>
      </c>
      <c r="CI164" t="s">
        <v>417</v>
      </c>
      <c r="CJ164" t="s">
        <v>417</v>
      </c>
      <c r="CK164" t="s">
        <v>417</v>
      </c>
      <c r="CL164" t="s">
        <v>417</v>
      </c>
      <c r="CM164" t="s">
        <v>417</v>
      </c>
      <c r="CN164" t="s">
        <v>417</v>
      </c>
      <c r="CO164" t="s">
        <v>417</v>
      </c>
      <c r="CP164" t="s">
        <v>417</v>
      </c>
      <c r="CQ164" t="s">
        <v>417</v>
      </c>
      <c r="CR164">
        <f>$B$11*DQ164+$C$11*DR164+$F$11*EC164*(1-EF164)</f>
        <v>0</v>
      </c>
      <c r="CS164">
        <f>CR164*CT164</f>
        <v>0</v>
      </c>
      <c r="CT164">
        <f>($B$11*$D$9+$C$11*$D$9+$F$11*((EP164+EH164)/MAX(EP164+EH164+EQ164, 0.1)*$I$9+EQ164/MAX(EP164+EH164+EQ164, 0.1)*$J$9))/($B$11+$C$11+$F$11)</f>
        <v>0</v>
      </c>
      <c r="CU164">
        <f>($B$11*$K$9+$C$11*$K$9+$F$11*((EP164+EH164)/MAX(EP164+EH164+EQ164, 0.1)*$P$9+EQ164/MAX(EP164+EH164+EQ164, 0.1)*$Q$9))/($B$11+$C$11+$F$11)</f>
        <v>0</v>
      </c>
      <c r="CV164">
        <v>6</v>
      </c>
      <c r="CW164">
        <v>0.5</v>
      </c>
      <c r="CX164" t="s">
        <v>418</v>
      </c>
      <c r="CY164">
        <v>2</v>
      </c>
      <c r="CZ164" t="b">
        <v>1</v>
      </c>
      <c r="DA164">
        <v>1652372501.5</v>
      </c>
      <c r="DB164">
        <v>391.2946296296297</v>
      </c>
      <c r="DC164">
        <v>431.8341481481482</v>
      </c>
      <c r="DD164">
        <v>24.70295185185185</v>
      </c>
      <c r="DE164">
        <v>18.03166296296296</v>
      </c>
      <c r="DF164">
        <v>390.9226666666667</v>
      </c>
      <c r="DG164">
        <v>24.65677777777778</v>
      </c>
      <c r="DH164">
        <v>400.0542962962963</v>
      </c>
      <c r="DI164">
        <v>90.39578148148148</v>
      </c>
      <c r="DJ164">
        <v>0.09996607037037036</v>
      </c>
      <c r="DK164">
        <v>30.80957407407407</v>
      </c>
      <c r="DL164">
        <v>29.99010740740741</v>
      </c>
      <c r="DM164">
        <v>999.9000000000001</v>
      </c>
      <c r="DN164">
        <v>0</v>
      </c>
      <c r="DO164">
        <v>0</v>
      </c>
      <c r="DP164">
        <v>9991.761111111111</v>
      </c>
      <c r="DQ164">
        <v>0</v>
      </c>
      <c r="DR164">
        <v>441.9815925925926</v>
      </c>
      <c r="DS164">
        <v>-40.53929259259259</v>
      </c>
      <c r="DT164">
        <v>401.2057777777778</v>
      </c>
      <c r="DU164">
        <v>439.7635925925927</v>
      </c>
      <c r="DV164">
        <v>6.671273703703704</v>
      </c>
      <c r="DW164">
        <v>431.8341481481482</v>
      </c>
      <c r="DX164">
        <v>18.03166296296296</v>
      </c>
      <c r="DY164">
        <v>2.233041851851852</v>
      </c>
      <c r="DZ164">
        <v>1.629985925925926</v>
      </c>
      <c r="EA164">
        <v>19.20134814814815</v>
      </c>
      <c r="EB164">
        <v>14.24524814814815</v>
      </c>
      <c r="EC164">
        <v>1499.981111111111</v>
      </c>
      <c r="ED164">
        <v>0.972995925925926</v>
      </c>
      <c r="EE164">
        <v>0.02700441851851851</v>
      </c>
      <c r="EF164">
        <v>0</v>
      </c>
      <c r="EG164">
        <v>1795.988148148148</v>
      </c>
      <c r="EH164">
        <v>5.00097</v>
      </c>
      <c r="EI164">
        <v>27765.89629629629</v>
      </c>
      <c r="EJ164">
        <v>12491.42222222222</v>
      </c>
      <c r="EK164">
        <v>40.05051851851852</v>
      </c>
      <c r="EL164">
        <v>41.53444444444443</v>
      </c>
      <c r="EM164">
        <v>40.25</v>
      </c>
      <c r="EN164">
        <v>41.38418518518519</v>
      </c>
      <c r="EO164">
        <v>41.125</v>
      </c>
      <c r="EP164">
        <v>1454.610740740741</v>
      </c>
      <c r="EQ164">
        <v>40.37037037037036</v>
      </c>
      <c r="ER164">
        <v>0</v>
      </c>
      <c r="ES164">
        <v>1343.199999809265</v>
      </c>
      <c r="ET164">
        <v>0</v>
      </c>
      <c r="EU164">
        <v>1796.1624</v>
      </c>
      <c r="EV164">
        <v>13.40307692639096</v>
      </c>
      <c r="EW164">
        <v>448.0769237087065</v>
      </c>
      <c r="EX164">
        <v>27768.676</v>
      </c>
      <c r="EY164">
        <v>15</v>
      </c>
      <c r="EZ164">
        <v>1652371289.6</v>
      </c>
      <c r="FA164" t="s">
        <v>515</v>
      </c>
      <c r="FB164">
        <v>1652371289.6</v>
      </c>
      <c r="FC164">
        <v>1652371275.1</v>
      </c>
      <c r="FD164">
        <v>24</v>
      </c>
      <c r="FE164">
        <v>0.442</v>
      </c>
      <c r="FF164">
        <v>0.001</v>
      </c>
      <c r="FG164">
        <v>-2.63</v>
      </c>
      <c r="FH164">
        <v>0.007</v>
      </c>
      <c r="FI164">
        <v>1620</v>
      </c>
      <c r="FJ164">
        <v>22</v>
      </c>
      <c r="FK164">
        <v>0.08</v>
      </c>
      <c r="FL164">
        <v>0.04</v>
      </c>
      <c r="FM164">
        <v>-43.12339024390243</v>
      </c>
      <c r="FN164">
        <v>25.83240000000004</v>
      </c>
      <c r="FO164">
        <v>6.32486553906262</v>
      </c>
      <c r="FP164">
        <v>-1</v>
      </c>
      <c r="FQ164">
        <v>6.669720000000001</v>
      </c>
      <c r="FR164">
        <v>0.02384362369337635</v>
      </c>
      <c r="FS164">
        <v>0.002659649711026961</v>
      </c>
      <c r="FT164">
        <v>1</v>
      </c>
      <c r="FU164">
        <v>0</v>
      </c>
      <c r="FV164">
        <v>0</v>
      </c>
      <c r="FW164">
        <v>0</v>
      </c>
      <c r="FX164">
        <v>-1</v>
      </c>
      <c r="FY164">
        <v>1</v>
      </c>
      <c r="FZ164">
        <v>1</v>
      </c>
      <c r="GA164" t="s">
        <v>420</v>
      </c>
      <c r="GB164">
        <v>2.69577</v>
      </c>
      <c r="GC164">
        <v>2.70529</v>
      </c>
      <c r="GD164">
        <v>0.0907665</v>
      </c>
      <c r="GE164">
        <v>0.09793839999999999</v>
      </c>
      <c r="GF164">
        <v>0.108214</v>
      </c>
      <c r="GG164">
        <v>0.08541310000000001</v>
      </c>
      <c r="GH164">
        <v>28581.2</v>
      </c>
      <c r="GI164">
        <v>28477.4</v>
      </c>
      <c r="GJ164">
        <v>29241.5</v>
      </c>
      <c r="GK164">
        <v>29213.2</v>
      </c>
      <c r="GL164">
        <v>34524.2</v>
      </c>
      <c r="GM164">
        <v>35565.5</v>
      </c>
      <c r="GN164">
        <v>41156.1</v>
      </c>
      <c r="GO164">
        <v>41681.5</v>
      </c>
      <c r="GP164">
        <v>1.72555</v>
      </c>
      <c r="GQ164">
        <v>2.0299</v>
      </c>
      <c r="GR164">
        <v>0.0587553</v>
      </c>
      <c r="GS164">
        <v>0</v>
      </c>
      <c r="GT164">
        <v>29.0241</v>
      </c>
      <c r="GU164">
        <v>999.9</v>
      </c>
      <c r="GV164">
        <v>44.6</v>
      </c>
      <c r="GW164">
        <v>33.3</v>
      </c>
      <c r="GX164">
        <v>25.3511</v>
      </c>
      <c r="GY164">
        <v>63.298</v>
      </c>
      <c r="GZ164">
        <v>29.6635</v>
      </c>
      <c r="HA164">
        <v>1</v>
      </c>
      <c r="HB164">
        <v>0.260041</v>
      </c>
      <c r="HC164">
        <v>0.551381</v>
      </c>
      <c r="HD164">
        <v>20.3805</v>
      </c>
      <c r="HE164">
        <v>5.21699</v>
      </c>
      <c r="HF164">
        <v>12.0099</v>
      </c>
      <c r="HG164">
        <v>4.9882</v>
      </c>
      <c r="HH164">
        <v>3.28848</v>
      </c>
      <c r="HI164">
        <v>2726.6</v>
      </c>
      <c r="HJ164">
        <v>9999</v>
      </c>
      <c r="HK164">
        <v>9999</v>
      </c>
      <c r="HL164">
        <v>50.1</v>
      </c>
      <c r="HM164">
        <v>1.86722</v>
      </c>
      <c r="HN164">
        <v>1.86625</v>
      </c>
      <c r="HO164">
        <v>1.86579</v>
      </c>
      <c r="HP164">
        <v>1.86569</v>
      </c>
      <c r="HQ164">
        <v>1.86751</v>
      </c>
      <c r="HR164">
        <v>1.86997</v>
      </c>
      <c r="HS164">
        <v>1.86862</v>
      </c>
      <c r="HT164">
        <v>1.87</v>
      </c>
      <c r="HU164">
        <v>0</v>
      </c>
      <c r="HV164">
        <v>0</v>
      </c>
      <c r="HW164">
        <v>0</v>
      </c>
      <c r="HX164">
        <v>0</v>
      </c>
      <c r="HY164" t="s">
        <v>421</v>
      </c>
      <c r="HZ164" t="s">
        <v>422</v>
      </c>
      <c r="IA164" t="s">
        <v>423</v>
      </c>
      <c r="IB164" t="s">
        <v>423</v>
      </c>
      <c r="IC164" t="s">
        <v>423</v>
      </c>
      <c r="ID164" t="s">
        <v>423</v>
      </c>
      <c r="IE164">
        <v>0</v>
      </c>
      <c r="IF164">
        <v>100</v>
      </c>
      <c r="IG164">
        <v>100</v>
      </c>
      <c r="IH164">
        <v>0.341</v>
      </c>
      <c r="II164">
        <v>0.0462</v>
      </c>
      <c r="IJ164">
        <v>1.257309091789605</v>
      </c>
      <c r="IK164">
        <v>-0.002185601614162945</v>
      </c>
      <c r="IL164">
        <v>-2.252308143750626E-07</v>
      </c>
      <c r="IM164">
        <v>5.915558436307541E-11</v>
      </c>
      <c r="IN164">
        <v>-0.118683452207699</v>
      </c>
      <c r="IO164">
        <v>-0.007570214193104963</v>
      </c>
      <c r="IP164">
        <v>0.0009214429922928372</v>
      </c>
      <c r="IQ164">
        <v>-1.392260276065805E-05</v>
      </c>
      <c r="IR164">
        <v>17</v>
      </c>
      <c r="IS164">
        <v>2272</v>
      </c>
      <c r="IT164">
        <v>1</v>
      </c>
      <c r="IU164">
        <v>31</v>
      </c>
      <c r="IV164">
        <v>20.3</v>
      </c>
      <c r="IW164">
        <v>20.6</v>
      </c>
      <c r="IX164">
        <v>1.13892</v>
      </c>
      <c r="IY164">
        <v>2.23511</v>
      </c>
      <c r="IZ164">
        <v>1.39648</v>
      </c>
      <c r="JA164">
        <v>2.35474</v>
      </c>
      <c r="JB164">
        <v>1.49536</v>
      </c>
      <c r="JC164">
        <v>2.35718</v>
      </c>
      <c r="JD164">
        <v>36.9317</v>
      </c>
      <c r="JE164">
        <v>15.2615</v>
      </c>
      <c r="JF164">
        <v>18</v>
      </c>
      <c r="JG164">
        <v>389.066</v>
      </c>
      <c r="JH164">
        <v>566.703</v>
      </c>
      <c r="JI164">
        <v>29.037</v>
      </c>
      <c r="JJ164">
        <v>30.7582</v>
      </c>
      <c r="JK164">
        <v>30.0005</v>
      </c>
      <c r="JL164">
        <v>30.6483</v>
      </c>
      <c r="JM164">
        <v>30.547</v>
      </c>
      <c r="JN164">
        <v>22.8514</v>
      </c>
      <c r="JO164">
        <v>29.9459</v>
      </c>
      <c r="JP164">
        <v>0</v>
      </c>
      <c r="JQ164">
        <v>29.0389</v>
      </c>
      <c r="JR164">
        <v>473.453</v>
      </c>
      <c r="JS164">
        <v>17.9763</v>
      </c>
      <c r="JT164">
        <v>99.94970000000001</v>
      </c>
      <c r="JU164">
        <v>100.053</v>
      </c>
    </row>
    <row r="165" spans="1:281">
      <c r="A165">
        <v>149</v>
      </c>
      <c r="B165">
        <v>1652372514</v>
      </c>
      <c r="C165">
        <v>4420.400000095367</v>
      </c>
      <c r="D165" t="s">
        <v>766</v>
      </c>
      <c r="E165" t="s">
        <v>767</v>
      </c>
      <c r="F165">
        <v>5</v>
      </c>
      <c r="G165" t="s">
        <v>711</v>
      </c>
      <c r="H165" t="s">
        <v>414</v>
      </c>
      <c r="I165">
        <v>1652372506.214286</v>
      </c>
      <c r="J165">
        <f>(K165)/1000</f>
        <v>0</v>
      </c>
      <c r="K165">
        <f>IF(CZ165, AN165, AH165)</f>
        <v>0</v>
      </c>
      <c r="L165">
        <f>IF(CZ165, AI165, AG165)</f>
        <v>0</v>
      </c>
      <c r="M165">
        <f>DB165 - IF(AU165&gt;1, L165*CV165*100.0/(AW165*DP165), 0)</f>
        <v>0</v>
      </c>
      <c r="N165">
        <f>((T165-J165/2)*M165-L165)/(T165+J165/2)</f>
        <v>0</v>
      </c>
      <c r="O165">
        <f>N165*(DI165+DJ165)/1000.0</f>
        <v>0</v>
      </c>
      <c r="P165">
        <f>(DB165 - IF(AU165&gt;1, L165*CV165*100.0/(AW165*DP165), 0))*(DI165+DJ165)/1000.0</f>
        <v>0</v>
      </c>
      <c r="Q165">
        <f>2.0/((1/S165-1/R165)+SIGN(S165)*SQRT((1/S165-1/R165)*(1/S165-1/R165) + 4*CW165/((CW165+1)*(CW165+1))*(2*1/S165*1/R165-1/R165*1/R165)))</f>
        <v>0</v>
      </c>
      <c r="R165">
        <f>IF(LEFT(CX165,1)&lt;&gt;"0",IF(LEFT(CX165,1)="1",3.0,CY165),$D$5+$E$5*(DP165*DI165/($K$5*1000))+$F$5*(DP165*DI165/($K$5*1000))*MAX(MIN(CV165,$J$5),$I$5)*MAX(MIN(CV165,$J$5),$I$5)+$G$5*MAX(MIN(CV165,$J$5),$I$5)*(DP165*DI165/($K$5*1000))+$H$5*(DP165*DI165/($K$5*1000))*(DP165*DI165/($K$5*1000)))</f>
        <v>0</v>
      </c>
      <c r="S165">
        <f>J165*(1000-(1000*0.61365*exp(17.502*W165/(240.97+W165))/(DI165+DJ165)+DD165)/2)/(1000*0.61365*exp(17.502*W165/(240.97+W165))/(DI165+DJ165)-DD165)</f>
        <v>0</v>
      </c>
      <c r="T165">
        <f>1/((CW165+1)/(Q165/1.6)+1/(R165/1.37)) + CW165/((CW165+1)/(Q165/1.6) + CW165/(R165/1.37))</f>
        <v>0</v>
      </c>
      <c r="U165">
        <f>(CR165*CU165)</f>
        <v>0</v>
      </c>
      <c r="V165">
        <f>(DK165+(U165+2*0.95*5.67E-8*(((DK165+$B$7)+273)^4-(DK165+273)^4)-44100*J165)/(1.84*29.3*R165+8*0.95*5.67E-8*(DK165+273)^3))</f>
        <v>0</v>
      </c>
      <c r="W165">
        <f>($C$7*DL165+$D$7*DM165+$E$7*V165)</f>
        <v>0</v>
      </c>
      <c r="X165">
        <f>0.61365*exp(17.502*W165/(240.97+W165))</f>
        <v>0</v>
      </c>
      <c r="Y165">
        <f>(Z165/AA165*100)</f>
        <v>0</v>
      </c>
      <c r="Z165">
        <f>DD165*(DI165+DJ165)/1000</f>
        <v>0</v>
      </c>
      <c r="AA165">
        <f>0.61365*exp(17.502*DK165/(240.97+DK165))</f>
        <v>0</v>
      </c>
      <c r="AB165">
        <f>(X165-DD165*(DI165+DJ165)/1000)</f>
        <v>0</v>
      </c>
      <c r="AC165">
        <f>(-J165*44100)</f>
        <v>0</v>
      </c>
      <c r="AD165">
        <f>2*29.3*R165*0.92*(DK165-W165)</f>
        <v>0</v>
      </c>
      <c r="AE165">
        <f>2*0.95*5.67E-8*(((DK165+$B$7)+273)^4-(W165+273)^4)</f>
        <v>0</v>
      </c>
      <c r="AF165">
        <f>U165+AE165+AC165+AD165</f>
        <v>0</v>
      </c>
      <c r="AG165">
        <f>DH165*AU165*(DC165-DB165*(1000-AU165*DE165)/(1000-AU165*DD165))/(100*CV165)</f>
        <v>0</v>
      </c>
      <c r="AH165">
        <f>1000*DH165*AU165*(DD165-DE165)/(100*CV165*(1000-AU165*DD165))</f>
        <v>0</v>
      </c>
      <c r="AI165">
        <f>(AJ165 - AK165 - DI165*1E3/(8.314*(DK165+273.15)) * AM165/DH165 * AL165) * DH165/(100*CV165) * (1000 - DE165)/1000</f>
        <v>0</v>
      </c>
      <c r="AJ165">
        <v>465.1274547801332</v>
      </c>
      <c r="AK165">
        <v>426.5752727272724</v>
      </c>
      <c r="AL165">
        <v>2.568718665487115</v>
      </c>
      <c r="AM165">
        <v>65.96288611109561</v>
      </c>
      <c r="AN165">
        <f>(AP165 - AO165 + DI165*1E3/(8.314*(DK165+273.15)) * AR165/DH165 * AQ165) * DH165/(100*CV165) * 1000/(1000 - AP165)</f>
        <v>0</v>
      </c>
      <c r="AO165">
        <v>18.03289073079178</v>
      </c>
      <c r="AP165">
        <v>24.71597412587414</v>
      </c>
      <c r="AQ165">
        <v>0.0001549767474002976</v>
      </c>
      <c r="AR165">
        <v>81.18387902069509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MAX(0,($B$13+$C$13*DP165)/(1+$D$13*DP165)*DI165/(DK165+273)*$E$13)</f>
        <v>0</v>
      </c>
      <c r="AX165" t="s">
        <v>417</v>
      </c>
      <c r="AY165" t="s">
        <v>417</v>
      </c>
      <c r="AZ165">
        <v>0</v>
      </c>
      <c r="BA165">
        <v>0</v>
      </c>
      <c r="BB165">
        <f>1-AZ165/BA165</f>
        <v>0</v>
      </c>
      <c r="BC165">
        <v>0</v>
      </c>
      <c r="BD165" t="s">
        <v>417</v>
      </c>
      <c r="BE165" t="s">
        <v>417</v>
      </c>
      <c r="BF165">
        <v>0</v>
      </c>
      <c r="BG165">
        <v>0</v>
      </c>
      <c r="BH165">
        <f>1-BF165/BG165</f>
        <v>0</v>
      </c>
      <c r="BI165">
        <v>0.5</v>
      </c>
      <c r="BJ165">
        <f>CS165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417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1393</v>
      </c>
      <c r="CA165">
        <v>300</v>
      </c>
      <c r="CB165">
        <v>300</v>
      </c>
      <c r="CC165">
        <v>300</v>
      </c>
      <c r="CD165">
        <v>10378</v>
      </c>
      <c r="CE165">
        <v>2050</v>
      </c>
      <c r="CF165">
        <v>-0.00730649</v>
      </c>
      <c r="CG165">
        <v>-4.53</v>
      </c>
      <c r="CH165" t="s">
        <v>417</v>
      </c>
      <c r="CI165" t="s">
        <v>417</v>
      </c>
      <c r="CJ165" t="s">
        <v>417</v>
      </c>
      <c r="CK165" t="s">
        <v>417</v>
      </c>
      <c r="CL165" t="s">
        <v>417</v>
      </c>
      <c r="CM165" t="s">
        <v>417</v>
      </c>
      <c r="CN165" t="s">
        <v>417</v>
      </c>
      <c r="CO165" t="s">
        <v>417</v>
      </c>
      <c r="CP165" t="s">
        <v>417</v>
      </c>
      <c r="CQ165" t="s">
        <v>417</v>
      </c>
      <c r="CR165">
        <f>$B$11*DQ165+$C$11*DR165+$F$11*EC165*(1-EF165)</f>
        <v>0</v>
      </c>
      <c r="CS165">
        <f>CR165*CT165</f>
        <v>0</v>
      </c>
      <c r="CT165">
        <f>($B$11*$D$9+$C$11*$D$9+$F$11*((EP165+EH165)/MAX(EP165+EH165+EQ165, 0.1)*$I$9+EQ165/MAX(EP165+EH165+EQ165, 0.1)*$J$9))/($B$11+$C$11+$F$11)</f>
        <v>0</v>
      </c>
      <c r="CU165">
        <f>($B$11*$K$9+$C$11*$K$9+$F$11*((EP165+EH165)/MAX(EP165+EH165+EQ165, 0.1)*$P$9+EQ165/MAX(EP165+EH165+EQ165, 0.1)*$Q$9))/($B$11+$C$11+$F$11)</f>
        <v>0</v>
      </c>
      <c r="CV165">
        <v>6</v>
      </c>
      <c r="CW165">
        <v>0.5</v>
      </c>
      <c r="CX165" t="s">
        <v>418</v>
      </c>
      <c r="CY165">
        <v>2</v>
      </c>
      <c r="CZ165" t="b">
        <v>1</v>
      </c>
      <c r="DA165">
        <v>1652372506.214286</v>
      </c>
      <c r="DB165">
        <v>399.8355</v>
      </c>
      <c r="DC165">
        <v>444.5265714285715</v>
      </c>
      <c r="DD165">
        <v>24.70788214285715</v>
      </c>
      <c r="DE165">
        <v>18.03186785714286</v>
      </c>
      <c r="DF165">
        <v>399.4834642857143</v>
      </c>
      <c r="DG165">
        <v>24.66165714285714</v>
      </c>
      <c r="DH165">
        <v>400.0665357142857</v>
      </c>
      <c r="DI165">
        <v>90.39435714285715</v>
      </c>
      <c r="DJ165">
        <v>0.09999359285714285</v>
      </c>
      <c r="DK165">
        <v>30.80466785714286</v>
      </c>
      <c r="DL165">
        <v>29.98489642857143</v>
      </c>
      <c r="DM165">
        <v>999.9000000000002</v>
      </c>
      <c r="DN165">
        <v>0</v>
      </c>
      <c r="DO165">
        <v>0</v>
      </c>
      <c r="DP165">
        <v>9997.030714285715</v>
      </c>
      <c r="DQ165">
        <v>0</v>
      </c>
      <c r="DR165">
        <v>445.1304285714285</v>
      </c>
      <c r="DS165">
        <v>-44.69094285714287</v>
      </c>
      <c r="DT165">
        <v>409.9649285714286</v>
      </c>
      <c r="DU165">
        <v>452.68925</v>
      </c>
      <c r="DV165">
        <v>6.676000357142857</v>
      </c>
      <c r="DW165">
        <v>444.5265714285715</v>
      </c>
      <c r="DX165">
        <v>18.03186785714286</v>
      </c>
      <c r="DY165">
        <v>2.233451785714286</v>
      </c>
      <c r="DZ165">
        <v>1.629977857142857</v>
      </c>
      <c r="EA165">
        <v>19.20430357142857</v>
      </c>
      <c r="EB165">
        <v>14.24517857142857</v>
      </c>
      <c r="EC165">
        <v>1499.980714285714</v>
      </c>
      <c r="ED165">
        <v>0.9729960714285716</v>
      </c>
      <c r="EE165">
        <v>0.02700426428571428</v>
      </c>
      <c r="EF165">
        <v>0</v>
      </c>
      <c r="EG165">
        <v>1795.97</v>
      </c>
      <c r="EH165">
        <v>5.00097</v>
      </c>
      <c r="EI165">
        <v>27765.98214285714</v>
      </c>
      <c r="EJ165">
        <v>12491.40714285714</v>
      </c>
      <c r="EK165">
        <v>40.05535714285713</v>
      </c>
      <c r="EL165">
        <v>41.53985714285714</v>
      </c>
      <c r="EM165">
        <v>40.25</v>
      </c>
      <c r="EN165">
        <v>41.38164285714286</v>
      </c>
      <c r="EO165">
        <v>41.125</v>
      </c>
      <c r="EP165">
        <v>1454.610357142857</v>
      </c>
      <c r="EQ165">
        <v>40.37035714285713</v>
      </c>
      <c r="ER165">
        <v>0</v>
      </c>
      <c r="ES165">
        <v>1348</v>
      </c>
      <c r="ET165">
        <v>0</v>
      </c>
      <c r="EU165">
        <v>1795.86</v>
      </c>
      <c r="EV165">
        <v>-24.83461535851959</v>
      </c>
      <c r="EW165">
        <v>-597.5307682576552</v>
      </c>
      <c r="EX165">
        <v>27764.504</v>
      </c>
      <c r="EY165">
        <v>15</v>
      </c>
      <c r="EZ165">
        <v>1652371289.6</v>
      </c>
      <c r="FA165" t="s">
        <v>515</v>
      </c>
      <c r="FB165">
        <v>1652371289.6</v>
      </c>
      <c r="FC165">
        <v>1652371275.1</v>
      </c>
      <c r="FD165">
        <v>24</v>
      </c>
      <c r="FE165">
        <v>0.442</v>
      </c>
      <c r="FF165">
        <v>0.001</v>
      </c>
      <c r="FG165">
        <v>-2.63</v>
      </c>
      <c r="FH165">
        <v>0.007</v>
      </c>
      <c r="FI165">
        <v>1620</v>
      </c>
      <c r="FJ165">
        <v>22</v>
      </c>
      <c r="FK165">
        <v>0.08</v>
      </c>
      <c r="FL165">
        <v>0.04</v>
      </c>
      <c r="FM165">
        <v>-42.65529512195123</v>
      </c>
      <c r="FN165">
        <v>-45.34829895470383</v>
      </c>
      <c r="FO165">
        <v>5.163635179531304</v>
      </c>
      <c r="FP165">
        <v>-1</v>
      </c>
      <c r="FQ165">
        <v>6.673589268292683</v>
      </c>
      <c r="FR165">
        <v>0.05125024390242992</v>
      </c>
      <c r="FS165">
        <v>0.005681796516923715</v>
      </c>
      <c r="FT165">
        <v>1</v>
      </c>
      <c r="FU165">
        <v>0</v>
      </c>
      <c r="FV165">
        <v>0</v>
      </c>
      <c r="FW165">
        <v>0</v>
      </c>
      <c r="FX165">
        <v>-1</v>
      </c>
      <c r="FY165">
        <v>1</v>
      </c>
      <c r="FZ165">
        <v>1</v>
      </c>
      <c r="GA165" t="s">
        <v>420</v>
      </c>
      <c r="GB165">
        <v>2.69556</v>
      </c>
      <c r="GC165">
        <v>2.7051</v>
      </c>
      <c r="GD165">
        <v>0.09292839999999999</v>
      </c>
      <c r="GE165">
        <v>0.100595</v>
      </c>
      <c r="GF165">
        <v>0.108227</v>
      </c>
      <c r="GG165">
        <v>0.0854048</v>
      </c>
      <c r="GH165">
        <v>28513.3</v>
      </c>
      <c r="GI165">
        <v>28393.4</v>
      </c>
      <c r="GJ165">
        <v>29241.6</v>
      </c>
      <c r="GK165">
        <v>29213.2</v>
      </c>
      <c r="GL165">
        <v>34524.1</v>
      </c>
      <c r="GM165">
        <v>35565.9</v>
      </c>
      <c r="GN165">
        <v>41156.5</v>
      </c>
      <c r="GO165">
        <v>41681.5</v>
      </c>
      <c r="GP165">
        <v>1.72515</v>
      </c>
      <c r="GQ165">
        <v>2.03013</v>
      </c>
      <c r="GR165">
        <v>0.0590459</v>
      </c>
      <c r="GS165">
        <v>0</v>
      </c>
      <c r="GT165">
        <v>29.0188</v>
      </c>
      <c r="GU165">
        <v>999.9</v>
      </c>
      <c r="GV165">
        <v>44.6</v>
      </c>
      <c r="GW165">
        <v>33.3</v>
      </c>
      <c r="GX165">
        <v>25.3506</v>
      </c>
      <c r="GY165">
        <v>63.248</v>
      </c>
      <c r="GZ165">
        <v>29.6394</v>
      </c>
      <c r="HA165">
        <v>1</v>
      </c>
      <c r="HB165">
        <v>0.260561</v>
      </c>
      <c r="HC165">
        <v>0.512571</v>
      </c>
      <c r="HD165">
        <v>20.3805</v>
      </c>
      <c r="HE165">
        <v>5.21654</v>
      </c>
      <c r="HF165">
        <v>12.0099</v>
      </c>
      <c r="HG165">
        <v>4.9881</v>
      </c>
      <c r="HH165">
        <v>3.28833</v>
      </c>
      <c r="HI165">
        <v>2726.6</v>
      </c>
      <c r="HJ165">
        <v>9999</v>
      </c>
      <c r="HK165">
        <v>9999</v>
      </c>
      <c r="HL165">
        <v>50.1</v>
      </c>
      <c r="HM165">
        <v>1.86722</v>
      </c>
      <c r="HN165">
        <v>1.86626</v>
      </c>
      <c r="HO165">
        <v>1.86578</v>
      </c>
      <c r="HP165">
        <v>1.86569</v>
      </c>
      <c r="HQ165">
        <v>1.8675</v>
      </c>
      <c r="HR165">
        <v>1.87</v>
      </c>
      <c r="HS165">
        <v>1.86865</v>
      </c>
      <c r="HT165">
        <v>1.86997</v>
      </c>
      <c r="HU165">
        <v>0</v>
      </c>
      <c r="HV165">
        <v>0</v>
      </c>
      <c r="HW165">
        <v>0</v>
      </c>
      <c r="HX165">
        <v>0</v>
      </c>
      <c r="HY165" t="s">
        <v>421</v>
      </c>
      <c r="HZ165" t="s">
        <v>422</v>
      </c>
      <c r="IA165" t="s">
        <v>423</v>
      </c>
      <c r="IB165" t="s">
        <v>423</v>
      </c>
      <c r="IC165" t="s">
        <v>423</v>
      </c>
      <c r="ID165" t="s">
        <v>423</v>
      </c>
      <c r="IE165">
        <v>0</v>
      </c>
      <c r="IF165">
        <v>100</v>
      </c>
      <c r="IG165">
        <v>100</v>
      </c>
      <c r="IH165">
        <v>0.311</v>
      </c>
      <c r="II165">
        <v>0.0463</v>
      </c>
      <c r="IJ165">
        <v>1.257309091789605</v>
      </c>
      <c r="IK165">
        <v>-0.002185601614162945</v>
      </c>
      <c r="IL165">
        <v>-2.252308143750626E-07</v>
      </c>
      <c r="IM165">
        <v>5.915558436307541E-11</v>
      </c>
      <c r="IN165">
        <v>-0.118683452207699</v>
      </c>
      <c r="IO165">
        <v>-0.007570214193104963</v>
      </c>
      <c r="IP165">
        <v>0.0009214429922928372</v>
      </c>
      <c r="IQ165">
        <v>-1.392260276065805E-05</v>
      </c>
      <c r="IR165">
        <v>17</v>
      </c>
      <c r="IS165">
        <v>2272</v>
      </c>
      <c r="IT165">
        <v>1</v>
      </c>
      <c r="IU165">
        <v>31</v>
      </c>
      <c r="IV165">
        <v>20.4</v>
      </c>
      <c r="IW165">
        <v>20.6</v>
      </c>
      <c r="IX165">
        <v>1.16943</v>
      </c>
      <c r="IY165">
        <v>2.23633</v>
      </c>
      <c r="IZ165">
        <v>1.39648</v>
      </c>
      <c r="JA165">
        <v>2.35474</v>
      </c>
      <c r="JB165">
        <v>1.49536</v>
      </c>
      <c r="JC165">
        <v>2.34497</v>
      </c>
      <c r="JD165">
        <v>36.9317</v>
      </c>
      <c r="JE165">
        <v>15.2528</v>
      </c>
      <c r="JF165">
        <v>18</v>
      </c>
      <c r="JG165">
        <v>388.874</v>
      </c>
      <c r="JH165">
        <v>566.914</v>
      </c>
      <c r="JI165">
        <v>29.0417</v>
      </c>
      <c r="JJ165">
        <v>30.7621</v>
      </c>
      <c r="JK165">
        <v>30.0005</v>
      </c>
      <c r="JL165">
        <v>30.6523</v>
      </c>
      <c r="JM165">
        <v>30.5515</v>
      </c>
      <c r="JN165">
        <v>23.5306</v>
      </c>
      <c r="JO165">
        <v>29.9459</v>
      </c>
      <c r="JP165">
        <v>0</v>
      </c>
      <c r="JQ165">
        <v>29.0518</v>
      </c>
      <c r="JR165">
        <v>493.518</v>
      </c>
      <c r="JS165">
        <v>17.9719</v>
      </c>
      <c r="JT165">
        <v>99.95050000000001</v>
      </c>
      <c r="JU165">
        <v>100.053</v>
      </c>
    </row>
    <row r="166" spans="1:281">
      <c r="A166">
        <v>150</v>
      </c>
      <c r="B166">
        <v>1652372519</v>
      </c>
      <c r="C166">
        <v>4425.400000095367</v>
      </c>
      <c r="D166" t="s">
        <v>768</v>
      </c>
      <c r="E166" t="s">
        <v>769</v>
      </c>
      <c r="F166">
        <v>5</v>
      </c>
      <c r="G166" t="s">
        <v>711</v>
      </c>
      <c r="H166" t="s">
        <v>414</v>
      </c>
      <c r="I166">
        <v>1652372511.5</v>
      </c>
      <c r="J166">
        <f>(K166)/1000</f>
        <v>0</v>
      </c>
      <c r="K166">
        <f>IF(CZ166, AN166, AH166)</f>
        <v>0</v>
      </c>
      <c r="L166">
        <f>IF(CZ166, AI166, AG166)</f>
        <v>0</v>
      </c>
      <c r="M166">
        <f>DB166 - IF(AU166&gt;1, L166*CV166*100.0/(AW166*DP166), 0)</f>
        <v>0</v>
      </c>
      <c r="N166">
        <f>((T166-J166/2)*M166-L166)/(T166+J166/2)</f>
        <v>0</v>
      </c>
      <c r="O166">
        <f>N166*(DI166+DJ166)/1000.0</f>
        <v>0</v>
      </c>
      <c r="P166">
        <f>(DB166 - IF(AU166&gt;1, L166*CV166*100.0/(AW166*DP166), 0))*(DI166+DJ166)/1000.0</f>
        <v>0</v>
      </c>
      <c r="Q166">
        <f>2.0/((1/S166-1/R166)+SIGN(S166)*SQRT((1/S166-1/R166)*(1/S166-1/R166) + 4*CW166/((CW166+1)*(CW166+1))*(2*1/S166*1/R166-1/R166*1/R166)))</f>
        <v>0</v>
      </c>
      <c r="R166">
        <f>IF(LEFT(CX166,1)&lt;&gt;"0",IF(LEFT(CX166,1)="1",3.0,CY166),$D$5+$E$5*(DP166*DI166/($K$5*1000))+$F$5*(DP166*DI166/($K$5*1000))*MAX(MIN(CV166,$J$5),$I$5)*MAX(MIN(CV166,$J$5),$I$5)+$G$5*MAX(MIN(CV166,$J$5),$I$5)*(DP166*DI166/($K$5*1000))+$H$5*(DP166*DI166/($K$5*1000))*(DP166*DI166/($K$5*1000)))</f>
        <v>0</v>
      </c>
      <c r="S166">
        <f>J166*(1000-(1000*0.61365*exp(17.502*W166/(240.97+W166))/(DI166+DJ166)+DD166)/2)/(1000*0.61365*exp(17.502*W166/(240.97+W166))/(DI166+DJ166)-DD166)</f>
        <v>0</v>
      </c>
      <c r="T166">
        <f>1/((CW166+1)/(Q166/1.6)+1/(R166/1.37)) + CW166/((CW166+1)/(Q166/1.6) + CW166/(R166/1.37))</f>
        <v>0</v>
      </c>
      <c r="U166">
        <f>(CR166*CU166)</f>
        <v>0</v>
      </c>
      <c r="V166">
        <f>(DK166+(U166+2*0.95*5.67E-8*(((DK166+$B$7)+273)^4-(DK166+273)^4)-44100*J166)/(1.84*29.3*R166+8*0.95*5.67E-8*(DK166+273)^3))</f>
        <v>0</v>
      </c>
      <c r="W166">
        <f>($C$7*DL166+$D$7*DM166+$E$7*V166)</f>
        <v>0</v>
      </c>
      <c r="X166">
        <f>0.61365*exp(17.502*W166/(240.97+W166))</f>
        <v>0</v>
      </c>
      <c r="Y166">
        <f>(Z166/AA166*100)</f>
        <v>0</v>
      </c>
      <c r="Z166">
        <f>DD166*(DI166+DJ166)/1000</f>
        <v>0</v>
      </c>
      <c r="AA166">
        <f>0.61365*exp(17.502*DK166/(240.97+DK166))</f>
        <v>0</v>
      </c>
      <c r="AB166">
        <f>(X166-DD166*(DI166+DJ166)/1000)</f>
        <v>0</v>
      </c>
      <c r="AC166">
        <f>(-J166*44100)</f>
        <v>0</v>
      </c>
      <c r="AD166">
        <f>2*29.3*R166*0.92*(DK166-W166)</f>
        <v>0</v>
      </c>
      <c r="AE166">
        <f>2*0.95*5.67E-8*(((DK166+$B$7)+273)^4-(W166+273)^4)</f>
        <v>0</v>
      </c>
      <c r="AF166">
        <f>U166+AE166+AC166+AD166</f>
        <v>0</v>
      </c>
      <c r="AG166">
        <f>DH166*AU166*(DC166-DB166*(1000-AU166*DE166)/(1000-AU166*DD166))/(100*CV166)</f>
        <v>0</v>
      </c>
      <c r="AH166">
        <f>1000*DH166*AU166*(DD166-DE166)/(100*CV166*(1000-AU166*DD166))</f>
        <v>0</v>
      </c>
      <c r="AI166">
        <f>(AJ166 - AK166 - DI166*1E3/(8.314*(DK166+273.15)) * AM166/DH166 * AL166) * DH166/(100*CV166) * (1000 - DE166)/1000</f>
        <v>0</v>
      </c>
      <c r="AJ166">
        <v>482.068906049727</v>
      </c>
      <c r="AK166">
        <v>440.8608606060606</v>
      </c>
      <c r="AL166">
        <v>2.867091655257031</v>
      </c>
      <c r="AM166">
        <v>65.96288611109561</v>
      </c>
      <c r="AN166">
        <f>(AP166 - AO166 + DI166*1E3/(8.314*(DK166+273.15)) * AR166/DH166 * AQ166) * DH166/(100*CV166) * 1000/(1000 - AP166)</f>
        <v>0</v>
      </c>
      <c r="AO166">
        <v>18.03181287077274</v>
      </c>
      <c r="AP166">
        <v>24.72212657342657</v>
      </c>
      <c r="AQ166">
        <v>6.588489456430866E-05</v>
      </c>
      <c r="AR166">
        <v>81.18387902069509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MAX(0,($B$13+$C$13*DP166)/(1+$D$13*DP166)*DI166/(DK166+273)*$E$13)</f>
        <v>0</v>
      </c>
      <c r="AX166" t="s">
        <v>417</v>
      </c>
      <c r="AY166" t="s">
        <v>417</v>
      </c>
      <c r="AZ166">
        <v>0</v>
      </c>
      <c r="BA166">
        <v>0</v>
      </c>
      <c r="BB166">
        <f>1-AZ166/BA166</f>
        <v>0</v>
      </c>
      <c r="BC166">
        <v>0</v>
      </c>
      <c r="BD166" t="s">
        <v>417</v>
      </c>
      <c r="BE166" t="s">
        <v>417</v>
      </c>
      <c r="BF166">
        <v>0</v>
      </c>
      <c r="BG166">
        <v>0</v>
      </c>
      <c r="BH166">
        <f>1-BF166/BG166</f>
        <v>0</v>
      </c>
      <c r="BI166">
        <v>0.5</v>
      </c>
      <c r="BJ166">
        <f>CS166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417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1393</v>
      </c>
      <c r="CA166">
        <v>300</v>
      </c>
      <c r="CB166">
        <v>300</v>
      </c>
      <c r="CC166">
        <v>300</v>
      </c>
      <c r="CD166">
        <v>10378</v>
      </c>
      <c r="CE166">
        <v>2050</v>
      </c>
      <c r="CF166">
        <v>-0.00730649</v>
      </c>
      <c r="CG166">
        <v>-4.53</v>
      </c>
      <c r="CH166" t="s">
        <v>417</v>
      </c>
      <c r="CI166" t="s">
        <v>417</v>
      </c>
      <c r="CJ166" t="s">
        <v>417</v>
      </c>
      <c r="CK166" t="s">
        <v>417</v>
      </c>
      <c r="CL166" t="s">
        <v>417</v>
      </c>
      <c r="CM166" t="s">
        <v>417</v>
      </c>
      <c r="CN166" t="s">
        <v>417</v>
      </c>
      <c r="CO166" t="s">
        <v>417</v>
      </c>
      <c r="CP166" t="s">
        <v>417</v>
      </c>
      <c r="CQ166" t="s">
        <v>417</v>
      </c>
      <c r="CR166">
        <f>$B$11*DQ166+$C$11*DR166+$F$11*EC166*(1-EF166)</f>
        <v>0</v>
      </c>
      <c r="CS166">
        <f>CR166*CT166</f>
        <v>0</v>
      </c>
      <c r="CT166">
        <f>($B$11*$D$9+$C$11*$D$9+$F$11*((EP166+EH166)/MAX(EP166+EH166+EQ166, 0.1)*$I$9+EQ166/MAX(EP166+EH166+EQ166, 0.1)*$J$9))/($B$11+$C$11+$F$11)</f>
        <v>0</v>
      </c>
      <c r="CU166">
        <f>($B$11*$K$9+$C$11*$K$9+$F$11*((EP166+EH166)/MAX(EP166+EH166+EQ166, 0.1)*$P$9+EQ166/MAX(EP166+EH166+EQ166, 0.1)*$Q$9))/($B$11+$C$11+$F$11)</f>
        <v>0</v>
      </c>
      <c r="CV166">
        <v>6</v>
      </c>
      <c r="CW166">
        <v>0.5</v>
      </c>
      <c r="CX166" t="s">
        <v>418</v>
      </c>
      <c r="CY166">
        <v>2</v>
      </c>
      <c r="CZ166" t="b">
        <v>1</v>
      </c>
      <c r="DA166">
        <v>1652372511.5</v>
      </c>
      <c r="DB166">
        <v>411.5068148148148</v>
      </c>
      <c r="DC166">
        <v>461.4059629629629</v>
      </c>
      <c r="DD166">
        <v>24.71382962962963</v>
      </c>
      <c r="DE166">
        <v>18.03234444444444</v>
      </c>
      <c r="DF166">
        <v>411.1821111111111</v>
      </c>
      <c r="DG166">
        <v>24.66753703703704</v>
      </c>
      <c r="DH166">
        <v>400.0581111111112</v>
      </c>
      <c r="DI166">
        <v>90.39328888888892</v>
      </c>
      <c r="DJ166">
        <v>0.09997414814814815</v>
      </c>
      <c r="DK166">
        <v>30.80018888888889</v>
      </c>
      <c r="DL166">
        <v>29.98150740740741</v>
      </c>
      <c r="DM166">
        <v>999.9000000000001</v>
      </c>
      <c r="DN166">
        <v>0</v>
      </c>
      <c r="DO166">
        <v>0</v>
      </c>
      <c r="DP166">
        <v>10003.44851851852</v>
      </c>
      <c r="DQ166">
        <v>0</v>
      </c>
      <c r="DR166">
        <v>442.8912592592592</v>
      </c>
      <c r="DS166">
        <v>-49.89912962962962</v>
      </c>
      <c r="DT166">
        <v>421.9344074074074</v>
      </c>
      <c r="DU166">
        <v>469.8788518518518</v>
      </c>
      <c r="DV166">
        <v>6.681485555555556</v>
      </c>
      <c r="DW166">
        <v>461.4059629629629</v>
      </c>
      <c r="DX166">
        <v>18.03234444444444</v>
      </c>
      <c r="DY166">
        <v>2.233964074074074</v>
      </c>
      <c r="DZ166">
        <v>1.630002222222222</v>
      </c>
      <c r="EA166">
        <v>19.20798148148148</v>
      </c>
      <c r="EB166">
        <v>14.2454</v>
      </c>
      <c r="EC166">
        <v>1499.992222222222</v>
      </c>
      <c r="ED166">
        <v>0.9729962962962964</v>
      </c>
      <c r="EE166">
        <v>0.02700402592592592</v>
      </c>
      <c r="EF166">
        <v>0</v>
      </c>
      <c r="EG166">
        <v>1793.343333333334</v>
      </c>
      <c r="EH166">
        <v>5.00097</v>
      </c>
      <c r="EI166">
        <v>27714.97407407408</v>
      </c>
      <c r="EJ166">
        <v>12491.5037037037</v>
      </c>
      <c r="EK166">
        <v>40.0551111111111</v>
      </c>
      <c r="EL166">
        <v>41.54822222222221</v>
      </c>
      <c r="EM166">
        <v>40.25</v>
      </c>
      <c r="EN166">
        <v>41.38877777777778</v>
      </c>
      <c r="EO166">
        <v>41.125</v>
      </c>
      <c r="EP166">
        <v>1454.621481481481</v>
      </c>
      <c r="EQ166">
        <v>40.37074074074073</v>
      </c>
      <c r="ER166">
        <v>0</v>
      </c>
      <c r="ES166">
        <v>1352.799999952316</v>
      </c>
      <c r="ET166">
        <v>0</v>
      </c>
      <c r="EU166">
        <v>1793.3028</v>
      </c>
      <c r="EV166">
        <v>-41.46769231221444</v>
      </c>
      <c r="EW166">
        <v>-847.7000000324451</v>
      </c>
      <c r="EX166">
        <v>27714.692</v>
      </c>
      <c r="EY166">
        <v>15</v>
      </c>
      <c r="EZ166">
        <v>1652371289.6</v>
      </c>
      <c r="FA166" t="s">
        <v>515</v>
      </c>
      <c r="FB166">
        <v>1652371289.6</v>
      </c>
      <c r="FC166">
        <v>1652371275.1</v>
      </c>
      <c r="FD166">
        <v>24</v>
      </c>
      <c r="FE166">
        <v>0.442</v>
      </c>
      <c r="FF166">
        <v>0.001</v>
      </c>
      <c r="FG166">
        <v>-2.63</v>
      </c>
      <c r="FH166">
        <v>0.007</v>
      </c>
      <c r="FI166">
        <v>1620</v>
      </c>
      <c r="FJ166">
        <v>22</v>
      </c>
      <c r="FK166">
        <v>0.08</v>
      </c>
      <c r="FL166">
        <v>0.04</v>
      </c>
      <c r="FM166">
        <v>-46.9443875</v>
      </c>
      <c r="FN166">
        <v>-59.0712011257035</v>
      </c>
      <c r="FO166">
        <v>5.754093806725239</v>
      </c>
      <c r="FP166">
        <v>-1</v>
      </c>
      <c r="FQ166">
        <v>6.67865575</v>
      </c>
      <c r="FR166">
        <v>0.06938060037521955</v>
      </c>
      <c r="FS166">
        <v>0.006956276262304386</v>
      </c>
      <c r="FT166">
        <v>1</v>
      </c>
      <c r="FU166">
        <v>0</v>
      </c>
      <c r="FV166">
        <v>0</v>
      </c>
      <c r="FW166">
        <v>0</v>
      </c>
      <c r="FX166">
        <v>-1</v>
      </c>
      <c r="FY166">
        <v>1</v>
      </c>
      <c r="FZ166">
        <v>1</v>
      </c>
      <c r="GA166" t="s">
        <v>420</v>
      </c>
      <c r="GB166">
        <v>2.69563</v>
      </c>
      <c r="GC166">
        <v>2.70517</v>
      </c>
      <c r="GD166">
        <v>0.095306</v>
      </c>
      <c r="GE166">
        <v>0.103239</v>
      </c>
      <c r="GF166">
        <v>0.108242</v>
      </c>
      <c r="GG166">
        <v>0.0854118</v>
      </c>
      <c r="GH166">
        <v>28437.5</v>
      </c>
      <c r="GI166">
        <v>28309</v>
      </c>
      <c r="GJ166">
        <v>29240.6</v>
      </c>
      <c r="GK166">
        <v>29212.3</v>
      </c>
      <c r="GL166">
        <v>34522.3</v>
      </c>
      <c r="GM166">
        <v>35564.8</v>
      </c>
      <c r="GN166">
        <v>41154.9</v>
      </c>
      <c r="GO166">
        <v>41680.5</v>
      </c>
      <c r="GP166">
        <v>1.7252</v>
      </c>
      <c r="GQ166">
        <v>2.02982</v>
      </c>
      <c r="GR166">
        <v>0.0590533</v>
      </c>
      <c r="GS166">
        <v>0</v>
      </c>
      <c r="GT166">
        <v>29.0148</v>
      </c>
      <c r="GU166">
        <v>999.9</v>
      </c>
      <c r="GV166">
        <v>44.6</v>
      </c>
      <c r="GW166">
        <v>33.3</v>
      </c>
      <c r="GX166">
        <v>25.3504</v>
      </c>
      <c r="GY166">
        <v>63.498</v>
      </c>
      <c r="GZ166">
        <v>28.9784</v>
      </c>
      <c r="HA166">
        <v>1</v>
      </c>
      <c r="HB166">
        <v>0.260925</v>
      </c>
      <c r="HC166">
        <v>0.478595</v>
      </c>
      <c r="HD166">
        <v>20.3805</v>
      </c>
      <c r="HE166">
        <v>5.21759</v>
      </c>
      <c r="HF166">
        <v>12.0099</v>
      </c>
      <c r="HG166">
        <v>4.9883</v>
      </c>
      <c r="HH166">
        <v>3.2883</v>
      </c>
      <c r="HI166">
        <v>2726.8</v>
      </c>
      <c r="HJ166">
        <v>9999</v>
      </c>
      <c r="HK166">
        <v>9999</v>
      </c>
      <c r="HL166">
        <v>50.1</v>
      </c>
      <c r="HM166">
        <v>1.86722</v>
      </c>
      <c r="HN166">
        <v>1.86625</v>
      </c>
      <c r="HO166">
        <v>1.86579</v>
      </c>
      <c r="HP166">
        <v>1.86569</v>
      </c>
      <c r="HQ166">
        <v>1.8675</v>
      </c>
      <c r="HR166">
        <v>1.86999</v>
      </c>
      <c r="HS166">
        <v>1.86863</v>
      </c>
      <c r="HT166">
        <v>1.86997</v>
      </c>
      <c r="HU166">
        <v>0</v>
      </c>
      <c r="HV166">
        <v>0</v>
      </c>
      <c r="HW166">
        <v>0</v>
      </c>
      <c r="HX166">
        <v>0</v>
      </c>
      <c r="HY166" t="s">
        <v>421</v>
      </c>
      <c r="HZ166" t="s">
        <v>422</v>
      </c>
      <c r="IA166" t="s">
        <v>423</v>
      </c>
      <c r="IB166" t="s">
        <v>423</v>
      </c>
      <c r="IC166" t="s">
        <v>423</v>
      </c>
      <c r="ID166" t="s">
        <v>423</v>
      </c>
      <c r="IE166">
        <v>0</v>
      </c>
      <c r="IF166">
        <v>100</v>
      </c>
      <c r="IG166">
        <v>100</v>
      </c>
      <c r="IH166">
        <v>0.278</v>
      </c>
      <c r="II166">
        <v>0.0464</v>
      </c>
      <c r="IJ166">
        <v>1.257309091789605</v>
      </c>
      <c r="IK166">
        <v>-0.002185601614162945</v>
      </c>
      <c r="IL166">
        <v>-2.252308143750626E-07</v>
      </c>
      <c r="IM166">
        <v>5.915558436307541E-11</v>
      </c>
      <c r="IN166">
        <v>-0.118683452207699</v>
      </c>
      <c r="IO166">
        <v>-0.007570214193104963</v>
      </c>
      <c r="IP166">
        <v>0.0009214429922928372</v>
      </c>
      <c r="IQ166">
        <v>-1.392260276065805E-05</v>
      </c>
      <c r="IR166">
        <v>17</v>
      </c>
      <c r="IS166">
        <v>2272</v>
      </c>
      <c r="IT166">
        <v>1</v>
      </c>
      <c r="IU166">
        <v>31</v>
      </c>
      <c r="IV166">
        <v>20.5</v>
      </c>
      <c r="IW166">
        <v>20.7</v>
      </c>
      <c r="IX166">
        <v>1.20605</v>
      </c>
      <c r="IY166">
        <v>2.23755</v>
      </c>
      <c r="IZ166">
        <v>1.39648</v>
      </c>
      <c r="JA166">
        <v>2.35474</v>
      </c>
      <c r="JB166">
        <v>1.49536</v>
      </c>
      <c r="JC166">
        <v>2.28638</v>
      </c>
      <c r="JD166">
        <v>36.9317</v>
      </c>
      <c r="JE166">
        <v>15.2528</v>
      </c>
      <c r="JF166">
        <v>18</v>
      </c>
      <c r="JG166">
        <v>388.929</v>
      </c>
      <c r="JH166">
        <v>566.728</v>
      </c>
      <c r="JI166">
        <v>29.0547</v>
      </c>
      <c r="JJ166">
        <v>30.7663</v>
      </c>
      <c r="JK166">
        <v>30.0005</v>
      </c>
      <c r="JL166">
        <v>30.6569</v>
      </c>
      <c r="JM166">
        <v>30.5557</v>
      </c>
      <c r="JN166">
        <v>24.1438</v>
      </c>
      <c r="JO166">
        <v>29.9459</v>
      </c>
      <c r="JP166">
        <v>0</v>
      </c>
      <c r="JQ166">
        <v>29.0656</v>
      </c>
      <c r="JR166">
        <v>506.891</v>
      </c>
      <c r="JS166">
        <v>17.9626</v>
      </c>
      <c r="JT166">
        <v>99.94670000000001</v>
      </c>
      <c r="JU166">
        <v>100.05</v>
      </c>
    </row>
    <row r="167" spans="1:281">
      <c r="A167">
        <v>151</v>
      </c>
      <c r="B167">
        <v>1652372524</v>
      </c>
      <c r="C167">
        <v>4430.400000095367</v>
      </c>
      <c r="D167" t="s">
        <v>770</v>
      </c>
      <c r="E167" t="s">
        <v>771</v>
      </c>
      <c r="F167">
        <v>5</v>
      </c>
      <c r="G167" t="s">
        <v>711</v>
      </c>
      <c r="H167" t="s">
        <v>414</v>
      </c>
      <c r="I167">
        <v>1652372516.214286</v>
      </c>
      <c r="J167">
        <f>(K167)/1000</f>
        <v>0</v>
      </c>
      <c r="K167">
        <f>IF(CZ167, AN167, AH167)</f>
        <v>0</v>
      </c>
      <c r="L167">
        <f>IF(CZ167, AI167, AG167)</f>
        <v>0</v>
      </c>
      <c r="M167">
        <f>DB167 - IF(AU167&gt;1, L167*CV167*100.0/(AW167*DP167), 0)</f>
        <v>0</v>
      </c>
      <c r="N167">
        <f>((T167-J167/2)*M167-L167)/(T167+J167/2)</f>
        <v>0</v>
      </c>
      <c r="O167">
        <f>N167*(DI167+DJ167)/1000.0</f>
        <v>0</v>
      </c>
      <c r="P167">
        <f>(DB167 - IF(AU167&gt;1, L167*CV167*100.0/(AW167*DP167), 0))*(DI167+DJ167)/1000.0</f>
        <v>0</v>
      </c>
      <c r="Q167">
        <f>2.0/((1/S167-1/R167)+SIGN(S167)*SQRT((1/S167-1/R167)*(1/S167-1/R167) + 4*CW167/((CW167+1)*(CW167+1))*(2*1/S167*1/R167-1/R167*1/R167)))</f>
        <v>0</v>
      </c>
      <c r="R167">
        <f>IF(LEFT(CX167,1)&lt;&gt;"0",IF(LEFT(CX167,1)="1",3.0,CY167),$D$5+$E$5*(DP167*DI167/($K$5*1000))+$F$5*(DP167*DI167/($K$5*1000))*MAX(MIN(CV167,$J$5),$I$5)*MAX(MIN(CV167,$J$5),$I$5)+$G$5*MAX(MIN(CV167,$J$5),$I$5)*(DP167*DI167/($K$5*1000))+$H$5*(DP167*DI167/($K$5*1000))*(DP167*DI167/($K$5*1000)))</f>
        <v>0</v>
      </c>
      <c r="S167">
        <f>J167*(1000-(1000*0.61365*exp(17.502*W167/(240.97+W167))/(DI167+DJ167)+DD167)/2)/(1000*0.61365*exp(17.502*W167/(240.97+W167))/(DI167+DJ167)-DD167)</f>
        <v>0</v>
      </c>
      <c r="T167">
        <f>1/((CW167+1)/(Q167/1.6)+1/(R167/1.37)) + CW167/((CW167+1)/(Q167/1.6) + CW167/(R167/1.37))</f>
        <v>0</v>
      </c>
      <c r="U167">
        <f>(CR167*CU167)</f>
        <v>0</v>
      </c>
      <c r="V167">
        <f>(DK167+(U167+2*0.95*5.67E-8*(((DK167+$B$7)+273)^4-(DK167+273)^4)-44100*J167)/(1.84*29.3*R167+8*0.95*5.67E-8*(DK167+273)^3))</f>
        <v>0</v>
      </c>
      <c r="W167">
        <f>($C$7*DL167+$D$7*DM167+$E$7*V167)</f>
        <v>0</v>
      </c>
      <c r="X167">
        <f>0.61365*exp(17.502*W167/(240.97+W167))</f>
        <v>0</v>
      </c>
      <c r="Y167">
        <f>(Z167/AA167*100)</f>
        <v>0</v>
      </c>
      <c r="Z167">
        <f>DD167*(DI167+DJ167)/1000</f>
        <v>0</v>
      </c>
      <c r="AA167">
        <f>0.61365*exp(17.502*DK167/(240.97+DK167))</f>
        <v>0</v>
      </c>
      <c r="AB167">
        <f>(X167-DD167*(DI167+DJ167)/1000)</f>
        <v>0</v>
      </c>
      <c r="AC167">
        <f>(-J167*44100)</f>
        <v>0</v>
      </c>
      <c r="AD167">
        <f>2*29.3*R167*0.92*(DK167-W167)</f>
        <v>0</v>
      </c>
      <c r="AE167">
        <f>2*0.95*5.67E-8*(((DK167+$B$7)+273)^4-(W167+273)^4)</f>
        <v>0</v>
      </c>
      <c r="AF167">
        <f>U167+AE167+AC167+AD167</f>
        <v>0</v>
      </c>
      <c r="AG167">
        <f>DH167*AU167*(DC167-DB167*(1000-AU167*DE167)/(1000-AU167*DD167))/(100*CV167)</f>
        <v>0</v>
      </c>
      <c r="AH167">
        <f>1000*DH167*AU167*(DD167-DE167)/(100*CV167*(1000-AU167*DD167))</f>
        <v>0</v>
      </c>
      <c r="AI167">
        <f>(AJ167 - AK167 - DI167*1E3/(8.314*(DK167+273.15)) * AM167/DH167 * AL167) * DH167/(100*CV167) * (1000 - DE167)/1000</f>
        <v>0</v>
      </c>
      <c r="AJ167">
        <v>499.2363433865458</v>
      </c>
      <c r="AK167">
        <v>456.1495272727273</v>
      </c>
      <c r="AL167">
        <v>3.067456499137173</v>
      </c>
      <c r="AM167">
        <v>65.96288611109561</v>
      </c>
      <c r="AN167">
        <f>(AP167 - AO167 + DI167*1E3/(8.314*(DK167+273.15)) * AR167/DH167 * AQ167) * DH167/(100*CV167) * 1000/(1000 - AP167)</f>
        <v>0</v>
      </c>
      <c r="AO167">
        <v>18.03291021717302</v>
      </c>
      <c r="AP167">
        <v>24.72888251748252</v>
      </c>
      <c r="AQ167">
        <v>-1.637781945007253E-05</v>
      </c>
      <c r="AR167">
        <v>81.18387902069509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MAX(0,($B$13+$C$13*DP167)/(1+$D$13*DP167)*DI167/(DK167+273)*$E$13)</f>
        <v>0</v>
      </c>
      <c r="AX167" t="s">
        <v>417</v>
      </c>
      <c r="AY167" t="s">
        <v>417</v>
      </c>
      <c r="AZ167">
        <v>0</v>
      </c>
      <c r="BA167">
        <v>0</v>
      </c>
      <c r="BB167">
        <f>1-AZ167/BA167</f>
        <v>0</v>
      </c>
      <c r="BC167">
        <v>0</v>
      </c>
      <c r="BD167" t="s">
        <v>417</v>
      </c>
      <c r="BE167" t="s">
        <v>417</v>
      </c>
      <c r="BF167">
        <v>0</v>
      </c>
      <c r="BG167">
        <v>0</v>
      </c>
      <c r="BH167">
        <f>1-BF167/BG167</f>
        <v>0</v>
      </c>
      <c r="BI167">
        <v>0.5</v>
      </c>
      <c r="BJ167">
        <f>CS167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417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1393</v>
      </c>
      <c r="CA167">
        <v>300</v>
      </c>
      <c r="CB167">
        <v>300</v>
      </c>
      <c r="CC167">
        <v>300</v>
      </c>
      <c r="CD167">
        <v>10378</v>
      </c>
      <c r="CE167">
        <v>2050</v>
      </c>
      <c r="CF167">
        <v>-0.00730649</v>
      </c>
      <c r="CG167">
        <v>-4.53</v>
      </c>
      <c r="CH167" t="s">
        <v>417</v>
      </c>
      <c r="CI167" t="s">
        <v>417</v>
      </c>
      <c r="CJ167" t="s">
        <v>417</v>
      </c>
      <c r="CK167" t="s">
        <v>417</v>
      </c>
      <c r="CL167" t="s">
        <v>417</v>
      </c>
      <c r="CM167" t="s">
        <v>417</v>
      </c>
      <c r="CN167" t="s">
        <v>417</v>
      </c>
      <c r="CO167" t="s">
        <v>417</v>
      </c>
      <c r="CP167" t="s">
        <v>417</v>
      </c>
      <c r="CQ167" t="s">
        <v>417</v>
      </c>
      <c r="CR167">
        <f>$B$11*DQ167+$C$11*DR167+$F$11*EC167*(1-EF167)</f>
        <v>0</v>
      </c>
      <c r="CS167">
        <f>CR167*CT167</f>
        <v>0</v>
      </c>
      <c r="CT167">
        <f>($B$11*$D$9+$C$11*$D$9+$F$11*((EP167+EH167)/MAX(EP167+EH167+EQ167, 0.1)*$I$9+EQ167/MAX(EP167+EH167+EQ167, 0.1)*$J$9))/($B$11+$C$11+$F$11)</f>
        <v>0</v>
      </c>
      <c r="CU167">
        <f>($B$11*$K$9+$C$11*$K$9+$F$11*((EP167+EH167)/MAX(EP167+EH167+EQ167, 0.1)*$P$9+EQ167/MAX(EP167+EH167+EQ167, 0.1)*$Q$9))/($B$11+$C$11+$F$11)</f>
        <v>0</v>
      </c>
      <c r="CV167">
        <v>6</v>
      </c>
      <c r="CW167">
        <v>0.5</v>
      </c>
      <c r="CX167" t="s">
        <v>418</v>
      </c>
      <c r="CY167">
        <v>2</v>
      </c>
      <c r="CZ167" t="b">
        <v>1</v>
      </c>
      <c r="DA167">
        <v>1652372516.214286</v>
      </c>
      <c r="DB167">
        <v>423.9225714285714</v>
      </c>
      <c r="DC167">
        <v>477.1049285714284</v>
      </c>
      <c r="DD167">
        <v>24.71978571428571</v>
      </c>
      <c r="DE167">
        <v>18.03245357142857</v>
      </c>
      <c r="DF167">
        <v>423.6269642857143</v>
      </c>
      <c r="DG167">
        <v>24.67342857142857</v>
      </c>
      <c r="DH167">
        <v>400.0676428571429</v>
      </c>
      <c r="DI167">
        <v>90.39324285714285</v>
      </c>
      <c r="DJ167">
        <v>0.1000297142857143</v>
      </c>
      <c r="DK167">
        <v>30.79571785714286</v>
      </c>
      <c r="DL167">
        <v>29.97494642857143</v>
      </c>
      <c r="DM167">
        <v>999.9000000000002</v>
      </c>
      <c r="DN167">
        <v>0</v>
      </c>
      <c r="DO167">
        <v>0</v>
      </c>
      <c r="DP167">
        <v>10002.60392857143</v>
      </c>
      <c r="DQ167">
        <v>0</v>
      </c>
      <c r="DR167">
        <v>440.3154285714286</v>
      </c>
      <c r="DS167">
        <v>-53.18252500000001</v>
      </c>
      <c r="DT167">
        <v>434.6672857142858</v>
      </c>
      <c r="DU167">
        <v>485.8662857142858</v>
      </c>
      <c r="DV167">
        <v>6.687332142857144</v>
      </c>
      <c r="DW167">
        <v>477.1049285714284</v>
      </c>
      <c r="DX167">
        <v>18.03245357142857</v>
      </c>
      <c r="DY167">
        <v>2.234502142857143</v>
      </c>
      <c r="DZ167">
        <v>1.6300125</v>
      </c>
      <c r="EA167">
        <v>19.21183928571429</v>
      </c>
      <c r="EB167">
        <v>14.24549285714286</v>
      </c>
      <c r="EC167">
        <v>1499.990357142857</v>
      </c>
      <c r="ED167">
        <v>0.9729964285714285</v>
      </c>
      <c r="EE167">
        <v>0.02700388571428571</v>
      </c>
      <c r="EF167">
        <v>0</v>
      </c>
      <c r="EG167">
        <v>1789.828571428571</v>
      </c>
      <c r="EH167">
        <v>5.00097</v>
      </c>
      <c r="EI167">
        <v>27663.34642857143</v>
      </c>
      <c r="EJ167">
        <v>12491.48214285714</v>
      </c>
      <c r="EK167">
        <v>40.0597857142857</v>
      </c>
      <c r="EL167">
        <v>41.55757142857141</v>
      </c>
      <c r="EM167">
        <v>40.25664285714286</v>
      </c>
      <c r="EN167">
        <v>41.39714285714285</v>
      </c>
      <c r="EO167">
        <v>41.125</v>
      </c>
      <c r="EP167">
        <v>1454.619642857143</v>
      </c>
      <c r="EQ167">
        <v>40.37071428571427</v>
      </c>
      <c r="ER167">
        <v>0</v>
      </c>
      <c r="ES167">
        <v>1358.199999809265</v>
      </c>
      <c r="ET167">
        <v>0</v>
      </c>
      <c r="EU167">
        <v>1789.49076923077</v>
      </c>
      <c r="EV167">
        <v>-48.36376068620378</v>
      </c>
      <c r="EW167">
        <v>-441.2991457161996</v>
      </c>
      <c r="EX167">
        <v>27660.38461538462</v>
      </c>
      <c r="EY167">
        <v>15</v>
      </c>
      <c r="EZ167">
        <v>1652371289.6</v>
      </c>
      <c r="FA167" t="s">
        <v>515</v>
      </c>
      <c r="FB167">
        <v>1652371289.6</v>
      </c>
      <c r="FC167">
        <v>1652371275.1</v>
      </c>
      <c r="FD167">
        <v>24</v>
      </c>
      <c r="FE167">
        <v>0.442</v>
      </c>
      <c r="FF167">
        <v>0.001</v>
      </c>
      <c r="FG167">
        <v>-2.63</v>
      </c>
      <c r="FH167">
        <v>0.007</v>
      </c>
      <c r="FI167">
        <v>1620</v>
      </c>
      <c r="FJ167">
        <v>22</v>
      </c>
      <c r="FK167">
        <v>0.08</v>
      </c>
      <c r="FL167">
        <v>0.04</v>
      </c>
      <c r="FM167">
        <v>-50.62128780487805</v>
      </c>
      <c r="FN167">
        <v>-45.11098118466899</v>
      </c>
      <c r="FO167">
        <v>4.534518998730877</v>
      </c>
      <c r="FP167">
        <v>-1</v>
      </c>
      <c r="FQ167">
        <v>6.68296975609756</v>
      </c>
      <c r="FR167">
        <v>0.07091602787458384</v>
      </c>
      <c r="FS167">
        <v>0.00724437291729944</v>
      </c>
      <c r="FT167">
        <v>1</v>
      </c>
      <c r="FU167">
        <v>0</v>
      </c>
      <c r="FV167">
        <v>0</v>
      </c>
      <c r="FW167">
        <v>0</v>
      </c>
      <c r="FX167">
        <v>-1</v>
      </c>
      <c r="FY167">
        <v>1</v>
      </c>
      <c r="FZ167">
        <v>1</v>
      </c>
      <c r="GA167" t="s">
        <v>420</v>
      </c>
      <c r="GB167">
        <v>2.69573</v>
      </c>
      <c r="GC167">
        <v>2.70538</v>
      </c>
      <c r="GD167">
        <v>0.0977981</v>
      </c>
      <c r="GE167">
        <v>0.10586</v>
      </c>
      <c r="GF167">
        <v>0.108263</v>
      </c>
      <c r="GG167">
        <v>0.08540830000000001</v>
      </c>
      <c r="GH167">
        <v>28359.1</v>
      </c>
      <c r="GI167">
        <v>28226.2</v>
      </c>
      <c r="GJ167">
        <v>29240.6</v>
      </c>
      <c r="GK167">
        <v>29212.3</v>
      </c>
      <c r="GL167">
        <v>34521.3</v>
      </c>
      <c r="GM167">
        <v>35564.7</v>
      </c>
      <c r="GN167">
        <v>41154.7</v>
      </c>
      <c r="GO167">
        <v>41680.2</v>
      </c>
      <c r="GP167">
        <v>1.72537</v>
      </c>
      <c r="GQ167">
        <v>2.0301</v>
      </c>
      <c r="GR167">
        <v>0.0580922</v>
      </c>
      <c r="GS167">
        <v>0</v>
      </c>
      <c r="GT167">
        <v>29.0088</v>
      </c>
      <c r="GU167">
        <v>999.9</v>
      </c>
      <c r="GV167">
        <v>44.6</v>
      </c>
      <c r="GW167">
        <v>33.3</v>
      </c>
      <c r="GX167">
        <v>25.3495</v>
      </c>
      <c r="GY167">
        <v>63.418</v>
      </c>
      <c r="GZ167">
        <v>28.8542</v>
      </c>
      <c r="HA167">
        <v>1</v>
      </c>
      <c r="HB167">
        <v>0.2614</v>
      </c>
      <c r="HC167">
        <v>0.446786</v>
      </c>
      <c r="HD167">
        <v>20.3806</v>
      </c>
      <c r="HE167">
        <v>5.21744</v>
      </c>
      <c r="HF167">
        <v>12.0099</v>
      </c>
      <c r="HG167">
        <v>4.98835</v>
      </c>
      <c r="HH167">
        <v>3.28848</v>
      </c>
      <c r="HI167">
        <v>2726.8</v>
      </c>
      <c r="HJ167">
        <v>9999</v>
      </c>
      <c r="HK167">
        <v>9999</v>
      </c>
      <c r="HL167">
        <v>50.1</v>
      </c>
      <c r="HM167">
        <v>1.86722</v>
      </c>
      <c r="HN167">
        <v>1.86624</v>
      </c>
      <c r="HO167">
        <v>1.86578</v>
      </c>
      <c r="HP167">
        <v>1.86569</v>
      </c>
      <c r="HQ167">
        <v>1.8675</v>
      </c>
      <c r="HR167">
        <v>1.86998</v>
      </c>
      <c r="HS167">
        <v>1.86864</v>
      </c>
      <c r="HT167">
        <v>1.87</v>
      </c>
      <c r="HU167">
        <v>0</v>
      </c>
      <c r="HV167">
        <v>0</v>
      </c>
      <c r="HW167">
        <v>0</v>
      </c>
      <c r="HX167">
        <v>0</v>
      </c>
      <c r="HY167" t="s">
        <v>421</v>
      </c>
      <c r="HZ167" t="s">
        <v>422</v>
      </c>
      <c r="IA167" t="s">
        <v>423</v>
      </c>
      <c r="IB167" t="s">
        <v>423</v>
      </c>
      <c r="IC167" t="s">
        <v>423</v>
      </c>
      <c r="ID167" t="s">
        <v>423</v>
      </c>
      <c r="IE167">
        <v>0</v>
      </c>
      <c r="IF167">
        <v>100</v>
      </c>
      <c r="IG167">
        <v>100</v>
      </c>
      <c r="IH167">
        <v>0.242</v>
      </c>
      <c r="II167">
        <v>0.0464</v>
      </c>
      <c r="IJ167">
        <v>1.257309091789605</v>
      </c>
      <c r="IK167">
        <v>-0.002185601614162945</v>
      </c>
      <c r="IL167">
        <v>-2.252308143750626E-07</v>
      </c>
      <c r="IM167">
        <v>5.915558436307541E-11</v>
      </c>
      <c r="IN167">
        <v>-0.118683452207699</v>
      </c>
      <c r="IO167">
        <v>-0.007570214193104963</v>
      </c>
      <c r="IP167">
        <v>0.0009214429922928372</v>
      </c>
      <c r="IQ167">
        <v>-1.392260276065805E-05</v>
      </c>
      <c r="IR167">
        <v>17</v>
      </c>
      <c r="IS167">
        <v>2272</v>
      </c>
      <c r="IT167">
        <v>1</v>
      </c>
      <c r="IU167">
        <v>31</v>
      </c>
      <c r="IV167">
        <v>20.6</v>
      </c>
      <c r="IW167">
        <v>20.8</v>
      </c>
      <c r="IX167">
        <v>1.23291</v>
      </c>
      <c r="IY167">
        <v>2.23633</v>
      </c>
      <c r="IZ167">
        <v>1.39648</v>
      </c>
      <c r="JA167">
        <v>2.35474</v>
      </c>
      <c r="JB167">
        <v>1.49536</v>
      </c>
      <c r="JC167">
        <v>2.25464</v>
      </c>
      <c r="JD167">
        <v>36.9317</v>
      </c>
      <c r="JE167">
        <v>15.2528</v>
      </c>
      <c r="JF167">
        <v>18</v>
      </c>
      <c r="JG167">
        <v>389.05</v>
      </c>
      <c r="JH167">
        <v>566.978</v>
      </c>
      <c r="JI167">
        <v>29.0695</v>
      </c>
      <c r="JJ167">
        <v>30.7703</v>
      </c>
      <c r="JK167">
        <v>30.0005</v>
      </c>
      <c r="JL167">
        <v>30.6614</v>
      </c>
      <c r="JM167">
        <v>30.56</v>
      </c>
      <c r="JN167">
        <v>24.8132</v>
      </c>
      <c r="JO167">
        <v>30.2389</v>
      </c>
      <c r="JP167">
        <v>0</v>
      </c>
      <c r="JQ167">
        <v>29.0828</v>
      </c>
      <c r="JR167">
        <v>526.926</v>
      </c>
      <c r="JS167">
        <v>17.9416</v>
      </c>
      <c r="JT167">
        <v>99.9466</v>
      </c>
      <c r="JU167">
        <v>100.05</v>
      </c>
    </row>
    <row r="168" spans="1:281">
      <c r="A168">
        <v>152</v>
      </c>
      <c r="B168">
        <v>1652372529</v>
      </c>
      <c r="C168">
        <v>4435.400000095367</v>
      </c>
      <c r="D168" t="s">
        <v>772</v>
      </c>
      <c r="E168" t="s">
        <v>773</v>
      </c>
      <c r="F168">
        <v>5</v>
      </c>
      <c r="G168" t="s">
        <v>711</v>
      </c>
      <c r="H168" t="s">
        <v>414</v>
      </c>
      <c r="I168">
        <v>1652372521.5</v>
      </c>
      <c r="J168">
        <f>(K168)/1000</f>
        <v>0</v>
      </c>
      <c r="K168">
        <f>IF(CZ168, AN168, AH168)</f>
        <v>0</v>
      </c>
      <c r="L168">
        <f>IF(CZ168, AI168, AG168)</f>
        <v>0</v>
      </c>
      <c r="M168">
        <f>DB168 - IF(AU168&gt;1, L168*CV168*100.0/(AW168*DP168), 0)</f>
        <v>0</v>
      </c>
      <c r="N168">
        <f>((T168-J168/2)*M168-L168)/(T168+J168/2)</f>
        <v>0</v>
      </c>
      <c r="O168">
        <f>N168*(DI168+DJ168)/1000.0</f>
        <v>0</v>
      </c>
      <c r="P168">
        <f>(DB168 - IF(AU168&gt;1, L168*CV168*100.0/(AW168*DP168), 0))*(DI168+DJ168)/1000.0</f>
        <v>0</v>
      </c>
      <c r="Q168">
        <f>2.0/((1/S168-1/R168)+SIGN(S168)*SQRT((1/S168-1/R168)*(1/S168-1/R168) + 4*CW168/((CW168+1)*(CW168+1))*(2*1/S168*1/R168-1/R168*1/R168)))</f>
        <v>0</v>
      </c>
      <c r="R168">
        <f>IF(LEFT(CX168,1)&lt;&gt;"0",IF(LEFT(CX168,1)="1",3.0,CY168),$D$5+$E$5*(DP168*DI168/($K$5*1000))+$F$5*(DP168*DI168/($K$5*1000))*MAX(MIN(CV168,$J$5),$I$5)*MAX(MIN(CV168,$J$5),$I$5)+$G$5*MAX(MIN(CV168,$J$5),$I$5)*(DP168*DI168/($K$5*1000))+$H$5*(DP168*DI168/($K$5*1000))*(DP168*DI168/($K$5*1000)))</f>
        <v>0</v>
      </c>
      <c r="S168">
        <f>J168*(1000-(1000*0.61365*exp(17.502*W168/(240.97+W168))/(DI168+DJ168)+DD168)/2)/(1000*0.61365*exp(17.502*W168/(240.97+W168))/(DI168+DJ168)-DD168)</f>
        <v>0</v>
      </c>
      <c r="T168">
        <f>1/((CW168+1)/(Q168/1.6)+1/(R168/1.37)) + CW168/((CW168+1)/(Q168/1.6) + CW168/(R168/1.37))</f>
        <v>0</v>
      </c>
      <c r="U168">
        <f>(CR168*CU168)</f>
        <v>0</v>
      </c>
      <c r="V168">
        <f>(DK168+(U168+2*0.95*5.67E-8*(((DK168+$B$7)+273)^4-(DK168+273)^4)-44100*J168)/(1.84*29.3*R168+8*0.95*5.67E-8*(DK168+273)^3))</f>
        <v>0</v>
      </c>
      <c r="W168">
        <f>($C$7*DL168+$D$7*DM168+$E$7*V168)</f>
        <v>0</v>
      </c>
      <c r="X168">
        <f>0.61365*exp(17.502*W168/(240.97+W168))</f>
        <v>0</v>
      </c>
      <c r="Y168">
        <f>(Z168/AA168*100)</f>
        <v>0</v>
      </c>
      <c r="Z168">
        <f>DD168*(DI168+DJ168)/1000</f>
        <v>0</v>
      </c>
      <c r="AA168">
        <f>0.61365*exp(17.502*DK168/(240.97+DK168))</f>
        <v>0</v>
      </c>
      <c r="AB168">
        <f>(X168-DD168*(DI168+DJ168)/1000)</f>
        <v>0</v>
      </c>
      <c r="AC168">
        <f>(-J168*44100)</f>
        <v>0</v>
      </c>
      <c r="AD168">
        <f>2*29.3*R168*0.92*(DK168-W168)</f>
        <v>0</v>
      </c>
      <c r="AE168">
        <f>2*0.95*5.67E-8*(((DK168+$B$7)+273)^4-(W168+273)^4)</f>
        <v>0</v>
      </c>
      <c r="AF168">
        <f>U168+AE168+AC168+AD168</f>
        <v>0</v>
      </c>
      <c r="AG168">
        <f>DH168*AU168*(DC168-DB168*(1000-AU168*DE168)/(1000-AU168*DD168))/(100*CV168)</f>
        <v>0</v>
      </c>
      <c r="AH168">
        <f>1000*DH168*AU168*(DD168-DE168)/(100*CV168*(1000-AU168*DD168))</f>
        <v>0</v>
      </c>
      <c r="AI168">
        <f>(AJ168 - AK168 - DI168*1E3/(8.314*(DK168+273.15)) * AM168/DH168 * AL168) * DH168/(100*CV168) * (1000 - DE168)/1000</f>
        <v>0</v>
      </c>
      <c r="AJ168">
        <v>516.4095938466639</v>
      </c>
      <c r="AK168">
        <v>471.9707939393939</v>
      </c>
      <c r="AL168">
        <v>3.162696798713887</v>
      </c>
      <c r="AM168">
        <v>65.96288611109561</v>
      </c>
      <c r="AN168">
        <f>(AP168 - AO168 + DI168*1E3/(8.314*(DK168+273.15)) * AR168/DH168 * AQ168) * DH168/(100*CV168) * 1000/(1000 - AP168)</f>
        <v>0</v>
      </c>
      <c r="AO168">
        <v>18.0336677359775</v>
      </c>
      <c r="AP168">
        <v>24.74102237762239</v>
      </c>
      <c r="AQ168">
        <v>9.65160324098919E-05</v>
      </c>
      <c r="AR168">
        <v>81.18387902069509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MAX(0,($B$13+$C$13*DP168)/(1+$D$13*DP168)*DI168/(DK168+273)*$E$13)</f>
        <v>0</v>
      </c>
      <c r="AX168" t="s">
        <v>417</v>
      </c>
      <c r="AY168" t="s">
        <v>417</v>
      </c>
      <c r="AZ168">
        <v>0</v>
      </c>
      <c r="BA168">
        <v>0</v>
      </c>
      <c r="BB168">
        <f>1-AZ168/BA168</f>
        <v>0</v>
      </c>
      <c r="BC168">
        <v>0</v>
      </c>
      <c r="BD168" t="s">
        <v>417</v>
      </c>
      <c r="BE168" t="s">
        <v>417</v>
      </c>
      <c r="BF168">
        <v>0</v>
      </c>
      <c r="BG168">
        <v>0</v>
      </c>
      <c r="BH168">
        <f>1-BF168/BG168</f>
        <v>0</v>
      </c>
      <c r="BI168">
        <v>0.5</v>
      </c>
      <c r="BJ168">
        <f>CS168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417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1393</v>
      </c>
      <c r="CA168">
        <v>300</v>
      </c>
      <c r="CB168">
        <v>300</v>
      </c>
      <c r="CC168">
        <v>300</v>
      </c>
      <c r="CD168">
        <v>10378</v>
      </c>
      <c r="CE168">
        <v>2050</v>
      </c>
      <c r="CF168">
        <v>-0.00730649</v>
      </c>
      <c r="CG168">
        <v>-4.53</v>
      </c>
      <c r="CH168" t="s">
        <v>417</v>
      </c>
      <c r="CI168" t="s">
        <v>417</v>
      </c>
      <c r="CJ168" t="s">
        <v>417</v>
      </c>
      <c r="CK168" t="s">
        <v>417</v>
      </c>
      <c r="CL168" t="s">
        <v>417</v>
      </c>
      <c r="CM168" t="s">
        <v>417</v>
      </c>
      <c r="CN168" t="s">
        <v>417</v>
      </c>
      <c r="CO168" t="s">
        <v>417</v>
      </c>
      <c r="CP168" t="s">
        <v>417</v>
      </c>
      <c r="CQ168" t="s">
        <v>417</v>
      </c>
      <c r="CR168">
        <f>$B$11*DQ168+$C$11*DR168+$F$11*EC168*(1-EF168)</f>
        <v>0</v>
      </c>
      <c r="CS168">
        <f>CR168*CT168</f>
        <v>0</v>
      </c>
      <c r="CT168">
        <f>($B$11*$D$9+$C$11*$D$9+$F$11*((EP168+EH168)/MAX(EP168+EH168+EQ168, 0.1)*$I$9+EQ168/MAX(EP168+EH168+EQ168, 0.1)*$J$9))/($B$11+$C$11+$F$11)</f>
        <v>0</v>
      </c>
      <c r="CU168">
        <f>($B$11*$K$9+$C$11*$K$9+$F$11*((EP168+EH168)/MAX(EP168+EH168+EQ168, 0.1)*$P$9+EQ168/MAX(EP168+EH168+EQ168, 0.1)*$Q$9))/($B$11+$C$11+$F$11)</f>
        <v>0</v>
      </c>
      <c r="CV168">
        <v>6</v>
      </c>
      <c r="CW168">
        <v>0.5</v>
      </c>
      <c r="CX168" t="s">
        <v>418</v>
      </c>
      <c r="CY168">
        <v>2</v>
      </c>
      <c r="CZ168" t="b">
        <v>1</v>
      </c>
      <c r="DA168">
        <v>1652372521.5</v>
      </c>
      <c r="DB168">
        <v>439.082</v>
      </c>
      <c r="DC168">
        <v>494.8513333333333</v>
      </c>
      <c r="DD168">
        <v>24.72690740740741</v>
      </c>
      <c r="DE168">
        <v>18.03005185185185</v>
      </c>
      <c r="DF168">
        <v>438.8221111111111</v>
      </c>
      <c r="DG168">
        <v>24.68046296296297</v>
      </c>
      <c r="DH168">
        <v>400.0543333333334</v>
      </c>
      <c r="DI168">
        <v>90.39347407407406</v>
      </c>
      <c r="DJ168">
        <v>0.09993688888888889</v>
      </c>
      <c r="DK168">
        <v>30.79111851851852</v>
      </c>
      <c r="DL168">
        <v>29.96634814814815</v>
      </c>
      <c r="DM168">
        <v>999.9000000000001</v>
      </c>
      <c r="DN168">
        <v>0</v>
      </c>
      <c r="DO168">
        <v>0</v>
      </c>
      <c r="DP168">
        <v>10011.75555555556</v>
      </c>
      <c r="DQ168">
        <v>0</v>
      </c>
      <c r="DR168">
        <v>443.7845925925926</v>
      </c>
      <c r="DS168">
        <v>-55.76944814814816</v>
      </c>
      <c r="DT168">
        <v>450.2143333333333</v>
      </c>
      <c r="DU168">
        <v>503.9372222222223</v>
      </c>
      <c r="DV168">
        <v>6.696864444444445</v>
      </c>
      <c r="DW168">
        <v>494.8513333333333</v>
      </c>
      <c r="DX168">
        <v>18.03005185185185</v>
      </c>
      <c r="DY168">
        <v>2.235152222222222</v>
      </c>
      <c r="DZ168">
        <v>1.6298</v>
      </c>
      <c r="EA168">
        <v>19.2165037037037</v>
      </c>
      <c r="EB168">
        <v>14.24347777777778</v>
      </c>
      <c r="EC168">
        <v>1499.991111111111</v>
      </c>
      <c r="ED168">
        <v>0.9729962962962964</v>
      </c>
      <c r="EE168">
        <v>0.02700402592592592</v>
      </c>
      <c r="EF168">
        <v>0</v>
      </c>
      <c r="EG168">
        <v>1785.55</v>
      </c>
      <c r="EH168">
        <v>5.00097</v>
      </c>
      <c r="EI168">
        <v>27627.32962962962</v>
      </c>
      <c r="EJ168">
        <v>12491.49629629629</v>
      </c>
      <c r="EK168">
        <v>40.06199999999999</v>
      </c>
      <c r="EL168">
        <v>41.56199999999999</v>
      </c>
      <c r="EM168">
        <v>40.26377777777777</v>
      </c>
      <c r="EN168">
        <v>41.40255555555554</v>
      </c>
      <c r="EO168">
        <v>41.125</v>
      </c>
      <c r="EP168">
        <v>1454.62</v>
      </c>
      <c r="EQ168">
        <v>40.37111111111111</v>
      </c>
      <c r="ER168">
        <v>0</v>
      </c>
      <c r="ES168">
        <v>1363</v>
      </c>
      <c r="ET168">
        <v>0</v>
      </c>
      <c r="EU168">
        <v>1785.608461538462</v>
      </c>
      <c r="EV168">
        <v>-49.09743589676538</v>
      </c>
      <c r="EW168">
        <v>-271.2444446478563</v>
      </c>
      <c r="EX168">
        <v>27627.87307692308</v>
      </c>
      <c r="EY168">
        <v>15</v>
      </c>
      <c r="EZ168">
        <v>1652371289.6</v>
      </c>
      <c r="FA168" t="s">
        <v>515</v>
      </c>
      <c r="FB168">
        <v>1652371289.6</v>
      </c>
      <c r="FC168">
        <v>1652371275.1</v>
      </c>
      <c r="FD168">
        <v>24</v>
      </c>
      <c r="FE168">
        <v>0.442</v>
      </c>
      <c r="FF168">
        <v>0.001</v>
      </c>
      <c r="FG168">
        <v>-2.63</v>
      </c>
      <c r="FH168">
        <v>0.007</v>
      </c>
      <c r="FI168">
        <v>1620</v>
      </c>
      <c r="FJ168">
        <v>22</v>
      </c>
      <c r="FK168">
        <v>0.08</v>
      </c>
      <c r="FL168">
        <v>0.04</v>
      </c>
      <c r="FM168">
        <v>-53.87885853658536</v>
      </c>
      <c r="FN168">
        <v>-30.96321114982573</v>
      </c>
      <c r="FO168">
        <v>3.108884758235355</v>
      </c>
      <c r="FP168">
        <v>-1</v>
      </c>
      <c r="FQ168">
        <v>6.691299024390243</v>
      </c>
      <c r="FR168">
        <v>0.09341163763067727</v>
      </c>
      <c r="FS168">
        <v>0.01049719539892963</v>
      </c>
      <c r="FT168">
        <v>1</v>
      </c>
      <c r="FU168">
        <v>0</v>
      </c>
      <c r="FV168">
        <v>0</v>
      </c>
      <c r="FW168">
        <v>0</v>
      </c>
      <c r="FX168">
        <v>-1</v>
      </c>
      <c r="FY168">
        <v>1</v>
      </c>
      <c r="FZ168">
        <v>1</v>
      </c>
      <c r="GA168" t="s">
        <v>420</v>
      </c>
      <c r="GB168">
        <v>2.69564</v>
      </c>
      <c r="GC168">
        <v>2.70517</v>
      </c>
      <c r="GD168">
        <v>0.100322</v>
      </c>
      <c r="GE168">
        <v>0.108417</v>
      </c>
      <c r="GF168">
        <v>0.108296</v>
      </c>
      <c r="GG168">
        <v>0.0853019</v>
      </c>
      <c r="GH168">
        <v>28279.6</v>
      </c>
      <c r="GI168">
        <v>28145.1</v>
      </c>
      <c r="GJ168">
        <v>29240.5</v>
      </c>
      <c r="GK168">
        <v>29211.9</v>
      </c>
      <c r="GL168">
        <v>34519.9</v>
      </c>
      <c r="GM168">
        <v>35568.4</v>
      </c>
      <c r="GN168">
        <v>41154.5</v>
      </c>
      <c r="GO168">
        <v>41679.5</v>
      </c>
      <c r="GP168">
        <v>1.72535</v>
      </c>
      <c r="GQ168">
        <v>2.02988</v>
      </c>
      <c r="GR168">
        <v>0.0584349</v>
      </c>
      <c r="GS168">
        <v>0</v>
      </c>
      <c r="GT168">
        <v>28.9991</v>
      </c>
      <c r="GU168">
        <v>999.9</v>
      </c>
      <c r="GV168">
        <v>44.6</v>
      </c>
      <c r="GW168">
        <v>33.3</v>
      </c>
      <c r="GX168">
        <v>25.3488</v>
      </c>
      <c r="GY168">
        <v>63.128</v>
      </c>
      <c r="GZ168">
        <v>29.6474</v>
      </c>
      <c r="HA168">
        <v>1</v>
      </c>
      <c r="HB168">
        <v>0.261791</v>
      </c>
      <c r="HC168">
        <v>0.38537</v>
      </c>
      <c r="HD168">
        <v>20.3809</v>
      </c>
      <c r="HE168">
        <v>5.21744</v>
      </c>
      <c r="HF168">
        <v>12.0099</v>
      </c>
      <c r="HG168">
        <v>4.98785</v>
      </c>
      <c r="HH168">
        <v>3.28853</v>
      </c>
      <c r="HI168">
        <v>2727.1</v>
      </c>
      <c r="HJ168">
        <v>9999</v>
      </c>
      <c r="HK168">
        <v>9999</v>
      </c>
      <c r="HL168">
        <v>50.1</v>
      </c>
      <c r="HM168">
        <v>1.86722</v>
      </c>
      <c r="HN168">
        <v>1.86624</v>
      </c>
      <c r="HO168">
        <v>1.86576</v>
      </c>
      <c r="HP168">
        <v>1.86569</v>
      </c>
      <c r="HQ168">
        <v>1.86752</v>
      </c>
      <c r="HR168">
        <v>1.86999</v>
      </c>
      <c r="HS168">
        <v>1.86866</v>
      </c>
      <c r="HT168">
        <v>1.87002</v>
      </c>
      <c r="HU168">
        <v>0</v>
      </c>
      <c r="HV168">
        <v>0</v>
      </c>
      <c r="HW168">
        <v>0</v>
      </c>
      <c r="HX168">
        <v>0</v>
      </c>
      <c r="HY168" t="s">
        <v>421</v>
      </c>
      <c r="HZ168" t="s">
        <v>422</v>
      </c>
      <c r="IA168" t="s">
        <v>423</v>
      </c>
      <c r="IB168" t="s">
        <v>423</v>
      </c>
      <c r="IC168" t="s">
        <v>423</v>
      </c>
      <c r="ID168" t="s">
        <v>423</v>
      </c>
      <c r="IE168">
        <v>0</v>
      </c>
      <c r="IF168">
        <v>100</v>
      </c>
      <c r="IG168">
        <v>100</v>
      </c>
      <c r="IH168">
        <v>0.206</v>
      </c>
      <c r="II168">
        <v>0.0467</v>
      </c>
      <c r="IJ168">
        <v>1.257309091789605</v>
      </c>
      <c r="IK168">
        <v>-0.002185601614162945</v>
      </c>
      <c r="IL168">
        <v>-2.252308143750626E-07</v>
      </c>
      <c r="IM168">
        <v>5.915558436307541E-11</v>
      </c>
      <c r="IN168">
        <v>-0.118683452207699</v>
      </c>
      <c r="IO168">
        <v>-0.007570214193104963</v>
      </c>
      <c r="IP168">
        <v>0.0009214429922928372</v>
      </c>
      <c r="IQ168">
        <v>-1.392260276065805E-05</v>
      </c>
      <c r="IR168">
        <v>17</v>
      </c>
      <c r="IS168">
        <v>2272</v>
      </c>
      <c r="IT168">
        <v>1</v>
      </c>
      <c r="IU168">
        <v>31</v>
      </c>
      <c r="IV168">
        <v>20.7</v>
      </c>
      <c r="IW168">
        <v>20.9</v>
      </c>
      <c r="IX168">
        <v>1.26953</v>
      </c>
      <c r="IY168">
        <v>2.22656</v>
      </c>
      <c r="IZ168">
        <v>1.39648</v>
      </c>
      <c r="JA168">
        <v>2.35474</v>
      </c>
      <c r="JB168">
        <v>1.49536</v>
      </c>
      <c r="JC168">
        <v>2.36938</v>
      </c>
      <c r="JD168">
        <v>36.9317</v>
      </c>
      <c r="JE168">
        <v>15.2615</v>
      </c>
      <c r="JF168">
        <v>18</v>
      </c>
      <c r="JG168">
        <v>389.062</v>
      </c>
      <c r="JH168">
        <v>566.846</v>
      </c>
      <c r="JI168">
        <v>29.0913</v>
      </c>
      <c r="JJ168">
        <v>30.775</v>
      </c>
      <c r="JK168">
        <v>30.0005</v>
      </c>
      <c r="JL168">
        <v>30.6657</v>
      </c>
      <c r="JM168">
        <v>30.5641</v>
      </c>
      <c r="JN168">
        <v>25.4159</v>
      </c>
      <c r="JO168">
        <v>30.2389</v>
      </c>
      <c r="JP168">
        <v>0</v>
      </c>
      <c r="JQ168">
        <v>29.1119</v>
      </c>
      <c r="JR168">
        <v>540.313</v>
      </c>
      <c r="JS168">
        <v>17.9242</v>
      </c>
      <c r="JT168">
        <v>99.9461</v>
      </c>
      <c r="JU168">
        <v>100.049</v>
      </c>
    </row>
    <row r="169" spans="1:281">
      <c r="A169">
        <v>153</v>
      </c>
      <c r="B169">
        <v>1652372534</v>
      </c>
      <c r="C169">
        <v>4440.400000095367</v>
      </c>
      <c r="D169" t="s">
        <v>774</v>
      </c>
      <c r="E169" t="s">
        <v>775</v>
      </c>
      <c r="F169">
        <v>5</v>
      </c>
      <c r="G169" t="s">
        <v>711</v>
      </c>
      <c r="H169" t="s">
        <v>414</v>
      </c>
      <c r="I169">
        <v>1652372526.214286</v>
      </c>
      <c r="J169">
        <f>(K169)/1000</f>
        <v>0</v>
      </c>
      <c r="K169">
        <f>IF(CZ169, AN169, AH169)</f>
        <v>0</v>
      </c>
      <c r="L169">
        <f>IF(CZ169, AI169, AG169)</f>
        <v>0</v>
      </c>
      <c r="M169">
        <f>DB169 - IF(AU169&gt;1, L169*CV169*100.0/(AW169*DP169), 0)</f>
        <v>0</v>
      </c>
      <c r="N169">
        <f>((T169-J169/2)*M169-L169)/(T169+J169/2)</f>
        <v>0</v>
      </c>
      <c r="O169">
        <f>N169*(DI169+DJ169)/1000.0</f>
        <v>0</v>
      </c>
      <c r="P169">
        <f>(DB169 - IF(AU169&gt;1, L169*CV169*100.0/(AW169*DP169), 0))*(DI169+DJ169)/1000.0</f>
        <v>0</v>
      </c>
      <c r="Q169">
        <f>2.0/((1/S169-1/R169)+SIGN(S169)*SQRT((1/S169-1/R169)*(1/S169-1/R169) + 4*CW169/((CW169+1)*(CW169+1))*(2*1/S169*1/R169-1/R169*1/R169)))</f>
        <v>0</v>
      </c>
      <c r="R169">
        <f>IF(LEFT(CX169,1)&lt;&gt;"0",IF(LEFT(CX169,1)="1",3.0,CY169),$D$5+$E$5*(DP169*DI169/($K$5*1000))+$F$5*(DP169*DI169/($K$5*1000))*MAX(MIN(CV169,$J$5),$I$5)*MAX(MIN(CV169,$J$5),$I$5)+$G$5*MAX(MIN(CV169,$J$5),$I$5)*(DP169*DI169/($K$5*1000))+$H$5*(DP169*DI169/($K$5*1000))*(DP169*DI169/($K$5*1000)))</f>
        <v>0</v>
      </c>
      <c r="S169">
        <f>J169*(1000-(1000*0.61365*exp(17.502*W169/(240.97+W169))/(DI169+DJ169)+DD169)/2)/(1000*0.61365*exp(17.502*W169/(240.97+W169))/(DI169+DJ169)-DD169)</f>
        <v>0</v>
      </c>
      <c r="T169">
        <f>1/((CW169+1)/(Q169/1.6)+1/(R169/1.37)) + CW169/((CW169+1)/(Q169/1.6) + CW169/(R169/1.37))</f>
        <v>0</v>
      </c>
      <c r="U169">
        <f>(CR169*CU169)</f>
        <v>0</v>
      </c>
      <c r="V169">
        <f>(DK169+(U169+2*0.95*5.67E-8*(((DK169+$B$7)+273)^4-(DK169+273)^4)-44100*J169)/(1.84*29.3*R169+8*0.95*5.67E-8*(DK169+273)^3))</f>
        <v>0</v>
      </c>
      <c r="W169">
        <f>($C$7*DL169+$D$7*DM169+$E$7*V169)</f>
        <v>0</v>
      </c>
      <c r="X169">
        <f>0.61365*exp(17.502*W169/(240.97+W169))</f>
        <v>0</v>
      </c>
      <c r="Y169">
        <f>(Z169/AA169*100)</f>
        <v>0</v>
      </c>
      <c r="Z169">
        <f>DD169*(DI169+DJ169)/1000</f>
        <v>0</v>
      </c>
      <c r="AA169">
        <f>0.61365*exp(17.502*DK169/(240.97+DK169))</f>
        <v>0</v>
      </c>
      <c r="AB169">
        <f>(X169-DD169*(DI169+DJ169)/1000)</f>
        <v>0</v>
      </c>
      <c r="AC169">
        <f>(-J169*44100)</f>
        <v>0</v>
      </c>
      <c r="AD169">
        <f>2*29.3*R169*0.92*(DK169-W169)</f>
        <v>0</v>
      </c>
      <c r="AE169">
        <f>2*0.95*5.67E-8*(((DK169+$B$7)+273)^4-(W169+273)^4)</f>
        <v>0</v>
      </c>
      <c r="AF169">
        <f>U169+AE169+AC169+AD169</f>
        <v>0</v>
      </c>
      <c r="AG169">
        <f>DH169*AU169*(DC169-DB169*(1000-AU169*DE169)/(1000-AU169*DD169))/(100*CV169)</f>
        <v>0</v>
      </c>
      <c r="AH169">
        <f>1000*DH169*AU169*(DD169-DE169)/(100*CV169*(1000-AU169*DD169))</f>
        <v>0</v>
      </c>
      <c r="AI169">
        <f>(AJ169 - AK169 - DI169*1E3/(8.314*(DK169+273.15)) * AM169/DH169 * AL169) * DH169/(100*CV169) * (1000 - DE169)/1000</f>
        <v>0</v>
      </c>
      <c r="AJ169">
        <v>533.4881234960985</v>
      </c>
      <c r="AK169">
        <v>487.9767272727274</v>
      </c>
      <c r="AL169">
        <v>3.206681551114399</v>
      </c>
      <c r="AM169">
        <v>65.96288611109561</v>
      </c>
      <c r="AN169">
        <f>(AP169 - AO169 + DI169*1E3/(8.314*(DK169+273.15)) * AR169/DH169 * AQ169) * DH169/(100*CV169) * 1000/(1000 - AP169)</f>
        <v>0</v>
      </c>
      <c r="AO169">
        <v>17.99853776417942</v>
      </c>
      <c r="AP169">
        <v>24.73049510489512</v>
      </c>
      <c r="AQ169">
        <v>-2.297699150066209E-05</v>
      </c>
      <c r="AR169">
        <v>81.18387902069509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MAX(0,($B$13+$C$13*DP169)/(1+$D$13*DP169)*DI169/(DK169+273)*$E$13)</f>
        <v>0</v>
      </c>
      <c r="AX169" t="s">
        <v>417</v>
      </c>
      <c r="AY169" t="s">
        <v>417</v>
      </c>
      <c r="AZ169">
        <v>0</v>
      </c>
      <c r="BA169">
        <v>0</v>
      </c>
      <c r="BB169">
        <f>1-AZ169/BA169</f>
        <v>0</v>
      </c>
      <c r="BC169">
        <v>0</v>
      </c>
      <c r="BD169" t="s">
        <v>417</v>
      </c>
      <c r="BE169" t="s">
        <v>417</v>
      </c>
      <c r="BF169">
        <v>0</v>
      </c>
      <c r="BG169">
        <v>0</v>
      </c>
      <c r="BH169">
        <f>1-BF169/BG169</f>
        <v>0</v>
      </c>
      <c r="BI169">
        <v>0.5</v>
      </c>
      <c r="BJ169">
        <f>CS169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417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1393</v>
      </c>
      <c r="CA169">
        <v>300</v>
      </c>
      <c r="CB169">
        <v>300</v>
      </c>
      <c r="CC169">
        <v>300</v>
      </c>
      <c r="CD169">
        <v>10378</v>
      </c>
      <c r="CE169">
        <v>2050</v>
      </c>
      <c r="CF169">
        <v>-0.00730649</v>
      </c>
      <c r="CG169">
        <v>-4.53</v>
      </c>
      <c r="CH169" t="s">
        <v>417</v>
      </c>
      <c r="CI169" t="s">
        <v>417</v>
      </c>
      <c r="CJ169" t="s">
        <v>417</v>
      </c>
      <c r="CK169" t="s">
        <v>417</v>
      </c>
      <c r="CL169" t="s">
        <v>417</v>
      </c>
      <c r="CM169" t="s">
        <v>417</v>
      </c>
      <c r="CN169" t="s">
        <v>417</v>
      </c>
      <c r="CO169" t="s">
        <v>417</v>
      </c>
      <c r="CP169" t="s">
        <v>417</v>
      </c>
      <c r="CQ169" t="s">
        <v>417</v>
      </c>
      <c r="CR169">
        <f>$B$11*DQ169+$C$11*DR169+$F$11*EC169*(1-EF169)</f>
        <v>0</v>
      </c>
      <c r="CS169">
        <f>CR169*CT169</f>
        <v>0</v>
      </c>
      <c r="CT169">
        <f>($B$11*$D$9+$C$11*$D$9+$F$11*((EP169+EH169)/MAX(EP169+EH169+EQ169, 0.1)*$I$9+EQ169/MAX(EP169+EH169+EQ169, 0.1)*$J$9))/($B$11+$C$11+$F$11)</f>
        <v>0</v>
      </c>
      <c r="CU169">
        <f>($B$11*$K$9+$C$11*$K$9+$F$11*((EP169+EH169)/MAX(EP169+EH169+EQ169, 0.1)*$P$9+EQ169/MAX(EP169+EH169+EQ169, 0.1)*$Q$9))/($B$11+$C$11+$F$11)</f>
        <v>0</v>
      </c>
      <c r="CV169">
        <v>6</v>
      </c>
      <c r="CW169">
        <v>0.5</v>
      </c>
      <c r="CX169" t="s">
        <v>418</v>
      </c>
      <c r="CY169">
        <v>2</v>
      </c>
      <c r="CZ169" t="b">
        <v>1</v>
      </c>
      <c r="DA169">
        <v>1652372526.214286</v>
      </c>
      <c r="DB169">
        <v>453.3338928571429</v>
      </c>
      <c r="DC169">
        <v>510.7365714285714</v>
      </c>
      <c r="DD169">
        <v>24.73199642857143</v>
      </c>
      <c r="DE169">
        <v>18.01529285714286</v>
      </c>
      <c r="DF169">
        <v>453.1075714285715</v>
      </c>
      <c r="DG169">
        <v>24.68548214285714</v>
      </c>
      <c r="DH169">
        <v>400.0743214285715</v>
      </c>
      <c r="DI169">
        <v>90.39369999999998</v>
      </c>
      <c r="DJ169">
        <v>0.0999715857142857</v>
      </c>
      <c r="DK169">
        <v>30.78670000000001</v>
      </c>
      <c r="DL169">
        <v>29.95763214285714</v>
      </c>
      <c r="DM169">
        <v>999.9000000000002</v>
      </c>
      <c r="DN169">
        <v>0</v>
      </c>
      <c r="DO169">
        <v>0</v>
      </c>
      <c r="DP169">
        <v>10011.84785714285</v>
      </c>
      <c r="DQ169">
        <v>0</v>
      </c>
      <c r="DR169">
        <v>451.0746428571428</v>
      </c>
      <c r="DS169">
        <v>-57.40275357142858</v>
      </c>
      <c r="DT169">
        <v>464.8300357142858</v>
      </c>
      <c r="DU169">
        <v>520.1061785714285</v>
      </c>
      <c r="DV169">
        <v>6.716705357142857</v>
      </c>
      <c r="DW169">
        <v>510.7365714285714</v>
      </c>
      <c r="DX169">
        <v>18.01529285714286</v>
      </c>
      <c r="DY169">
        <v>2.235617142857143</v>
      </c>
      <c r="DZ169">
        <v>1.628469285714286</v>
      </c>
      <c r="EA169">
        <v>19.21983928571428</v>
      </c>
      <c r="EB169">
        <v>14.23085714285715</v>
      </c>
      <c r="EC169">
        <v>1499.984285714286</v>
      </c>
      <c r="ED169">
        <v>0.9729966071428572</v>
      </c>
      <c r="EE169">
        <v>0.02700369642857142</v>
      </c>
      <c r="EF169">
        <v>0</v>
      </c>
      <c r="EG169">
        <v>1781.685</v>
      </c>
      <c r="EH169">
        <v>5.00097</v>
      </c>
      <c r="EI169">
        <v>27590.39285714285</v>
      </c>
      <c r="EJ169">
        <v>12491.43928571429</v>
      </c>
      <c r="EK169">
        <v>40.06199999999999</v>
      </c>
      <c r="EL169">
        <v>41.56199999999999</v>
      </c>
      <c r="EM169">
        <v>40.27657142857142</v>
      </c>
      <c r="EN169">
        <v>41.39935714285713</v>
      </c>
      <c r="EO169">
        <v>41.125</v>
      </c>
      <c r="EP169">
        <v>1454.613928571428</v>
      </c>
      <c r="EQ169">
        <v>40.37035714285713</v>
      </c>
      <c r="ER169">
        <v>0</v>
      </c>
      <c r="ES169">
        <v>1367.799999952316</v>
      </c>
      <c r="ET169">
        <v>0</v>
      </c>
      <c r="EU169">
        <v>1781.684615384615</v>
      </c>
      <c r="EV169">
        <v>-48.22769234291313</v>
      </c>
      <c r="EW169">
        <v>-566.5401715038441</v>
      </c>
      <c r="EX169">
        <v>27590.50384615385</v>
      </c>
      <c r="EY169">
        <v>15</v>
      </c>
      <c r="EZ169">
        <v>1652371289.6</v>
      </c>
      <c r="FA169" t="s">
        <v>515</v>
      </c>
      <c r="FB169">
        <v>1652371289.6</v>
      </c>
      <c r="FC169">
        <v>1652371275.1</v>
      </c>
      <c r="FD169">
        <v>24</v>
      </c>
      <c r="FE169">
        <v>0.442</v>
      </c>
      <c r="FF169">
        <v>0.001</v>
      </c>
      <c r="FG169">
        <v>-2.63</v>
      </c>
      <c r="FH169">
        <v>0.007</v>
      </c>
      <c r="FI169">
        <v>1620</v>
      </c>
      <c r="FJ169">
        <v>22</v>
      </c>
      <c r="FK169">
        <v>0.08</v>
      </c>
      <c r="FL169">
        <v>0.04</v>
      </c>
      <c r="FM169">
        <v>-56.15433414634146</v>
      </c>
      <c r="FN169">
        <v>-21.98231498257836</v>
      </c>
      <c r="FO169">
        <v>2.198741712291512</v>
      </c>
      <c r="FP169">
        <v>-1</v>
      </c>
      <c r="FQ169">
        <v>6.707205853658538</v>
      </c>
      <c r="FR169">
        <v>0.2251733101045375</v>
      </c>
      <c r="FS169">
        <v>0.02454777800044373</v>
      </c>
      <c r="FT169">
        <v>1</v>
      </c>
      <c r="FU169">
        <v>0</v>
      </c>
      <c r="FV169">
        <v>0</v>
      </c>
      <c r="FW169">
        <v>0</v>
      </c>
      <c r="FX169">
        <v>-1</v>
      </c>
      <c r="FY169">
        <v>1</v>
      </c>
      <c r="FZ169">
        <v>1</v>
      </c>
      <c r="GA169" t="s">
        <v>420</v>
      </c>
      <c r="GB169">
        <v>2.69565</v>
      </c>
      <c r="GC169">
        <v>2.70521</v>
      </c>
      <c r="GD169">
        <v>0.102847</v>
      </c>
      <c r="GE169">
        <v>0.110949</v>
      </c>
      <c r="GF169">
        <v>0.108265</v>
      </c>
      <c r="GG169">
        <v>0.0852393</v>
      </c>
      <c r="GH169">
        <v>28199.9</v>
      </c>
      <c r="GI169">
        <v>28065.5</v>
      </c>
      <c r="GJ169">
        <v>29240.2</v>
      </c>
      <c r="GK169">
        <v>29212.4</v>
      </c>
      <c r="GL169">
        <v>34520.6</v>
      </c>
      <c r="GM169">
        <v>35571.3</v>
      </c>
      <c r="GN169">
        <v>41153.8</v>
      </c>
      <c r="GO169">
        <v>41680.1</v>
      </c>
      <c r="GP169">
        <v>1.72532</v>
      </c>
      <c r="GQ169">
        <v>2.0298</v>
      </c>
      <c r="GR169">
        <v>0.0587851</v>
      </c>
      <c r="GS169">
        <v>0</v>
      </c>
      <c r="GT169">
        <v>28.9901</v>
      </c>
      <c r="GU169">
        <v>999.9</v>
      </c>
      <c r="GV169">
        <v>44.6</v>
      </c>
      <c r="GW169">
        <v>33.3</v>
      </c>
      <c r="GX169">
        <v>25.3515</v>
      </c>
      <c r="GY169">
        <v>63.438</v>
      </c>
      <c r="GZ169">
        <v>29.5072</v>
      </c>
      <c r="HA169">
        <v>1</v>
      </c>
      <c r="HB169">
        <v>0.261941</v>
      </c>
      <c r="HC169">
        <v>0.324867</v>
      </c>
      <c r="HD169">
        <v>20.3811</v>
      </c>
      <c r="HE169">
        <v>5.21744</v>
      </c>
      <c r="HF169">
        <v>12.0099</v>
      </c>
      <c r="HG169">
        <v>4.98845</v>
      </c>
      <c r="HH169">
        <v>3.28842</v>
      </c>
      <c r="HI169">
        <v>2727.1</v>
      </c>
      <c r="HJ169">
        <v>9999</v>
      </c>
      <c r="HK169">
        <v>9999</v>
      </c>
      <c r="HL169">
        <v>50.1</v>
      </c>
      <c r="HM169">
        <v>1.86722</v>
      </c>
      <c r="HN169">
        <v>1.86623</v>
      </c>
      <c r="HO169">
        <v>1.86581</v>
      </c>
      <c r="HP169">
        <v>1.86569</v>
      </c>
      <c r="HQ169">
        <v>1.86752</v>
      </c>
      <c r="HR169">
        <v>1.86998</v>
      </c>
      <c r="HS169">
        <v>1.86867</v>
      </c>
      <c r="HT169">
        <v>1.87002</v>
      </c>
      <c r="HU169">
        <v>0</v>
      </c>
      <c r="HV169">
        <v>0</v>
      </c>
      <c r="HW169">
        <v>0</v>
      </c>
      <c r="HX169">
        <v>0</v>
      </c>
      <c r="HY169" t="s">
        <v>421</v>
      </c>
      <c r="HZ169" t="s">
        <v>422</v>
      </c>
      <c r="IA169" t="s">
        <v>423</v>
      </c>
      <c r="IB169" t="s">
        <v>423</v>
      </c>
      <c r="IC169" t="s">
        <v>423</v>
      </c>
      <c r="ID169" t="s">
        <v>423</v>
      </c>
      <c r="IE169">
        <v>0</v>
      </c>
      <c r="IF169">
        <v>100</v>
      </c>
      <c r="IG169">
        <v>100</v>
      </c>
      <c r="IH169">
        <v>0.169</v>
      </c>
      <c r="II169">
        <v>0.0465</v>
      </c>
      <c r="IJ169">
        <v>1.257309091789605</v>
      </c>
      <c r="IK169">
        <v>-0.002185601614162945</v>
      </c>
      <c r="IL169">
        <v>-2.252308143750626E-07</v>
      </c>
      <c r="IM169">
        <v>5.915558436307541E-11</v>
      </c>
      <c r="IN169">
        <v>-0.118683452207699</v>
      </c>
      <c r="IO169">
        <v>-0.007570214193104963</v>
      </c>
      <c r="IP169">
        <v>0.0009214429922928372</v>
      </c>
      <c r="IQ169">
        <v>-1.392260276065805E-05</v>
      </c>
      <c r="IR169">
        <v>17</v>
      </c>
      <c r="IS169">
        <v>2272</v>
      </c>
      <c r="IT169">
        <v>1</v>
      </c>
      <c r="IU169">
        <v>31</v>
      </c>
      <c r="IV169">
        <v>20.7</v>
      </c>
      <c r="IW169">
        <v>21</v>
      </c>
      <c r="IX169">
        <v>1.29639</v>
      </c>
      <c r="IY169">
        <v>2.22778</v>
      </c>
      <c r="IZ169">
        <v>1.39648</v>
      </c>
      <c r="JA169">
        <v>2.35474</v>
      </c>
      <c r="JB169">
        <v>1.49536</v>
      </c>
      <c r="JC169">
        <v>2.37793</v>
      </c>
      <c r="JD169">
        <v>36.9556</v>
      </c>
      <c r="JE169">
        <v>15.2528</v>
      </c>
      <c r="JF169">
        <v>18</v>
      </c>
      <c r="JG169">
        <v>389.07</v>
      </c>
      <c r="JH169">
        <v>566.825</v>
      </c>
      <c r="JI169">
        <v>29.1208</v>
      </c>
      <c r="JJ169">
        <v>30.7789</v>
      </c>
      <c r="JK169">
        <v>30.0003</v>
      </c>
      <c r="JL169">
        <v>30.6693</v>
      </c>
      <c r="JM169">
        <v>30.5679</v>
      </c>
      <c r="JN169">
        <v>26.0758</v>
      </c>
      <c r="JO169">
        <v>30.2389</v>
      </c>
      <c r="JP169">
        <v>0</v>
      </c>
      <c r="JQ169">
        <v>29.1459</v>
      </c>
      <c r="JR169">
        <v>560.348</v>
      </c>
      <c r="JS169">
        <v>17.9184</v>
      </c>
      <c r="JT169">
        <v>99.94459999999999</v>
      </c>
      <c r="JU169">
        <v>100.05</v>
      </c>
    </row>
    <row r="170" spans="1:281">
      <c r="A170">
        <v>154</v>
      </c>
      <c r="B170">
        <v>1652372539</v>
      </c>
      <c r="C170">
        <v>4445.400000095367</v>
      </c>
      <c r="D170" t="s">
        <v>776</v>
      </c>
      <c r="E170" t="s">
        <v>777</v>
      </c>
      <c r="F170">
        <v>5</v>
      </c>
      <c r="G170" t="s">
        <v>711</v>
      </c>
      <c r="H170" t="s">
        <v>414</v>
      </c>
      <c r="I170">
        <v>1652372531.5</v>
      </c>
      <c r="J170">
        <f>(K170)/1000</f>
        <v>0</v>
      </c>
      <c r="K170">
        <f>IF(CZ170, AN170, AH170)</f>
        <v>0</v>
      </c>
      <c r="L170">
        <f>IF(CZ170, AI170, AG170)</f>
        <v>0</v>
      </c>
      <c r="M170">
        <f>DB170 - IF(AU170&gt;1, L170*CV170*100.0/(AW170*DP170), 0)</f>
        <v>0</v>
      </c>
      <c r="N170">
        <f>((T170-J170/2)*M170-L170)/(T170+J170/2)</f>
        <v>0</v>
      </c>
      <c r="O170">
        <f>N170*(DI170+DJ170)/1000.0</f>
        <v>0</v>
      </c>
      <c r="P170">
        <f>(DB170 - IF(AU170&gt;1, L170*CV170*100.0/(AW170*DP170), 0))*(DI170+DJ170)/1000.0</f>
        <v>0</v>
      </c>
      <c r="Q170">
        <f>2.0/((1/S170-1/R170)+SIGN(S170)*SQRT((1/S170-1/R170)*(1/S170-1/R170) + 4*CW170/((CW170+1)*(CW170+1))*(2*1/S170*1/R170-1/R170*1/R170)))</f>
        <v>0</v>
      </c>
      <c r="R170">
        <f>IF(LEFT(CX170,1)&lt;&gt;"0",IF(LEFT(CX170,1)="1",3.0,CY170),$D$5+$E$5*(DP170*DI170/($K$5*1000))+$F$5*(DP170*DI170/($K$5*1000))*MAX(MIN(CV170,$J$5),$I$5)*MAX(MIN(CV170,$J$5),$I$5)+$G$5*MAX(MIN(CV170,$J$5),$I$5)*(DP170*DI170/($K$5*1000))+$H$5*(DP170*DI170/($K$5*1000))*(DP170*DI170/($K$5*1000)))</f>
        <v>0</v>
      </c>
      <c r="S170">
        <f>J170*(1000-(1000*0.61365*exp(17.502*W170/(240.97+W170))/(DI170+DJ170)+DD170)/2)/(1000*0.61365*exp(17.502*W170/(240.97+W170))/(DI170+DJ170)-DD170)</f>
        <v>0</v>
      </c>
      <c r="T170">
        <f>1/((CW170+1)/(Q170/1.6)+1/(R170/1.37)) + CW170/((CW170+1)/(Q170/1.6) + CW170/(R170/1.37))</f>
        <v>0</v>
      </c>
      <c r="U170">
        <f>(CR170*CU170)</f>
        <v>0</v>
      </c>
      <c r="V170">
        <f>(DK170+(U170+2*0.95*5.67E-8*(((DK170+$B$7)+273)^4-(DK170+273)^4)-44100*J170)/(1.84*29.3*R170+8*0.95*5.67E-8*(DK170+273)^3))</f>
        <v>0</v>
      </c>
      <c r="W170">
        <f>($C$7*DL170+$D$7*DM170+$E$7*V170)</f>
        <v>0</v>
      </c>
      <c r="X170">
        <f>0.61365*exp(17.502*W170/(240.97+W170))</f>
        <v>0</v>
      </c>
      <c r="Y170">
        <f>(Z170/AA170*100)</f>
        <v>0</v>
      </c>
      <c r="Z170">
        <f>DD170*(DI170+DJ170)/1000</f>
        <v>0</v>
      </c>
      <c r="AA170">
        <f>0.61365*exp(17.502*DK170/(240.97+DK170))</f>
        <v>0</v>
      </c>
      <c r="AB170">
        <f>(X170-DD170*(DI170+DJ170)/1000)</f>
        <v>0</v>
      </c>
      <c r="AC170">
        <f>(-J170*44100)</f>
        <v>0</v>
      </c>
      <c r="AD170">
        <f>2*29.3*R170*0.92*(DK170-W170)</f>
        <v>0</v>
      </c>
      <c r="AE170">
        <f>2*0.95*5.67E-8*(((DK170+$B$7)+273)^4-(W170+273)^4)</f>
        <v>0</v>
      </c>
      <c r="AF170">
        <f>U170+AE170+AC170+AD170</f>
        <v>0</v>
      </c>
      <c r="AG170">
        <f>DH170*AU170*(DC170-DB170*(1000-AU170*DE170)/(1000-AU170*DD170))/(100*CV170)</f>
        <v>0</v>
      </c>
      <c r="AH170">
        <f>1000*DH170*AU170*(DD170-DE170)/(100*CV170*(1000-AU170*DD170))</f>
        <v>0</v>
      </c>
      <c r="AI170">
        <f>(AJ170 - AK170 - DI170*1E3/(8.314*(DK170+273.15)) * AM170/DH170 * AL170) * DH170/(100*CV170) * (1000 - DE170)/1000</f>
        <v>0</v>
      </c>
      <c r="AJ170">
        <v>550.6325731503605</v>
      </c>
      <c r="AK170">
        <v>504.2023393939393</v>
      </c>
      <c r="AL170">
        <v>3.240798881712272</v>
      </c>
      <c r="AM170">
        <v>65.96288611109561</v>
      </c>
      <c r="AN170">
        <f>(AP170 - AO170 + DI170*1E3/(8.314*(DK170+273.15)) * AR170/DH170 * AQ170) * DH170/(100*CV170) * 1000/(1000 - AP170)</f>
        <v>0</v>
      </c>
      <c r="AO170">
        <v>17.98265872148454</v>
      </c>
      <c r="AP170">
        <v>24.7277188811189</v>
      </c>
      <c r="AQ170">
        <v>-2.046719999584074E-05</v>
      </c>
      <c r="AR170">
        <v>81.18387902069509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MAX(0,($B$13+$C$13*DP170)/(1+$D$13*DP170)*DI170/(DK170+273)*$E$13)</f>
        <v>0</v>
      </c>
      <c r="AX170" t="s">
        <v>417</v>
      </c>
      <c r="AY170" t="s">
        <v>417</v>
      </c>
      <c r="AZ170">
        <v>0</v>
      </c>
      <c r="BA170">
        <v>0</v>
      </c>
      <c r="BB170">
        <f>1-AZ170/BA170</f>
        <v>0</v>
      </c>
      <c r="BC170">
        <v>0</v>
      </c>
      <c r="BD170" t="s">
        <v>417</v>
      </c>
      <c r="BE170" t="s">
        <v>417</v>
      </c>
      <c r="BF170">
        <v>0</v>
      </c>
      <c r="BG170">
        <v>0</v>
      </c>
      <c r="BH170">
        <f>1-BF170/BG170</f>
        <v>0</v>
      </c>
      <c r="BI170">
        <v>0.5</v>
      </c>
      <c r="BJ170">
        <f>CS170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417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1393</v>
      </c>
      <c r="CA170">
        <v>300</v>
      </c>
      <c r="CB170">
        <v>300</v>
      </c>
      <c r="CC170">
        <v>300</v>
      </c>
      <c r="CD170">
        <v>10378</v>
      </c>
      <c r="CE170">
        <v>2050</v>
      </c>
      <c r="CF170">
        <v>-0.00730649</v>
      </c>
      <c r="CG170">
        <v>-4.53</v>
      </c>
      <c r="CH170" t="s">
        <v>417</v>
      </c>
      <c r="CI170" t="s">
        <v>417</v>
      </c>
      <c r="CJ170" t="s">
        <v>417</v>
      </c>
      <c r="CK170" t="s">
        <v>417</v>
      </c>
      <c r="CL170" t="s">
        <v>417</v>
      </c>
      <c r="CM170" t="s">
        <v>417</v>
      </c>
      <c r="CN170" t="s">
        <v>417</v>
      </c>
      <c r="CO170" t="s">
        <v>417</v>
      </c>
      <c r="CP170" t="s">
        <v>417</v>
      </c>
      <c r="CQ170" t="s">
        <v>417</v>
      </c>
      <c r="CR170">
        <f>$B$11*DQ170+$C$11*DR170+$F$11*EC170*(1-EF170)</f>
        <v>0</v>
      </c>
      <c r="CS170">
        <f>CR170*CT170</f>
        <v>0</v>
      </c>
      <c r="CT170">
        <f>($B$11*$D$9+$C$11*$D$9+$F$11*((EP170+EH170)/MAX(EP170+EH170+EQ170, 0.1)*$I$9+EQ170/MAX(EP170+EH170+EQ170, 0.1)*$J$9))/($B$11+$C$11+$F$11)</f>
        <v>0</v>
      </c>
      <c r="CU170">
        <f>($B$11*$K$9+$C$11*$K$9+$F$11*((EP170+EH170)/MAX(EP170+EH170+EQ170, 0.1)*$P$9+EQ170/MAX(EP170+EH170+EQ170, 0.1)*$Q$9))/($B$11+$C$11+$F$11)</f>
        <v>0</v>
      </c>
      <c r="CV170">
        <v>6</v>
      </c>
      <c r="CW170">
        <v>0.5</v>
      </c>
      <c r="CX170" t="s">
        <v>418</v>
      </c>
      <c r="CY170">
        <v>2</v>
      </c>
      <c r="CZ170" t="b">
        <v>1</v>
      </c>
      <c r="DA170">
        <v>1652372531.5</v>
      </c>
      <c r="DB170">
        <v>469.7191851851853</v>
      </c>
      <c r="DC170">
        <v>528.5113333333334</v>
      </c>
      <c r="DD170">
        <v>24.73387777777777</v>
      </c>
      <c r="DE170">
        <v>17.99801481481482</v>
      </c>
      <c r="DF170">
        <v>469.5315925925926</v>
      </c>
      <c r="DG170">
        <v>24.68733333333333</v>
      </c>
      <c r="DH170">
        <v>400.0759259259259</v>
      </c>
      <c r="DI170">
        <v>90.39364444444445</v>
      </c>
      <c r="DJ170">
        <v>0.09995664814814814</v>
      </c>
      <c r="DK170">
        <v>30.78423703703703</v>
      </c>
      <c r="DL170">
        <v>29.94833703703704</v>
      </c>
      <c r="DM170">
        <v>999.9000000000001</v>
      </c>
      <c r="DN170">
        <v>0</v>
      </c>
      <c r="DO170">
        <v>0</v>
      </c>
      <c r="DP170">
        <v>10008.88777777778</v>
      </c>
      <c r="DQ170">
        <v>0</v>
      </c>
      <c r="DR170">
        <v>455.5032962962963</v>
      </c>
      <c r="DS170">
        <v>-58.7921</v>
      </c>
      <c r="DT170">
        <v>481.6317407407407</v>
      </c>
      <c r="DU170">
        <v>538.1975185185185</v>
      </c>
      <c r="DV170">
        <v>6.735867777777778</v>
      </c>
      <c r="DW170">
        <v>528.5113333333334</v>
      </c>
      <c r="DX170">
        <v>17.99801481481482</v>
      </c>
      <c r="DY170">
        <v>2.235784444444444</v>
      </c>
      <c r="DZ170">
        <v>1.626906296296296</v>
      </c>
      <c r="EA170">
        <v>19.22105555555556</v>
      </c>
      <c r="EB170">
        <v>14.21601851851852</v>
      </c>
      <c r="EC170">
        <v>1500.001851851852</v>
      </c>
      <c r="ED170">
        <v>0.9729968518518519</v>
      </c>
      <c r="EE170">
        <v>0.02700343703703703</v>
      </c>
      <c r="EF170">
        <v>0</v>
      </c>
      <c r="EG170">
        <v>1777.442222222222</v>
      </c>
      <c r="EH170">
        <v>5.00097</v>
      </c>
      <c r="EI170">
        <v>27531.43703703703</v>
      </c>
      <c r="EJ170">
        <v>12491.58518518518</v>
      </c>
      <c r="EK170">
        <v>40.06199999999999</v>
      </c>
      <c r="EL170">
        <v>41.56199999999999</v>
      </c>
      <c r="EM170">
        <v>40.28903703703703</v>
      </c>
      <c r="EN170">
        <v>41.40025925925926</v>
      </c>
      <c r="EO170">
        <v>41.125</v>
      </c>
      <c r="EP170">
        <v>1454.631111111111</v>
      </c>
      <c r="EQ170">
        <v>40.37074074074073</v>
      </c>
      <c r="ER170">
        <v>0</v>
      </c>
      <c r="ES170">
        <v>1373.199999809265</v>
      </c>
      <c r="ET170">
        <v>0</v>
      </c>
      <c r="EU170">
        <v>1777.1012</v>
      </c>
      <c r="EV170">
        <v>-48.22076930449865</v>
      </c>
      <c r="EW170">
        <v>-899.861539791363</v>
      </c>
      <c r="EX170">
        <v>27525.16</v>
      </c>
      <c r="EY170">
        <v>15</v>
      </c>
      <c r="EZ170">
        <v>1652371289.6</v>
      </c>
      <c r="FA170" t="s">
        <v>515</v>
      </c>
      <c r="FB170">
        <v>1652371289.6</v>
      </c>
      <c r="FC170">
        <v>1652371275.1</v>
      </c>
      <c r="FD170">
        <v>24</v>
      </c>
      <c r="FE170">
        <v>0.442</v>
      </c>
      <c r="FF170">
        <v>0.001</v>
      </c>
      <c r="FG170">
        <v>-2.63</v>
      </c>
      <c r="FH170">
        <v>0.007</v>
      </c>
      <c r="FI170">
        <v>1620</v>
      </c>
      <c r="FJ170">
        <v>22</v>
      </c>
      <c r="FK170">
        <v>0.08</v>
      </c>
      <c r="FL170">
        <v>0.04</v>
      </c>
      <c r="FM170">
        <v>-57.81196829268293</v>
      </c>
      <c r="FN170">
        <v>-16.44668989547034</v>
      </c>
      <c r="FO170">
        <v>1.635569479914807</v>
      </c>
      <c r="FP170">
        <v>-1</v>
      </c>
      <c r="FQ170">
        <v>6.722018536585364</v>
      </c>
      <c r="FR170">
        <v>0.2413137282229795</v>
      </c>
      <c r="FS170">
        <v>0.02572756607988794</v>
      </c>
      <c r="FT170">
        <v>1</v>
      </c>
      <c r="FU170">
        <v>0</v>
      </c>
      <c r="FV170">
        <v>0</v>
      </c>
      <c r="FW170">
        <v>0</v>
      </c>
      <c r="FX170">
        <v>-1</v>
      </c>
      <c r="FY170">
        <v>1</v>
      </c>
      <c r="FZ170">
        <v>1</v>
      </c>
      <c r="GA170" t="s">
        <v>420</v>
      </c>
      <c r="GB170">
        <v>2.69562</v>
      </c>
      <c r="GC170">
        <v>2.70509</v>
      </c>
      <c r="GD170">
        <v>0.105352</v>
      </c>
      <c r="GE170">
        <v>0.113422</v>
      </c>
      <c r="GF170">
        <v>0.108257</v>
      </c>
      <c r="GG170">
        <v>0.08523699999999999</v>
      </c>
      <c r="GH170">
        <v>28120.6</v>
      </c>
      <c r="GI170">
        <v>27987.3</v>
      </c>
      <c r="GJ170">
        <v>29239.7</v>
      </c>
      <c r="GK170">
        <v>29212.3</v>
      </c>
      <c r="GL170">
        <v>34520.4</v>
      </c>
      <c r="GM170">
        <v>35571.5</v>
      </c>
      <c r="GN170">
        <v>41153.2</v>
      </c>
      <c r="GO170">
        <v>41680.1</v>
      </c>
      <c r="GP170">
        <v>1.72528</v>
      </c>
      <c r="GQ170">
        <v>2.0298</v>
      </c>
      <c r="GR170">
        <v>0.0591055</v>
      </c>
      <c r="GS170">
        <v>0</v>
      </c>
      <c r="GT170">
        <v>28.9798</v>
      </c>
      <c r="GU170">
        <v>999.9</v>
      </c>
      <c r="GV170">
        <v>44.6</v>
      </c>
      <c r="GW170">
        <v>33.3</v>
      </c>
      <c r="GX170">
        <v>25.3487</v>
      </c>
      <c r="GY170">
        <v>63.058</v>
      </c>
      <c r="GZ170">
        <v>29.0745</v>
      </c>
      <c r="HA170">
        <v>1</v>
      </c>
      <c r="HB170">
        <v>0.262332</v>
      </c>
      <c r="HC170">
        <v>0.273056</v>
      </c>
      <c r="HD170">
        <v>20.3813</v>
      </c>
      <c r="HE170">
        <v>5.21804</v>
      </c>
      <c r="HF170">
        <v>12.0099</v>
      </c>
      <c r="HG170">
        <v>4.98845</v>
      </c>
      <c r="HH170">
        <v>3.28842</v>
      </c>
      <c r="HI170">
        <v>2727.3</v>
      </c>
      <c r="HJ170">
        <v>9999</v>
      </c>
      <c r="HK170">
        <v>9999</v>
      </c>
      <c r="HL170">
        <v>50.1</v>
      </c>
      <c r="HM170">
        <v>1.86722</v>
      </c>
      <c r="HN170">
        <v>1.86624</v>
      </c>
      <c r="HO170">
        <v>1.86581</v>
      </c>
      <c r="HP170">
        <v>1.86569</v>
      </c>
      <c r="HQ170">
        <v>1.86752</v>
      </c>
      <c r="HR170">
        <v>1.86998</v>
      </c>
      <c r="HS170">
        <v>1.86865</v>
      </c>
      <c r="HT170">
        <v>1.87006</v>
      </c>
      <c r="HU170">
        <v>0</v>
      </c>
      <c r="HV170">
        <v>0</v>
      </c>
      <c r="HW170">
        <v>0</v>
      </c>
      <c r="HX170">
        <v>0</v>
      </c>
      <c r="HY170" t="s">
        <v>421</v>
      </c>
      <c r="HZ170" t="s">
        <v>422</v>
      </c>
      <c r="IA170" t="s">
        <v>423</v>
      </c>
      <c r="IB170" t="s">
        <v>423</v>
      </c>
      <c r="IC170" t="s">
        <v>423</v>
      </c>
      <c r="ID170" t="s">
        <v>423</v>
      </c>
      <c r="IE170">
        <v>0</v>
      </c>
      <c r="IF170">
        <v>100</v>
      </c>
      <c r="IG170">
        <v>100</v>
      </c>
      <c r="IH170">
        <v>0.132</v>
      </c>
      <c r="II170">
        <v>0.0465</v>
      </c>
      <c r="IJ170">
        <v>1.257309091789605</v>
      </c>
      <c r="IK170">
        <v>-0.002185601614162945</v>
      </c>
      <c r="IL170">
        <v>-2.252308143750626E-07</v>
      </c>
      <c r="IM170">
        <v>5.915558436307541E-11</v>
      </c>
      <c r="IN170">
        <v>-0.118683452207699</v>
      </c>
      <c r="IO170">
        <v>-0.007570214193104963</v>
      </c>
      <c r="IP170">
        <v>0.0009214429922928372</v>
      </c>
      <c r="IQ170">
        <v>-1.392260276065805E-05</v>
      </c>
      <c r="IR170">
        <v>17</v>
      </c>
      <c r="IS170">
        <v>2272</v>
      </c>
      <c r="IT170">
        <v>1</v>
      </c>
      <c r="IU170">
        <v>31</v>
      </c>
      <c r="IV170">
        <v>20.8</v>
      </c>
      <c r="IW170">
        <v>21.1</v>
      </c>
      <c r="IX170">
        <v>1.32935</v>
      </c>
      <c r="IY170">
        <v>2.23022</v>
      </c>
      <c r="IZ170">
        <v>1.39648</v>
      </c>
      <c r="JA170">
        <v>2.35474</v>
      </c>
      <c r="JB170">
        <v>1.49536</v>
      </c>
      <c r="JC170">
        <v>2.34009</v>
      </c>
      <c r="JD170">
        <v>36.9556</v>
      </c>
      <c r="JE170">
        <v>15.2528</v>
      </c>
      <c r="JF170">
        <v>18</v>
      </c>
      <c r="JG170">
        <v>389.069</v>
      </c>
      <c r="JH170">
        <v>566.859</v>
      </c>
      <c r="JI170">
        <v>29.1587</v>
      </c>
      <c r="JJ170">
        <v>30.7823</v>
      </c>
      <c r="JK170">
        <v>30.0003</v>
      </c>
      <c r="JL170">
        <v>30.6737</v>
      </c>
      <c r="JM170">
        <v>30.5715</v>
      </c>
      <c r="JN170">
        <v>26.6445</v>
      </c>
      <c r="JO170">
        <v>30.2389</v>
      </c>
      <c r="JP170">
        <v>0</v>
      </c>
      <c r="JQ170">
        <v>29.1824</v>
      </c>
      <c r="JR170">
        <v>573.705</v>
      </c>
      <c r="JS170">
        <v>17.9074</v>
      </c>
      <c r="JT170">
        <v>99.943</v>
      </c>
      <c r="JU170">
        <v>100.05</v>
      </c>
    </row>
    <row r="171" spans="1:281">
      <c r="A171">
        <v>155</v>
      </c>
      <c r="B171">
        <v>1652372544</v>
      </c>
      <c r="C171">
        <v>4450.400000095367</v>
      </c>
      <c r="D171" t="s">
        <v>778</v>
      </c>
      <c r="E171" t="s">
        <v>779</v>
      </c>
      <c r="F171">
        <v>5</v>
      </c>
      <c r="G171" t="s">
        <v>711</v>
      </c>
      <c r="H171" t="s">
        <v>414</v>
      </c>
      <c r="I171">
        <v>1652372536.214286</v>
      </c>
      <c r="J171">
        <f>(K171)/1000</f>
        <v>0</v>
      </c>
      <c r="K171">
        <f>IF(CZ171, AN171, AH171)</f>
        <v>0</v>
      </c>
      <c r="L171">
        <f>IF(CZ171, AI171, AG171)</f>
        <v>0</v>
      </c>
      <c r="M171">
        <f>DB171 - IF(AU171&gt;1, L171*CV171*100.0/(AW171*DP171), 0)</f>
        <v>0</v>
      </c>
      <c r="N171">
        <f>((T171-J171/2)*M171-L171)/(T171+J171/2)</f>
        <v>0</v>
      </c>
      <c r="O171">
        <f>N171*(DI171+DJ171)/1000.0</f>
        <v>0</v>
      </c>
      <c r="P171">
        <f>(DB171 - IF(AU171&gt;1, L171*CV171*100.0/(AW171*DP171), 0))*(DI171+DJ171)/1000.0</f>
        <v>0</v>
      </c>
      <c r="Q171">
        <f>2.0/((1/S171-1/R171)+SIGN(S171)*SQRT((1/S171-1/R171)*(1/S171-1/R171) + 4*CW171/((CW171+1)*(CW171+1))*(2*1/S171*1/R171-1/R171*1/R171)))</f>
        <v>0</v>
      </c>
      <c r="R171">
        <f>IF(LEFT(CX171,1)&lt;&gt;"0",IF(LEFT(CX171,1)="1",3.0,CY171),$D$5+$E$5*(DP171*DI171/($K$5*1000))+$F$5*(DP171*DI171/($K$5*1000))*MAX(MIN(CV171,$J$5),$I$5)*MAX(MIN(CV171,$J$5),$I$5)+$G$5*MAX(MIN(CV171,$J$5),$I$5)*(DP171*DI171/($K$5*1000))+$H$5*(DP171*DI171/($K$5*1000))*(DP171*DI171/($K$5*1000)))</f>
        <v>0</v>
      </c>
      <c r="S171">
        <f>J171*(1000-(1000*0.61365*exp(17.502*W171/(240.97+W171))/(DI171+DJ171)+DD171)/2)/(1000*0.61365*exp(17.502*W171/(240.97+W171))/(DI171+DJ171)-DD171)</f>
        <v>0</v>
      </c>
      <c r="T171">
        <f>1/((CW171+1)/(Q171/1.6)+1/(R171/1.37)) + CW171/((CW171+1)/(Q171/1.6) + CW171/(R171/1.37))</f>
        <v>0</v>
      </c>
      <c r="U171">
        <f>(CR171*CU171)</f>
        <v>0</v>
      </c>
      <c r="V171">
        <f>(DK171+(U171+2*0.95*5.67E-8*(((DK171+$B$7)+273)^4-(DK171+273)^4)-44100*J171)/(1.84*29.3*R171+8*0.95*5.67E-8*(DK171+273)^3))</f>
        <v>0</v>
      </c>
      <c r="W171">
        <f>($C$7*DL171+$D$7*DM171+$E$7*V171)</f>
        <v>0</v>
      </c>
      <c r="X171">
        <f>0.61365*exp(17.502*W171/(240.97+W171))</f>
        <v>0</v>
      </c>
      <c r="Y171">
        <f>(Z171/AA171*100)</f>
        <v>0</v>
      </c>
      <c r="Z171">
        <f>DD171*(DI171+DJ171)/1000</f>
        <v>0</v>
      </c>
      <c r="AA171">
        <f>0.61365*exp(17.502*DK171/(240.97+DK171))</f>
        <v>0</v>
      </c>
      <c r="AB171">
        <f>(X171-DD171*(DI171+DJ171)/1000)</f>
        <v>0</v>
      </c>
      <c r="AC171">
        <f>(-J171*44100)</f>
        <v>0</v>
      </c>
      <c r="AD171">
        <f>2*29.3*R171*0.92*(DK171-W171)</f>
        <v>0</v>
      </c>
      <c r="AE171">
        <f>2*0.95*5.67E-8*(((DK171+$B$7)+273)^4-(W171+273)^4)</f>
        <v>0</v>
      </c>
      <c r="AF171">
        <f>U171+AE171+AC171+AD171</f>
        <v>0</v>
      </c>
      <c r="AG171">
        <f>DH171*AU171*(DC171-DB171*(1000-AU171*DE171)/(1000-AU171*DD171))/(100*CV171)</f>
        <v>0</v>
      </c>
      <c r="AH171">
        <f>1000*DH171*AU171*(DD171-DE171)/(100*CV171*(1000-AU171*DD171))</f>
        <v>0</v>
      </c>
      <c r="AI171">
        <f>(AJ171 - AK171 - DI171*1E3/(8.314*(DK171+273.15)) * AM171/DH171 * AL171) * DH171/(100*CV171) * (1000 - DE171)/1000</f>
        <v>0</v>
      </c>
      <c r="AJ171">
        <v>567.6940360079633</v>
      </c>
      <c r="AK171">
        <v>520.4104909090909</v>
      </c>
      <c r="AL171">
        <v>3.245513462700171</v>
      </c>
      <c r="AM171">
        <v>65.96288611109561</v>
      </c>
      <c r="AN171">
        <f>(AP171 - AO171 + DI171*1E3/(8.314*(DK171+273.15)) * AR171/DH171 * AQ171) * DH171/(100*CV171) * 1000/(1000 - AP171)</f>
        <v>0</v>
      </c>
      <c r="AO171">
        <v>17.98258782104943</v>
      </c>
      <c r="AP171">
        <v>24.73880069930072</v>
      </c>
      <c r="AQ171">
        <v>5.38988800872637E-05</v>
      </c>
      <c r="AR171">
        <v>81.18387902069509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MAX(0,($B$13+$C$13*DP171)/(1+$D$13*DP171)*DI171/(DK171+273)*$E$13)</f>
        <v>0</v>
      </c>
      <c r="AX171" t="s">
        <v>417</v>
      </c>
      <c r="AY171" t="s">
        <v>417</v>
      </c>
      <c r="AZ171">
        <v>0</v>
      </c>
      <c r="BA171">
        <v>0</v>
      </c>
      <c r="BB171">
        <f>1-AZ171/BA171</f>
        <v>0</v>
      </c>
      <c r="BC171">
        <v>0</v>
      </c>
      <c r="BD171" t="s">
        <v>417</v>
      </c>
      <c r="BE171" t="s">
        <v>417</v>
      </c>
      <c r="BF171">
        <v>0</v>
      </c>
      <c r="BG171">
        <v>0</v>
      </c>
      <c r="BH171">
        <f>1-BF171/BG171</f>
        <v>0</v>
      </c>
      <c r="BI171">
        <v>0.5</v>
      </c>
      <c r="BJ171">
        <f>CS171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417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1393</v>
      </c>
      <c r="CA171">
        <v>300</v>
      </c>
      <c r="CB171">
        <v>300</v>
      </c>
      <c r="CC171">
        <v>300</v>
      </c>
      <c r="CD171">
        <v>10378</v>
      </c>
      <c r="CE171">
        <v>2050</v>
      </c>
      <c r="CF171">
        <v>-0.00730649</v>
      </c>
      <c r="CG171">
        <v>-4.53</v>
      </c>
      <c r="CH171" t="s">
        <v>417</v>
      </c>
      <c r="CI171" t="s">
        <v>417</v>
      </c>
      <c r="CJ171" t="s">
        <v>417</v>
      </c>
      <c r="CK171" t="s">
        <v>417</v>
      </c>
      <c r="CL171" t="s">
        <v>417</v>
      </c>
      <c r="CM171" t="s">
        <v>417</v>
      </c>
      <c r="CN171" t="s">
        <v>417</v>
      </c>
      <c r="CO171" t="s">
        <v>417</v>
      </c>
      <c r="CP171" t="s">
        <v>417</v>
      </c>
      <c r="CQ171" t="s">
        <v>417</v>
      </c>
      <c r="CR171">
        <f>$B$11*DQ171+$C$11*DR171+$F$11*EC171*(1-EF171)</f>
        <v>0</v>
      </c>
      <c r="CS171">
        <f>CR171*CT171</f>
        <v>0</v>
      </c>
      <c r="CT171">
        <f>($B$11*$D$9+$C$11*$D$9+$F$11*((EP171+EH171)/MAX(EP171+EH171+EQ171, 0.1)*$I$9+EQ171/MAX(EP171+EH171+EQ171, 0.1)*$J$9))/($B$11+$C$11+$F$11)</f>
        <v>0</v>
      </c>
      <c r="CU171">
        <f>($B$11*$K$9+$C$11*$K$9+$F$11*((EP171+EH171)/MAX(EP171+EH171+EQ171, 0.1)*$P$9+EQ171/MAX(EP171+EH171+EQ171, 0.1)*$Q$9))/($B$11+$C$11+$F$11)</f>
        <v>0</v>
      </c>
      <c r="CV171">
        <v>6</v>
      </c>
      <c r="CW171">
        <v>0.5</v>
      </c>
      <c r="CX171" t="s">
        <v>418</v>
      </c>
      <c r="CY171">
        <v>2</v>
      </c>
      <c r="CZ171" t="b">
        <v>1</v>
      </c>
      <c r="DA171">
        <v>1652372536.214286</v>
      </c>
      <c r="DB171">
        <v>484.5226785714286</v>
      </c>
      <c r="DC171">
        <v>544.2672857142857</v>
      </c>
      <c r="DD171">
        <v>24.73331071428572</v>
      </c>
      <c r="DE171">
        <v>17.98445</v>
      </c>
      <c r="DF171">
        <v>484.3701071428572</v>
      </c>
      <c r="DG171">
        <v>24.68677857142857</v>
      </c>
      <c r="DH171">
        <v>400.0774642857144</v>
      </c>
      <c r="DI171">
        <v>90.39428214285715</v>
      </c>
      <c r="DJ171">
        <v>0.09999757499999999</v>
      </c>
      <c r="DK171">
        <v>30.78331785714286</v>
      </c>
      <c r="DL171">
        <v>29.94523571428571</v>
      </c>
      <c r="DM171">
        <v>999.9000000000002</v>
      </c>
      <c r="DN171">
        <v>0</v>
      </c>
      <c r="DO171">
        <v>0</v>
      </c>
      <c r="DP171">
        <v>10007.2275</v>
      </c>
      <c r="DQ171">
        <v>0</v>
      </c>
      <c r="DR171">
        <v>454.0800357142857</v>
      </c>
      <c r="DS171">
        <v>-59.74463571428572</v>
      </c>
      <c r="DT171">
        <v>496.8104642857143</v>
      </c>
      <c r="DU171">
        <v>554.2348571428572</v>
      </c>
      <c r="DV171">
        <v>6.748865714285715</v>
      </c>
      <c r="DW171">
        <v>544.2672857142857</v>
      </c>
      <c r="DX171">
        <v>17.98445</v>
      </c>
      <c r="DY171">
        <v>2.235749642857143</v>
      </c>
      <c r="DZ171">
        <v>1.625691071428571</v>
      </c>
      <c r="EA171">
        <v>19.2208</v>
      </c>
      <c r="EB171">
        <v>14.20448571428571</v>
      </c>
      <c r="EC171">
        <v>1500.019642857143</v>
      </c>
      <c r="ED171">
        <v>0.9729973214285713</v>
      </c>
      <c r="EE171">
        <v>0.02700293928571428</v>
      </c>
      <c r="EF171">
        <v>0</v>
      </c>
      <c r="EG171">
        <v>1773.820714285714</v>
      </c>
      <c r="EH171">
        <v>5.00097</v>
      </c>
      <c r="EI171">
        <v>27463.13928571429</v>
      </c>
      <c r="EJ171">
        <v>12491.74285714286</v>
      </c>
      <c r="EK171">
        <v>40.06199999999999</v>
      </c>
      <c r="EL171">
        <v>41.56199999999999</v>
      </c>
      <c r="EM171">
        <v>40.29649999999999</v>
      </c>
      <c r="EN171">
        <v>41.40378571428571</v>
      </c>
      <c r="EO171">
        <v>41.125</v>
      </c>
      <c r="EP171">
        <v>1454.648928571429</v>
      </c>
      <c r="EQ171">
        <v>40.37071428571427</v>
      </c>
      <c r="ER171">
        <v>0</v>
      </c>
      <c r="ES171">
        <v>1378</v>
      </c>
      <c r="ET171">
        <v>0</v>
      </c>
      <c r="EU171">
        <v>1773.4276</v>
      </c>
      <c r="EV171">
        <v>-45.12076914951503</v>
      </c>
      <c r="EW171">
        <v>-867.4846137642435</v>
      </c>
      <c r="EX171">
        <v>27454.628</v>
      </c>
      <c r="EY171">
        <v>15</v>
      </c>
      <c r="EZ171">
        <v>1652371289.6</v>
      </c>
      <c r="FA171" t="s">
        <v>515</v>
      </c>
      <c r="FB171">
        <v>1652371289.6</v>
      </c>
      <c r="FC171">
        <v>1652371275.1</v>
      </c>
      <c r="FD171">
        <v>24</v>
      </c>
      <c r="FE171">
        <v>0.442</v>
      </c>
      <c r="FF171">
        <v>0.001</v>
      </c>
      <c r="FG171">
        <v>-2.63</v>
      </c>
      <c r="FH171">
        <v>0.007</v>
      </c>
      <c r="FI171">
        <v>1620</v>
      </c>
      <c r="FJ171">
        <v>22</v>
      </c>
      <c r="FK171">
        <v>0.08</v>
      </c>
      <c r="FL171">
        <v>0.04</v>
      </c>
      <c r="FM171">
        <v>-59.20019749999999</v>
      </c>
      <c r="FN171">
        <v>-12.24567692307689</v>
      </c>
      <c r="FO171">
        <v>1.195409159344093</v>
      </c>
      <c r="FP171">
        <v>-1</v>
      </c>
      <c r="FQ171">
        <v>6.73919875</v>
      </c>
      <c r="FR171">
        <v>0.148948705440879</v>
      </c>
      <c r="FS171">
        <v>0.01827170437965481</v>
      </c>
      <c r="FT171">
        <v>1</v>
      </c>
      <c r="FU171">
        <v>0</v>
      </c>
      <c r="FV171">
        <v>0</v>
      </c>
      <c r="FW171">
        <v>0</v>
      </c>
      <c r="FX171">
        <v>-1</v>
      </c>
      <c r="FY171">
        <v>1</v>
      </c>
      <c r="FZ171">
        <v>1</v>
      </c>
      <c r="GA171" t="s">
        <v>420</v>
      </c>
      <c r="GB171">
        <v>2.69566</v>
      </c>
      <c r="GC171">
        <v>2.70516</v>
      </c>
      <c r="GD171">
        <v>0.107817</v>
      </c>
      <c r="GE171">
        <v>0.115749</v>
      </c>
      <c r="GF171">
        <v>0.108287</v>
      </c>
      <c r="GG171">
        <v>0.08518969999999999</v>
      </c>
      <c r="GH171">
        <v>28043.1</v>
      </c>
      <c r="GI171">
        <v>27913.2</v>
      </c>
      <c r="GJ171">
        <v>29239.8</v>
      </c>
      <c r="GK171">
        <v>29211.7</v>
      </c>
      <c r="GL171">
        <v>34519.6</v>
      </c>
      <c r="GM171">
        <v>35572.5</v>
      </c>
      <c r="GN171">
        <v>41153.5</v>
      </c>
      <c r="GO171">
        <v>41679.1</v>
      </c>
      <c r="GP171">
        <v>1.72502</v>
      </c>
      <c r="GQ171">
        <v>2.02965</v>
      </c>
      <c r="GR171">
        <v>0.0596568</v>
      </c>
      <c r="GS171">
        <v>0</v>
      </c>
      <c r="GT171">
        <v>28.9715</v>
      </c>
      <c r="GU171">
        <v>999.9</v>
      </c>
      <c r="GV171">
        <v>44.6</v>
      </c>
      <c r="GW171">
        <v>33.3</v>
      </c>
      <c r="GX171">
        <v>25.3478</v>
      </c>
      <c r="GY171">
        <v>63.308</v>
      </c>
      <c r="GZ171">
        <v>29.347</v>
      </c>
      <c r="HA171">
        <v>1</v>
      </c>
      <c r="HB171">
        <v>0.262386</v>
      </c>
      <c r="HC171">
        <v>0.223312</v>
      </c>
      <c r="HD171">
        <v>20.3814</v>
      </c>
      <c r="HE171">
        <v>5.21744</v>
      </c>
      <c r="HF171">
        <v>12.0099</v>
      </c>
      <c r="HG171">
        <v>4.9883</v>
      </c>
      <c r="HH171">
        <v>3.28845</v>
      </c>
      <c r="HI171">
        <v>2727.3</v>
      </c>
      <c r="HJ171">
        <v>9999</v>
      </c>
      <c r="HK171">
        <v>9999</v>
      </c>
      <c r="HL171">
        <v>50.1</v>
      </c>
      <c r="HM171">
        <v>1.86722</v>
      </c>
      <c r="HN171">
        <v>1.86625</v>
      </c>
      <c r="HO171">
        <v>1.86582</v>
      </c>
      <c r="HP171">
        <v>1.86569</v>
      </c>
      <c r="HQ171">
        <v>1.86751</v>
      </c>
      <c r="HR171">
        <v>1.86997</v>
      </c>
      <c r="HS171">
        <v>1.86864</v>
      </c>
      <c r="HT171">
        <v>1.87004</v>
      </c>
      <c r="HU171">
        <v>0</v>
      </c>
      <c r="HV171">
        <v>0</v>
      </c>
      <c r="HW171">
        <v>0</v>
      </c>
      <c r="HX171">
        <v>0</v>
      </c>
      <c r="HY171" t="s">
        <v>421</v>
      </c>
      <c r="HZ171" t="s">
        <v>422</v>
      </c>
      <c r="IA171" t="s">
        <v>423</v>
      </c>
      <c r="IB171" t="s">
        <v>423</v>
      </c>
      <c r="IC171" t="s">
        <v>423</v>
      </c>
      <c r="ID171" t="s">
        <v>423</v>
      </c>
      <c r="IE171">
        <v>0</v>
      </c>
      <c r="IF171">
        <v>100</v>
      </c>
      <c r="IG171">
        <v>100</v>
      </c>
      <c r="IH171">
        <v>0.095</v>
      </c>
      <c r="II171">
        <v>0.0466</v>
      </c>
      <c r="IJ171">
        <v>1.257309091789605</v>
      </c>
      <c r="IK171">
        <v>-0.002185601614162945</v>
      </c>
      <c r="IL171">
        <v>-2.252308143750626E-07</v>
      </c>
      <c r="IM171">
        <v>5.915558436307541E-11</v>
      </c>
      <c r="IN171">
        <v>-0.118683452207699</v>
      </c>
      <c r="IO171">
        <v>-0.007570214193104963</v>
      </c>
      <c r="IP171">
        <v>0.0009214429922928372</v>
      </c>
      <c r="IQ171">
        <v>-1.392260276065805E-05</v>
      </c>
      <c r="IR171">
        <v>17</v>
      </c>
      <c r="IS171">
        <v>2272</v>
      </c>
      <c r="IT171">
        <v>1</v>
      </c>
      <c r="IU171">
        <v>31</v>
      </c>
      <c r="IV171">
        <v>20.9</v>
      </c>
      <c r="IW171">
        <v>21.1</v>
      </c>
      <c r="IX171">
        <v>1.35864</v>
      </c>
      <c r="IY171">
        <v>2.23267</v>
      </c>
      <c r="IZ171">
        <v>1.39648</v>
      </c>
      <c r="JA171">
        <v>2.35352</v>
      </c>
      <c r="JB171">
        <v>1.49536</v>
      </c>
      <c r="JC171">
        <v>2.24976</v>
      </c>
      <c r="JD171">
        <v>36.9556</v>
      </c>
      <c r="JE171">
        <v>15.244</v>
      </c>
      <c r="JF171">
        <v>18</v>
      </c>
      <c r="JG171">
        <v>388.956</v>
      </c>
      <c r="JH171">
        <v>566.7809999999999</v>
      </c>
      <c r="JI171">
        <v>29.1971</v>
      </c>
      <c r="JJ171">
        <v>30.7862</v>
      </c>
      <c r="JK171">
        <v>30.0001</v>
      </c>
      <c r="JL171">
        <v>30.6773</v>
      </c>
      <c r="JM171">
        <v>30.5751</v>
      </c>
      <c r="JN171">
        <v>27.1965</v>
      </c>
      <c r="JO171">
        <v>30.5251</v>
      </c>
      <c r="JP171">
        <v>0</v>
      </c>
      <c r="JQ171">
        <v>29.224</v>
      </c>
      <c r="JR171">
        <v>593.74</v>
      </c>
      <c r="JS171">
        <v>17.8945</v>
      </c>
      <c r="JT171">
        <v>99.9435</v>
      </c>
      <c r="JU171">
        <v>100.048</v>
      </c>
    </row>
    <row r="172" spans="1:281">
      <c r="A172">
        <v>156</v>
      </c>
      <c r="B172">
        <v>1652372549</v>
      </c>
      <c r="C172">
        <v>4455.400000095367</v>
      </c>
      <c r="D172" t="s">
        <v>780</v>
      </c>
      <c r="E172" t="s">
        <v>781</v>
      </c>
      <c r="F172">
        <v>5</v>
      </c>
      <c r="G172" t="s">
        <v>711</v>
      </c>
      <c r="H172" t="s">
        <v>414</v>
      </c>
      <c r="I172">
        <v>1652372541.5</v>
      </c>
      <c r="J172">
        <f>(K172)/1000</f>
        <v>0</v>
      </c>
      <c r="K172">
        <f>IF(CZ172, AN172, AH172)</f>
        <v>0</v>
      </c>
      <c r="L172">
        <f>IF(CZ172, AI172, AG172)</f>
        <v>0</v>
      </c>
      <c r="M172">
        <f>DB172 - IF(AU172&gt;1, L172*CV172*100.0/(AW172*DP172), 0)</f>
        <v>0</v>
      </c>
      <c r="N172">
        <f>((T172-J172/2)*M172-L172)/(T172+J172/2)</f>
        <v>0</v>
      </c>
      <c r="O172">
        <f>N172*(DI172+DJ172)/1000.0</f>
        <v>0</v>
      </c>
      <c r="P172">
        <f>(DB172 - IF(AU172&gt;1, L172*CV172*100.0/(AW172*DP172), 0))*(DI172+DJ172)/1000.0</f>
        <v>0</v>
      </c>
      <c r="Q172">
        <f>2.0/((1/S172-1/R172)+SIGN(S172)*SQRT((1/S172-1/R172)*(1/S172-1/R172) + 4*CW172/((CW172+1)*(CW172+1))*(2*1/S172*1/R172-1/R172*1/R172)))</f>
        <v>0</v>
      </c>
      <c r="R172">
        <f>IF(LEFT(CX172,1)&lt;&gt;"0",IF(LEFT(CX172,1)="1",3.0,CY172),$D$5+$E$5*(DP172*DI172/($K$5*1000))+$F$5*(DP172*DI172/($K$5*1000))*MAX(MIN(CV172,$J$5),$I$5)*MAX(MIN(CV172,$J$5),$I$5)+$G$5*MAX(MIN(CV172,$J$5),$I$5)*(DP172*DI172/($K$5*1000))+$H$5*(DP172*DI172/($K$5*1000))*(DP172*DI172/($K$5*1000)))</f>
        <v>0</v>
      </c>
      <c r="S172">
        <f>J172*(1000-(1000*0.61365*exp(17.502*W172/(240.97+W172))/(DI172+DJ172)+DD172)/2)/(1000*0.61365*exp(17.502*W172/(240.97+W172))/(DI172+DJ172)-DD172)</f>
        <v>0</v>
      </c>
      <c r="T172">
        <f>1/((CW172+1)/(Q172/1.6)+1/(R172/1.37)) + CW172/((CW172+1)/(Q172/1.6) + CW172/(R172/1.37))</f>
        <v>0</v>
      </c>
      <c r="U172">
        <f>(CR172*CU172)</f>
        <v>0</v>
      </c>
      <c r="V172">
        <f>(DK172+(U172+2*0.95*5.67E-8*(((DK172+$B$7)+273)^4-(DK172+273)^4)-44100*J172)/(1.84*29.3*R172+8*0.95*5.67E-8*(DK172+273)^3))</f>
        <v>0</v>
      </c>
      <c r="W172">
        <f>($C$7*DL172+$D$7*DM172+$E$7*V172)</f>
        <v>0</v>
      </c>
      <c r="X172">
        <f>0.61365*exp(17.502*W172/(240.97+W172))</f>
        <v>0</v>
      </c>
      <c r="Y172">
        <f>(Z172/AA172*100)</f>
        <v>0</v>
      </c>
      <c r="Z172">
        <f>DD172*(DI172+DJ172)/1000</f>
        <v>0</v>
      </c>
      <c r="AA172">
        <f>0.61365*exp(17.502*DK172/(240.97+DK172))</f>
        <v>0</v>
      </c>
      <c r="AB172">
        <f>(X172-DD172*(DI172+DJ172)/1000)</f>
        <v>0</v>
      </c>
      <c r="AC172">
        <f>(-J172*44100)</f>
        <v>0</v>
      </c>
      <c r="AD172">
        <f>2*29.3*R172*0.92*(DK172-W172)</f>
        <v>0</v>
      </c>
      <c r="AE172">
        <f>2*0.95*5.67E-8*(((DK172+$B$7)+273)^4-(W172+273)^4)</f>
        <v>0</v>
      </c>
      <c r="AF172">
        <f>U172+AE172+AC172+AD172</f>
        <v>0</v>
      </c>
      <c r="AG172">
        <f>DH172*AU172*(DC172-DB172*(1000-AU172*DE172)/(1000-AU172*DD172))/(100*CV172)</f>
        <v>0</v>
      </c>
      <c r="AH172">
        <f>1000*DH172*AU172*(DD172-DE172)/(100*CV172*(1000-AU172*DD172))</f>
        <v>0</v>
      </c>
      <c r="AI172">
        <f>(AJ172 - AK172 - DI172*1E3/(8.314*(DK172+273.15)) * AM172/DH172 * AL172) * DH172/(100*CV172) * (1000 - DE172)/1000</f>
        <v>0</v>
      </c>
      <c r="AJ172">
        <v>583.7197881857086</v>
      </c>
      <c r="AK172">
        <v>536.2914424242425</v>
      </c>
      <c r="AL172">
        <v>3.175815126548898</v>
      </c>
      <c r="AM172">
        <v>65.96288611109561</v>
      </c>
      <c r="AN172">
        <f>(AP172 - AO172 + DI172*1E3/(8.314*(DK172+273.15)) * AR172/DH172 * AQ172) * DH172/(100*CV172) * 1000/(1000 - AP172)</f>
        <v>0</v>
      </c>
      <c r="AO172">
        <v>17.96060196064333</v>
      </c>
      <c r="AP172">
        <v>24.72934685314688</v>
      </c>
      <c r="AQ172">
        <v>2.83070432134664E-05</v>
      </c>
      <c r="AR172">
        <v>81.18387902069509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MAX(0,($B$13+$C$13*DP172)/(1+$D$13*DP172)*DI172/(DK172+273)*$E$13)</f>
        <v>0</v>
      </c>
      <c r="AX172" t="s">
        <v>417</v>
      </c>
      <c r="AY172" t="s">
        <v>417</v>
      </c>
      <c r="AZ172">
        <v>0</v>
      </c>
      <c r="BA172">
        <v>0</v>
      </c>
      <c r="BB172">
        <f>1-AZ172/BA172</f>
        <v>0</v>
      </c>
      <c r="BC172">
        <v>0</v>
      </c>
      <c r="BD172" t="s">
        <v>417</v>
      </c>
      <c r="BE172" t="s">
        <v>417</v>
      </c>
      <c r="BF172">
        <v>0</v>
      </c>
      <c r="BG172">
        <v>0</v>
      </c>
      <c r="BH172">
        <f>1-BF172/BG172</f>
        <v>0</v>
      </c>
      <c r="BI172">
        <v>0.5</v>
      </c>
      <c r="BJ172">
        <f>CS172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417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1393</v>
      </c>
      <c r="CA172">
        <v>300</v>
      </c>
      <c r="CB172">
        <v>300</v>
      </c>
      <c r="CC172">
        <v>300</v>
      </c>
      <c r="CD172">
        <v>10378</v>
      </c>
      <c r="CE172">
        <v>2050</v>
      </c>
      <c r="CF172">
        <v>-0.00730649</v>
      </c>
      <c r="CG172">
        <v>-4.53</v>
      </c>
      <c r="CH172" t="s">
        <v>417</v>
      </c>
      <c r="CI172" t="s">
        <v>417</v>
      </c>
      <c r="CJ172" t="s">
        <v>417</v>
      </c>
      <c r="CK172" t="s">
        <v>417</v>
      </c>
      <c r="CL172" t="s">
        <v>417</v>
      </c>
      <c r="CM172" t="s">
        <v>417</v>
      </c>
      <c r="CN172" t="s">
        <v>417</v>
      </c>
      <c r="CO172" t="s">
        <v>417</v>
      </c>
      <c r="CP172" t="s">
        <v>417</v>
      </c>
      <c r="CQ172" t="s">
        <v>417</v>
      </c>
      <c r="CR172">
        <f>$B$11*DQ172+$C$11*DR172+$F$11*EC172*(1-EF172)</f>
        <v>0</v>
      </c>
      <c r="CS172">
        <f>CR172*CT172</f>
        <v>0</v>
      </c>
      <c r="CT172">
        <f>($B$11*$D$9+$C$11*$D$9+$F$11*((EP172+EH172)/MAX(EP172+EH172+EQ172, 0.1)*$I$9+EQ172/MAX(EP172+EH172+EQ172, 0.1)*$J$9))/($B$11+$C$11+$F$11)</f>
        <v>0</v>
      </c>
      <c r="CU172">
        <f>($B$11*$K$9+$C$11*$K$9+$F$11*((EP172+EH172)/MAX(EP172+EH172+EQ172, 0.1)*$P$9+EQ172/MAX(EP172+EH172+EQ172, 0.1)*$Q$9))/($B$11+$C$11+$F$11)</f>
        <v>0</v>
      </c>
      <c r="CV172">
        <v>6</v>
      </c>
      <c r="CW172">
        <v>0.5</v>
      </c>
      <c r="CX172" t="s">
        <v>418</v>
      </c>
      <c r="CY172">
        <v>2</v>
      </c>
      <c r="CZ172" t="b">
        <v>1</v>
      </c>
      <c r="DA172">
        <v>1652372541.5</v>
      </c>
      <c r="DB172">
        <v>501.1514444444445</v>
      </c>
      <c r="DC172">
        <v>561.5997407407407</v>
      </c>
      <c r="DD172">
        <v>24.73258518518519</v>
      </c>
      <c r="DE172">
        <v>17.95878518518519</v>
      </c>
      <c r="DF172">
        <v>501.0382592592592</v>
      </c>
      <c r="DG172">
        <v>24.68606666666666</v>
      </c>
      <c r="DH172">
        <v>400.0640370370371</v>
      </c>
      <c r="DI172">
        <v>90.39569259259258</v>
      </c>
      <c r="DJ172">
        <v>0.09999574814814814</v>
      </c>
      <c r="DK172">
        <v>30.78211481481481</v>
      </c>
      <c r="DL172">
        <v>29.94245185185185</v>
      </c>
      <c r="DM172">
        <v>999.9000000000001</v>
      </c>
      <c r="DN172">
        <v>0</v>
      </c>
      <c r="DO172">
        <v>0</v>
      </c>
      <c r="DP172">
        <v>10007.00925925926</v>
      </c>
      <c r="DQ172">
        <v>0</v>
      </c>
      <c r="DR172">
        <v>449.636074074074</v>
      </c>
      <c r="DS172">
        <v>-60.4484</v>
      </c>
      <c r="DT172">
        <v>513.8606296296297</v>
      </c>
      <c r="DU172">
        <v>571.8694074074074</v>
      </c>
      <c r="DV172">
        <v>6.77379888888889</v>
      </c>
      <c r="DW172">
        <v>561.5997407407407</v>
      </c>
      <c r="DX172">
        <v>17.95878518518519</v>
      </c>
      <c r="DY172">
        <v>2.23571962962963</v>
      </c>
      <c r="DZ172">
        <v>1.623396666666667</v>
      </c>
      <c r="EA172">
        <v>19.22058148148148</v>
      </c>
      <c r="EB172">
        <v>14.18266666666666</v>
      </c>
      <c r="EC172">
        <v>1500.024814814815</v>
      </c>
      <c r="ED172">
        <v>0.9729972222222222</v>
      </c>
      <c r="EE172">
        <v>0.02700304444444444</v>
      </c>
      <c r="EF172">
        <v>0</v>
      </c>
      <c r="EG172">
        <v>1769.901851851852</v>
      </c>
      <c r="EH172">
        <v>5.00097</v>
      </c>
      <c r="EI172">
        <v>27387.82592592592</v>
      </c>
      <c r="EJ172">
        <v>12491.78888888889</v>
      </c>
      <c r="EK172">
        <v>40.06199999999999</v>
      </c>
      <c r="EL172">
        <v>41.56199999999999</v>
      </c>
      <c r="EM172">
        <v>40.29133333333333</v>
      </c>
      <c r="EN172">
        <v>41.41403703703703</v>
      </c>
      <c r="EO172">
        <v>41.125</v>
      </c>
      <c r="EP172">
        <v>1454.653333333333</v>
      </c>
      <c r="EQ172">
        <v>40.37148148148147</v>
      </c>
      <c r="ER172">
        <v>0</v>
      </c>
      <c r="ES172">
        <v>1382.799999952316</v>
      </c>
      <c r="ET172">
        <v>0</v>
      </c>
      <c r="EU172">
        <v>1769.89</v>
      </c>
      <c r="EV172">
        <v>-42.51153843739035</v>
      </c>
      <c r="EW172">
        <v>-834.2230766766991</v>
      </c>
      <c r="EX172">
        <v>27386.556</v>
      </c>
      <c r="EY172">
        <v>15</v>
      </c>
      <c r="EZ172">
        <v>1652371289.6</v>
      </c>
      <c r="FA172" t="s">
        <v>515</v>
      </c>
      <c r="FB172">
        <v>1652371289.6</v>
      </c>
      <c r="FC172">
        <v>1652371275.1</v>
      </c>
      <c r="FD172">
        <v>24</v>
      </c>
      <c r="FE172">
        <v>0.442</v>
      </c>
      <c r="FF172">
        <v>0.001</v>
      </c>
      <c r="FG172">
        <v>-2.63</v>
      </c>
      <c r="FH172">
        <v>0.007</v>
      </c>
      <c r="FI172">
        <v>1620</v>
      </c>
      <c r="FJ172">
        <v>22</v>
      </c>
      <c r="FK172">
        <v>0.08</v>
      </c>
      <c r="FL172">
        <v>0.04</v>
      </c>
      <c r="FM172">
        <v>-60.0186325</v>
      </c>
      <c r="FN172">
        <v>-7.986455909943664</v>
      </c>
      <c r="FO172">
        <v>0.8070278119084558</v>
      </c>
      <c r="FP172">
        <v>-1</v>
      </c>
      <c r="FQ172">
        <v>6.766063</v>
      </c>
      <c r="FR172">
        <v>0.2589807129455969</v>
      </c>
      <c r="FS172">
        <v>0.03298719533394737</v>
      </c>
      <c r="FT172">
        <v>1</v>
      </c>
      <c r="FU172">
        <v>0</v>
      </c>
      <c r="FV172">
        <v>0</v>
      </c>
      <c r="FW172">
        <v>0</v>
      </c>
      <c r="FX172">
        <v>-1</v>
      </c>
      <c r="FY172">
        <v>1</v>
      </c>
      <c r="FZ172">
        <v>1</v>
      </c>
      <c r="GA172" t="s">
        <v>420</v>
      </c>
      <c r="GB172">
        <v>2.69569</v>
      </c>
      <c r="GC172">
        <v>2.70521</v>
      </c>
      <c r="GD172">
        <v>0.110199</v>
      </c>
      <c r="GE172">
        <v>0.118046</v>
      </c>
      <c r="GF172">
        <v>0.108252</v>
      </c>
      <c r="GG172">
        <v>0.08488519999999999</v>
      </c>
      <c r="GH172">
        <v>27968</v>
      </c>
      <c r="GI172">
        <v>27840.3</v>
      </c>
      <c r="GJ172">
        <v>29239.6</v>
      </c>
      <c r="GK172">
        <v>29211.3</v>
      </c>
      <c r="GL172">
        <v>34520.8</v>
      </c>
      <c r="GM172">
        <v>35584</v>
      </c>
      <c r="GN172">
        <v>41153.2</v>
      </c>
      <c r="GO172">
        <v>41678.5</v>
      </c>
      <c r="GP172">
        <v>1.7254</v>
      </c>
      <c r="GQ172">
        <v>2.02962</v>
      </c>
      <c r="GR172">
        <v>0.0597313</v>
      </c>
      <c r="GS172">
        <v>0</v>
      </c>
      <c r="GT172">
        <v>28.9625</v>
      </c>
      <c r="GU172">
        <v>999.9</v>
      </c>
      <c r="GV172">
        <v>44.5</v>
      </c>
      <c r="GW172">
        <v>33.3</v>
      </c>
      <c r="GX172">
        <v>25.2899</v>
      </c>
      <c r="GY172">
        <v>63.468</v>
      </c>
      <c r="GZ172">
        <v>29.351</v>
      </c>
      <c r="HA172">
        <v>1</v>
      </c>
      <c r="HB172">
        <v>0.262363</v>
      </c>
      <c r="HC172">
        <v>0.19113</v>
      </c>
      <c r="HD172">
        <v>20.3814</v>
      </c>
      <c r="HE172">
        <v>5.21669</v>
      </c>
      <c r="HF172">
        <v>12.0099</v>
      </c>
      <c r="HG172">
        <v>4.9881</v>
      </c>
      <c r="HH172">
        <v>3.28833</v>
      </c>
      <c r="HI172">
        <v>2727.5</v>
      </c>
      <c r="HJ172">
        <v>9999</v>
      </c>
      <c r="HK172">
        <v>9999</v>
      </c>
      <c r="HL172">
        <v>50.1</v>
      </c>
      <c r="HM172">
        <v>1.86722</v>
      </c>
      <c r="HN172">
        <v>1.86623</v>
      </c>
      <c r="HO172">
        <v>1.86581</v>
      </c>
      <c r="HP172">
        <v>1.86569</v>
      </c>
      <c r="HQ172">
        <v>1.86751</v>
      </c>
      <c r="HR172">
        <v>1.86998</v>
      </c>
      <c r="HS172">
        <v>1.86866</v>
      </c>
      <c r="HT172">
        <v>1.87006</v>
      </c>
      <c r="HU172">
        <v>0</v>
      </c>
      <c r="HV172">
        <v>0</v>
      </c>
      <c r="HW172">
        <v>0</v>
      </c>
      <c r="HX172">
        <v>0</v>
      </c>
      <c r="HY172" t="s">
        <v>421</v>
      </c>
      <c r="HZ172" t="s">
        <v>422</v>
      </c>
      <c r="IA172" t="s">
        <v>423</v>
      </c>
      <c r="IB172" t="s">
        <v>423</v>
      </c>
      <c r="IC172" t="s">
        <v>423</v>
      </c>
      <c r="ID172" t="s">
        <v>423</v>
      </c>
      <c r="IE172">
        <v>0</v>
      </c>
      <c r="IF172">
        <v>100</v>
      </c>
      <c r="IG172">
        <v>100</v>
      </c>
      <c r="IH172">
        <v>0.057</v>
      </c>
      <c r="II172">
        <v>0.0464</v>
      </c>
      <c r="IJ172">
        <v>1.257309091789605</v>
      </c>
      <c r="IK172">
        <v>-0.002185601614162945</v>
      </c>
      <c r="IL172">
        <v>-2.252308143750626E-07</v>
      </c>
      <c r="IM172">
        <v>5.915558436307541E-11</v>
      </c>
      <c r="IN172">
        <v>-0.118683452207699</v>
      </c>
      <c r="IO172">
        <v>-0.007570214193104963</v>
      </c>
      <c r="IP172">
        <v>0.0009214429922928372</v>
      </c>
      <c r="IQ172">
        <v>-1.392260276065805E-05</v>
      </c>
      <c r="IR172">
        <v>17</v>
      </c>
      <c r="IS172">
        <v>2272</v>
      </c>
      <c r="IT172">
        <v>1</v>
      </c>
      <c r="IU172">
        <v>31</v>
      </c>
      <c r="IV172">
        <v>21</v>
      </c>
      <c r="IW172">
        <v>21.2</v>
      </c>
      <c r="IX172">
        <v>1.3916</v>
      </c>
      <c r="IY172">
        <v>2.2229</v>
      </c>
      <c r="IZ172">
        <v>1.39648</v>
      </c>
      <c r="JA172">
        <v>2.35352</v>
      </c>
      <c r="JB172">
        <v>1.49536</v>
      </c>
      <c r="JC172">
        <v>2.30713</v>
      </c>
      <c r="JD172">
        <v>36.9556</v>
      </c>
      <c r="JE172">
        <v>15.2528</v>
      </c>
      <c r="JF172">
        <v>18</v>
      </c>
      <c r="JG172">
        <v>389.178</v>
      </c>
      <c r="JH172">
        <v>566.794</v>
      </c>
      <c r="JI172">
        <v>29.2412</v>
      </c>
      <c r="JJ172">
        <v>30.7897</v>
      </c>
      <c r="JK172">
        <v>30.0001</v>
      </c>
      <c r="JL172">
        <v>30.6807</v>
      </c>
      <c r="JM172">
        <v>30.5786</v>
      </c>
      <c r="JN172">
        <v>27.8534</v>
      </c>
      <c r="JO172">
        <v>30.5251</v>
      </c>
      <c r="JP172">
        <v>0</v>
      </c>
      <c r="JQ172">
        <v>29.2627</v>
      </c>
      <c r="JR172">
        <v>607.105</v>
      </c>
      <c r="JS172">
        <v>17.8964</v>
      </c>
      <c r="JT172">
        <v>99.94289999999999</v>
      </c>
      <c r="JU172">
        <v>100.046</v>
      </c>
    </row>
    <row r="173" spans="1:281">
      <c r="A173">
        <v>157</v>
      </c>
      <c r="B173">
        <v>1652372554</v>
      </c>
      <c r="C173">
        <v>4460.400000095367</v>
      </c>
      <c r="D173" t="s">
        <v>782</v>
      </c>
      <c r="E173" t="s">
        <v>783</v>
      </c>
      <c r="F173">
        <v>5</v>
      </c>
      <c r="G173" t="s">
        <v>711</v>
      </c>
      <c r="H173" t="s">
        <v>414</v>
      </c>
      <c r="I173">
        <v>1652372546.214286</v>
      </c>
      <c r="J173">
        <f>(K173)/1000</f>
        <v>0</v>
      </c>
      <c r="K173">
        <f>IF(CZ173, AN173, AH173)</f>
        <v>0</v>
      </c>
      <c r="L173">
        <f>IF(CZ173, AI173, AG173)</f>
        <v>0</v>
      </c>
      <c r="M173">
        <f>DB173 - IF(AU173&gt;1, L173*CV173*100.0/(AW173*DP173), 0)</f>
        <v>0</v>
      </c>
      <c r="N173">
        <f>((T173-J173/2)*M173-L173)/(T173+J173/2)</f>
        <v>0</v>
      </c>
      <c r="O173">
        <f>N173*(DI173+DJ173)/1000.0</f>
        <v>0</v>
      </c>
      <c r="P173">
        <f>(DB173 - IF(AU173&gt;1, L173*CV173*100.0/(AW173*DP173), 0))*(DI173+DJ173)/1000.0</f>
        <v>0</v>
      </c>
      <c r="Q173">
        <f>2.0/((1/S173-1/R173)+SIGN(S173)*SQRT((1/S173-1/R173)*(1/S173-1/R173) + 4*CW173/((CW173+1)*(CW173+1))*(2*1/S173*1/R173-1/R173*1/R173)))</f>
        <v>0</v>
      </c>
      <c r="R173">
        <f>IF(LEFT(CX173,1)&lt;&gt;"0",IF(LEFT(CX173,1)="1",3.0,CY173),$D$5+$E$5*(DP173*DI173/($K$5*1000))+$F$5*(DP173*DI173/($K$5*1000))*MAX(MIN(CV173,$J$5),$I$5)*MAX(MIN(CV173,$J$5),$I$5)+$G$5*MAX(MIN(CV173,$J$5),$I$5)*(DP173*DI173/($K$5*1000))+$H$5*(DP173*DI173/($K$5*1000))*(DP173*DI173/($K$5*1000)))</f>
        <v>0</v>
      </c>
      <c r="S173">
        <f>J173*(1000-(1000*0.61365*exp(17.502*W173/(240.97+W173))/(DI173+DJ173)+DD173)/2)/(1000*0.61365*exp(17.502*W173/(240.97+W173))/(DI173+DJ173)-DD173)</f>
        <v>0</v>
      </c>
      <c r="T173">
        <f>1/((CW173+1)/(Q173/1.6)+1/(R173/1.37)) + CW173/((CW173+1)/(Q173/1.6) + CW173/(R173/1.37))</f>
        <v>0</v>
      </c>
      <c r="U173">
        <f>(CR173*CU173)</f>
        <v>0</v>
      </c>
      <c r="V173">
        <f>(DK173+(U173+2*0.95*5.67E-8*(((DK173+$B$7)+273)^4-(DK173+273)^4)-44100*J173)/(1.84*29.3*R173+8*0.95*5.67E-8*(DK173+273)^3))</f>
        <v>0</v>
      </c>
      <c r="W173">
        <f>($C$7*DL173+$D$7*DM173+$E$7*V173)</f>
        <v>0</v>
      </c>
      <c r="X173">
        <f>0.61365*exp(17.502*W173/(240.97+W173))</f>
        <v>0</v>
      </c>
      <c r="Y173">
        <f>(Z173/AA173*100)</f>
        <v>0</v>
      </c>
      <c r="Z173">
        <f>DD173*(DI173+DJ173)/1000</f>
        <v>0</v>
      </c>
      <c r="AA173">
        <f>0.61365*exp(17.502*DK173/(240.97+DK173))</f>
        <v>0</v>
      </c>
      <c r="AB173">
        <f>(X173-DD173*(DI173+DJ173)/1000)</f>
        <v>0</v>
      </c>
      <c r="AC173">
        <f>(-J173*44100)</f>
        <v>0</v>
      </c>
      <c r="AD173">
        <f>2*29.3*R173*0.92*(DK173-W173)</f>
        <v>0</v>
      </c>
      <c r="AE173">
        <f>2*0.95*5.67E-8*(((DK173+$B$7)+273)^4-(W173+273)^4)</f>
        <v>0</v>
      </c>
      <c r="AF173">
        <f>U173+AE173+AC173+AD173</f>
        <v>0</v>
      </c>
      <c r="AG173">
        <f>DH173*AU173*(DC173-DB173*(1000-AU173*DE173)/(1000-AU173*DD173))/(100*CV173)</f>
        <v>0</v>
      </c>
      <c r="AH173">
        <f>1000*DH173*AU173*(DD173-DE173)/(100*CV173*(1000-AU173*DD173))</f>
        <v>0</v>
      </c>
      <c r="AI173">
        <f>(AJ173 - AK173 - DI173*1E3/(8.314*(DK173+273.15)) * AM173/DH173 * AL173) * DH173/(100*CV173) * (1000 - DE173)/1000</f>
        <v>0</v>
      </c>
      <c r="AJ173">
        <v>600.102386833354</v>
      </c>
      <c r="AK173">
        <v>552.1011696969696</v>
      </c>
      <c r="AL173">
        <v>3.157395936943543</v>
      </c>
      <c r="AM173">
        <v>65.96288611109561</v>
      </c>
      <c r="AN173">
        <f>(AP173 - AO173 + DI173*1E3/(8.314*(DK173+273.15)) * AR173/DH173 * AQ173) * DH173/(100*CV173) * 1000/(1000 - AP173)</f>
        <v>0</v>
      </c>
      <c r="AO173">
        <v>17.87711593492128</v>
      </c>
      <c r="AP173">
        <v>24.70728881118884</v>
      </c>
      <c r="AQ173">
        <v>-0.007676086240530016</v>
      </c>
      <c r="AR173">
        <v>81.18387902069509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MAX(0,($B$13+$C$13*DP173)/(1+$D$13*DP173)*DI173/(DK173+273)*$E$13)</f>
        <v>0</v>
      </c>
      <c r="AX173" t="s">
        <v>417</v>
      </c>
      <c r="AY173" t="s">
        <v>417</v>
      </c>
      <c r="AZ173">
        <v>0</v>
      </c>
      <c r="BA173">
        <v>0</v>
      </c>
      <c r="BB173">
        <f>1-AZ173/BA173</f>
        <v>0</v>
      </c>
      <c r="BC173">
        <v>0</v>
      </c>
      <c r="BD173" t="s">
        <v>417</v>
      </c>
      <c r="BE173" t="s">
        <v>417</v>
      </c>
      <c r="BF173">
        <v>0</v>
      </c>
      <c r="BG173">
        <v>0</v>
      </c>
      <c r="BH173">
        <f>1-BF173/BG173</f>
        <v>0</v>
      </c>
      <c r="BI173">
        <v>0.5</v>
      </c>
      <c r="BJ173">
        <f>CS173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417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1393</v>
      </c>
      <c r="CA173">
        <v>300</v>
      </c>
      <c r="CB173">
        <v>300</v>
      </c>
      <c r="CC173">
        <v>300</v>
      </c>
      <c r="CD173">
        <v>10378</v>
      </c>
      <c r="CE173">
        <v>2050</v>
      </c>
      <c r="CF173">
        <v>-0.00730649</v>
      </c>
      <c r="CG173">
        <v>-4.53</v>
      </c>
      <c r="CH173" t="s">
        <v>417</v>
      </c>
      <c r="CI173" t="s">
        <v>417</v>
      </c>
      <c r="CJ173" t="s">
        <v>417</v>
      </c>
      <c r="CK173" t="s">
        <v>417</v>
      </c>
      <c r="CL173" t="s">
        <v>417</v>
      </c>
      <c r="CM173" t="s">
        <v>417</v>
      </c>
      <c r="CN173" t="s">
        <v>417</v>
      </c>
      <c r="CO173" t="s">
        <v>417</v>
      </c>
      <c r="CP173" t="s">
        <v>417</v>
      </c>
      <c r="CQ173" t="s">
        <v>417</v>
      </c>
      <c r="CR173">
        <f>$B$11*DQ173+$C$11*DR173+$F$11*EC173*(1-EF173)</f>
        <v>0</v>
      </c>
      <c r="CS173">
        <f>CR173*CT173</f>
        <v>0</v>
      </c>
      <c r="CT173">
        <f>($B$11*$D$9+$C$11*$D$9+$F$11*((EP173+EH173)/MAX(EP173+EH173+EQ173, 0.1)*$I$9+EQ173/MAX(EP173+EH173+EQ173, 0.1)*$J$9))/($B$11+$C$11+$F$11)</f>
        <v>0</v>
      </c>
      <c r="CU173">
        <f>($B$11*$K$9+$C$11*$K$9+$F$11*((EP173+EH173)/MAX(EP173+EH173+EQ173, 0.1)*$P$9+EQ173/MAX(EP173+EH173+EQ173, 0.1)*$Q$9))/($B$11+$C$11+$F$11)</f>
        <v>0</v>
      </c>
      <c r="CV173">
        <v>6</v>
      </c>
      <c r="CW173">
        <v>0.5</v>
      </c>
      <c r="CX173" t="s">
        <v>418</v>
      </c>
      <c r="CY173">
        <v>2</v>
      </c>
      <c r="CZ173" t="b">
        <v>1</v>
      </c>
      <c r="DA173">
        <v>1652372546.214286</v>
      </c>
      <c r="DB173">
        <v>515.8779642857143</v>
      </c>
      <c r="DC173">
        <v>576.924</v>
      </c>
      <c r="DD173">
        <v>24.72736071428572</v>
      </c>
      <c r="DE173">
        <v>17.92446071428571</v>
      </c>
      <c r="DF173">
        <v>515.7997142857143</v>
      </c>
      <c r="DG173">
        <v>24.68091071428572</v>
      </c>
      <c r="DH173">
        <v>400.0667142857142</v>
      </c>
      <c r="DI173">
        <v>90.39688571428572</v>
      </c>
      <c r="DJ173">
        <v>0.09998818214285712</v>
      </c>
      <c r="DK173">
        <v>30.78268928571429</v>
      </c>
      <c r="DL173">
        <v>29.94172142857142</v>
      </c>
      <c r="DM173">
        <v>999.9000000000002</v>
      </c>
      <c r="DN173">
        <v>0</v>
      </c>
      <c r="DO173">
        <v>0</v>
      </c>
      <c r="DP173">
        <v>10007.33892857143</v>
      </c>
      <c r="DQ173">
        <v>0</v>
      </c>
      <c r="DR173">
        <v>445.5250357142857</v>
      </c>
      <c r="DS173">
        <v>-61.04622857142858</v>
      </c>
      <c r="DT173">
        <v>528.9576071428571</v>
      </c>
      <c r="DU173">
        <v>587.4531785714286</v>
      </c>
      <c r="DV173">
        <v>6.802900357142858</v>
      </c>
      <c r="DW173">
        <v>576.924</v>
      </c>
      <c r="DX173">
        <v>17.92446071428571</v>
      </c>
      <c r="DY173">
        <v>2.235277857142857</v>
      </c>
      <c r="DZ173">
        <v>1.620315</v>
      </c>
      <c r="EA173">
        <v>19.21740357142857</v>
      </c>
      <c r="EB173">
        <v>14.153325</v>
      </c>
      <c r="EC173">
        <v>1500.03</v>
      </c>
      <c r="ED173">
        <v>0.9729973214285713</v>
      </c>
      <c r="EE173">
        <v>0.02700293928571428</v>
      </c>
      <c r="EF173">
        <v>0</v>
      </c>
      <c r="EG173">
        <v>1766.681071428571</v>
      </c>
      <c r="EH173">
        <v>5.00097</v>
      </c>
      <c r="EI173">
        <v>27322.33214285714</v>
      </c>
      <c r="EJ173">
        <v>12491.83214285714</v>
      </c>
      <c r="EK173">
        <v>40.06199999999999</v>
      </c>
      <c r="EL173">
        <v>41.56199999999999</v>
      </c>
      <c r="EM173">
        <v>40.28764285714285</v>
      </c>
      <c r="EN173">
        <v>41.41707142857143</v>
      </c>
      <c r="EO173">
        <v>41.13164285714286</v>
      </c>
      <c r="EP173">
        <v>1454.658214285714</v>
      </c>
      <c r="EQ173">
        <v>40.37178571428571</v>
      </c>
      <c r="ER173">
        <v>0</v>
      </c>
      <c r="ES173">
        <v>1388.199999809265</v>
      </c>
      <c r="ET173">
        <v>0</v>
      </c>
      <c r="EU173">
        <v>1766.425384615384</v>
      </c>
      <c r="EV173">
        <v>-40.6488888795916</v>
      </c>
      <c r="EW173">
        <v>-854.0854699461777</v>
      </c>
      <c r="EX173">
        <v>27315.37692307692</v>
      </c>
      <c r="EY173">
        <v>15</v>
      </c>
      <c r="EZ173">
        <v>1652371289.6</v>
      </c>
      <c r="FA173" t="s">
        <v>515</v>
      </c>
      <c r="FB173">
        <v>1652371289.6</v>
      </c>
      <c r="FC173">
        <v>1652371275.1</v>
      </c>
      <c r="FD173">
        <v>24</v>
      </c>
      <c r="FE173">
        <v>0.442</v>
      </c>
      <c r="FF173">
        <v>0.001</v>
      </c>
      <c r="FG173">
        <v>-2.63</v>
      </c>
      <c r="FH173">
        <v>0.007</v>
      </c>
      <c r="FI173">
        <v>1620</v>
      </c>
      <c r="FJ173">
        <v>22</v>
      </c>
      <c r="FK173">
        <v>0.08</v>
      </c>
      <c r="FL173">
        <v>0.04</v>
      </c>
      <c r="FM173">
        <v>-60.63192195121952</v>
      </c>
      <c r="FN173">
        <v>-6.965899651567915</v>
      </c>
      <c r="FO173">
        <v>0.7177973654248297</v>
      </c>
      <c r="FP173">
        <v>-1</v>
      </c>
      <c r="FQ173">
        <v>6.786020487804879</v>
      </c>
      <c r="FR173">
        <v>0.3931149825784006</v>
      </c>
      <c r="FS173">
        <v>0.04303366815510853</v>
      </c>
      <c r="FT173">
        <v>1</v>
      </c>
      <c r="FU173">
        <v>0</v>
      </c>
      <c r="FV173">
        <v>0</v>
      </c>
      <c r="FW173">
        <v>0</v>
      </c>
      <c r="FX173">
        <v>-1</v>
      </c>
      <c r="FY173">
        <v>1</v>
      </c>
      <c r="FZ173">
        <v>1</v>
      </c>
      <c r="GA173" t="s">
        <v>420</v>
      </c>
      <c r="GB173">
        <v>2.69559</v>
      </c>
      <c r="GC173">
        <v>2.70511</v>
      </c>
      <c r="GD173">
        <v>0.112539</v>
      </c>
      <c r="GE173">
        <v>0.120447</v>
      </c>
      <c r="GF173">
        <v>0.108192</v>
      </c>
      <c r="GG173">
        <v>0.08486</v>
      </c>
      <c r="GH173">
        <v>27893.7</v>
      </c>
      <c r="GI173">
        <v>27764.3</v>
      </c>
      <c r="GJ173">
        <v>29238.9</v>
      </c>
      <c r="GK173">
        <v>29211.2</v>
      </c>
      <c r="GL173">
        <v>34522.6</v>
      </c>
      <c r="GM173">
        <v>35584.8</v>
      </c>
      <c r="GN173">
        <v>41152.5</v>
      </c>
      <c r="GO173">
        <v>41678.3</v>
      </c>
      <c r="GP173">
        <v>1.72502</v>
      </c>
      <c r="GQ173">
        <v>2.0297</v>
      </c>
      <c r="GR173">
        <v>0.0606962</v>
      </c>
      <c r="GS173">
        <v>0</v>
      </c>
      <c r="GT173">
        <v>28.9558</v>
      </c>
      <c r="GU173">
        <v>999.9</v>
      </c>
      <c r="GV173">
        <v>44.5</v>
      </c>
      <c r="GW173">
        <v>33.3</v>
      </c>
      <c r="GX173">
        <v>25.2966</v>
      </c>
      <c r="GY173">
        <v>63.328</v>
      </c>
      <c r="GZ173">
        <v>28.9062</v>
      </c>
      <c r="HA173">
        <v>1</v>
      </c>
      <c r="HB173">
        <v>0.262409</v>
      </c>
      <c r="HC173">
        <v>0.15158</v>
      </c>
      <c r="HD173">
        <v>20.3816</v>
      </c>
      <c r="HE173">
        <v>5.21669</v>
      </c>
      <c r="HF173">
        <v>12.0099</v>
      </c>
      <c r="HG173">
        <v>4.988</v>
      </c>
      <c r="HH173">
        <v>3.28823</v>
      </c>
      <c r="HI173">
        <v>2727.5</v>
      </c>
      <c r="HJ173">
        <v>9999</v>
      </c>
      <c r="HK173">
        <v>9999</v>
      </c>
      <c r="HL173">
        <v>50.1</v>
      </c>
      <c r="HM173">
        <v>1.86722</v>
      </c>
      <c r="HN173">
        <v>1.86628</v>
      </c>
      <c r="HO173">
        <v>1.86581</v>
      </c>
      <c r="HP173">
        <v>1.86569</v>
      </c>
      <c r="HQ173">
        <v>1.86751</v>
      </c>
      <c r="HR173">
        <v>1.87</v>
      </c>
      <c r="HS173">
        <v>1.86868</v>
      </c>
      <c r="HT173">
        <v>1.87002</v>
      </c>
      <c r="HU173">
        <v>0</v>
      </c>
      <c r="HV173">
        <v>0</v>
      </c>
      <c r="HW173">
        <v>0</v>
      </c>
      <c r="HX173">
        <v>0</v>
      </c>
      <c r="HY173" t="s">
        <v>421</v>
      </c>
      <c r="HZ173" t="s">
        <v>422</v>
      </c>
      <c r="IA173" t="s">
        <v>423</v>
      </c>
      <c r="IB173" t="s">
        <v>423</v>
      </c>
      <c r="IC173" t="s">
        <v>423</v>
      </c>
      <c r="ID173" t="s">
        <v>423</v>
      </c>
      <c r="IE173">
        <v>0</v>
      </c>
      <c r="IF173">
        <v>100</v>
      </c>
      <c r="IG173">
        <v>100</v>
      </c>
      <c r="IH173">
        <v>0.021</v>
      </c>
      <c r="II173">
        <v>0.0462</v>
      </c>
      <c r="IJ173">
        <v>1.257309091789605</v>
      </c>
      <c r="IK173">
        <v>-0.002185601614162945</v>
      </c>
      <c r="IL173">
        <v>-2.252308143750626E-07</v>
      </c>
      <c r="IM173">
        <v>5.915558436307541E-11</v>
      </c>
      <c r="IN173">
        <v>-0.118683452207699</v>
      </c>
      <c r="IO173">
        <v>-0.007570214193104963</v>
      </c>
      <c r="IP173">
        <v>0.0009214429922928372</v>
      </c>
      <c r="IQ173">
        <v>-1.392260276065805E-05</v>
      </c>
      <c r="IR173">
        <v>17</v>
      </c>
      <c r="IS173">
        <v>2272</v>
      </c>
      <c r="IT173">
        <v>1</v>
      </c>
      <c r="IU173">
        <v>31</v>
      </c>
      <c r="IV173">
        <v>21.1</v>
      </c>
      <c r="IW173">
        <v>21.3</v>
      </c>
      <c r="IX173">
        <v>1.41968</v>
      </c>
      <c r="IY173">
        <v>2.22168</v>
      </c>
      <c r="IZ173">
        <v>1.39648</v>
      </c>
      <c r="JA173">
        <v>2.35474</v>
      </c>
      <c r="JB173">
        <v>1.49536</v>
      </c>
      <c r="JC173">
        <v>2.36938</v>
      </c>
      <c r="JD173">
        <v>36.9556</v>
      </c>
      <c r="JE173">
        <v>15.2528</v>
      </c>
      <c r="JF173">
        <v>18</v>
      </c>
      <c r="JG173">
        <v>389</v>
      </c>
      <c r="JH173">
        <v>566.881</v>
      </c>
      <c r="JI173">
        <v>29.2814</v>
      </c>
      <c r="JJ173">
        <v>30.793</v>
      </c>
      <c r="JK173">
        <v>30.0002</v>
      </c>
      <c r="JL173">
        <v>30.6847</v>
      </c>
      <c r="JM173">
        <v>30.5818</v>
      </c>
      <c r="JN173">
        <v>28.4214</v>
      </c>
      <c r="JO173">
        <v>30.5251</v>
      </c>
      <c r="JP173">
        <v>0</v>
      </c>
      <c r="JQ173">
        <v>29.3058</v>
      </c>
      <c r="JR173">
        <v>627.14</v>
      </c>
      <c r="JS173">
        <v>17.8988</v>
      </c>
      <c r="JT173">
        <v>99.9409</v>
      </c>
      <c r="JU173">
        <v>100.046</v>
      </c>
    </row>
    <row r="174" spans="1:281">
      <c r="A174">
        <v>158</v>
      </c>
      <c r="B174">
        <v>1652372559</v>
      </c>
      <c r="C174">
        <v>4465.400000095367</v>
      </c>
      <c r="D174" t="s">
        <v>784</v>
      </c>
      <c r="E174" t="s">
        <v>785</v>
      </c>
      <c r="F174">
        <v>5</v>
      </c>
      <c r="G174" t="s">
        <v>711</v>
      </c>
      <c r="H174" t="s">
        <v>414</v>
      </c>
      <c r="I174">
        <v>1652372551.5</v>
      </c>
      <c r="J174">
        <f>(K174)/1000</f>
        <v>0</v>
      </c>
      <c r="K174">
        <f>IF(CZ174, AN174, AH174)</f>
        <v>0</v>
      </c>
      <c r="L174">
        <f>IF(CZ174, AI174, AG174)</f>
        <v>0</v>
      </c>
      <c r="M174">
        <f>DB174 - IF(AU174&gt;1, L174*CV174*100.0/(AW174*DP174), 0)</f>
        <v>0</v>
      </c>
      <c r="N174">
        <f>((T174-J174/2)*M174-L174)/(T174+J174/2)</f>
        <v>0</v>
      </c>
      <c r="O174">
        <f>N174*(DI174+DJ174)/1000.0</f>
        <v>0</v>
      </c>
      <c r="P174">
        <f>(DB174 - IF(AU174&gt;1, L174*CV174*100.0/(AW174*DP174), 0))*(DI174+DJ174)/1000.0</f>
        <v>0</v>
      </c>
      <c r="Q174">
        <f>2.0/((1/S174-1/R174)+SIGN(S174)*SQRT((1/S174-1/R174)*(1/S174-1/R174) + 4*CW174/((CW174+1)*(CW174+1))*(2*1/S174*1/R174-1/R174*1/R174)))</f>
        <v>0</v>
      </c>
      <c r="R174">
        <f>IF(LEFT(CX174,1)&lt;&gt;"0",IF(LEFT(CX174,1)="1",3.0,CY174),$D$5+$E$5*(DP174*DI174/($K$5*1000))+$F$5*(DP174*DI174/($K$5*1000))*MAX(MIN(CV174,$J$5),$I$5)*MAX(MIN(CV174,$J$5),$I$5)+$G$5*MAX(MIN(CV174,$J$5),$I$5)*(DP174*DI174/($K$5*1000))+$H$5*(DP174*DI174/($K$5*1000))*(DP174*DI174/($K$5*1000)))</f>
        <v>0</v>
      </c>
      <c r="S174">
        <f>J174*(1000-(1000*0.61365*exp(17.502*W174/(240.97+W174))/(DI174+DJ174)+DD174)/2)/(1000*0.61365*exp(17.502*W174/(240.97+W174))/(DI174+DJ174)-DD174)</f>
        <v>0</v>
      </c>
      <c r="T174">
        <f>1/((CW174+1)/(Q174/1.6)+1/(R174/1.37)) + CW174/((CW174+1)/(Q174/1.6) + CW174/(R174/1.37))</f>
        <v>0</v>
      </c>
      <c r="U174">
        <f>(CR174*CU174)</f>
        <v>0</v>
      </c>
      <c r="V174">
        <f>(DK174+(U174+2*0.95*5.67E-8*(((DK174+$B$7)+273)^4-(DK174+273)^4)-44100*J174)/(1.84*29.3*R174+8*0.95*5.67E-8*(DK174+273)^3))</f>
        <v>0</v>
      </c>
      <c r="W174">
        <f>($C$7*DL174+$D$7*DM174+$E$7*V174)</f>
        <v>0</v>
      </c>
      <c r="X174">
        <f>0.61365*exp(17.502*W174/(240.97+W174))</f>
        <v>0</v>
      </c>
      <c r="Y174">
        <f>(Z174/AA174*100)</f>
        <v>0</v>
      </c>
      <c r="Z174">
        <f>DD174*(DI174+DJ174)/1000</f>
        <v>0</v>
      </c>
      <c r="AA174">
        <f>0.61365*exp(17.502*DK174/(240.97+DK174))</f>
        <v>0</v>
      </c>
      <c r="AB174">
        <f>(X174-DD174*(DI174+DJ174)/1000)</f>
        <v>0</v>
      </c>
      <c r="AC174">
        <f>(-J174*44100)</f>
        <v>0</v>
      </c>
      <c r="AD174">
        <f>2*29.3*R174*0.92*(DK174-W174)</f>
        <v>0</v>
      </c>
      <c r="AE174">
        <f>2*0.95*5.67E-8*(((DK174+$B$7)+273)^4-(W174+273)^4)</f>
        <v>0</v>
      </c>
      <c r="AF174">
        <f>U174+AE174+AC174+AD174</f>
        <v>0</v>
      </c>
      <c r="AG174">
        <f>DH174*AU174*(DC174-DB174*(1000-AU174*DE174)/(1000-AU174*DD174))/(100*CV174)</f>
        <v>0</v>
      </c>
      <c r="AH174">
        <f>1000*DH174*AU174*(DD174-DE174)/(100*CV174*(1000-AU174*DD174))</f>
        <v>0</v>
      </c>
      <c r="AI174">
        <f>(AJ174 - AK174 - DI174*1E3/(8.314*(DK174+273.15)) * AM174/DH174 * AL174) * DH174/(100*CV174) * (1000 - DE174)/1000</f>
        <v>0</v>
      </c>
      <c r="AJ174">
        <v>617.3843307205933</v>
      </c>
      <c r="AK174">
        <v>568.2492</v>
      </c>
      <c r="AL174">
        <v>3.239095530543773</v>
      </c>
      <c r="AM174">
        <v>65.96288611109561</v>
      </c>
      <c r="AN174">
        <f>(AP174 - AO174 + DI174*1E3/(8.314*(DK174+273.15)) * AR174/DH174 * AQ174) * DH174/(100*CV174) * 1000/(1000 - AP174)</f>
        <v>0</v>
      </c>
      <c r="AO174">
        <v>17.87098228690479</v>
      </c>
      <c r="AP174">
        <v>24.69572937062939</v>
      </c>
      <c r="AQ174">
        <v>-0.0005111214967446621</v>
      </c>
      <c r="AR174">
        <v>81.18387902069509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MAX(0,($B$13+$C$13*DP174)/(1+$D$13*DP174)*DI174/(DK174+273)*$E$13)</f>
        <v>0</v>
      </c>
      <c r="AX174" t="s">
        <v>417</v>
      </c>
      <c r="AY174" t="s">
        <v>417</v>
      </c>
      <c r="AZ174">
        <v>0</v>
      </c>
      <c r="BA174">
        <v>0</v>
      </c>
      <c r="BB174">
        <f>1-AZ174/BA174</f>
        <v>0</v>
      </c>
      <c r="BC174">
        <v>0</v>
      </c>
      <c r="BD174" t="s">
        <v>417</v>
      </c>
      <c r="BE174" t="s">
        <v>417</v>
      </c>
      <c r="BF174">
        <v>0</v>
      </c>
      <c r="BG174">
        <v>0</v>
      </c>
      <c r="BH174">
        <f>1-BF174/BG174</f>
        <v>0</v>
      </c>
      <c r="BI174">
        <v>0.5</v>
      </c>
      <c r="BJ174">
        <f>CS174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417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1393</v>
      </c>
      <c r="CA174">
        <v>300</v>
      </c>
      <c r="CB174">
        <v>300</v>
      </c>
      <c r="CC174">
        <v>300</v>
      </c>
      <c r="CD174">
        <v>10378</v>
      </c>
      <c r="CE174">
        <v>2050</v>
      </c>
      <c r="CF174">
        <v>-0.00730649</v>
      </c>
      <c r="CG174">
        <v>-4.53</v>
      </c>
      <c r="CH174" t="s">
        <v>417</v>
      </c>
      <c r="CI174" t="s">
        <v>417</v>
      </c>
      <c r="CJ174" t="s">
        <v>417</v>
      </c>
      <c r="CK174" t="s">
        <v>417</v>
      </c>
      <c r="CL174" t="s">
        <v>417</v>
      </c>
      <c r="CM174" t="s">
        <v>417</v>
      </c>
      <c r="CN174" t="s">
        <v>417</v>
      </c>
      <c r="CO174" t="s">
        <v>417</v>
      </c>
      <c r="CP174" t="s">
        <v>417</v>
      </c>
      <c r="CQ174" t="s">
        <v>417</v>
      </c>
      <c r="CR174">
        <f>$B$11*DQ174+$C$11*DR174+$F$11*EC174*(1-EF174)</f>
        <v>0</v>
      </c>
      <c r="CS174">
        <f>CR174*CT174</f>
        <v>0</v>
      </c>
      <c r="CT174">
        <f>($B$11*$D$9+$C$11*$D$9+$F$11*((EP174+EH174)/MAX(EP174+EH174+EQ174, 0.1)*$I$9+EQ174/MAX(EP174+EH174+EQ174, 0.1)*$J$9))/($B$11+$C$11+$F$11)</f>
        <v>0</v>
      </c>
      <c r="CU174">
        <f>($B$11*$K$9+$C$11*$K$9+$F$11*((EP174+EH174)/MAX(EP174+EH174+EQ174, 0.1)*$P$9+EQ174/MAX(EP174+EH174+EQ174, 0.1)*$Q$9))/($B$11+$C$11+$F$11)</f>
        <v>0</v>
      </c>
      <c r="CV174">
        <v>6</v>
      </c>
      <c r="CW174">
        <v>0.5</v>
      </c>
      <c r="CX174" t="s">
        <v>418</v>
      </c>
      <c r="CY174">
        <v>2</v>
      </c>
      <c r="CZ174" t="b">
        <v>1</v>
      </c>
      <c r="DA174">
        <v>1652372551.5</v>
      </c>
      <c r="DB174">
        <v>532.3400740740741</v>
      </c>
      <c r="DC174">
        <v>594.1692592592592</v>
      </c>
      <c r="DD174">
        <v>24.71658518518518</v>
      </c>
      <c r="DE174">
        <v>17.88534814814815</v>
      </c>
      <c r="DF174">
        <v>532.3010370370371</v>
      </c>
      <c r="DG174">
        <v>24.67026296296296</v>
      </c>
      <c r="DH174">
        <v>400.0719259259259</v>
      </c>
      <c r="DI174">
        <v>90.39775925925926</v>
      </c>
      <c r="DJ174">
        <v>0.1000275333333333</v>
      </c>
      <c r="DK174">
        <v>30.78554444444444</v>
      </c>
      <c r="DL174">
        <v>29.94261111111111</v>
      </c>
      <c r="DM174">
        <v>999.9000000000001</v>
      </c>
      <c r="DN174">
        <v>0</v>
      </c>
      <c r="DO174">
        <v>0</v>
      </c>
      <c r="DP174">
        <v>9998.028148148149</v>
      </c>
      <c r="DQ174">
        <v>0</v>
      </c>
      <c r="DR174">
        <v>440.1646666666667</v>
      </c>
      <c r="DS174">
        <v>-61.82937407407407</v>
      </c>
      <c r="DT174">
        <v>545.831</v>
      </c>
      <c r="DU174">
        <v>604.9894814814814</v>
      </c>
      <c r="DV174">
        <v>6.831224814814814</v>
      </c>
      <c r="DW174">
        <v>594.1692592592592</v>
      </c>
      <c r="DX174">
        <v>17.88534814814815</v>
      </c>
      <c r="DY174">
        <v>2.234325185185185</v>
      </c>
      <c r="DZ174">
        <v>1.616795555555556</v>
      </c>
      <c r="EA174">
        <v>19.21055925925926</v>
      </c>
      <c r="EB174">
        <v>14.11981481481482</v>
      </c>
      <c r="EC174">
        <v>1500.043333333333</v>
      </c>
      <c r="ED174">
        <v>0.9729979629629629</v>
      </c>
      <c r="EE174">
        <v>0.02700225925925926</v>
      </c>
      <c r="EF174">
        <v>0</v>
      </c>
      <c r="EG174">
        <v>1763.232962962963</v>
      </c>
      <c r="EH174">
        <v>5.00097</v>
      </c>
      <c r="EI174">
        <v>27250.3</v>
      </c>
      <c r="EJ174">
        <v>12491.94074074074</v>
      </c>
      <c r="EK174">
        <v>40.06199999999999</v>
      </c>
      <c r="EL174">
        <v>41.56199999999999</v>
      </c>
      <c r="EM174">
        <v>40.29133333333333</v>
      </c>
      <c r="EN174">
        <v>41.41633333333333</v>
      </c>
      <c r="EO174">
        <v>41.13188888888889</v>
      </c>
      <c r="EP174">
        <v>1454.671851851852</v>
      </c>
      <c r="EQ174">
        <v>40.37148148148147</v>
      </c>
      <c r="ER174">
        <v>0</v>
      </c>
      <c r="ES174">
        <v>1393</v>
      </c>
      <c r="ET174">
        <v>0</v>
      </c>
      <c r="EU174">
        <v>1763.227692307692</v>
      </c>
      <c r="EV174">
        <v>-39.99384614838029</v>
      </c>
      <c r="EW174">
        <v>-797.9794871565651</v>
      </c>
      <c r="EX174">
        <v>27250.49615384615</v>
      </c>
      <c r="EY174">
        <v>15</v>
      </c>
      <c r="EZ174">
        <v>1652371289.6</v>
      </c>
      <c r="FA174" t="s">
        <v>515</v>
      </c>
      <c r="FB174">
        <v>1652371289.6</v>
      </c>
      <c r="FC174">
        <v>1652371275.1</v>
      </c>
      <c r="FD174">
        <v>24</v>
      </c>
      <c r="FE174">
        <v>0.442</v>
      </c>
      <c r="FF174">
        <v>0.001</v>
      </c>
      <c r="FG174">
        <v>-2.63</v>
      </c>
      <c r="FH174">
        <v>0.007</v>
      </c>
      <c r="FI174">
        <v>1620</v>
      </c>
      <c r="FJ174">
        <v>22</v>
      </c>
      <c r="FK174">
        <v>0.08</v>
      </c>
      <c r="FL174">
        <v>0.04</v>
      </c>
      <c r="FM174">
        <v>-61.38896585365853</v>
      </c>
      <c r="FN174">
        <v>-8.836206271776929</v>
      </c>
      <c r="FO174">
        <v>0.9201503166197851</v>
      </c>
      <c r="FP174">
        <v>-1</v>
      </c>
      <c r="FQ174">
        <v>6.806731707317073</v>
      </c>
      <c r="FR174">
        <v>0.3353581881533076</v>
      </c>
      <c r="FS174">
        <v>0.03977313285479375</v>
      </c>
      <c r="FT174">
        <v>1</v>
      </c>
      <c r="FU174">
        <v>0</v>
      </c>
      <c r="FV174">
        <v>0</v>
      </c>
      <c r="FW174">
        <v>0</v>
      </c>
      <c r="FX174">
        <v>-1</v>
      </c>
      <c r="FY174">
        <v>1</v>
      </c>
      <c r="FZ174">
        <v>1</v>
      </c>
      <c r="GA174" t="s">
        <v>420</v>
      </c>
      <c r="GB174">
        <v>2.69571</v>
      </c>
      <c r="GC174">
        <v>2.70507</v>
      </c>
      <c r="GD174">
        <v>0.114897</v>
      </c>
      <c r="GE174">
        <v>0.122738</v>
      </c>
      <c r="GF174">
        <v>0.10816</v>
      </c>
      <c r="GG174">
        <v>0.0848561</v>
      </c>
      <c r="GH174">
        <v>27819.2</v>
      </c>
      <c r="GI174">
        <v>27691.7</v>
      </c>
      <c r="GJ174">
        <v>29238.6</v>
      </c>
      <c r="GK174">
        <v>29211</v>
      </c>
      <c r="GL174">
        <v>34523.2</v>
      </c>
      <c r="GM174">
        <v>35585</v>
      </c>
      <c r="GN174">
        <v>41151.8</v>
      </c>
      <c r="GO174">
        <v>41678.2</v>
      </c>
      <c r="GP174">
        <v>1.72532</v>
      </c>
      <c r="GQ174">
        <v>2.02947</v>
      </c>
      <c r="GR174">
        <v>0.0615045</v>
      </c>
      <c r="GS174">
        <v>0</v>
      </c>
      <c r="GT174">
        <v>28.9501</v>
      </c>
      <c r="GU174">
        <v>999.9</v>
      </c>
      <c r="GV174">
        <v>44.5</v>
      </c>
      <c r="GW174">
        <v>33.3</v>
      </c>
      <c r="GX174">
        <v>25.2909</v>
      </c>
      <c r="GY174">
        <v>63.458</v>
      </c>
      <c r="GZ174">
        <v>29.391</v>
      </c>
      <c r="HA174">
        <v>1</v>
      </c>
      <c r="HB174">
        <v>0.262551</v>
      </c>
      <c r="HC174">
        <v>0.128175</v>
      </c>
      <c r="HD174">
        <v>20.3815</v>
      </c>
      <c r="HE174">
        <v>5.21684</v>
      </c>
      <c r="HF174">
        <v>12.0099</v>
      </c>
      <c r="HG174">
        <v>4.98815</v>
      </c>
      <c r="HH174">
        <v>3.2884</v>
      </c>
      <c r="HI174">
        <v>2727.7</v>
      </c>
      <c r="HJ174">
        <v>9999</v>
      </c>
      <c r="HK174">
        <v>9999</v>
      </c>
      <c r="HL174">
        <v>50.1</v>
      </c>
      <c r="HM174">
        <v>1.86722</v>
      </c>
      <c r="HN174">
        <v>1.86625</v>
      </c>
      <c r="HO174">
        <v>1.86583</v>
      </c>
      <c r="HP174">
        <v>1.86569</v>
      </c>
      <c r="HQ174">
        <v>1.86752</v>
      </c>
      <c r="HR174">
        <v>1.87</v>
      </c>
      <c r="HS174">
        <v>1.86868</v>
      </c>
      <c r="HT174">
        <v>1.87003</v>
      </c>
      <c r="HU174">
        <v>0</v>
      </c>
      <c r="HV174">
        <v>0</v>
      </c>
      <c r="HW174">
        <v>0</v>
      </c>
      <c r="HX174">
        <v>0</v>
      </c>
      <c r="HY174" t="s">
        <v>421</v>
      </c>
      <c r="HZ174" t="s">
        <v>422</v>
      </c>
      <c r="IA174" t="s">
        <v>423</v>
      </c>
      <c r="IB174" t="s">
        <v>423</v>
      </c>
      <c r="IC174" t="s">
        <v>423</v>
      </c>
      <c r="ID174" t="s">
        <v>423</v>
      </c>
      <c r="IE174">
        <v>0</v>
      </c>
      <c r="IF174">
        <v>100</v>
      </c>
      <c r="IG174">
        <v>100</v>
      </c>
      <c r="IH174">
        <v>-0.017</v>
      </c>
      <c r="II174">
        <v>0.0461</v>
      </c>
      <c r="IJ174">
        <v>1.257309091789605</v>
      </c>
      <c r="IK174">
        <v>-0.002185601614162945</v>
      </c>
      <c r="IL174">
        <v>-2.252308143750626E-07</v>
      </c>
      <c r="IM174">
        <v>5.915558436307541E-11</v>
      </c>
      <c r="IN174">
        <v>-0.118683452207699</v>
      </c>
      <c r="IO174">
        <v>-0.007570214193104963</v>
      </c>
      <c r="IP174">
        <v>0.0009214429922928372</v>
      </c>
      <c r="IQ174">
        <v>-1.392260276065805E-05</v>
      </c>
      <c r="IR174">
        <v>17</v>
      </c>
      <c r="IS174">
        <v>2272</v>
      </c>
      <c r="IT174">
        <v>1</v>
      </c>
      <c r="IU174">
        <v>31</v>
      </c>
      <c r="IV174">
        <v>21.2</v>
      </c>
      <c r="IW174">
        <v>21.4</v>
      </c>
      <c r="IX174">
        <v>1.45264</v>
      </c>
      <c r="IY174">
        <v>2.2229</v>
      </c>
      <c r="IZ174">
        <v>1.39648</v>
      </c>
      <c r="JA174">
        <v>2.35474</v>
      </c>
      <c r="JB174">
        <v>1.49536</v>
      </c>
      <c r="JC174">
        <v>2.3584</v>
      </c>
      <c r="JD174">
        <v>36.9556</v>
      </c>
      <c r="JE174">
        <v>15.2528</v>
      </c>
      <c r="JF174">
        <v>18</v>
      </c>
      <c r="JG174">
        <v>389.185</v>
      </c>
      <c r="JH174">
        <v>566.75</v>
      </c>
      <c r="JI174">
        <v>29.3263</v>
      </c>
      <c r="JJ174">
        <v>30.7964</v>
      </c>
      <c r="JK174">
        <v>30.0003</v>
      </c>
      <c r="JL174">
        <v>30.6887</v>
      </c>
      <c r="JM174">
        <v>30.5858</v>
      </c>
      <c r="JN174">
        <v>29.0778</v>
      </c>
      <c r="JO174">
        <v>30.5251</v>
      </c>
      <c r="JP174">
        <v>0</v>
      </c>
      <c r="JQ174">
        <v>29.346</v>
      </c>
      <c r="JR174">
        <v>640.501</v>
      </c>
      <c r="JS174">
        <v>17.9025</v>
      </c>
      <c r="JT174">
        <v>99.93940000000001</v>
      </c>
      <c r="JU174">
        <v>100.045</v>
      </c>
    </row>
    <row r="175" spans="1:281">
      <c r="A175">
        <v>159</v>
      </c>
      <c r="B175">
        <v>1652372564</v>
      </c>
      <c r="C175">
        <v>4470.400000095367</v>
      </c>
      <c r="D175" t="s">
        <v>786</v>
      </c>
      <c r="E175" t="s">
        <v>787</v>
      </c>
      <c r="F175">
        <v>5</v>
      </c>
      <c r="G175" t="s">
        <v>711</v>
      </c>
      <c r="H175" t="s">
        <v>414</v>
      </c>
      <c r="I175">
        <v>1652372556.214286</v>
      </c>
      <c r="J175">
        <f>(K175)/1000</f>
        <v>0</v>
      </c>
      <c r="K175">
        <f>IF(CZ175, AN175, AH175)</f>
        <v>0</v>
      </c>
      <c r="L175">
        <f>IF(CZ175, AI175, AG175)</f>
        <v>0</v>
      </c>
      <c r="M175">
        <f>DB175 - IF(AU175&gt;1, L175*CV175*100.0/(AW175*DP175), 0)</f>
        <v>0</v>
      </c>
      <c r="N175">
        <f>((T175-J175/2)*M175-L175)/(T175+J175/2)</f>
        <v>0</v>
      </c>
      <c r="O175">
        <f>N175*(DI175+DJ175)/1000.0</f>
        <v>0</v>
      </c>
      <c r="P175">
        <f>(DB175 - IF(AU175&gt;1, L175*CV175*100.0/(AW175*DP175), 0))*(DI175+DJ175)/1000.0</f>
        <v>0</v>
      </c>
      <c r="Q175">
        <f>2.0/((1/S175-1/R175)+SIGN(S175)*SQRT((1/S175-1/R175)*(1/S175-1/R175) + 4*CW175/((CW175+1)*(CW175+1))*(2*1/S175*1/R175-1/R175*1/R175)))</f>
        <v>0</v>
      </c>
      <c r="R175">
        <f>IF(LEFT(CX175,1)&lt;&gt;"0",IF(LEFT(CX175,1)="1",3.0,CY175),$D$5+$E$5*(DP175*DI175/($K$5*1000))+$F$5*(DP175*DI175/($K$5*1000))*MAX(MIN(CV175,$J$5),$I$5)*MAX(MIN(CV175,$J$5),$I$5)+$G$5*MAX(MIN(CV175,$J$5),$I$5)*(DP175*DI175/($K$5*1000))+$H$5*(DP175*DI175/($K$5*1000))*(DP175*DI175/($K$5*1000)))</f>
        <v>0</v>
      </c>
      <c r="S175">
        <f>J175*(1000-(1000*0.61365*exp(17.502*W175/(240.97+W175))/(DI175+DJ175)+DD175)/2)/(1000*0.61365*exp(17.502*W175/(240.97+W175))/(DI175+DJ175)-DD175)</f>
        <v>0</v>
      </c>
      <c r="T175">
        <f>1/((CW175+1)/(Q175/1.6)+1/(R175/1.37)) + CW175/((CW175+1)/(Q175/1.6) + CW175/(R175/1.37))</f>
        <v>0</v>
      </c>
      <c r="U175">
        <f>(CR175*CU175)</f>
        <v>0</v>
      </c>
      <c r="V175">
        <f>(DK175+(U175+2*0.95*5.67E-8*(((DK175+$B$7)+273)^4-(DK175+273)^4)-44100*J175)/(1.84*29.3*R175+8*0.95*5.67E-8*(DK175+273)^3))</f>
        <v>0</v>
      </c>
      <c r="W175">
        <f>($C$7*DL175+$D$7*DM175+$E$7*V175)</f>
        <v>0</v>
      </c>
      <c r="X175">
        <f>0.61365*exp(17.502*W175/(240.97+W175))</f>
        <v>0</v>
      </c>
      <c r="Y175">
        <f>(Z175/AA175*100)</f>
        <v>0</v>
      </c>
      <c r="Z175">
        <f>DD175*(DI175+DJ175)/1000</f>
        <v>0</v>
      </c>
      <c r="AA175">
        <f>0.61365*exp(17.502*DK175/(240.97+DK175))</f>
        <v>0</v>
      </c>
      <c r="AB175">
        <f>(X175-DD175*(DI175+DJ175)/1000)</f>
        <v>0</v>
      </c>
      <c r="AC175">
        <f>(-J175*44100)</f>
        <v>0</v>
      </c>
      <c r="AD175">
        <f>2*29.3*R175*0.92*(DK175-W175)</f>
        <v>0</v>
      </c>
      <c r="AE175">
        <f>2*0.95*5.67E-8*(((DK175+$B$7)+273)^4-(W175+273)^4)</f>
        <v>0</v>
      </c>
      <c r="AF175">
        <f>U175+AE175+AC175+AD175</f>
        <v>0</v>
      </c>
      <c r="AG175">
        <f>DH175*AU175*(DC175-DB175*(1000-AU175*DE175)/(1000-AU175*DD175))/(100*CV175)</f>
        <v>0</v>
      </c>
      <c r="AH175">
        <f>1000*DH175*AU175*(DD175-DE175)/(100*CV175*(1000-AU175*DD175))</f>
        <v>0</v>
      </c>
      <c r="AI175">
        <f>(AJ175 - AK175 - DI175*1E3/(8.314*(DK175+273.15)) * AM175/DH175 * AL175) * DH175/(100*CV175) * (1000 - DE175)/1000</f>
        <v>0</v>
      </c>
      <c r="AJ175">
        <v>634.2178218133201</v>
      </c>
      <c r="AK175">
        <v>584.5788121212117</v>
      </c>
      <c r="AL175">
        <v>3.271802507508429</v>
      </c>
      <c r="AM175">
        <v>65.96288611109561</v>
      </c>
      <c r="AN175">
        <f>(AP175 - AO175 + DI175*1E3/(8.314*(DK175+273.15)) * AR175/DH175 * AQ175) * DH175/(100*CV175) * 1000/(1000 - AP175)</f>
        <v>0</v>
      </c>
      <c r="AO175">
        <v>17.86962292547187</v>
      </c>
      <c r="AP175">
        <v>24.6956027972028</v>
      </c>
      <c r="AQ175">
        <v>0.0001034725010894998</v>
      </c>
      <c r="AR175">
        <v>81.18387902069509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MAX(0,($B$13+$C$13*DP175)/(1+$D$13*DP175)*DI175/(DK175+273)*$E$13)</f>
        <v>0</v>
      </c>
      <c r="AX175" t="s">
        <v>417</v>
      </c>
      <c r="AY175" t="s">
        <v>417</v>
      </c>
      <c r="AZ175">
        <v>0</v>
      </c>
      <c r="BA175">
        <v>0</v>
      </c>
      <c r="BB175">
        <f>1-AZ175/BA175</f>
        <v>0</v>
      </c>
      <c r="BC175">
        <v>0</v>
      </c>
      <c r="BD175" t="s">
        <v>417</v>
      </c>
      <c r="BE175" t="s">
        <v>417</v>
      </c>
      <c r="BF175">
        <v>0</v>
      </c>
      <c r="BG175">
        <v>0</v>
      </c>
      <c r="BH175">
        <f>1-BF175/BG175</f>
        <v>0</v>
      </c>
      <c r="BI175">
        <v>0.5</v>
      </c>
      <c r="BJ175">
        <f>CS175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417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1393</v>
      </c>
      <c r="CA175">
        <v>300</v>
      </c>
      <c r="CB175">
        <v>300</v>
      </c>
      <c r="CC175">
        <v>300</v>
      </c>
      <c r="CD175">
        <v>10378</v>
      </c>
      <c r="CE175">
        <v>2050</v>
      </c>
      <c r="CF175">
        <v>-0.00730649</v>
      </c>
      <c r="CG175">
        <v>-4.53</v>
      </c>
      <c r="CH175" t="s">
        <v>417</v>
      </c>
      <c r="CI175" t="s">
        <v>417</v>
      </c>
      <c r="CJ175" t="s">
        <v>417</v>
      </c>
      <c r="CK175" t="s">
        <v>417</v>
      </c>
      <c r="CL175" t="s">
        <v>417</v>
      </c>
      <c r="CM175" t="s">
        <v>417</v>
      </c>
      <c r="CN175" t="s">
        <v>417</v>
      </c>
      <c r="CO175" t="s">
        <v>417</v>
      </c>
      <c r="CP175" t="s">
        <v>417</v>
      </c>
      <c r="CQ175" t="s">
        <v>417</v>
      </c>
      <c r="CR175">
        <f>$B$11*DQ175+$C$11*DR175+$F$11*EC175*(1-EF175)</f>
        <v>0</v>
      </c>
      <c r="CS175">
        <f>CR175*CT175</f>
        <v>0</v>
      </c>
      <c r="CT175">
        <f>($B$11*$D$9+$C$11*$D$9+$F$11*((EP175+EH175)/MAX(EP175+EH175+EQ175, 0.1)*$I$9+EQ175/MAX(EP175+EH175+EQ175, 0.1)*$J$9))/($B$11+$C$11+$F$11)</f>
        <v>0</v>
      </c>
      <c r="CU175">
        <f>($B$11*$K$9+$C$11*$K$9+$F$11*((EP175+EH175)/MAX(EP175+EH175+EQ175, 0.1)*$P$9+EQ175/MAX(EP175+EH175+EQ175, 0.1)*$Q$9))/($B$11+$C$11+$F$11)</f>
        <v>0</v>
      </c>
      <c r="CV175">
        <v>6</v>
      </c>
      <c r="CW175">
        <v>0.5</v>
      </c>
      <c r="CX175" t="s">
        <v>418</v>
      </c>
      <c r="CY175">
        <v>2</v>
      </c>
      <c r="CZ175" t="b">
        <v>1</v>
      </c>
      <c r="DA175">
        <v>1652372556.214286</v>
      </c>
      <c r="DB175">
        <v>547.0843571428571</v>
      </c>
      <c r="DC175">
        <v>609.8392857142856</v>
      </c>
      <c r="DD175">
        <v>24.70455714285714</v>
      </c>
      <c r="DE175">
        <v>17.87150357142857</v>
      </c>
      <c r="DF175">
        <v>547.0805357142857</v>
      </c>
      <c r="DG175">
        <v>24.65838928571428</v>
      </c>
      <c r="DH175">
        <v>400.0706071428571</v>
      </c>
      <c r="DI175">
        <v>90.39793928571427</v>
      </c>
      <c r="DJ175">
        <v>0.0999856107142857</v>
      </c>
      <c r="DK175">
        <v>30.7902</v>
      </c>
      <c r="DL175">
        <v>29.94778571428571</v>
      </c>
      <c r="DM175">
        <v>999.9000000000002</v>
      </c>
      <c r="DN175">
        <v>0</v>
      </c>
      <c r="DO175">
        <v>0</v>
      </c>
      <c r="DP175">
        <v>9997.027142857143</v>
      </c>
      <c r="DQ175">
        <v>0</v>
      </c>
      <c r="DR175">
        <v>437.3869642857143</v>
      </c>
      <c r="DS175">
        <v>-62.75504285714285</v>
      </c>
      <c r="DT175">
        <v>560.9421428571428</v>
      </c>
      <c r="DU175">
        <v>620.9363214285714</v>
      </c>
      <c r="DV175">
        <v>6.833052500000002</v>
      </c>
      <c r="DW175">
        <v>609.8392857142856</v>
      </c>
      <c r="DX175">
        <v>17.87150357142857</v>
      </c>
      <c r="DY175">
        <v>2.233241785714286</v>
      </c>
      <c r="DZ175">
        <v>1.615547142857143</v>
      </c>
      <c r="EA175">
        <v>19.20278214285714</v>
      </c>
      <c r="EB175">
        <v>14.1079</v>
      </c>
      <c r="EC175">
        <v>1500.052857142857</v>
      </c>
      <c r="ED175">
        <v>0.9729987499999998</v>
      </c>
      <c r="EE175">
        <v>0.027001425</v>
      </c>
      <c r="EF175">
        <v>0</v>
      </c>
      <c r="EG175">
        <v>1760.050714285714</v>
      </c>
      <c r="EH175">
        <v>5.00097</v>
      </c>
      <c r="EI175">
        <v>27199.48571428571</v>
      </c>
      <c r="EJ175">
        <v>12492.02857142857</v>
      </c>
      <c r="EK175">
        <v>40.06199999999999</v>
      </c>
      <c r="EL175">
        <v>41.56199999999999</v>
      </c>
      <c r="EM175">
        <v>40.28985714285714</v>
      </c>
      <c r="EN175">
        <v>41.40157142857142</v>
      </c>
      <c r="EO175">
        <v>41.13828571428571</v>
      </c>
      <c r="EP175">
        <v>1454.682142857143</v>
      </c>
      <c r="EQ175">
        <v>40.37071428571427</v>
      </c>
      <c r="ER175">
        <v>0</v>
      </c>
      <c r="ES175">
        <v>1398.399999856949</v>
      </c>
      <c r="ET175">
        <v>0</v>
      </c>
      <c r="EU175">
        <v>1759.3764</v>
      </c>
      <c r="EV175">
        <v>-41.60307699271762</v>
      </c>
      <c r="EW175">
        <v>-475.1538468909413</v>
      </c>
      <c r="EX175">
        <v>27190.78</v>
      </c>
      <c r="EY175">
        <v>15</v>
      </c>
      <c r="EZ175">
        <v>1652371289.6</v>
      </c>
      <c r="FA175" t="s">
        <v>515</v>
      </c>
      <c r="FB175">
        <v>1652371289.6</v>
      </c>
      <c r="FC175">
        <v>1652371275.1</v>
      </c>
      <c r="FD175">
        <v>24</v>
      </c>
      <c r="FE175">
        <v>0.442</v>
      </c>
      <c r="FF175">
        <v>0.001</v>
      </c>
      <c r="FG175">
        <v>-2.63</v>
      </c>
      <c r="FH175">
        <v>0.007</v>
      </c>
      <c r="FI175">
        <v>1620</v>
      </c>
      <c r="FJ175">
        <v>22</v>
      </c>
      <c r="FK175">
        <v>0.08</v>
      </c>
      <c r="FL175">
        <v>0.04</v>
      </c>
      <c r="FM175">
        <v>-62.273015</v>
      </c>
      <c r="FN175">
        <v>-11.85719774859285</v>
      </c>
      <c r="FO175">
        <v>1.150023206841932</v>
      </c>
      <c r="FP175">
        <v>-1</v>
      </c>
      <c r="FQ175">
        <v>6.829012000000001</v>
      </c>
      <c r="FR175">
        <v>0.03220660412757495</v>
      </c>
      <c r="FS175">
        <v>0.01660457650769815</v>
      </c>
      <c r="FT175">
        <v>1</v>
      </c>
      <c r="FU175">
        <v>0</v>
      </c>
      <c r="FV175">
        <v>0</v>
      </c>
      <c r="FW175">
        <v>0</v>
      </c>
      <c r="FX175">
        <v>-1</v>
      </c>
      <c r="FY175">
        <v>1</v>
      </c>
      <c r="FZ175">
        <v>1</v>
      </c>
      <c r="GA175" t="s">
        <v>420</v>
      </c>
      <c r="GB175">
        <v>2.6957</v>
      </c>
      <c r="GC175">
        <v>2.70508</v>
      </c>
      <c r="GD175">
        <v>0.117242</v>
      </c>
      <c r="GE175">
        <v>0.125068</v>
      </c>
      <c r="GF175">
        <v>0.108158</v>
      </c>
      <c r="GG175">
        <v>0.0848571</v>
      </c>
      <c r="GH175">
        <v>27745.8</v>
      </c>
      <c r="GI175">
        <v>27617.7</v>
      </c>
      <c r="GJ175">
        <v>29238.9</v>
      </c>
      <c r="GK175">
        <v>29210.6</v>
      </c>
      <c r="GL175">
        <v>34523.8</v>
      </c>
      <c r="GM175">
        <v>35584.7</v>
      </c>
      <c r="GN175">
        <v>41152.2</v>
      </c>
      <c r="GO175">
        <v>41677.9</v>
      </c>
      <c r="GP175">
        <v>1.72547</v>
      </c>
      <c r="GQ175">
        <v>2.02965</v>
      </c>
      <c r="GR175">
        <v>0.0620931</v>
      </c>
      <c r="GS175">
        <v>0</v>
      </c>
      <c r="GT175">
        <v>28.946</v>
      </c>
      <c r="GU175">
        <v>999.9</v>
      </c>
      <c r="GV175">
        <v>44.5</v>
      </c>
      <c r="GW175">
        <v>33.3</v>
      </c>
      <c r="GX175">
        <v>25.2913</v>
      </c>
      <c r="GY175">
        <v>63.408</v>
      </c>
      <c r="GZ175">
        <v>28.8502</v>
      </c>
      <c r="HA175">
        <v>1</v>
      </c>
      <c r="HB175">
        <v>0.262685</v>
      </c>
      <c r="HC175">
        <v>0.130847</v>
      </c>
      <c r="HD175">
        <v>20.3816</v>
      </c>
      <c r="HE175">
        <v>5.21699</v>
      </c>
      <c r="HF175">
        <v>12.0099</v>
      </c>
      <c r="HG175">
        <v>4.98815</v>
      </c>
      <c r="HH175">
        <v>3.28835</v>
      </c>
      <c r="HI175">
        <v>2727.7</v>
      </c>
      <c r="HJ175">
        <v>9999</v>
      </c>
      <c r="HK175">
        <v>9999</v>
      </c>
      <c r="HL175">
        <v>50.1</v>
      </c>
      <c r="HM175">
        <v>1.86722</v>
      </c>
      <c r="HN175">
        <v>1.86626</v>
      </c>
      <c r="HO175">
        <v>1.86583</v>
      </c>
      <c r="HP175">
        <v>1.86569</v>
      </c>
      <c r="HQ175">
        <v>1.86752</v>
      </c>
      <c r="HR175">
        <v>1.87</v>
      </c>
      <c r="HS175">
        <v>1.86861</v>
      </c>
      <c r="HT175">
        <v>1.87002</v>
      </c>
      <c r="HU175">
        <v>0</v>
      </c>
      <c r="HV175">
        <v>0</v>
      </c>
      <c r="HW175">
        <v>0</v>
      </c>
      <c r="HX175">
        <v>0</v>
      </c>
      <c r="HY175" t="s">
        <v>421</v>
      </c>
      <c r="HZ175" t="s">
        <v>422</v>
      </c>
      <c r="IA175" t="s">
        <v>423</v>
      </c>
      <c r="IB175" t="s">
        <v>423</v>
      </c>
      <c r="IC175" t="s">
        <v>423</v>
      </c>
      <c r="ID175" t="s">
        <v>423</v>
      </c>
      <c r="IE175">
        <v>0</v>
      </c>
      <c r="IF175">
        <v>100</v>
      </c>
      <c r="IG175">
        <v>100</v>
      </c>
      <c r="IH175">
        <v>-0.055</v>
      </c>
      <c r="II175">
        <v>0.0461</v>
      </c>
      <c r="IJ175">
        <v>1.257309091789605</v>
      </c>
      <c r="IK175">
        <v>-0.002185601614162945</v>
      </c>
      <c r="IL175">
        <v>-2.252308143750626E-07</v>
      </c>
      <c r="IM175">
        <v>5.915558436307541E-11</v>
      </c>
      <c r="IN175">
        <v>-0.118683452207699</v>
      </c>
      <c r="IO175">
        <v>-0.007570214193104963</v>
      </c>
      <c r="IP175">
        <v>0.0009214429922928372</v>
      </c>
      <c r="IQ175">
        <v>-1.392260276065805E-05</v>
      </c>
      <c r="IR175">
        <v>17</v>
      </c>
      <c r="IS175">
        <v>2272</v>
      </c>
      <c r="IT175">
        <v>1</v>
      </c>
      <c r="IU175">
        <v>31</v>
      </c>
      <c r="IV175">
        <v>21.2</v>
      </c>
      <c r="IW175">
        <v>21.5</v>
      </c>
      <c r="IX175">
        <v>1.48071</v>
      </c>
      <c r="IY175">
        <v>2.229</v>
      </c>
      <c r="IZ175">
        <v>1.39648</v>
      </c>
      <c r="JA175">
        <v>2.35474</v>
      </c>
      <c r="JB175">
        <v>1.49536</v>
      </c>
      <c r="JC175">
        <v>2.30469</v>
      </c>
      <c r="JD175">
        <v>36.9556</v>
      </c>
      <c r="JE175">
        <v>15.244</v>
      </c>
      <c r="JF175">
        <v>18</v>
      </c>
      <c r="JG175">
        <v>389.285</v>
      </c>
      <c r="JH175">
        <v>566.912</v>
      </c>
      <c r="JI175">
        <v>29.3654</v>
      </c>
      <c r="JJ175">
        <v>30.7997</v>
      </c>
      <c r="JK175">
        <v>30.0003</v>
      </c>
      <c r="JL175">
        <v>30.692</v>
      </c>
      <c r="JM175">
        <v>30.589</v>
      </c>
      <c r="JN175">
        <v>29.6505</v>
      </c>
      <c r="JO175">
        <v>30.5251</v>
      </c>
      <c r="JP175">
        <v>0</v>
      </c>
      <c r="JQ175">
        <v>29.3792</v>
      </c>
      <c r="JR175">
        <v>660.537</v>
      </c>
      <c r="JS175">
        <v>17.9027</v>
      </c>
      <c r="JT175">
        <v>99.9405</v>
      </c>
      <c r="JU175">
        <v>100.045</v>
      </c>
    </row>
    <row r="176" spans="1:281">
      <c r="A176">
        <v>160</v>
      </c>
      <c r="B176">
        <v>1652372569</v>
      </c>
      <c r="C176">
        <v>4475.400000095367</v>
      </c>
      <c r="D176" t="s">
        <v>788</v>
      </c>
      <c r="E176" t="s">
        <v>789</v>
      </c>
      <c r="F176">
        <v>5</v>
      </c>
      <c r="G176" t="s">
        <v>711</v>
      </c>
      <c r="H176" t="s">
        <v>414</v>
      </c>
      <c r="I176">
        <v>1652372561.5</v>
      </c>
      <c r="J176">
        <f>(K176)/1000</f>
        <v>0</v>
      </c>
      <c r="K176">
        <f>IF(CZ176, AN176, AH176)</f>
        <v>0</v>
      </c>
      <c r="L176">
        <f>IF(CZ176, AI176, AG176)</f>
        <v>0</v>
      </c>
      <c r="M176">
        <f>DB176 - IF(AU176&gt;1, L176*CV176*100.0/(AW176*DP176), 0)</f>
        <v>0</v>
      </c>
      <c r="N176">
        <f>((T176-J176/2)*M176-L176)/(T176+J176/2)</f>
        <v>0</v>
      </c>
      <c r="O176">
        <f>N176*(DI176+DJ176)/1000.0</f>
        <v>0</v>
      </c>
      <c r="P176">
        <f>(DB176 - IF(AU176&gt;1, L176*CV176*100.0/(AW176*DP176), 0))*(DI176+DJ176)/1000.0</f>
        <v>0</v>
      </c>
      <c r="Q176">
        <f>2.0/((1/S176-1/R176)+SIGN(S176)*SQRT((1/S176-1/R176)*(1/S176-1/R176) + 4*CW176/((CW176+1)*(CW176+1))*(2*1/S176*1/R176-1/R176*1/R176)))</f>
        <v>0</v>
      </c>
      <c r="R176">
        <f>IF(LEFT(CX176,1)&lt;&gt;"0",IF(LEFT(CX176,1)="1",3.0,CY176),$D$5+$E$5*(DP176*DI176/($K$5*1000))+$F$5*(DP176*DI176/($K$5*1000))*MAX(MIN(CV176,$J$5),$I$5)*MAX(MIN(CV176,$J$5),$I$5)+$G$5*MAX(MIN(CV176,$J$5),$I$5)*(DP176*DI176/($K$5*1000))+$H$5*(DP176*DI176/($K$5*1000))*(DP176*DI176/($K$5*1000)))</f>
        <v>0</v>
      </c>
      <c r="S176">
        <f>J176*(1000-(1000*0.61365*exp(17.502*W176/(240.97+W176))/(DI176+DJ176)+DD176)/2)/(1000*0.61365*exp(17.502*W176/(240.97+W176))/(DI176+DJ176)-DD176)</f>
        <v>0</v>
      </c>
      <c r="T176">
        <f>1/((CW176+1)/(Q176/1.6)+1/(R176/1.37)) + CW176/((CW176+1)/(Q176/1.6) + CW176/(R176/1.37))</f>
        <v>0</v>
      </c>
      <c r="U176">
        <f>(CR176*CU176)</f>
        <v>0</v>
      </c>
      <c r="V176">
        <f>(DK176+(U176+2*0.95*5.67E-8*(((DK176+$B$7)+273)^4-(DK176+273)^4)-44100*J176)/(1.84*29.3*R176+8*0.95*5.67E-8*(DK176+273)^3))</f>
        <v>0</v>
      </c>
      <c r="W176">
        <f>($C$7*DL176+$D$7*DM176+$E$7*V176)</f>
        <v>0</v>
      </c>
      <c r="X176">
        <f>0.61365*exp(17.502*W176/(240.97+W176))</f>
        <v>0</v>
      </c>
      <c r="Y176">
        <f>(Z176/AA176*100)</f>
        <v>0</v>
      </c>
      <c r="Z176">
        <f>DD176*(DI176+DJ176)/1000</f>
        <v>0</v>
      </c>
      <c r="AA176">
        <f>0.61365*exp(17.502*DK176/(240.97+DK176))</f>
        <v>0</v>
      </c>
      <c r="AB176">
        <f>(X176-DD176*(DI176+DJ176)/1000)</f>
        <v>0</v>
      </c>
      <c r="AC176">
        <f>(-J176*44100)</f>
        <v>0</v>
      </c>
      <c r="AD176">
        <f>2*29.3*R176*0.92*(DK176-W176)</f>
        <v>0</v>
      </c>
      <c r="AE176">
        <f>2*0.95*5.67E-8*(((DK176+$B$7)+273)^4-(W176+273)^4)</f>
        <v>0</v>
      </c>
      <c r="AF176">
        <f>U176+AE176+AC176+AD176</f>
        <v>0</v>
      </c>
      <c r="AG176">
        <f>DH176*AU176*(DC176-DB176*(1000-AU176*DE176)/(1000-AU176*DD176))/(100*CV176)</f>
        <v>0</v>
      </c>
      <c r="AH176">
        <f>1000*DH176*AU176*(DD176-DE176)/(100*CV176*(1000-AU176*DD176))</f>
        <v>0</v>
      </c>
      <c r="AI176">
        <f>(AJ176 - AK176 - DI176*1E3/(8.314*(DK176+273.15)) * AM176/DH176 * AL176) * DH176/(100*CV176) * (1000 - DE176)/1000</f>
        <v>0</v>
      </c>
      <c r="AJ176">
        <v>651.3001313327101</v>
      </c>
      <c r="AK176">
        <v>600.9250181818181</v>
      </c>
      <c r="AL176">
        <v>3.27228501797279</v>
      </c>
      <c r="AM176">
        <v>65.96288611109561</v>
      </c>
      <c r="AN176">
        <f>(AP176 - AO176 + DI176*1E3/(8.314*(DK176+273.15)) * AR176/DH176 * AQ176) * DH176/(100*CV176) * 1000/(1000 - AP176)</f>
        <v>0</v>
      </c>
      <c r="AO176">
        <v>17.86985892352402</v>
      </c>
      <c r="AP176">
        <v>24.69995944055945</v>
      </c>
      <c r="AQ176">
        <v>2.677681357161023E-05</v>
      </c>
      <c r="AR176">
        <v>81.18387902069509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MAX(0,($B$13+$C$13*DP176)/(1+$D$13*DP176)*DI176/(DK176+273)*$E$13)</f>
        <v>0</v>
      </c>
      <c r="AX176" t="s">
        <v>417</v>
      </c>
      <c r="AY176" t="s">
        <v>417</v>
      </c>
      <c r="AZ176">
        <v>0</v>
      </c>
      <c r="BA176">
        <v>0</v>
      </c>
      <c r="BB176">
        <f>1-AZ176/BA176</f>
        <v>0</v>
      </c>
      <c r="BC176">
        <v>0</v>
      </c>
      <c r="BD176" t="s">
        <v>417</v>
      </c>
      <c r="BE176" t="s">
        <v>417</v>
      </c>
      <c r="BF176">
        <v>0</v>
      </c>
      <c r="BG176">
        <v>0</v>
      </c>
      <c r="BH176">
        <f>1-BF176/BG176</f>
        <v>0</v>
      </c>
      <c r="BI176">
        <v>0.5</v>
      </c>
      <c r="BJ176">
        <f>CS176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417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1393</v>
      </c>
      <c r="CA176">
        <v>300</v>
      </c>
      <c r="CB176">
        <v>300</v>
      </c>
      <c r="CC176">
        <v>300</v>
      </c>
      <c r="CD176">
        <v>10378</v>
      </c>
      <c r="CE176">
        <v>2050</v>
      </c>
      <c r="CF176">
        <v>-0.00730649</v>
      </c>
      <c r="CG176">
        <v>-4.53</v>
      </c>
      <c r="CH176" t="s">
        <v>417</v>
      </c>
      <c r="CI176" t="s">
        <v>417</v>
      </c>
      <c r="CJ176" t="s">
        <v>417</v>
      </c>
      <c r="CK176" t="s">
        <v>417</v>
      </c>
      <c r="CL176" t="s">
        <v>417</v>
      </c>
      <c r="CM176" t="s">
        <v>417</v>
      </c>
      <c r="CN176" t="s">
        <v>417</v>
      </c>
      <c r="CO176" t="s">
        <v>417</v>
      </c>
      <c r="CP176" t="s">
        <v>417</v>
      </c>
      <c r="CQ176" t="s">
        <v>417</v>
      </c>
      <c r="CR176">
        <f>$B$11*DQ176+$C$11*DR176+$F$11*EC176*(1-EF176)</f>
        <v>0</v>
      </c>
      <c r="CS176">
        <f>CR176*CT176</f>
        <v>0</v>
      </c>
      <c r="CT176">
        <f>($B$11*$D$9+$C$11*$D$9+$F$11*((EP176+EH176)/MAX(EP176+EH176+EQ176, 0.1)*$I$9+EQ176/MAX(EP176+EH176+EQ176, 0.1)*$J$9))/($B$11+$C$11+$F$11)</f>
        <v>0</v>
      </c>
      <c r="CU176">
        <f>($B$11*$K$9+$C$11*$K$9+$F$11*((EP176+EH176)/MAX(EP176+EH176+EQ176, 0.1)*$P$9+EQ176/MAX(EP176+EH176+EQ176, 0.1)*$Q$9))/($B$11+$C$11+$F$11)</f>
        <v>0</v>
      </c>
      <c r="CV176">
        <v>6</v>
      </c>
      <c r="CW176">
        <v>0.5</v>
      </c>
      <c r="CX176" t="s">
        <v>418</v>
      </c>
      <c r="CY176">
        <v>2</v>
      </c>
      <c r="CZ176" t="b">
        <v>1</v>
      </c>
      <c r="DA176">
        <v>1652372561.5</v>
      </c>
      <c r="DB176">
        <v>563.7856296296296</v>
      </c>
      <c r="DC176">
        <v>627.5507777777777</v>
      </c>
      <c r="DD176">
        <v>24.69835925925926</v>
      </c>
      <c r="DE176">
        <v>17.86991851851852</v>
      </c>
      <c r="DF176">
        <v>563.8217777777778</v>
      </c>
      <c r="DG176">
        <v>24.65226296296296</v>
      </c>
      <c r="DH176">
        <v>400.0714074074073</v>
      </c>
      <c r="DI176">
        <v>90.39696666666667</v>
      </c>
      <c r="DJ176">
        <v>0.09998768888888891</v>
      </c>
      <c r="DK176">
        <v>30.7957962962963</v>
      </c>
      <c r="DL176">
        <v>29.95574074074074</v>
      </c>
      <c r="DM176">
        <v>999.9000000000001</v>
      </c>
      <c r="DN176">
        <v>0</v>
      </c>
      <c r="DO176">
        <v>0</v>
      </c>
      <c r="DP176">
        <v>9995.137407407406</v>
      </c>
      <c r="DQ176">
        <v>0</v>
      </c>
      <c r="DR176">
        <v>439.4999999999999</v>
      </c>
      <c r="DS176">
        <v>-63.76515925925925</v>
      </c>
      <c r="DT176">
        <v>578.062962962963</v>
      </c>
      <c r="DU176">
        <v>638.9691111111111</v>
      </c>
      <c r="DV176">
        <v>6.828434444444445</v>
      </c>
      <c r="DW176">
        <v>627.5507777777777</v>
      </c>
      <c r="DX176">
        <v>17.86991851851852</v>
      </c>
      <c r="DY176">
        <v>2.232656296296296</v>
      </c>
      <c r="DZ176">
        <v>1.615385925925926</v>
      </c>
      <c r="EA176">
        <v>19.19857407407407</v>
      </c>
      <c r="EB176">
        <v>14.10636666666667</v>
      </c>
      <c r="EC176">
        <v>1500.037407407407</v>
      </c>
      <c r="ED176">
        <v>0.9729987037037036</v>
      </c>
      <c r="EE176">
        <v>0.02700147407407407</v>
      </c>
      <c r="EF176">
        <v>0</v>
      </c>
      <c r="EG176">
        <v>1756.43037037037</v>
      </c>
      <c r="EH176">
        <v>5.00097</v>
      </c>
      <c r="EI176">
        <v>27158.96296296296</v>
      </c>
      <c r="EJ176">
        <v>12491.9037037037</v>
      </c>
      <c r="EK176">
        <v>40.06199999999999</v>
      </c>
      <c r="EL176">
        <v>41.56199999999999</v>
      </c>
      <c r="EM176">
        <v>40.29592592592592</v>
      </c>
      <c r="EN176">
        <v>41.39796296296296</v>
      </c>
      <c r="EO176">
        <v>41.13418518518519</v>
      </c>
      <c r="EP176">
        <v>1454.666666666667</v>
      </c>
      <c r="EQ176">
        <v>40.37074074074073</v>
      </c>
      <c r="ER176">
        <v>0</v>
      </c>
      <c r="ES176">
        <v>1403.199999809265</v>
      </c>
      <c r="ET176">
        <v>0</v>
      </c>
      <c r="EU176">
        <v>1756.0776</v>
      </c>
      <c r="EV176">
        <v>-41.87692313872019</v>
      </c>
      <c r="EW176">
        <v>-348.6384617873914</v>
      </c>
      <c r="EX176">
        <v>27154.58</v>
      </c>
      <c r="EY176">
        <v>15</v>
      </c>
      <c r="EZ176">
        <v>1652371289.6</v>
      </c>
      <c r="FA176" t="s">
        <v>515</v>
      </c>
      <c r="FB176">
        <v>1652371289.6</v>
      </c>
      <c r="FC176">
        <v>1652371275.1</v>
      </c>
      <c r="FD176">
        <v>24</v>
      </c>
      <c r="FE176">
        <v>0.442</v>
      </c>
      <c r="FF176">
        <v>0.001</v>
      </c>
      <c r="FG176">
        <v>-2.63</v>
      </c>
      <c r="FH176">
        <v>0.007</v>
      </c>
      <c r="FI176">
        <v>1620</v>
      </c>
      <c r="FJ176">
        <v>22</v>
      </c>
      <c r="FK176">
        <v>0.08</v>
      </c>
      <c r="FL176">
        <v>0.04</v>
      </c>
      <c r="FM176">
        <v>-63.01790249999999</v>
      </c>
      <c r="FN176">
        <v>-11.62684840525326</v>
      </c>
      <c r="FO176">
        <v>1.128465454608049</v>
      </c>
      <c r="FP176">
        <v>-1</v>
      </c>
      <c r="FQ176">
        <v>6.832589749999999</v>
      </c>
      <c r="FR176">
        <v>-0.06688018761728588</v>
      </c>
      <c r="FS176">
        <v>0.007362779532045055</v>
      </c>
      <c r="FT176">
        <v>1</v>
      </c>
      <c r="FU176">
        <v>0</v>
      </c>
      <c r="FV176">
        <v>0</v>
      </c>
      <c r="FW176">
        <v>0</v>
      </c>
      <c r="FX176">
        <v>-1</v>
      </c>
      <c r="FY176">
        <v>1</v>
      </c>
      <c r="FZ176">
        <v>1</v>
      </c>
      <c r="GA176" t="s">
        <v>420</v>
      </c>
      <c r="GB176">
        <v>2.69567</v>
      </c>
      <c r="GC176">
        <v>2.70516</v>
      </c>
      <c r="GD176">
        <v>0.119554</v>
      </c>
      <c r="GE176">
        <v>0.127365</v>
      </c>
      <c r="GF176">
        <v>0.108163</v>
      </c>
      <c r="GG176">
        <v>0.0848506</v>
      </c>
      <c r="GH176">
        <v>27673</v>
      </c>
      <c r="GI176">
        <v>27544.8</v>
      </c>
      <c r="GJ176">
        <v>29238.8</v>
      </c>
      <c r="GK176">
        <v>29210.3</v>
      </c>
      <c r="GL176">
        <v>34524.1</v>
      </c>
      <c r="GM176">
        <v>35584.5</v>
      </c>
      <c r="GN176">
        <v>41152.8</v>
      </c>
      <c r="GO176">
        <v>41677.3</v>
      </c>
      <c r="GP176">
        <v>1.72545</v>
      </c>
      <c r="GQ176">
        <v>2.02947</v>
      </c>
      <c r="GR176">
        <v>0.0628382</v>
      </c>
      <c r="GS176">
        <v>0</v>
      </c>
      <c r="GT176">
        <v>28.9428</v>
      </c>
      <c r="GU176">
        <v>999.9</v>
      </c>
      <c r="GV176">
        <v>44.5</v>
      </c>
      <c r="GW176">
        <v>33.3</v>
      </c>
      <c r="GX176">
        <v>25.2917</v>
      </c>
      <c r="GY176">
        <v>63.148</v>
      </c>
      <c r="GZ176">
        <v>29.0545</v>
      </c>
      <c r="HA176">
        <v>1</v>
      </c>
      <c r="HB176">
        <v>0.26314</v>
      </c>
      <c r="HC176">
        <v>0.134891</v>
      </c>
      <c r="HD176">
        <v>20.3815</v>
      </c>
      <c r="HE176">
        <v>5.21714</v>
      </c>
      <c r="HF176">
        <v>12.0099</v>
      </c>
      <c r="HG176">
        <v>4.98805</v>
      </c>
      <c r="HH176">
        <v>3.28825</v>
      </c>
      <c r="HI176">
        <v>2727.7</v>
      </c>
      <c r="HJ176">
        <v>9999</v>
      </c>
      <c r="HK176">
        <v>9999</v>
      </c>
      <c r="HL176">
        <v>50.1</v>
      </c>
      <c r="HM176">
        <v>1.86722</v>
      </c>
      <c r="HN176">
        <v>1.86628</v>
      </c>
      <c r="HO176">
        <v>1.8658</v>
      </c>
      <c r="HP176">
        <v>1.86569</v>
      </c>
      <c r="HQ176">
        <v>1.86752</v>
      </c>
      <c r="HR176">
        <v>1.86999</v>
      </c>
      <c r="HS176">
        <v>1.86863</v>
      </c>
      <c r="HT176">
        <v>1.87002</v>
      </c>
      <c r="HU176">
        <v>0</v>
      </c>
      <c r="HV176">
        <v>0</v>
      </c>
      <c r="HW176">
        <v>0</v>
      </c>
      <c r="HX176">
        <v>0</v>
      </c>
      <c r="HY176" t="s">
        <v>421</v>
      </c>
      <c r="HZ176" t="s">
        <v>422</v>
      </c>
      <c r="IA176" t="s">
        <v>423</v>
      </c>
      <c r="IB176" t="s">
        <v>423</v>
      </c>
      <c r="IC176" t="s">
        <v>423</v>
      </c>
      <c r="ID176" t="s">
        <v>423</v>
      </c>
      <c r="IE176">
        <v>0</v>
      </c>
      <c r="IF176">
        <v>100</v>
      </c>
      <c r="IG176">
        <v>100</v>
      </c>
      <c r="IH176">
        <v>-0.093</v>
      </c>
      <c r="II176">
        <v>0.0461</v>
      </c>
      <c r="IJ176">
        <v>1.257309091789605</v>
      </c>
      <c r="IK176">
        <v>-0.002185601614162945</v>
      </c>
      <c r="IL176">
        <v>-2.252308143750626E-07</v>
      </c>
      <c r="IM176">
        <v>5.915558436307541E-11</v>
      </c>
      <c r="IN176">
        <v>-0.118683452207699</v>
      </c>
      <c r="IO176">
        <v>-0.007570214193104963</v>
      </c>
      <c r="IP176">
        <v>0.0009214429922928372</v>
      </c>
      <c r="IQ176">
        <v>-1.392260276065805E-05</v>
      </c>
      <c r="IR176">
        <v>17</v>
      </c>
      <c r="IS176">
        <v>2272</v>
      </c>
      <c r="IT176">
        <v>1</v>
      </c>
      <c r="IU176">
        <v>31</v>
      </c>
      <c r="IV176">
        <v>21.3</v>
      </c>
      <c r="IW176">
        <v>21.6</v>
      </c>
      <c r="IX176">
        <v>1.51123</v>
      </c>
      <c r="IY176">
        <v>2.23145</v>
      </c>
      <c r="IZ176">
        <v>1.39648</v>
      </c>
      <c r="JA176">
        <v>2.35474</v>
      </c>
      <c r="JB176">
        <v>1.49536</v>
      </c>
      <c r="JC176">
        <v>2.27173</v>
      </c>
      <c r="JD176">
        <v>36.9794</v>
      </c>
      <c r="JE176">
        <v>15.244</v>
      </c>
      <c r="JF176">
        <v>18</v>
      </c>
      <c r="JG176">
        <v>389.292</v>
      </c>
      <c r="JH176">
        <v>566.819</v>
      </c>
      <c r="JI176">
        <v>29.3978</v>
      </c>
      <c r="JJ176">
        <v>30.8031</v>
      </c>
      <c r="JK176">
        <v>30.0004</v>
      </c>
      <c r="JL176">
        <v>30.6954</v>
      </c>
      <c r="JM176">
        <v>30.5931</v>
      </c>
      <c r="JN176">
        <v>30.2912</v>
      </c>
      <c r="JO176">
        <v>30.5251</v>
      </c>
      <c r="JP176">
        <v>0</v>
      </c>
      <c r="JQ176">
        <v>29.4077</v>
      </c>
      <c r="JR176">
        <v>673.898</v>
      </c>
      <c r="JS176">
        <v>17.8976</v>
      </c>
      <c r="JT176">
        <v>99.9413</v>
      </c>
      <c r="JU176">
        <v>100.043</v>
      </c>
    </row>
    <row r="177" spans="1:281">
      <c r="A177">
        <v>161</v>
      </c>
      <c r="B177">
        <v>1652372574</v>
      </c>
      <c r="C177">
        <v>4480.400000095367</v>
      </c>
      <c r="D177" t="s">
        <v>790</v>
      </c>
      <c r="E177" t="s">
        <v>791</v>
      </c>
      <c r="F177">
        <v>5</v>
      </c>
      <c r="G177" t="s">
        <v>711</v>
      </c>
      <c r="H177" t="s">
        <v>414</v>
      </c>
      <c r="I177">
        <v>1652372566.214286</v>
      </c>
      <c r="J177">
        <f>(K177)/1000</f>
        <v>0</v>
      </c>
      <c r="K177">
        <f>IF(CZ177, AN177, AH177)</f>
        <v>0</v>
      </c>
      <c r="L177">
        <f>IF(CZ177, AI177, AG177)</f>
        <v>0</v>
      </c>
      <c r="M177">
        <f>DB177 - IF(AU177&gt;1, L177*CV177*100.0/(AW177*DP177), 0)</f>
        <v>0</v>
      </c>
      <c r="N177">
        <f>((T177-J177/2)*M177-L177)/(T177+J177/2)</f>
        <v>0</v>
      </c>
      <c r="O177">
        <f>N177*(DI177+DJ177)/1000.0</f>
        <v>0</v>
      </c>
      <c r="P177">
        <f>(DB177 - IF(AU177&gt;1, L177*CV177*100.0/(AW177*DP177), 0))*(DI177+DJ177)/1000.0</f>
        <v>0</v>
      </c>
      <c r="Q177">
        <f>2.0/((1/S177-1/R177)+SIGN(S177)*SQRT((1/S177-1/R177)*(1/S177-1/R177) + 4*CW177/((CW177+1)*(CW177+1))*(2*1/S177*1/R177-1/R177*1/R177)))</f>
        <v>0</v>
      </c>
      <c r="R177">
        <f>IF(LEFT(CX177,1)&lt;&gt;"0",IF(LEFT(CX177,1)="1",3.0,CY177),$D$5+$E$5*(DP177*DI177/($K$5*1000))+$F$5*(DP177*DI177/($K$5*1000))*MAX(MIN(CV177,$J$5),$I$5)*MAX(MIN(CV177,$J$5),$I$5)+$G$5*MAX(MIN(CV177,$J$5),$I$5)*(DP177*DI177/($K$5*1000))+$H$5*(DP177*DI177/($K$5*1000))*(DP177*DI177/($K$5*1000)))</f>
        <v>0</v>
      </c>
      <c r="S177">
        <f>J177*(1000-(1000*0.61365*exp(17.502*W177/(240.97+W177))/(DI177+DJ177)+DD177)/2)/(1000*0.61365*exp(17.502*W177/(240.97+W177))/(DI177+DJ177)-DD177)</f>
        <v>0</v>
      </c>
      <c r="T177">
        <f>1/((CW177+1)/(Q177/1.6)+1/(R177/1.37)) + CW177/((CW177+1)/(Q177/1.6) + CW177/(R177/1.37))</f>
        <v>0</v>
      </c>
      <c r="U177">
        <f>(CR177*CU177)</f>
        <v>0</v>
      </c>
      <c r="V177">
        <f>(DK177+(U177+2*0.95*5.67E-8*(((DK177+$B$7)+273)^4-(DK177+273)^4)-44100*J177)/(1.84*29.3*R177+8*0.95*5.67E-8*(DK177+273)^3))</f>
        <v>0</v>
      </c>
      <c r="W177">
        <f>($C$7*DL177+$D$7*DM177+$E$7*V177)</f>
        <v>0</v>
      </c>
      <c r="X177">
        <f>0.61365*exp(17.502*W177/(240.97+W177))</f>
        <v>0</v>
      </c>
      <c r="Y177">
        <f>(Z177/AA177*100)</f>
        <v>0</v>
      </c>
      <c r="Z177">
        <f>DD177*(DI177+DJ177)/1000</f>
        <v>0</v>
      </c>
      <c r="AA177">
        <f>0.61365*exp(17.502*DK177/(240.97+DK177))</f>
        <v>0</v>
      </c>
      <c r="AB177">
        <f>(X177-DD177*(DI177+DJ177)/1000)</f>
        <v>0</v>
      </c>
      <c r="AC177">
        <f>(-J177*44100)</f>
        <v>0</v>
      </c>
      <c r="AD177">
        <f>2*29.3*R177*0.92*(DK177-W177)</f>
        <v>0</v>
      </c>
      <c r="AE177">
        <f>2*0.95*5.67E-8*(((DK177+$B$7)+273)^4-(W177+273)^4)</f>
        <v>0</v>
      </c>
      <c r="AF177">
        <f>U177+AE177+AC177+AD177</f>
        <v>0</v>
      </c>
      <c r="AG177">
        <f>DH177*AU177*(DC177-DB177*(1000-AU177*DE177)/(1000-AU177*DD177))/(100*CV177)</f>
        <v>0</v>
      </c>
      <c r="AH177">
        <f>1000*DH177*AU177*(DD177-DE177)/(100*CV177*(1000-AU177*DD177))</f>
        <v>0</v>
      </c>
      <c r="AI177">
        <f>(AJ177 - AK177 - DI177*1E3/(8.314*(DK177+273.15)) * AM177/DH177 * AL177) * DH177/(100*CV177) * (1000 - DE177)/1000</f>
        <v>0</v>
      </c>
      <c r="AJ177">
        <v>668.5314560271315</v>
      </c>
      <c r="AK177">
        <v>617.4933757575757</v>
      </c>
      <c r="AL177">
        <v>3.314109874791289</v>
      </c>
      <c r="AM177">
        <v>65.96288611109561</v>
      </c>
      <c r="AN177">
        <f>(AP177 - AO177 + DI177*1E3/(8.314*(DK177+273.15)) * AR177/DH177 * AQ177) * DH177/(100*CV177) * 1000/(1000 - AP177)</f>
        <v>0</v>
      </c>
      <c r="AO177">
        <v>17.86991205503943</v>
      </c>
      <c r="AP177">
        <v>24.70051468531469</v>
      </c>
      <c r="AQ177">
        <v>-4.152752229601222E-05</v>
      </c>
      <c r="AR177">
        <v>81.18387902069509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MAX(0,($B$13+$C$13*DP177)/(1+$D$13*DP177)*DI177/(DK177+273)*$E$13)</f>
        <v>0</v>
      </c>
      <c r="AX177" t="s">
        <v>417</v>
      </c>
      <c r="AY177" t="s">
        <v>417</v>
      </c>
      <c r="AZ177">
        <v>0</v>
      </c>
      <c r="BA177">
        <v>0</v>
      </c>
      <c r="BB177">
        <f>1-AZ177/BA177</f>
        <v>0</v>
      </c>
      <c r="BC177">
        <v>0</v>
      </c>
      <c r="BD177" t="s">
        <v>417</v>
      </c>
      <c r="BE177" t="s">
        <v>417</v>
      </c>
      <c r="BF177">
        <v>0</v>
      </c>
      <c r="BG177">
        <v>0</v>
      </c>
      <c r="BH177">
        <f>1-BF177/BG177</f>
        <v>0</v>
      </c>
      <c r="BI177">
        <v>0.5</v>
      </c>
      <c r="BJ177">
        <f>CS177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417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1393</v>
      </c>
      <c r="CA177">
        <v>300</v>
      </c>
      <c r="CB177">
        <v>300</v>
      </c>
      <c r="CC177">
        <v>300</v>
      </c>
      <c r="CD177">
        <v>10378</v>
      </c>
      <c r="CE177">
        <v>2050</v>
      </c>
      <c r="CF177">
        <v>-0.00730649</v>
      </c>
      <c r="CG177">
        <v>-4.53</v>
      </c>
      <c r="CH177" t="s">
        <v>417</v>
      </c>
      <c r="CI177" t="s">
        <v>417</v>
      </c>
      <c r="CJ177" t="s">
        <v>417</v>
      </c>
      <c r="CK177" t="s">
        <v>417</v>
      </c>
      <c r="CL177" t="s">
        <v>417</v>
      </c>
      <c r="CM177" t="s">
        <v>417</v>
      </c>
      <c r="CN177" t="s">
        <v>417</v>
      </c>
      <c r="CO177" t="s">
        <v>417</v>
      </c>
      <c r="CP177" t="s">
        <v>417</v>
      </c>
      <c r="CQ177" t="s">
        <v>417</v>
      </c>
      <c r="CR177">
        <f>$B$11*DQ177+$C$11*DR177+$F$11*EC177*(1-EF177)</f>
        <v>0</v>
      </c>
      <c r="CS177">
        <f>CR177*CT177</f>
        <v>0</v>
      </c>
      <c r="CT177">
        <f>($B$11*$D$9+$C$11*$D$9+$F$11*((EP177+EH177)/MAX(EP177+EH177+EQ177, 0.1)*$I$9+EQ177/MAX(EP177+EH177+EQ177, 0.1)*$J$9))/($B$11+$C$11+$F$11)</f>
        <v>0</v>
      </c>
      <c r="CU177">
        <f>($B$11*$K$9+$C$11*$K$9+$F$11*((EP177+EH177)/MAX(EP177+EH177+EQ177, 0.1)*$P$9+EQ177/MAX(EP177+EH177+EQ177, 0.1)*$Q$9))/($B$11+$C$11+$F$11)</f>
        <v>0</v>
      </c>
      <c r="CV177">
        <v>6</v>
      </c>
      <c r="CW177">
        <v>0.5</v>
      </c>
      <c r="CX177" t="s">
        <v>418</v>
      </c>
      <c r="CY177">
        <v>2</v>
      </c>
      <c r="CZ177" t="b">
        <v>1</v>
      </c>
      <c r="DA177">
        <v>1652372566.214286</v>
      </c>
      <c r="DB177">
        <v>578.8226071428571</v>
      </c>
      <c r="DC177">
        <v>643.344642857143</v>
      </c>
      <c r="DD177">
        <v>24.69770714285714</v>
      </c>
      <c r="DE177">
        <v>17.86993928571429</v>
      </c>
      <c r="DF177">
        <v>578.8947142857143</v>
      </c>
      <c r="DG177">
        <v>24.65161785714286</v>
      </c>
      <c r="DH177">
        <v>400.0705357142858</v>
      </c>
      <c r="DI177">
        <v>90.39545357142856</v>
      </c>
      <c r="DJ177">
        <v>0.09998422857142855</v>
      </c>
      <c r="DK177">
        <v>30.80172857142858</v>
      </c>
      <c r="DL177">
        <v>29.96169285714285</v>
      </c>
      <c r="DM177">
        <v>999.9000000000002</v>
      </c>
      <c r="DN177">
        <v>0</v>
      </c>
      <c r="DO177">
        <v>0</v>
      </c>
      <c r="DP177">
        <v>9994.599642857142</v>
      </c>
      <c r="DQ177">
        <v>0</v>
      </c>
      <c r="DR177">
        <v>441.0703571428572</v>
      </c>
      <c r="DS177">
        <v>-64.52193571428572</v>
      </c>
      <c r="DT177">
        <v>593.4803571428572</v>
      </c>
      <c r="DU177">
        <v>655.0503214285715</v>
      </c>
      <c r="DV177">
        <v>6.827767499999999</v>
      </c>
      <c r="DW177">
        <v>643.344642857143</v>
      </c>
      <c r="DX177">
        <v>17.86993928571429</v>
      </c>
      <c r="DY177">
        <v>2.232559642857143</v>
      </c>
      <c r="DZ177">
        <v>1.615360714285714</v>
      </c>
      <c r="EA177">
        <v>19.19788214285714</v>
      </c>
      <c r="EB177">
        <v>14.10612142857143</v>
      </c>
      <c r="EC177">
        <v>1499.997857142857</v>
      </c>
      <c r="ED177">
        <v>0.9729982142857141</v>
      </c>
      <c r="EE177">
        <v>0.02700199285714286</v>
      </c>
      <c r="EF177">
        <v>0</v>
      </c>
      <c r="EG177">
        <v>1753.008214285715</v>
      </c>
      <c r="EH177">
        <v>5.00097</v>
      </c>
      <c r="EI177">
        <v>27110.66785714285</v>
      </c>
      <c r="EJ177">
        <v>12491.575</v>
      </c>
      <c r="EK177">
        <v>40.06199999999999</v>
      </c>
      <c r="EL177">
        <v>41.56199999999999</v>
      </c>
      <c r="EM177">
        <v>40.29871428571428</v>
      </c>
      <c r="EN177">
        <v>41.40157142857142</v>
      </c>
      <c r="EO177">
        <v>41.14271428571429</v>
      </c>
      <c r="EP177">
        <v>1454.627142857143</v>
      </c>
      <c r="EQ177">
        <v>40.37071428571427</v>
      </c>
      <c r="ER177">
        <v>0</v>
      </c>
      <c r="ES177">
        <v>1408</v>
      </c>
      <c r="ET177">
        <v>0</v>
      </c>
      <c r="EU177">
        <v>1752.6468</v>
      </c>
      <c r="EV177">
        <v>-42.14076915679063</v>
      </c>
      <c r="EW177">
        <v>-735.1384601826699</v>
      </c>
      <c r="EX177">
        <v>27106.544</v>
      </c>
      <c r="EY177">
        <v>15</v>
      </c>
      <c r="EZ177">
        <v>1652371289.6</v>
      </c>
      <c r="FA177" t="s">
        <v>515</v>
      </c>
      <c r="FB177">
        <v>1652371289.6</v>
      </c>
      <c r="FC177">
        <v>1652371275.1</v>
      </c>
      <c r="FD177">
        <v>24</v>
      </c>
      <c r="FE177">
        <v>0.442</v>
      </c>
      <c r="FF177">
        <v>0.001</v>
      </c>
      <c r="FG177">
        <v>-2.63</v>
      </c>
      <c r="FH177">
        <v>0.007</v>
      </c>
      <c r="FI177">
        <v>1620</v>
      </c>
      <c r="FJ177">
        <v>22</v>
      </c>
      <c r="FK177">
        <v>0.08</v>
      </c>
      <c r="FL177">
        <v>0.04</v>
      </c>
      <c r="FM177">
        <v>-64.11422999999999</v>
      </c>
      <c r="FN177">
        <v>-9.700926078799156</v>
      </c>
      <c r="FO177">
        <v>0.9404124162302407</v>
      </c>
      <c r="FP177">
        <v>-1</v>
      </c>
      <c r="FQ177">
        <v>6.82862525</v>
      </c>
      <c r="FR177">
        <v>-0.007312908067561053</v>
      </c>
      <c r="FS177">
        <v>0.002617304899605767</v>
      </c>
      <c r="FT177">
        <v>1</v>
      </c>
      <c r="FU177">
        <v>0</v>
      </c>
      <c r="FV177">
        <v>0</v>
      </c>
      <c r="FW177">
        <v>0</v>
      </c>
      <c r="FX177">
        <v>-1</v>
      </c>
      <c r="FY177">
        <v>1</v>
      </c>
      <c r="FZ177">
        <v>1</v>
      </c>
      <c r="GA177" t="s">
        <v>420</v>
      </c>
      <c r="GB177">
        <v>2.69546</v>
      </c>
      <c r="GC177">
        <v>2.70501</v>
      </c>
      <c r="GD177">
        <v>0.121868</v>
      </c>
      <c r="GE177">
        <v>0.129581</v>
      </c>
      <c r="GF177">
        <v>0.108169</v>
      </c>
      <c r="GG177">
        <v>0.0848571</v>
      </c>
      <c r="GH177">
        <v>27599.7</v>
      </c>
      <c r="GI177">
        <v>27474.5</v>
      </c>
      <c r="GJ177">
        <v>29238.4</v>
      </c>
      <c r="GK177">
        <v>29210</v>
      </c>
      <c r="GL177">
        <v>34523.4</v>
      </c>
      <c r="GM177">
        <v>35584.1</v>
      </c>
      <c r="GN177">
        <v>41152.2</v>
      </c>
      <c r="GO177">
        <v>41677.1</v>
      </c>
      <c r="GP177">
        <v>1.72473</v>
      </c>
      <c r="GQ177">
        <v>2.02965</v>
      </c>
      <c r="GR177">
        <v>0.0628121</v>
      </c>
      <c r="GS177">
        <v>0</v>
      </c>
      <c r="GT177">
        <v>28.941</v>
      </c>
      <c r="GU177">
        <v>999.9</v>
      </c>
      <c r="GV177">
        <v>44.5</v>
      </c>
      <c r="GW177">
        <v>33.3</v>
      </c>
      <c r="GX177">
        <v>25.2944</v>
      </c>
      <c r="GY177">
        <v>63.188</v>
      </c>
      <c r="GZ177">
        <v>29.0224</v>
      </c>
      <c r="HA177">
        <v>1</v>
      </c>
      <c r="HB177">
        <v>0.263338</v>
      </c>
      <c r="HC177">
        <v>0.139564</v>
      </c>
      <c r="HD177">
        <v>20.3814</v>
      </c>
      <c r="HE177">
        <v>5.21624</v>
      </c>
      <c r="HF177">
        <v>12.0099</v>
      </c>
      <c r="HG177">
        <v>4.98785</v>
      </c>
      <c r="HH177">
        <v>3.28825</v>
      </c>
      <c r="HI177">
        <v>2728</v>
      </c>
      <c r="HJ177">
        <v>9999</v>
      </c>
      <c r="HK177">
        <v>9999</v>
      </c>
      <c r="HL177">
        <v>50.1</v>
      </c>
      <c r="HM177">
        <v>1.86722</v>
      </c>
      <c r="HN177">
        <v>1.86627</v>
      </c>
      <c r="HO177">
        <v>1.86579</v>
      </c>
      <c r="HP177">
        <v>1.86569</v>
      </c>
      <c r="HQ177">
        <v>1.86751</v>
      </c>
      <c r="HR177">
        <v>1.86998</v>
      </c>
      <c r="HS177">
        <v>1.86863</v>
      </c>
      <c r="HT177">
        <v>1.87006</v>
      </c>
      <c r="HU177">
        <v>0</v>
      </c>
      <c r="HV177">
        <v>0</v>
      </c>
      <c r="HW177">
        <v>0</v>
      </c>
      <c r="HX177">
        <v>0</v>
      </c>
      <c r="HY177" t="s">
        <v>421</v>
      </c>
      <c r="HZ177" t="s">
        <v>422</v>
      </c>
      <c r="IA177" t="s">
        <v>423</v>
      </c>
      <c r="IB177" t="s">
        <v>423</v>
      </c>
      <c r="IC177" t="s">
        <v>423</v>
      </c>
      <c r="ID177" t="s">
        <v>423</v>
      </c>
      <c r="IE177">
        <v>0</v>
      </c>
      <c r="IF177">
        <v>100</v>
      </c>
      <c r="IG177">
        <v>100</v>
      </c>
      <c r="IH177">
        <v>-0.132</v>
      </c>
      <c r="II177">
        <v>0.0462</v>
      </c>
      <c r="IJ177">
        <v>1.257309091789605</v>
      </c>
      <c r="IK177">
        <v>-0.002185601614162945</v>
      </c>
      <c r="IL177">
        <v>-2.252308143750626E-07</v>
      </c>
      <c r="IM177">
        <v>5.915558436307541E-11</v>
      </c>
      <c r="IN177">
        <v>-0.118683452207699</v>
      </c>
      <c r="IO177">
        <v>-0.007570214193104963</v>
      </c>
      <c r="IP177">
        <v>0.0009214429922928372</v>
      </c>
      <c r="IQ177">
        <v>-1.392260276065805E-05</v>
      </c>
      <c r="IR177">
        <v>17</v>
      </c>
      <c r="IS177">
        <v>2272</v>
      </c>
      <c r="IT177">
        <v>1</v>
      </c>
      <c r="IU177">
        <v>31</v>
      </c>
      <c r="IV177">
        <v>21.4</v>
      </c>
      <c r="IW177">
        <v>21.6</v>
      </c>
      <c r="IX177">
        <v>1.54175</v>
      </c>
      <c r="IY177">
        <v>2.22046</v>
      </c>
      <c r="IZ177">
        <v>1.39648</v>
      </c>
      <c r="JA177">
        <v>2.35474</v>
      </c>
      <c r="JB177">
        <v>1.49536</v>
      </c>
      <c r="JC177">
        <v>2.34497</v>
      </c>
      <c r="JD177">
        <v>36.9794</v>
      </c>
      <c r="JE177">
        <v>15.2528</v>
      </c>
      <c r="JF177">
        <v>18</v>
      </c>
      <c r="JG177">
        <v>388.926</v>
      </c>
      <c r="JH177">
        <v>566.981</v>
      </c>
      <c r="JI177">
        <v>29.4243</v>
      </c>
      <c r="JJ177">
        <v>30.8057</v>
      </c>
      <c r="JK177">
        <v>30.0004</v>
      </c>
      <c r="JL177">
        <v>30.6993</v>
      </c>
      <c r="JM177">
        <v>30.5963</v>
      </c>
      <c r="JN177">
        <v>30.864</v>
      </c>
      <c r="JO177">
        <v>30.5251</v>
      </c>
      <c r="JP177">
        <v>0</v>
      </c>
      <c r="JQ177">
        <v>29.4327</v>
      </c>
      <c r="JR177">
        <v>693.932</v>
      </c>
      <c r="JS177">
        <v>17.892</v>
      </c>
      <c r="JT177">
        <v>99.93989999999999</v>
      </c>
      <c r="JU177">
        <v>100.042</v>
      </c>
    </row>
    <row r="178" spans="1:281">
      <c r="A178">
        <v>162</v>
      </c>
      <c r="B178">
        <v>1652372579</v>
      </c>
      <c r="C178">
        <v>4485.400000095367</v>
      </c>
      <c r="D178" t="s">
        <v>792</v>
      </c>
      <c r="E178" t="s">
        <v>793</v>
      </c>
      <c r="F178">
        <v>5</v>
      </c>
      <c r="G178" t="s">
        <v>711</v>
      </c>
      <c r="H178" t="s">
        <v>414</v>
      </c>
      <c r="I178">
        <v>1652372571.5</v>
      </c>
      <c r="J178">
        <f>(K178)/1000</f>
        <v>0</v>
      </c>
      <c r="K178">
        <f>IF(CZ178, AN178, AH178)</f>
        <v>0</v>
      </c>
      <c r="L178">
        <f>IF(CZ178, AI178, AG178)</f>
        <v>0</v>
      </c>
      <c r="M178">
        <f>DB178 - IF(AU178&gt;1, L178*CV178*100.0/(AW178*DP178), 0)</f>
        <v>0</v>
      </c>
      <c r="N178">
        <f>((T178-J178/2)*M178-L178)/(T178+J178/2)</f>
        <v>0</v>
      </c>
      <c r="O178">
        <f>N178*(DI178+DJ178)/1000.0</f>
        <v>0</v>
      </c>
      <c r="P178">
        <f>(DB178 - IF(AU178&gt;1, L178*CV178*100.0/(AW178*DP178), 0))*(DI178+DJ178)/1000.0</f>
        <v>0</v>
      </c>
      <c r="Q178">
        <f>2.0/((1/S178-1/R178)+SIGN(S178)*SQRT((1/S178-1/R178)*(1/S178-1/R178) + 4*CW178/((CW178+1)*(CW178+1))*(2*1/S178*1/R178-1/R178*1/R178)))</f>
        <v>0</v>
      </c>
      <c r="R178">
        <f>IF(LEFT(CX178,1)&lt;&gt;"0",IF(LEFT(CX178,1)="1",3.0,CY178),$D$5+$E$5*(DP178*DI178/($K$5*1000))+$F$5*(DP178*DI178/($K$5*1000))*MAX(MIN(CV178,$J$5),$I$5)*MAX(MIN(CV178,$J$5),$I$5)+$G$5*MAX(MIN(CV178,$J$5),$I$5)*(DP178*DI178/($K$5*1000))+$H$5*(DP178*DI178/($K$5*1000))*(DP178*DI178/($K$5*1000)))</f>
        <v>0</v>
      </c>
      <c r="S178">
        <f>J178*(1000-(1000*0.61365*exp(17.502*W178/(240.97+W178))/(DI178+DJ178)+DD178)/2)/(1000*0.61365*exp(17.502*W178/(240.97+W178))/(DI178+DJ178)-DD178)</f>
        <v>0</v>
      </c>
      <c r="T178">
        <f>1/((CW178+1)/(Q178/1.6)+1/(R178/1.37)) + CW178/((CW178+1)/(Q178/1.6) + CW178/(R178/1.37))</f>
        <v>0</v>
      </c>
      <c r="U178">
        <f>(CR178*CU178)</f>
        <v>0</v>
      </c>
      <c r="V178">
        <f>(DK178+(U178+2*0.95*5.67E-8*(((DK178+$B$7)+273)^4-(DK178+273)^4)-44100*J178)/(1.84*29.3*R178+8*0.95*5.67E-8*(DK178+273)^3))</f>
        <v>0</v>
      </c>
      <c r="W178">
        <f>($C$7*DL178+$D$7*DM178+$E$7*V178)</f>
        <v>0</v>
      </c>
      <c r="X178">
        <f>0.61365*exp(17.502*W178/(240.97+W178))</f>
        <v>0</v>
      </c>
      <c r="Y178">
        <f>(Z178/AA178*100)</f>
        <v>0</v>
      </c>
      <c r="Z178">
        <f>DD178*(DI178+DJ178)/1000</f>
        <v>0</v>
      </c>
      <c r="AA178">
        <f>0.61365*exp(17.502*DK178/(240.97+DK178))</f>
        <v>0</v>
      </c>
      <c r="AB178">
        <f>(X178-DD178*(DI178+DJ178)/1000)</f>
        <v>0</v>
      </c>
      <c r="AC178">
        <f>(-J178*44100)</f>
        <v>0</v>
      </c>
      <c r="AD178">
        <f>2*29.3*R178*0.92*(DK178-W178)</f>
        <v>0</v>
      </c>
      <c r="AE178">
        <f>2*0.95*5.67E-8*(((DK178+$B$7)+273)^4-(W178+273)^4)</f>
        <v>0</v>
      </c>
      <c r="AF178">
        <f>U178+AE178+AC178+AD178</f>
        <v>0</v>
      </c>
      <c r="AG178">
        <f>DH178*AU178*(DC178-DB178*(1000-AU178*DE178)/(1000-AU178*DD178))/(100*CV178)</f>
        <v>0</v>
      </c>
      <c r="AH178">
        <f>1000*DH178*AU178*(DD178-DE178)/(100*CV178*(1000-AU178*DD178))</f>
        <v>0</v>
      </c>
      <c r="AI178">
        <f>(AJ178 - AK178 - DI178*1E3/(8.314*(DK178+273.15)) * AM178/DH178 * AL178) * DH178/(100*CV178) * (1000 - DE178)/1000</f>
        <v>0</v>
      </c>
      <c r="AJ178">
        <v>685.4026461125175</v>
      </c>
      <c r="AK178">
        <v>634.1060909090905</v>
      </c>
      <c r="AL178">
        <v>3.325651074025369</v>
      </c>
      <c r="AM178">
        <v>65.96288611109561</v>
      </c>
      <c r="AN178">
        <f>(AP178 - AO178 + DI178*1E3/(8.314*(DK178+273.15)) * AR178/DH178 * AQ178) * DH178/(100*CV178) * 1000/(1000 - AP178)</f>
        <v>0</v>
      </c>
      <c r="AO178">
        <v>17.87177390121845</v>
      </c>
      <c r="AP178">
        <v>24.69862167832169</v>
      </c>
      <c r="AQ178">
        <v>-1.990843441430559E-05</v>
      </c>
      <c r="AR178">
        <v>81.18387902069509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MAX(0,($B$13+$C$13*DP178)/(1+$D$13*DP178)*DI178/(DK178+273)*$E$13)</f>
        <v>0</v>
      </c>
      <c r="AX178" t="s">
        <v>417</v>
      </c>
      <c r="AY178" t="s">
        <v>417</v>
      </c>
      <c r="AZ178">
        <v>0</v>
      </c>
      <c r="BA178">
        <v>0</v>
      </c>
      <c r="BB178">
        <f>1-AZ178/BA178</f>
        <v>0</v>
      </c>
      <c r="BC178">
        <v>0</v>
      </c>
      <c r="BD178" t="s">
        <v>417</v>
      </c>
      <c r="BE178" t="s">
        <v>417</v>
      </c>
      <c r="BF178">
        <v>0</v>
      </c>
      <c r="BG178">
        <v>0</v>
      </c>
      <c r="BH178">
        <f>1-BF178/BG178</f>
        <v>0</v>
      </c>
      <c r="BI178">
        <v>0.5</v>
      </c>
      <c r="BJ178">
        <f>CS178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417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1393</v>
      </c>
      <c r="CA178">
        <v>300</v>
      </c>
      <c r="CB178">
        <v>300</v>
      </c>
      <c r="CC178">
        <v>300</v>
      </c>
      <c r="CD178">
        <v>10378</v>
      </c>
      <c r="CE178">
        <v>2050</v>
      </c>
      <c r="CF178">
        <v>-0.00730649</v>
      </c>
      <c r="CG178">
        <v>-4.53</v>
      </c>
      <c r="CH178" t="s">
        <v>417</v>
      </c>
      <c r="CI178" t="s">
        <v>417</v>
      </c>
      <c r="CJ178" t="s">
        <v>417</v>
      </c>
      <c r="CK178" t="s">
        <v>417</v>
      </c>
      <c r="CL178" t="s">
        <v>417</v>
      </c>
      <c r="CM178" t="s">
        <v>417</v>
      </c>
      <c r="CN178" t="s">
        <v>417</v>
      </c>
      <c r="CO178" t="s">
        <v>417</v>
      </c>
      <c r="CP178" t="s">
        <v>417</v>
      </c>
      <c r="CQ178" t="s">
        <v>417</v>
      </c>
      <c r="CR178">
        <f>$B$11*DQ178+$C$11*DR178+$F$11*EC178*(1-EF178)</f>
        <v>0</v>
      </c>
      <c r="CS178">
        <f>CR178*CT178</f>
        <v>0</v>
      </c>
      <c r="CT178">
        <f>($B$11*$D$9+$C$11*$D$9+$F$11*((EP178+EH178)/MAX(EP178+EH178+EQ178, 0.1)*$I$9+EQ178/MAX(EP178+EH178+EQ178, 0.1)*$J$9))/($B$11+$C$11+$F$11)</f>
        <v>0</v>
      </c>
      <c r="CU178">
        <f>($B$11*$K$9+$C$11*$K$9+$F$11*((EP178+EH178)/MAX(EP178+EH178+EQ178, 0.1)*$P$9+EQ178/MAX(EP178+EH178+EQ178, 0.1)*$Q$9))/($B$11+$C$11+$F$11)</f>
        <v>0</v>
      </c>
      <c r="CV178">
        <v>6</v>
      </c>
      <c r="CW178">
        <v>0.5</v>
      </c>
      <c r="CX178" t="s">
        <v>418</v>
      </c>
      <c r="CY178">
        <v>2</v>
      </c>
      <c r="CZ178" t="b">
        <v>1</v>
      </c>
      <c r="DA178">
        <v>1652372571.5</v>
      </c>
      <c r="DB178">
        <v>595.810111111111</v>
      </c>
      <c r="DC178">
        <v>661.0617037037038</v>
      </c>
      <c r="DD178">
        <v>24.69899259259259</v>
      </c>
      <c r="DE178">
        <v>17.87100370370371</v>
      </c>
      <c r="DF178">
        <v>595.9228148148148</v>
      </c>
      <c r="DG178">
        <v>24.65288148148148</v>
      </c>
      <c r="DH178">
        <v>400.0659259259259</v>
      </c>
      <c r="DI178">
        <v>90.39399999999999</v>
      </c>
      <c r="DJ178">
        <v>0.09999784814814816</v>
      </c>
      <c r="DK178">
        <v>30.80891481481482</v>
      </c>
      <c r="DL178">
        <v>29.96774074074074</v>
      </c>
      <c r="DM178">
        <v>999.9000000000001</v>
      </c>
      <c r="DN178">
        <v>0</v>
      </c>
      <c r="DO178">
        <v>0</v>
      </c>
      <c r="DP178">
        <v>9997.040370370369</v>
      </c>
      <c r="DQ178">
        <v>0</v>
      </c>
      <c r="DR178">
        <v>440.7697037037037</v>
      </c>
      <c r="DS178">
        <v>-65.25151111111111</v>
      </c>
      <c r="DT178">
        <v>610.8988148148148</v>
      </c>
      <c r="DU178">
        <v>673.0904814814814</v>
      </c>
      <c r="DV178">
        <v>6.827976296296296</v>
      </c>
      <c r="DW178">
        <v>661.0617037037038</v>
      </c>
      <c r="DX178">
        <v>17.87100370370371</v>
      </c>
      <c r="DY178">
        <v>2.232639629629629</v>
      </c>
      <c r="DZ178">
        <v>1.615431481481481</v>
      </c>
      <c r="EA178">
        <v>19.19845925925926</v>
      </c>
      <c r="EB178">
        <v>14.1068</v>
      </c>
      <c r="EC178">
        <v>1499.975555555555</v>
      </c>
      <c r="ED178">
        <v>0.9729977777777776</v>
      </c>
      <c r="EE178">
        <v>0.02700245555555555</v>
      </c>
      <c r="EF178">
        <v>0</v>
      </c>
      <c r="EG178">
        <v>1749.364074074074</v>
      </c>
      <c r="EH178">
        <v>5.00097</v>
      </c>
      <c r="EI178">
        <v>27048.27777777777</v>
      </c>
      <c r="EJ178">
        <v>12491.37777777778</v>
      </c>
      <c r="EK178">
        <v>40.06199999999999</v>
      </c>
      <c r="EL178">
        <v>41.56199999999999</v>
      </c>
      <c r="EM178">
        <v>40.3097037037037</v>
      </c>
      <c r="EN178">
        <v>41.41862962962963</v>
      </c>
      <c r="EO178">
        <v>41.13648148148148</v>
      </c>
      <c r="EP178">
        <v>1454.604444444444</v>
      </c>
      <c r="EQ178">
        <v>40.37074074074073</v>
      </c>
      <c r="ER178">
        <v>0</v>
      </c>
      <c r="ES178">
        <v>1412.799999952316</v>
      </c>
      <c r="ET178">
        <v>0</v>
      </c>
      <c r="EU178">
        <v>1749.3616</v>
      </c>
      <c r="EV178">
        <v>-40.34923076996633</v>
      </c>
      <c r="EW178">
        <v>-938.9307691714525</v>
      </c>
      <c r="EX178">
        <v>27048.70399999999</v>
      </c>
      <c r="EY178">
        <v>15</v>
      </c>
      <c r="EZ178">
        <v>1652371289.6</v>
      </c>
      <c r="FA178" t="s">
        <v>515</v>
      </c>
      <c r="FB178">
        <v>1652371289.6</v>
      </c>
      <c r="FC178">
        <v>1652371275.1</v>
      </c>
      <c r="FD178">
        <v>24</v>
      </c>
      <c r="FE178">
        <v>0.442</v>
      </c>
      <c r="FF178">
        <v>0.001</v>
      </c>
      <c r="FG178">
        <v>-2.63</v>
      </c>
      <c r="FH178">
        <v>0.007</v>
      </c>
      <c r="FI178">
        <v>1620</v>
      </c>
      <c r="FJ178">
        <v>22</v>
      </c>
      <c r="FK178">
        <v>0.08</v>
      </c>
      <c r="FL178">
        <v>0.04</v>
      </c>
      <c r="FM178">
        <v>-64.8475775</v>
      </c>
      <c r="FN178">
        <v>-8.285830018761674</v>
      </c>
      <c r="FO178">
        <v>0.8078372093087511</v>
      </c>
      <c r="FP178">
        <v>-1</v>
      </c>
      <c r="FQ178">
        <v>6.82761275</v>
      </c>
      <c r="FR178">
        <v>0.003399962476549394</v>
      </c>
      <c r="FS178">
        <v>0.001649319537718479</v>
      </c>
      <c r="FT178">
        <v>1</v>
      </c>
      <c r="FU178">
        <v>0</v>
      </c>
      <c r="FV178">
        <v>0</v>
      </c>
      <c r="FW178">
        <v>0</v>
      </c>
      <c r="FX178">
        <v>-1</v>
      </c>
      <c r="FY178">
        <v>1</v>
      </c>
      <c r="FZ178">
        <v>1</v>
      </c>
      <c r="GA178" t="s">
        <v>420</v>
      </c>
      <c r="GB178">
        <v>2.6956</v>
      </c>
      <c r="GC178">
        <v>2.70525</v>
      </c>
      <c r="GD178">
        <v>0.124161</v>
      </c>
      <c r="GE178">
        <v>0.131816</v>
      </c>
      <c r="GF178">
        <v>0.108159</v>
      </c>
      <c r="GG178">
        <v>0.08486639999999999</v>
      </c>
      <c r="GH178">
        <v>27527.3</v>
      </c>
      <c r="GI178">
        <v>27403.9</v>
      </c>
      <c r="GJ178">
        <v>29238.1</v>
      </c>
      <c r="GK178">
        <v>29210</v>
      </c>
      <c r="GL178">
        <v>34523.3</v>
      </c>
      <c r="GM178">
        <v>35583.9</v>
      </c>
      <c r="GN178">
        <v>41151.6</v>
      </c>
      <c r="GO178">
        <v>41677.2</v>
      </c>
      <c r="GP178">
        <v>1.72523</v>
      </c>
      <c r="GQ178">
        <v>2.02962</v>
      </c>
      <c r="GR178">
        <v>0.064373</v>
      </c>
      <c r="GS178">
        <v>0</v>
      </c>
      <c r="GT178">
        <v>28.9398</v>
      </c>
      <c r="GU178">
        <v>999.9</v>
      </c>
      <c r="GV178">
        <v>44.5</v>
      </c>
      <c r="GW178">
        <v>33.3</v>
      </c>
      <c r="GX178">
        <v>25.2927</v>
      </c>
      <c r="GY178">
        <v>63.348</v>
      </c>
      <c r="GZ178">
        <v>29.6114</v>
      </c>
      <c r="HA178">
        <v>1</v>
      </c>
      <c r="HB178">
        <v>0.263735</v>
      </c>
      <c r="HC178">
        <v>0.141351</v>
      </c>
      <c r="HD178">
        <v>20.3814</v>
      </c>
      <c r="HE178">
        <v>5.21759</v>
      </c>
      <c r="HF178">
        <v>12.0099</v>
      </c>
      <c r="HG178">
        <v>4.9884</v>
      </c>
      <c r="HH178">
        <v>3.28848</v>
      </c>
      <c r="HI178">
        <v>2728</v>
      </c>
      <c r="HJ178">
        <v>9999</v>
      </c>
      <c r="HK178">
        <v>9999</v>
      </c>
      <c r="HL178">
        <v>50.1</v>
      </c>
      <c r="HM178">
        <v>1.86722</v>
      </c>
      <c r="HN178">
        <v>1.86628</v>
      </c>
      <c r="HO178">
        <v>1.86581</v>
      </c>
      <c r="HP178">
        <v>1.86569</v>
      </c>
      <c r="HQ178">
        <v>1.86752</v>
      </c>
      <c r="HR178">
        <v>1.86999</v>
      </c>
      <c r="HS178">
        <v>1.86862</v>
      </c>
      <c r="HT178">
        <v>1.87004</v>
      </c>
      <c r="HU178">
        <v>0</v>
      </c>
      <c r="HV178">
        <v>0</v>
      </c>
      <c r="HW178">
        <v>0</v>
      </c>
      <c r="HX178">
        <v>0</v>
      </c>
      <c r="HY178" t="s">
        <v>421</v>
      </c>
      <c r="HZ178" t="s">
        <v>422</v>
      </c>
      <c r="IA178" t="s">
        <v>423</v>
      </c>
      <c r="IB178" t="s">
        <v>423</v>
      </c>
      <c r="IC178" t="s">
        <v>423</v>
      </c>
      <c r="ID178" t="s">
        <v>423</v>
      </c>
      <c r="IE178">
        <v>0</v>
      </c>
      <c r="IF178">
        <v>100</v>
      </c>
      <c r="IG178">
        <v>100</v>
      </c>
      <c r="IH178">
        <v>-0.171</v>
      </c>
      <c r="II178">
        <v>0.0461</v>
      </c>
      <c r="IJ178">
        <v>1.257309091789605</v>
      </c>
      <c r="IK178">
        <v>-0.002185601614162945</v>
      </c>
      <c r="IL178">
        <v>-2.252308143750626E-07</v>
      </c>
      <c r="IM178">
        <v>5.915558436307541E-11</v>
      </c>
      <c r="IN178">
        <v>-0.118683452207699</v>
      </c>
      <c r="IO178">
        <v>-0.007570214193104963</v>
      </c>
      <c r="IP178">
        <v>0.0009214429922928372</v>
      </c>
      <c r="IQ178">
        <v>-1.392260276065805E-05</v>
      </c>
      <c r="IR178">
        <v>17</v>
      </c>
      <c r="IS178">
        <v>2272</v>
      </c>
      <c r="IT178">
        <v>1</v>
      </c>
      <c r="IU178">
        <v>31</v>
      </c>
      <c r="IV178">
        <v>21.5</v>
      </c>
      <c r="IW178">
        <v>21.7</v>
      </c>
      <c r="IX178">
        <v>1.57471</v>
      </c>
      <c r="IY178">
        <v>2.22046</v>
      </c>
      <c r="IZ178">
        <v>1.39648</v>
      </c>
      <c r="JA178">
        <v>2.35474</v>
      </c>
      <c r="JB178">
        <v>1.49536</v>
      </c>
      <c r="JC178">
        <v>2.36206</v>
      </c>
      <c r="JD178">
        <v>36.9794</v>
      </c>
      <c r="JE178">
        <v>15.2528</v>
      </c>
      <c r="JF178">
        <v>18</v>
      </c>
      <c r="JG178">
        <v>389.214</v>
      </c>
      <c r="JH178">
        <v>566.994</v>
      </c>
      <c r="JI178">
        <v>29.4478</v>
      </c>
      <c r="JJ178">
        <v>30.8085</v>
      </c>
      <c r="JK178">
        <v>30.0003</v>
      </c>
      <c r="JL178">
        <v>30.7027</v>
      </c>
      <c r="JM178">
        <v>30.5996</v>
      </c>
      <c r="JN178">
        <v>31.5071</v>
      </c>
      <c r="JO178">
        <v>30.5251</v>
      </c>
      <c r="JP178">
        <v>0</v>
      </c>
      <c r="JQ178">
        <v>29.4556</v>
      </c>
      <c r="JR178">
        <v>707.365</v>
      </c>
      <c r="JS178">
        <v>17.8915</v>
      </c>
      <c r="JT178">
        <v>99.93859999999999</v>
      </c>
      <c r="JU178">
        <v>100.043</v>
      </c>
    </row>
    <row r="179" spans="1:281">
      <c r="A179">
        <v>163</v>
      </c>
      <c r="B179">
        <v>1652372584</v>
      </c>
      <c r="C179">
        <v>4490.400000095367</v>
      </c>
      <c r="D179" t="s">
        <v>794</v>
      </c>
      <c r="E179" t="s">
        <v>795</v>
      </c>
      <c r="F179">
        <v>5</v>
      </c>
      <c r="G179" t="s">
        <v>711</v>
      </c>
      <c r="H179" t="s">
        <v>414</v>
      </c>
      <c r="I179">
        <v>1652372576.214286</v>
      </c>
      <c r="J179">
        <f>(K179)/1000</f>
        <v>0</v>
      </c>
      <c r="K179">
        <f>IF(CZ179, AN179, AH179)</f>
        <v>0</v>
      </c>
      <c r="L179">
        <f>IF(CZ179, AI179, AG179)</f>
        <v>0</v>
      </c>
      <c r="M179">
        <f>DB179 - IF(AU179&gt;1, L179*CV179*100.0/(AW179*DP179), 0)</f>
        <v>0</v>
      </c>
      <c r="N179">
        <f>((T179-J179/2)*M179-L179)/(T179+J179/2)</f>
        <v>0</v>
      </c>
      <c r="O179">
        <f>N179*(DI179+DJ179)/1000.0</f>
        <v>0</v>
      </c>
      <c r="P179">
        <f>(DB179 - IF(AU179&gt;1, L179*CV179*100.0/(AW179*DP179), 0))*(DI179+DJ179)/1000.0</f>
        <v>0</v>
      </c>
      <c r="Q179">
        <f>2.0/((1/S179-1/R179)+SIGN(S179)*SQRT((1/S179-1/R179)*(1/S179-1/R179) + 4*CW179/((CW179+1)*(CW179+1))*(2*1/S179*1/R179-1/R179*1/R179)))</f>
        <v>0</v>
      </c>
      <c r="R179">
        <f>IF(LEFT(CX179,1)&lt;&gt;"0",IF(LEFT(CX179,1)="1",3.0,CY179),$D$5+$E$5*(DP179*DI179/($K$5*1000))+$F$5*(DP179*DI179/($K$5*1000))*MAX(MIN(CV179,$J$5),$I$5)*MAX(MIN(CV179,$J$5),$I$5)+$G$5*MAX(MIN(CV179,$J$5),$I$5)*(DP179*DI179/($K$5*1000))+$H$5*(DP179*DI179/($K$5*1000))*(DP179*DI179/($K$5*1000)))</f>
        <v>0</v>
      </c>
      <c r="S179">
        <f>J179*(1000-(1000*0.61365*exp(17.502*W179/(240.97+W179))/(DI179+DJ179)+DD179)/2)/(1000*0.61365*exp(17.502*W179/(240.97+W179))/(DI179+DJ179)-DD179)</f>
        <v>0</v>
      </c>
      <c r="T179">
        <f>1/((CW179+1)/(Q179/1.6)+1/(R179/1.37)) + CW179/((CW179+1)/(Q179/1.6) + CW179/(R179/1.37))</f>
        <v>0</v>
      </c>
      <c r="U179">
        <f>(CR179*CU179)</f>
        <v>0</v>
      </c>
      <c r="V179">
        <f>(DK179+(U179+2*0.95*5.67E-8*(((DK179+$B$7)+273)^4-(DK179+273)^4)-44100*J179)/(1.84*29.3*R179+8*0.95*5.67E-8*(DK179+273)^3))</f>
        <v>0</v>
      </c>
      <c r="W179">
        <f>($C$7*DL179+$D$7*DM179+$E$7*V179)</f>
        <v>0</v>
      </c>
      <c r="X179">
        <f>0.61365*exp(17.502*W179/(240.97+W179))</f>
        <v>0</v>
      </c>
      <c r="Y179">
        <f>(Z179/AA179*100)</f>
        <v>0</v>
      </c>
      <c r="Z179">
        <f>DD179*(DI179+DJ179)/1000</f>
        <v>0</v>
      </c>
      <c r="AA179">
        <f>0.61365*exp(17.502*DK179/(240.97+DK179))</f>
        <v>0</v>
      </c>
      <c r="AB179">
        <f>(X179-DD179*(DI179+DJ179)/1000)</f>
        <v>0</v>
      </c>
      <c r="AC179">
        <f>(-J179*44100)</f>
        <v>0</v>
      </c>
      <c r="AD179">
        <f>2*29.3*R179*0.92*(DK179-W179)</f>
        <v>0</v>
      </c>
      <c r="AE179">
        <f>2*0.95*5.67E-8*(((DK179+$B$7)+273)^4-(W179+273)^4)</f>
        <v>0</v>
      </c>
      <c r="AF179">
        <f>U179+AE179+AC179+AD179</f>
        <v>0</v>
      </c>
      <c r="AG179">
        <f>DH179*AU179*(DC179-DB179*(1000-AU179*DE179)/(1000-AU179*DD179))/(100*CV179)</f>
        <v>0</v>
      </c>
      <c r="AH179">
        <f>1000*DH179*AU179*(DD179-DE179)/(100*CV179*(1000-AU179*DD179))</f>
        <v>0</v>
      </c>
      <c r="AI179">
        <f>(AJ179 - AK179 - DI179*1E3/(8.314*(DK179+273.15)) * AM179/DH179 * AL179) * DH179/(100*CV179) * (1000 - DE179)/1000</f>
        <v>0</v>
      </c>
      <c r="AJ179">
        <v>702.5755267702671</v>
      </c>
      <c r="AK179">
        <v>650.6247515151512</v>
      </c>
      <c r="AL179">
        <v>3.300929978470196</v>
      </c>
      <c r="AM179">
        <v>65.96288611109561</v>
      </c>
      <c r="AN179">
        <f>(AP179 - AO179 + DI179*1E3/(8.314*(DK179+273.15)) * AR179/DH179 * AQ179) * DH179/(100*CV179) * 1000/(1000 - AP179)</f>
        <v>0</v>
      </c>
      <c r="AO179">
        <v>17.87461660996718</v>
      </c>
      <c r="AP179">
        <v>24.69995804195806</v>
      </c>
      <c r="AQ179">
        <v>-2.537032117484264E-06</v>
      </c>
      <c r="AR179">
        <v>81.18387902069509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MAX(0,($B$13+$C$13*DP179)/(1+$D$13*DP179)*DI179/(DK179+273)*$E$13)</f>
        <v>0</v>
      </c>
      <c r="AX179" t="s">
        <v>417</v>
      </c>
      <c r="AY179" t="s">
        <v>417</v>
      </c>
      <c r="AZ179">
        <v>0</v>
      </c>
      <c r="BA179">
        <v>0</v>
      </c>
      <c r="BB179">
        <f>1-AZ179/BA179</f>
        <v>0</v>
      </c>
      <c r="BC179">
        <v>0</v>
      </c>
      <c r="BD179" t="s">
        <v>417</v>
      </c>
      <c r="BE179" t="s">
        <v>417</v>
      </c>
      <c r="BF179">
        <v>0</v>
      </c>
      <c r="BG179">
        <v>0</v>
      </c>
      <c r="BH179">
        <f>1-BF179/BG179</f>
        <v>0</v>
      </c>
      <c r="BI179">
        <v>0.5</v>
      </c>
      <c r="BJ179">
        <f>CS179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417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1393</v>
      </c>
      <c r="CA179">
        <v>300</v>
      </c>
      <c r="CB179">
        <v>300</v>
      </c>
      <c r="CC179">
        <v>300</v>
      </c>
      <c r="CD179">
        <v>10378</v>
      </c>
      <c r="CE179">
        <v>2050</v>
      </c>
      <c r="CF179">
        <v>-0.00730649</v>
      </c>
      <c r="CG179">
        <v>-4.53</v>
      </c>
      <c r="CH179" t="s">
        <v>417</v>
      </c>
      <c r="CI179" t="s">
        <v>417</v>
      </c>
      <c r="CJ179" t="s">
        <v>417</v>
      </c>
      <c r="CK179" t="s">
        <v>417</v>
      </c>
      <c r="CL179" t="s">
        <v>417</v>
      </c>
      <c r="CM179" t="s">
        <v>417</v>
      </c>
      <c r="CN179" t="s">
        <v>417</v>
      </c>
      <c r="CO179" t="s">
        <v>417</v>
      </c>
      <c r="CP179" t="s">
        <v>417</v>
      </c>
      <c r="CQ179" t="s">
        <v>417</v>
      </c>
      <c r="CR179">
        <f>$B$11*DQ179+$C$11*DR179+$F$11*EC179*(1-EF179)</f>
        <v>0</v>
      </c>
      <c r="CS179">
        <f>CR179*CT179</f>
        <v>0</v>
      </c>
      <c r="CT179">
        <f>($B$11*$D$9+$C$11*$D$9+$F$11*((EP179+EH179)/MAX(EP179+EH179+EQ179, 0.1)*$I$9+EQ179/MAX(EP179+EH179+EQ179, 0.1)*$J$9))/($B$11+$C$11+$F$11)</f>
        <v>0</v>
      </c>
      <c r="CU179">
        <f>($B$11*$K$9+$C$11*$K$9+$F$11*((EP179+EH179)/MAX(EP179+EH179+EQ179, 0.1)*$P$9+EQ179/MAX(EP179+EH179+EQ179, 0.1)*$Q$9))/($B$11+$C$11+$F$11)</f>
        <v>0</v>
      </c>
      <c r="CV179">
        <v>6</v>
      </c>
      <c r="CW179">
        <v>0.5</v>
      </c>
      <c r="CX179" t="s">
        <v>418</v>
      </c>
      <c r="CY179">
        <v>2</v>
      </c>
      <c r="CZ179" t="b">
        <v>1</v>
      </c>
      <c r="DA179">
        <v>1652372576.214286</v>
      </c>
      <c r="DB179">
        <v>611.0178928571429</v>
      </c>
      <c r="DC179">
        <v>676.8852857142857</v>
      </c>
      <c r="DD179">
        <v>24.69959285714286</v>
      </c>
      <c r="DE179">
        <v>17.87265357142857</v>
      </c>
      <c r="DF179">
        <v>611.1671071428572</v>
      </c>
      <c r="DG179">
        <v>24.65347857142857</v>
      </c>
      <c r="DH179">
        <v>400.0660000000001</v>
      </c>
      <c r="DI179">
        <v>90.39320714285714</v>
      </c>
      <c r="DJ179">
        <v>0.09999271785714285</v>
      </c>
      <c r="DK179">
        <v>30.81576785714286</v>
      </c>
      <c r="DL179">
        <v>29.97670714285714</v>
      </c>
      <c r="DM179">
        <v>999.9000000000002</v>
      </c>
      <c r="DN179">
        <v>0</v>
      </c>
      <c r="DO179">
        <v>0</v>
      </c>
      <c r="DP179">
        <v>10002.81321428571</v>
      </c>
      <c r="DQ179">
        <v>0</v>
      </c>
      <c r="DR179">
        <v>435.9695357142858</v>
      </c>
      <c r="DS179">
        <v>-65.86735357142858</v>
      </c>
      <c r="DT179">
        <v>626.4920714285714</v>
      </c>
      <c r="DU179">
        <v>689.2031785714287</v>
      </c>
      <c r="DV179">
        <v>6.826931428571428</v>
      </c>
      <c r="DW179">
        <v>676.8852857142857</v>
      </c>
      <c r="DX179">
        <v>17.87265357142857</v>
      </c>
      <c r="DY179">
        <v>2.232675</v>
      </c>
      <c r="DZ179">
        <v>1.615566428571428</v>
      </c>
      <c r="EA179">
        <v>19.19871785714286</v>
      </c>
      <c r="EB179">
        <v>14.10808571428572</v>
      </c>
      <c r="EC179">
        <v>1499.989285714286</v>
      </c>
      <c r="ED179">
        <v>0.9729985714285713</v>
      </c>
      <c r="EE179">
        <v>0.02700161428571428</v>
      </c>
      <c r="EF179">
        <v>0</v>
      </c>
      <c r="EG179">
        <v>1746.042857142857</v>
      </c>
      <c r="EH179">
        <v>5.00097</v>
      </c>
      <c r="EI179">
        <v>26978.68928571429</v>
      </c>
      <c r="EJ179">
        <v>12491.49285714286</v>
      </c>
      <c r="EK179">
        <v>40.06199999999999</v>
      </c>
      <c r="EL179">
        <v>41.56199999999999</v>
      </c>
      <c r="EM179">
        <v>40.3097857142857</v>
      </c>
      <c r="EN179">
        <v>41.42592857142856</v>
      </c>
      <c r="EO179">
        <v>41.13607142857143</v>
      </c>
      <c r="EP179">
        <v>1454.618928571429</v>
      </c>
      <c r="EQ179">
        <v>40.36999999999999</v>
      </c>
      <c r="ER179">
        <v>0</v>
      </c>
      <c r="ES179">
        <v>1418.199999809265</v>
      </c>
      <c r="ET179">
        <v>0</v>
      </c>
      <c r="EU179">
        <v>1745.811923076923</v>
      </c>
      <c r="EV179">
        <v>-40.49675213928617</v>
      </c>
      <c r="EW179">
        <v>-725.8803419234442</v>
      </c>
      <c r="EX179">
        <v>26974.53846153846</v>
      </c>
      <c r="EY179">
        <v>15</v>
      </c>
      <c r="EZ179">
        <v>1652371289.6</v>
      </c>
      <c r="FA179" t="s">
        <v>515</v>
      </c>
      <c r="FB179">
        <v>1652371289.6</v>
      </c>
      <c r="FC179">
        <v>1652371275.1</v>
      </c>
      <c r="FD179">
        <v>24</v>
      </c>
      <c r="FE179">
        <v>0.442</v>
      </c>
      <c r="FF179">
        <v>0.001</v>
      </c>
      <c r="FG179">
        <v>-2.63</v>
      </c>
      <c r="FH179">
        <v>0.007</v>
      </c>
      <c r="FI179">
        <v>1620</v>
      </c>
      <c r="FJ179">
        <v>22</v>
      </c>
      <c r="FK179">
        <v>0.08</v>
      </c>
      <c r="FL179">
        <v>0.04</v>
      </c>
      <c r="FM179">
        <v>-65.40868</v>
      </c>
      <c r="FN179">
        <v>-7.676262664164982</v>
      </c>
      <c r="FO179">
        <v>0.7456691777189138</v>
      </c>
      <c r="FP179">
        <v>-1</v>
      </c>
      <c r="FQ179">
        <v>6.82715</v>
      </c>
      <c r="FR179">
        <v>-0.009542589118220663</v>
      </c>
      <c r="FS179">
        <v>0.002103186867589218</v>
      </c>
      <c r="FT179">
        <v>1</v>
      </c>
      <c r="FU179">
        <v>0</v>
      </c>
      <c r="FV179">
        <v>0</v>
      </c>
      <c r="FW179">
        <v>0</v>
      </c>
      <c r="FX179">
        <v>-1</v>
      </c>
      <c r="FY179">
        <v>1</v>
      </c>
      <c r="FZ179">
        <v>1</v>
      </c>
      <c r="GA179" t="s">
        <v>420</v>
      </c>
      <c r="GB179">
        <v>2.69559</v>
      </c>
      <c r="GC179">
        <v>2.7052</v>
      </c>
      <c r="GD179">
        <v>0.126412</v>
      </c>
      <c r="GE179">
        <v>0.134013</v>
      </c>
      <c r="GF179">
        <v>0.108161</v>
      </c>
      <c r="GG179">
        <v>0.0848638</v>
      </c>
      <c r="GH179">
        <v>27456.4</v>
      </c>
      <c r="GI179">
        <v>27334.5</v>
      </c>
      <c r="GJ179">
        <v>29238</v>
      </c>
      <c r="GK179">
        <v>29210.1</v>
      </c>
      <c r="GL179">
        <v>34523.1</v>
      </c>
      <c r="GM179">
        <v>35583.8</v>
      </c>
      <c r="GN179">
        <v>41151.3</v>
      </c>
      <c r="GO179">
        <v>41677</v>
      </c>
      <c r="GP179">
        <v>1.72515</v>
      </c>
      <c r="GQ179">
        <v>2.02968</v>
      </c>
      <c r="GR179">
        <v>0.0644475</v>
      </c>
      <c r="GS179">
        <v>0</v>
      </c>
      <c r="GT179">
        <v>28.9417</v>
      </c>
      <c r="GU179">
        <v>999.9</v>
      </c>
      <c r="GV179">
        <v>44.5</v>
      </c>
      <c r="GW179">
        <v>33.3</v>
      </c>
      <c r="GX179">
        <v>25.2942</v>
      </c>
      <c r="GY179">
        <v>63.328</v>
      </c>
      <c r="GZ179">
        <v>29.2268</v>
      </c>
      <c r="HA179">
        <v>1</v>
      </c>
      <c r="HB179">
        <v>0.263839</v>
      </c>
      <c r="HC179">
        <v>0.1729</v>
      </c>
      <c r="HD179">
        <v>20.3814</v>
      </c>
      <c r="HE179">
        <v>5.21714</v>
      </c>
      <c r="HF179">
        <v>12.0099</v>
      </c>
      <c r="HG179">
        <v>4.9884</v>
      </c>
      <c r="HH179">
        <v>3.2886</v>
      </c>
      <c r="HI179">
        <v>2728.2</v>
      </c>
      <c r="HJ179">
        <v>9999</v>
      </c>
      <c r="HK179">
        <v>9999</v>
      </c>
      <c r="HL179">
        <v>50.1</v>
      </c>
      <c r="HM179">
        <v>1.86722</v>
      </c>
      <c r="HN179">
        <v>1.86627</v>
      </c>
      <c r="HO179">
        <v>1.86581</v>
      </c>
      <c r="HP179">
        <v>1.86569</v>
      </c>
      <c r="HQ179">
        <v>1.86751</v>
      </c>
      <c r="HR179">
        <v>1.86998</v>
      </c>
      <c r="HS179">
        <v>1.86867</v>
      </c>
      <c r="HT179">
        <v>1.87002</v>
      </c>
      <c r="HU179">
        <v>0</v>
      </c>
      <c r="HV179">
        <v>0</v>
      </c>
      <c r="HW179">
        <v>0</v>
      </c>
      <c r="HX179">
        <v>0</v>
      </c>
      <c r="HY179" t="s">
        <v>421</v>
      </c>
      <c r="HZ179" t="s">
        <v>422</v>
      </c>
      <c r="IA179" t="s">
        <v>423</v>
      </c>
      <c r="IB179" t="s">
        <v>423</v>
      </c>
      <c r="IC179" t="s">
        <v>423</v>
      </c>
      <c r="ID179" t="s">
        <v>423</v>
      </c>
      <c r="IE179">
        <v>0</v>
      </c>
      <c r="IF179">
        <v>100</v>
      </c>
      <c r="IG179">
        <v>100</v>
      </c>
      <c r="IH179">
        <v>-0.21</v>
      </c>
      <c r="II179">
        <v>0.0461</v>
      </c>
      <c r="IJ179">
        <v>1.257309091789605</v>
      </c>
      <c r="IK179">
        <v>-0.002185601614162945</v>
      </c>
      <c r="IL179">
        <v>-2.252308143750626E-07</v>
      </c>
      <c r="IM179">
        <v>5.915558436307541E-11</v>
      </c>
      <c r="IN179">
        <v>-0.118683452207699</v>
      </c>
      <c r="IO179">
        <v>-0.007570214193104963</v>
      </c>
      <c r="IP179">
        <v>0.0009214429922928372</v>
      </c>
      <c r="IQ179">
        <v>-1.392260276065805E-05</v>
      </c>
      <c r="IR179">
        <v>17</v>
      </c>
      <c r="IS179">
        <v>2272</v>
      </c>
      <c r="IT179">
        <v>1</v>
      </c>
      <c r="IU179">
        <v>31</v>
      </c>
      <c r="IV179">
        <v>21.6</v>
      </c>
      <c r="IW179">
        <v>21.8</v>
      </c>
      <c r="IX179">
        <v>1.60278</v>
      </c>
      <c r="IY179">
        <v>2.22412</v>
      </c>
      <c r="IZ179">
        <v>1.39648</v>
      </c>
      <c r="JA179">
        <v>2.35474</v>
      </c>
      <c r="JB179">
        <v>1.49536</v>
      </c>
      <c r="JC179">
        <v>2.30713</v>
      </c>
      <c r="JD179">
        <v>36.9794</v>
      </c>
      <c r="JE179">
        <v>15.244</v>
      </c>
      <c r="JF179">
        <v>18</v>
      </c>
      <c r="JG179">
        <v>389.193</v>
      </c>
      <c r="JH179">
        <v>567.062</v>
      </c>
      <c r="JI179">
        <v>29.4673</v>
      </c>
      <c r="JJ179">
        <v>30.8118</v>
      </c>
      <c r="JK179">
        <v>30.0003</v>
      </c>
      <c r="JL179">
        <v>30.7059</v>
      </c>
      <c r="JM179">
        <v>30.6029</v>
      </c>
      <c r="JN179">
        <v>32.0746</v>
      </c>
      <c r="JO179">
        <v>30.5251</v>
      </c>
      <c r="JP179">
        <v>0</v>
      </c>
      <c r="JQ179">
        <v>29.466</v>
      </c>
      <c r="JR179">
        <v>727.4</v>
      </c>
      <c r="JS179">
        <v>17.8899</v>
      </c>
      <c r="JT179">
        <v>99.938</v>
      </c>
      <c r="JU179">
        <v>100.042</v>
      </c>
    </row>
    <row r="180" spans="1:281">
      <c r="A180">
        <v>164</v>
      </c>
      <c r="B180">
        <v>1652372589</v>
      </c>
      <c r="C180">
        <v>4495.400000095367</v>
      </c>
      <c r="D180" t="s">
        <v>796</v>
      </c>
      <c r="E180" t="s">
        <v>797</v>
      </c>
      <c r="F180">
        <v>5</v>
      </c>
      <c r="G180" t="s">
        <v>711</v>
      </c>
      <c r="H180" t="s">
        <v>414</v>
      </c>
      <c r="I180">
        <v>1652372581.5</v>
      </c>
      <c r="J180">
        <f>(K180)/1000</f>
        <v>0</v>
      </c>
      <c r="K180">
        <f>IF(CZ180, AN180, AH180)</f>
        <v>0</v>
      </c>
      <c r="L180">
        <f>IF(CZ180, AI180, AG180)</f>
        <v>0</v>
      </c>
      <c r="M180">
        <f>DB180 - IF(AU180&gt;1, L180*CV180*100.0/(AW180*DP180), 0)</f>
        <v>0</v>
      </c>
      <c r="N180">
        <f>((T180-J180/2)*M180-L180)/(T180+J180/2)</f>
        <v>0</v>
      </c>
      <c r="O180">
        <f>N180*(DI180+DJ180)/1000.0</f>
        <v>0</v>
      </c>
      <c r="P180">
        <f>(DB180 - IF(AU180&gt;1, L180*CV180*100.0/(AW180*DP180), 0))*(DI180+DJ180)/1000.0</f>
        <v>0</v>
      </c>
      <c r="Q180">
        <f>2.0/((1/S180-1/R180)+SIGN(S180)*SQRT((1/S180-1/R180)*(1/S180-1/R180) + 4*CW180/((CW180+1)*(CW180+1))*(2*1/S180*1/R180-1/R180*1/R180)))</f>
        <v>0</v>
      </c>
      <c r="R180">
        <f>IF(LEFT(CX180,1)&lt;&gt;"0",IF(LEFT(CX180,1)="1",3.0,CY180),$D$5+$E$5*(DP180*DI180/($K$5*1000))+$F$5*(DP180*DI180/($K$5*1000))*MAX(MIN(CV180,$J$5),$I$5)*MAX(MIN(CV180,$J$5),$I$5)+$G$5*MAX(MIN(CV180,$J$5),$I$5)*(DP180*DI180/($K$5*1000))+$H$5*(DP180*DI180/($K$5*1000))*(DP180*DI180/($K$5*1000)))</f>
        <v>0</v>
      </c>
      <c r="S180">
        <f>J180*(1000-(1000*0.61365*exp(17.502*W180/(240.97+W180))/(DI180+DJ180)+DD180)/2)/(1000*0.61365*exp(17.502*W180/(240.97+W180))/(DI180+DJ180)-DD180)</f>
        <v>0</v>
      </c>
      <c r="T180">
        <f>1/((CW180+1)/(Q180/1.6)+1/(R180/1.37)) + CW180/((CW180+1)/(Q180/1.6) + CW180/(R180/1.37))</f>
        <v>0</v>
      </c>
      <c r="U180">
        <f>(CR180*CU180)</f>
        <v>0</v>
      </c>
      <c r="V180">
        <f>(DK180+(U180+2*0.95*5.67E-8*(((DK180+$B$7)+273)^4-(DK180+273)^4)-44100*J180)/(1.84*29.3*R180+8*0.95*5.67E-8*(DK180+273)^3))</f>
        <v>0</v>
      </c>
      <c r="W180">
        <f>($C$7*DL180+$D$7*DM180+$E$7*V180)</f>
        <v>0</v>
      </c>
      <c r="X180">
        <f>0.61365*exp(17.502*W180/(240.97+W180))</f>
        <v>0</v>
      </c>
      <c r="Y180">
        <f>(Z180/AA180*100)</f>
        <v>0</v>
      </c>
      <c r="Z180">
        <f>DD180*(DI180+DJ180)/1000</f>
        <v>0</v>
      </c>
      <c r="AA180">
        <f>0.61365*exp(17.502*DK180/(240.97+DK180))</f>
        <v>0</v>
      </c>
      <c r="AB180">
        <f>(X180-DD180*(DI180+DJ180)/1000)</f>
        <v>0</v>
      </c>
      <c r="AC180">
        <f>(-J180*44100)</f>
        <v>0</v>
      </c>
      <c r="AD180">
        <f>2*29.3*R180*0.92*(DK180-W180)</f>
        <v>0</v>
      </c>
      <c r="AE180">
        <f>2*0.95*5.67E-8*(((DK180+$B$7)+273)^4-(W180+273)^4)</f>
        <v>0</v>
      </c>
      <c r="AF180">
        <f>U180+AE180+AC180+AD180</f>
        <v>0</v>
      </c>
      <c r="AG180">
        <f>DH180*AU180*(DC180-DB180*(1000-AU180*DE180)/(1000-AU180*DD180))/(100*CV180)</f>
        <v>0</v>
      </c>
      <c r="AH180">
        <f>1000*DH180*AU180*(DD180-DE180)/(100*CV180*(1000-AU180*DD180))</f>
        <v>0</v>
      </c>
      <c r="AI180">
        <f>(AJ180 - AK180 - DI180*1E3/(8.314*(DK180+273.15)) * AM180/DH180 * AL180) * DH180/(100*CV180) * (1000 - DE180)/1000</f>
        <v>0</v>
      </c>
      <c r="AJ180">
        <v>719.5268167183143</v>
      </c>
      <c r="AK180">
        <v>667.2526303030303</v>
      </c>
      <c r="AL180">
        <v>3.326677338175528</v>
      </c>
      <c r="AM180">
        <v>65.96288611109561</v>
      </c>
      <c r="AN180">
        <f>(AP180 - AO180 + DI180*1E3/(8.314*(DK180+273.15)) * AR180/DH180 * AQ180) * DH180/(100*CV180) * 1000/(1000 - AP180)</f>
        <v>0</v>
      </c>
      <c r="AO180">
        <v>17.87420687672028</v>
      </c>
      <c r="AP180">
        <v>24.69354685314688</v>
      </c>
      <c r="AQ180">
        <v>1.713348390816013E-05</v>
      </c>
      <c r="AR180">
        <v>81.18387902069509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MAX(0,($B$13+$C$13*DP180)/(1+$D$13*DP180)*DI180/(DK180+273)*$E$13)</f>
        <v>0</v>
      </c>
      <c r="AX180" t="s">
        <v>417</v>
      </c>
      <c r="AY180" t="s">
        <v>417</v>
      </c>
      <c r="AZ180">
        <v>0</v>
      </c>
      <c r="BA180">
        <v>0</v>
      </c>
      <c r="BB180">
        <f>1-AZ180/BA180</f>
        <v>0</v>
      </c>
      <c r="BC180">
        <v>0</v>
      </c>
      <c r="BD180" t="s">
        <v>417</v>
      </c>
      <c r="BE180" t="s">
        <v>417</v>
      </c>
      <c r="BF180">
        <v>0</v>
      </c>
      <c r="BG180">
        <v>0</v>
      </c>
      <c r="BH180">
        <f>1-BF180/BG180</f>
        <v>0</v>
      </c>
      <c r="BI180">
        <v>0.5</v>
      </c>
      <c r="BJ180">
        <f>CS180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417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1393</v>
      </c>
      <c r="CA180">
        <v>300</v>
      </c>
      <c r="CB180">
        <v>300</v>
      </c>
      <c r="CC180">
        <v>300</v>
      </c>
      <c r="CD180">
        <v>10378</v>
      </c>
      <c r="CE180">
        <v>2050</v>
      </c>
      <c r="CF180">
        <v>-0.00730649</v>
      </c>
      <c r="CG180">
        <v>-4.53</v>
      </c>
      <c r="CH180" t="s">
        <v>417</v>
      </c>
      <c r="CI180" t="s">
        <v>417</v>
      </c>
      <c r="CJ180" t="s">
        <v>417</v>
      </c>
      <c r="CK180" t="s">
        <v>417</v>
      </c>
      <c r="CL180" t="s">
        <v>417</v>
      </c>
      <c r="CM180" t="s">
        <v>417</v>
      </c>
      <c r="CN180" t="s">
        <v>417</v>
      </c>
      <c r="CO180" t="s">
        <v>417</v>
      </c>
      <c r="CP180" t="s">
        <v>417</v>
      </c>
      <c r="CQ180" t="s">
        <v>417</v>
      </c>
      <c r="CR180">
        <f>$B$11*DQ180+$C$11*DR180+$F$11*EC180*(1-EF180)</f>
        <v>0</v>
      </c>
      <c r="CS180">
        <f>CR180*CT180</f>
        <v>0</v>
      </c>
      <c r="CT180">
        <f>($B$11*$D$9+$C$11*$D$9+$F$11*((EP180+EH180)/MAX(EP180+EH180+EQ180, 0.1)*$I$9+EQ180/MAX(EP180+EH180+EQ180, 0.1)*$J$9))/($B$11+$C$11+$F$11)</f>
        <v>0</v>
      </c>
      <c r="CU180">
        <f>($B$11*$K$9+$C$11*$K$9+$F$11*((EP180+EH180)/MAX(EP180+EH180+EQ180, 0.1)*$P$9+EQ180/MAX(EP180+EH180+EQ180, 0.1)*$Q$9))/($B$11+$C$11+$F$11)</f>
        <v>0</v>
      </c>
      <c r="CV180">
        <v>6</v>
      </c>
      <c r="CW180">
        <v>0.5</v>
      </c>
      <c r="CX180" t="s">
        <v>418</v>
      </c>
      <c r="CY180">
        <v>2</v>
      </c>
      <c r="CZ180" t="b">
        <v>1</v>
      </c>
      <c r="DA180">
        <v>1652372581.5</v>
      </c>
      <c r="DB180">
        <v>628.1137777777777</v>
      </c>
      <c r="DC180">
        <v>694.5959259259258</v>
      </c>
      <c r="DD180">
        <v>24.69889259259259</v>
      </c>
      <c r="DE180">
        <v>17.87427037037037</v>
      </c>
      <c r="DF180">
        <v>628.304</v>
      </c>
      <c r="DG180">
        <v>24.65278148148148</v>
      </c>
      <c r="DH180">
        <v>400.0706296296295</v>
      </c>
      <c r="DI180">
        <v>90.39255925925926</v>
      </c>
      <c r="DJ180">
        <v>0.09998173333333335</v>
      </c>
      <c r="DK180">
        <v>30.82288518518519</v>
      </c>
      <c r="DL180">
        <v>29.98427037037037</v>
      </c>
      <c r="DM180">
        <v>999.9000000000001</v>
      </c>
      <c r="DN180">
        <v>0</v>
      </c>
      <c r="DO180">
        <v>0</v>
      </c>
      <c r="DP180">
        <v>10008.77037037037</v>
      </c>
      <c r="DQ180">
        <v>0</v>
      </c>
      <c r="DR180">
        <v>431.5651111111111</v>
      </c>
      <c r="DS180">
        <v>-66.48224074074075</v>
      </c>
      <c r="DT180">
        <v>644.0203333333333</v>
      </c>
      <c r="DU180">
        <v>707.2373333333334</v>
      </c>
      <c r="DV180">
        <v>6.824615925925924</v>
      </c>
      <c r="DW180">
        <v>694.5959259259258</v>
      </c>
      <c r="DX180">
        <v>17.87427037037037</v>
      </c>
      <c r="DY180">
        <v>2.232596296296296</v>
      </c>
      <c r="DZ180">
        <v>1.615701481481481</v>
      </c>
      <c r="EA180">
        <v>19.19815185185185</v>
      </c>
      <c r="EB180">
        <v>14.10936296296296</v>
      </c>
      <c r="EC180">
        <v>1500.011111111111</v>
      </c>
      <c r="ED180">
        <v>0.9729990740740739</v>
      </c>
      <c r="EE180">
        <v>0.02700108148148148</v>
      </c>
      <c r="EF180">
        <v>0</v>
      </c>
      <c r="EG180">
        <v>1742.442592592593</v>
      </c>
      <c r="EH180">
        <v>5.00097</v>
      </c>
      <c r="EI180">
        <v>26914.43703703703</v>
      </c>
      <c r="EJ180">
        <v>12491.66666666667</v>
      </c>
      <c r="EK180">
        <v>40.06199999999999</v>
      </c>
      <c r="EL180">
        <v>41.56199999999999</v>
      </c>
      <c r="EM180">
        <v>40.31199999999999</v>
      </c>
      <c r="EN180">
        <v>41.41633333333333</v>
      </c>
      <c r="EO180">
        <v>41.13418518518519</v>
      </c>
      <c r="EP180">
        <v>1454.640740740741</v>
      </c>
      <c r="EQ180">
        <v>40.36999999999999</v>
      </c>
      <c r="ER180">
        <v>0</v>
      </c>
      <c r="ES180">
        <v>1423</v>
      </c>
      <c r="ET180">
        <v>0</v>
      </c>
      <c r="EU180">
        <v>1742.528846153846</v>
      </c>
      <c r="EV180">
        <v>-42.39623931850478</v>
      </c>
      <c r="EW180">
        <v>-744.9470085107533</v>
      </c>
      <c r="EX180">
        <v>26916.21923076923</v>
      </c>
      <c r="EY180">
        <v>15</v>
      </c>
      <c r="EZ180">
        <v>1652371289.6</v>
      </c>
      <c r="FA180" t="s">
        <v>515</v>
      </c>
      <c r="FB180">
        <v>1652371289.6</v>
      </c>
      <c r="FC180">
        <v>1652371275.1</v>
      </c>
      <c r="FD180">
        <v>24</v>
      </c>
      <c r="FE180">
        <v>0.442</v>
      </c>
      <c r="FF180">
        <v>0.001</v>
      </c>
      <c r="FG180">
        <v>-2.63</v>
      </c>
      <c r="FH180">
        <v>0.007</v>
      </c>
      <c r="FI180">
        <v>1620</v>
      </c>
      <c r="FJ180">
        <v>22</v>
      </c>
      <c r="FK180">
        <v>0.08</v>
      </c>
      <c r="FL180">
        <v>0.04</v>
      </c>
      <c r="FM180">
        <v>-66.07150975609756</v>
      </c>
      <c r="FN180">
        <v>-7.017744250871049</v>
      </c>
      <c r="FO180">
        <v>0.6977267959997229</v>
      </c>
      <c r="FP180">
        <v>-1</v>
      </c>
      <c r="FQ180">
        <v>6.826276341463416</v>
      </c>
      <c r="FR180">
        <v>-0.02447602787455365</v>
      </c>
      <c r="FS180">
        <v>0.002734980051737623</v>
      </c>
      <c r="FT180">
        <v>1</v>
      </c>
      <c r="FU180">
        <v>0</v>
      </c>
      <c r="FV180">
        <v>0</v>
      </c>
      <c r="FW180">
        <v>0</v>
      </c>
      <c r="FX180">
        <v>-1</v>
      </c>
      <c r="FY180">
        <v>1</v>
      </c>
      <c r="FZ180">
        <v>1</v>
      </c>
      <c r="GA180" t="s">
        <v>420</v>
      </c>
      <c r="GB180">
        <v>2.69567</v>
      </c>
      <c r="GC180">
        <v>2.70519</v>
      </c>
      <c r="GD180">
        <v>0.128641</v>
      </c>
      <c r="GE180">
        <v>0.136208</v>
      </c>
      <c r="GF180">
        <v>0.108133</v>
      </c>
      <c r="GG180">
        <v>0.08486970000000001</v>
      </c>
      <c r="GH180">
        <v>27386.2</v>
      </c>
      <c r="GI180">
        <v>27265.3</v>
      </c>
      <c r="GJ180">
        <v>29237.9</v>
      </c>
      <c r="GK180">
        <v>29210.3</v>
      </c>
      <c r="GL180">
        <v>34524.2</v>
      </c>
      <c r="GM180">
        <v>35584</v>
      </c>
      <c r="GN180">
        <v>41151.3</v>
      </c>
      <c r="GO180">
        <v>41677.5</v>
      </c>
      <c r="GP180">
        <v>1.72525</v>
      </c>
      <c r="GQ180">
        <v>2.0294</v>
      </c>
      <c r="GR180">
        <v>0.0638589</v>
      </c>
      <c r="GS180">
        <v>0</v>
      </c>
      <c r="GT180">
        <v>28.9423</v>
      </c>
      <c r="GU180">
        <v>999.9</v>
      </c>
      <c r="GV180">
        <v>44.5</v>
      </c>
      <c r="GW180">
        <v>33.3</v>
      </c>
      <c r="GX180">
        <v>25.2944</v>
      </c>
      <c r="GY180">
        <v>63.278</v>
      </c>
      <c r="GZ180">
        <v>29.1346</v>
      </c>
      <c r="HA180">
        <v>1</v>
      </c>
      <c r="HB180">
        <v>0.264311</v>
      </c>
      <c r="HC180">
        <v>0.193897</v>
      </c>
      <c r="HD180">
        <v>20.3816</v>
      </c>
      <c r="HE180">
        <v>5.21744</v>
      </c>
      <c r="HF180">
        <v>12.0099</v>
      </c>
      <c r="HG180">
        <v>4.9884</v>
      </c>
      <c r="HH180">
        <v>3.28835</v>
      </c>
      <c r="HI180">
        <v>2728.2</v>
      </c>
      <c r="HJ180">
        <v>9999</v>
      </c>
      <c r="HK180">
        <v>9999</v>
      </c>
      <c r="HL180">
        <v>50.1</v>
      </c>
      <c r="HM180">
        <v>1.86722</v>
      </c>
      <c r="HN180">
        <v>1.8663</v>
      </c>
      <c r="HO180">
        <v>1.86581</v>
      </c>
      <c r="HP180">
        <v>1.86569</v>
      </c>
      <c r="HQ180">
        <v>1.86749</v>
      </c>
      <c r="HR180">
        <v>1.86998</v>
      </c>
      <c r="HS180">
        <v>1.86867</v>
      </c>
      <c r="HT180">
        <v>1.87004</v>
      </c>
      <c r="HU180">
        <v>0</v>
      </c>
      <c r="HV180">
        <v>0</v>
      </c>
      <c r="HW180">
        <v>0</v>
      </c>
      <c r="HX180">
        <v>0</v>
      </c>
      <c r="HY180" t="s">
        <v>421</v>
      </c>
      <c r="HZ180" t="s">
        <v>422</v>
      </c>
      <c r="IA180" t="s">
        <v>423</v>
      </c>
      <c r="IB180" t="s">
        <v>423</v>
      </c>
      <c r="IC180" t="s">
        <v>423</v>
      </c>
      <c r="ID180" t="s">
        <v>423</v>
      </c>
      <c r="IE180">
        <v>0</v>
      </c>
      <c r="IF180">
        <v>100</v>
      </c>
      <c r="IG180">
        <v>100</v>
      </c>
      <c r="IH180">
        <v>-0.248</v>
      </c>
      <c r="II180">
        <v>0.046</v>
      </c>
      <c r="IJ180">
        <v>1.257309091789605</v>
      </c>
      <c r="IK180">
        <v>-0.002185601614162945</v>
      </c>
      <c r="IL180">
        <v>-2.252308143750626E-07</v>
      </c>
      <c r="IM180">
        <v>5.915558436307541E-11</v>
      </c>
      <c r="IN180">
        <v>-0.118683452207699</v>
      </c>
      <c r="IO180">
        <v>-0.007570214193104963</v>
      </c>
      <c r="IP180">
        <v>0.0009214429922928372</v>
      </c>
      <c r="IQ180">
        <v>-1.392260276065805E-05</v>
      </c>
      <c r="IR180">
        <v>17</v>
      </c>
      <c r="IS180">
        <v>2272</v>
      </c>
      <c r="IT180">
        <v>1</v>
      </c>
      <c r="IU180">
        <v>31</v>
      </c>
      <c r="IV180">
        <v>21.7</v>
      </c>
      <c r="IW180">
        <v>21.9</v>
      </c>
      <c r="IX180">
        <v>1.6333</v>
      </c>
      <c r="IY180">
        <v>2.22168</v>
      </c>
      <c r="IZ180">
        <v>1.39648</v>
      </c>
      <c r="JA180">
        <v>2.35474</v>
      </c>
      <c r="JB180">
        <v>1.49536</v>
      </c>
      <c r="JC180">
        <v>2.30225</v>
      </c>
      <c r="JD180">
        <v>36.9794</v>
      </c>
      <c r="JE180">
        <v>15.244</v>
      </c>
      <c r="JF180">
        <v>18</v>
      </c>
      <c r="JG180">
        <v>389.267</v>
      </c>
      <c r="JH180">
        <v>566.893</v>
      </c>
      <c r="JI180">
        <v>29.475</v>
      </c>
      <c r="JJ180">
        <v>30.8145</v>
      </c>
      <c r="JK180">
        <v>30.0004</v>
      </c>
      <c r="JL180">
        <v>30.7093</v>
      </c>
      <c r="JM180">
        <v>30.6068</v>
      </c>
      <c r="JN180">
        <v>32.7015</v>
      </c>
      <c r="JO180">
        <v>30.5251</v>
      </c>
      <c r="JP180">
        <v>0</v>
      </c>
      <c r="JQ180">
        <v>29.4731</v>
      </c>
      <c r="JR180">
        <v>740.773</v>
      </c>
      <c r="JS180">
        <v>17.8941</v>
      </c>
      <c r="JT180">
        <v>99.9378</v>
      </c>
      <c r="JU180">
        <v>100.043</v>
      </c>
    </row>
    <row r="181" spans="1:281">
      <c r="A181">
        <v>165</v>
      </c>
      <c r="B181">
        <v>1652372594</v>
      </c>
      <c r="C181">
        <v>4500.400000095367</v>
      </c>
      <c r="D181" t="s">
        <v>798</v>
      </c>
      <c r="E181" t="s">
        <v>799</v>
      </c>
      <c r="F181">
        <v>5</v>
      </c>
      <c r="G181" t="s">
        <v>711</v>
      </c>
      <c r="H181" t="s">
        <v>414</v>
      </c>
      <c r="I181">
        <v>1652372586.214286</v>
      </c>
      <c r="J181">
        <f>(K181)/1000</f>
        <v>0</v>
      </c>
      <c r="K181">
        <f>IF(CZ181, AN181, AH181)</f>
        <v>0</v>
      </c>
      <c r="L181">
        <f>IF(CZ181, AI181, AG181)</f>
        <v>0</v>
      </c>
      <c r="M181">
        <f>DB181 - IF(AU181&gt;1, L181*CV181*100.0/(AW181*DP181), 0)</f>
        <v>0</v>
      </c>
      <c r="N181">
        <f>((T181-J181/2)*M181-L181)/(T181+J181/2)</f>
        <v>0</v>
      </c>
      <c r="O181">
        <f>N181*(DI181+DJ181)/1000.0</f>
        <v>0</v>
      </c>
      <c r="P181">
        <f>(DB181 - IF(AU181&gt;1, L181*CV181*100.0/(AW181*DP181), 0))*(DI181+DJ181)/1000.0</f>
        <v>0</v>
      </c>
      <c r="Q181">
        <f>2.0/((1/S181-1/R181)+SIGN(S181)*SQRT((1/S181-1/R181)*(1/S181-1/R181) + 4*CW181/((CW181+1)*(CW181+1))*(2*1/S181*1/R181-1/R181*1/R181)))</f>
        <v>0</v>
      </c>
      <c r="R181">
        <f>IF(LEFT(CX181,1)&lt;&gt;"0",IF(LEFT(CX181,1)="1",3.0,CY181),$D$5+$E$5*(DP181*DI181/($K$5*1000))+$F$5*(DP181*DI181/($K$5*1000))*MAX(MIN(CV181,$J$5),$I$5)*MAX(MIN(CV181,$J$5),$I$5)+$G$5*MAX(MIN(CV181,$J$5),$I$5)*(DP181*DI181/($K$5*1000))+$H$5*(DP181*DI181/($K$5*1000))*(DP181*DI181/($K$5*1000)))</f>
        <v>0</v>
      </c>
      <c r="S181">
        <f>J181*(1000-(1000*0.61365*exp(17.502*W181/(240.97+W181))/(DI181+DJ181)+DD181)/2)/(1000*0.61365*exp(17.502*W181/(240.97+W181))/(DI181+DJ181)-DD181)</f>
        <v>0</v>
      </c>
      <c r="T181">
        <f>1/((CW181+1)/(Q181/1.6)+1/(R181/1.37)) + CW181/((CW181+1)/(Q181/1.6) + CW181/(R181/1.37))</f>
        <v>0</v>
      </c>
      <c r="U181">
        <f>(CR181*CU181)</f>
        <v>0</v>
      </c>
      <c r="V181">
        <f>(DK181+(U181+2*0.95*5.67E-8*(((DK181+$B$7)+273)^4-(DK181+273)^4)-44100*J181)/(1.84*29.3*R181+8*0.95*5.67E-8*(DK181+273)^3))</f>
        <v>0</v>
      </c>
      <c r="W181">
        <f>($C$7*DL181+$D$7*DM181+$E$7*V181)</f>
        <v>0</v>
      </c>
      <c r="X181">
        <f>0.61365*exp(17.502*W181/(240.97+W181))</f>
        <v>0</v>
      </c>
      <c r="Y181">
        <f>(Z181/AA181*100)</f>
        <v>0</v>
      </c>
      <c r="Z181">
        <f>DD181*(DI181+DJ181)/1000</f>
        <v>0</v>
      </c>
      <c r="AA181">
        <f>0.61365*exp(17.502*DK181/(240.97+DK181))</f>
        <v>0</v>
      </c>
      <c r="AB181">
        <f>(X181-DD181*(DI181+DJ181)/1000)</f>
        <v>0</v>
      </c>
      <c r="AC181">
        <f>(-J181*44100)</f>
        <v>0</v>
      </c>
      <c r="AD181">
        <f>2*29.3*R181*0.92*(DK181-W181)</f>
        <v>0</v>
      </c>
      <c r="AE181">
        <f>2*0.95*5.67E-8*(((DK181+$B$7)+273)^4-(W181+273)^4)</f>
        <v>0</v>
      </c>
      <c r="AF181">
        <f>U181+AE181+AC181+AD181</f>
        <v>0</v>
      </c>
      <c r="AG181">
        <f>DH181*AU181*(DC181-DB181*(1000-AU181*DE181)/(1000-AU181*DD181))/(100*CV181)</f>
        <v>0</v>
      </c>
      <c r="AH181">
        <f>1000*DH181*AU181*(DD181-DE181)/(100*CV181*(1000-AU181*DD181))</f>
        <v>0</v>
      </c>
      <c r="AI181">
        <f>(AJ181 - AK181 - DI181*1E3/(8.314*(DK181+273.15)) * AM181/DH181 * AL181) * DH181/(100*CV181) * (1000 - DE181)/1000</f>
        <v>0</v>
      </c>
      <c r="AJ181">
        <v>736.8801285736785</v>
      </c>
      <c r="AK181">
        <v>683.9343393939392</v>
      </c>
      <c r="AL181">
        <v>3.331872006948607</v>
      </c>
      <c r="AM181">
        <v>65.96288611109561</v>
      </c>
      <c r="AN181">
        <f>(AP181 - AO181 + DI181*1E3/(8.314*(DK181+273.15)) * AR181/DH181 * AQ181) * DH181/(100*CV181) * 1000/(1000 - AP181)</f>
        <v>0</v>
      </c>
      <c r="AO181">
        <v>17.87727201140384</v>
      </c>
      <c r="AP181">
        <v>24.68578951048952</v>
      </c>
      <c r="AQ181">
        <v>-0.0001026463886603622</v>
      </c>
      <c r="AR181">
        <v>81.18387902069509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MAX(0,($B$13+$C$13*DP181)/(1+$D$13*DP181)*DI181/(DK181+273)*$E$13)</f>
        <v>0</v>
      </c>
      <c r="AX181" t="s">
        <v>417</v>
      </c>
      <c r="AY181" t="s">
        <v>417</v>
      </c>
      <c r="AZ181">
        <v>0</v>
      </c>
      <c r="BA181">
        <v>0</v>
      </c>
      <c r="BB181">
        <f>1-AZ181/BA181</f>
        <v>0</v>
      </c>
      <c r="BC181">
        <v>0</v>
      </c>
      <c r="BD181" t="s">
        <v>417</v>
      </c>
      <c r="BE181" t="s">
        <v>417</v>
      </c>
      <c r="BF181">
        <v>0</v>
      </c>
      <c r="BG181">
        <v>0</v>
      </c>
      <c r="BH181">
        <f>1-BF181/BG181</f>
        <v>0</v>
      </c>
      <c r="BI181">
        <v>0.5</v>
      </c>
      <c r="BJ181">
        <f>CS181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417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1393</v>
      </c>
      <c r="CA181">
        <v>300</v>
      </c>
      <c r="CB181">
        <v>300</v>
      </c>
      <c r="CC181">
        <v>300</v>
      </c>
      <c r="CD181">
        <v>10378</v>
      </c>
      <c r="CE181">
        <v>2050</v>
      </c>
      <c r="CF181">
        <v>-0.00730649</v>
      </c>
      <c r="CG181">
        <v>-4.53</v>
      </c>
      <c r="CH181" t="s">
        <v>417</v>
      </c>
      <c r="CI181" t="s">
        <v>417</v>
      </c>
      <c r="CJ181" t="s">
        <v>417</v>
      </c>
      <c r="CK181" t="s">
        <v>417</v>
      </c>
      <c r="CL181" t="s">
        <v>417</v>
      </c>
      <c r="CM181" t="s">
        <v>417</v>
      </c>
      <c r="CN181" t="s">
        <v>417</v>
      </c>
      <c r="CO181" t="s">
        <v>417</v>
      </c>
      <c r="CP181" t="s">
        <v>417</v>
      </c>
      <c r="CQ181" t="s">
        <v>417</v>
      </c>
      <c r="CR181">
        <f>$B$11*DQ181+$C$11*DR181+$F$11*EC181*(1-EF181)</f>
        <v>0</v>
      </c>
      <c r="CS181">
        <f>CR181*CT181</f>
        <v>0</v>
      </c>
      <c r="CT181">
        <f>($B$11*$D$9+$C$11*$D$9+$F$11*((EP181+EH181)/MAX(EP181+EH181+EQ181, 0.1)*$I$9+EQ181/MAX(EP181+EH181+EQ181, 0.1)*$J$9))/($B$11+$C$11+$F$11)</f>
        <v>0</v>
      </c>
      <c r="CU181">
        <f>($B$11*$K$9+$C$11*$K$9+$F$11*((EP181+EH181)/MAX(EP181+EH181+EQ181, 0.1)*$P$9+EQ181/MAX(EP181+EH181+EQ181, 0.1)*$Q$9))/($B$11+$C$11+$F$11)</f>
        <v>0</v>
      </c>
      <c r="CV181">
        <v>6</v>
      </c>
      <c r="CW181">
        <v>0.5</v>
      </c>
      <c r="CX181" t="s">
        <v>418</v>
      </c>
      <c r="CY181">
        <v>2</v>
      </c>
      <c r="CZ181" t="b">
        <v>1</v>
      </c>
      <c r="DA181">
        <v>1652372586.214286</v>
      </c>
      <c r="DB181">
        <v>643.3875357142857</v>
      </c>
      <c r="DC181">
        <v>710.4598928571429</v>
      </c>
      <c r="DD181">
        <v>24.69511428571428</v>
      </c>
      <c r="DE181">
        <v>17.87581428571429</v>
      </c>
      <c r="DF181">
        <v>643.6145357142858</v>
      </c>
      <c r="DG181">
        <v>24.64905</v>
      </c>
      <c r="DH181">
        <v>400.0791071428573</v>
      </c>
      <c r="DI181">
        <v>90.39084285714284</v>
      </c>
      <c r="DJ181">
        <v>0.1000346428571429</v>
      </c>
      <c r="DK181">
        <v>30.82796071428571</v>
      </c>
      <c r="DL181">
        <v>29.98685</v>
      </c>
      <c r="DM181">
        <v>999.9000000000002</v>
      </c>
      <c r="DN181">
        <v>0</v>
      </c>
      <c r="DO181">
        <v>0</v>
      </c>
      <c r="DP181">
        <v>10002.13607142857</v>
      </c>
      <c r="DQ181">
        <v>0</v>
      </c>
      <c r="DR181">
        <v>428.6806071428572</v>
      </c>
      <c r="DS181">
        <v>-67.07241071428571</v>
      </c>
      <c r="DT181">
        <v>659.6782142857143</v>
      </c>
      <c r="DU181">
        <v>723.3911785714288</v>
      </c>
      <c r="DV181">
        <v>6.819301428571429</v>
      </c>
      <c r="DW181">
        <v>710.4598928571429</v>
      </c>
      <c r="DX181">
        <v>17.87581428571429</v>
      </c>
      <c r="DY181">
        <v>2.232213571428571</v>
      </c>
      <c r="DZ181">
        <v>1.61581</v>
      </c>
      <c r="EA181">
        <v>19.19538928571429</v>
      </c>
      <c r="EB181">
        <v>14.11039642857143</v>
      </c>
      <c r="EC181">
        <v>1500.015357142858</v>
      </c>
      <c r="ED181">
        <v>0.9729994642857142</v>
      </c>
      <c r="EE181">
        <v>0.02700066785714285</v>
      </c>
      <c r="EF181">
        <v>0</v>
      </c>
      <c r="EG181">
        <v>1739.211785714286</v>
      </c>
      <c r="EH181">
        <v>5.00097</v>
      </c>
      <c r="EI181">
        <v>26855.59285714286</v>
      </c>
      <c r="EJ181">
        <v>12491.71071428571</v>
      </c>
      <c r="EK181">
        <v>40.06199999999999</v>
      </c>
      <c r="EL181">
        <v>41.56199999999999</v>
      </c>
      <c r="EM181">
        <v>40.31199999999999</v>
      </c>
      <c r="EN181">
        <v>41.406</v>
      </c>
      <c r="EO181">
        <v>41.1537857142857</v>
      </c>
      <c r="EP181">
        <v>1454.645357142857</v>
      </c>
      <c r="EQ181">
        <v>40.36999999999999</v>
      </c>
      <c r="ER181">
        <v>0</v>
      </c>
      <c r="ES181">
        <v>1428.399999856949</v>
      </c>
      <c r="ET181">
        <v>0</v>
      </c>
      <c r="EU181">
        <v>1738.578</v>
      </c>
      <c r="EV181">
        <v>-41.27538467026901</v>
      </c>
      <c r="EW181">
        <v>-752.7692318212235</v>
      </c>
      <c r="EX181">
        <v>26844.564</v>
      </c>
      <c r="EY181">
        <v>15</v>
      </c>
      <c r="EZ181">
        <v>1652371289.6</v>
      </c>
      <c r="FA181" t="s">
        <v>515</v>
      </c>
      <c r="FB181">
        <v>1652371289.6</v>
      </c>
      <c r="FC181">
        <v>1652371275.1</v>
      </c>
      <c r="FD181">
        <v>24</v>
      </c>
      <c r="FE181">
        <v>0.442</v>
      </c>
      <c r="FF181">
        <v>0.001</v>
      </c>
      <c r="FG181">
        <v>-2.63</v>
      </c>
      <c r="FH181">
        <v>0.007</v>
      </c>
      <c r="FI181">
        <v>1620</v>
      </c>
      <c r="FJ181">
        <v>22</v>
      </c>
      <c r="FK181">
        <v>0.08</v>
      </c>
      <c r="FL181">
        <v>0.04</v>
      </c>
      <c r="FM181">
        <v>-66.75642000000001</v>
      </c>
      <c r="FN181">
        <v>-7.464060787992477</v>
      </c>
      <c r="FO181">
        <v>0.7221550308624856</v>
      </c>
      <c r="FP181">
        <v>-1</v>
      </c>
      <c r="FQ181">
        <v>6.821303499999999</v>
      </c>
      <c r="FR181">
        <v>-0.06174574108818177</v>
      </c>
      <c r="FS181">
        <v>0.006635084607599187</v>
      </c>
      <c r="FT181">
        <v>1</v>
      </c>
      <c r="FU181">
        <v>0</v>
      </c>
      <c r="FV181">
        <v>0</v>
      </c>
      <c r="FW181">
        <v>0</v>
      </c>
      <c r="FX181">
        <v>-1</v>
      </c>
      <c r="FY181">
        <v>1</v>
      </c>
      <c r="FZ181">
        <v>1</v>
      </c>
      <c r="GA181" t="s">
        <v>420</v>
      </c>
      <c r="GB181">
        <v>2.69547</v>
      </c>
      <c r="GC181">
        <v>2.70514</v>
      </c>
      <c r="GD181">
        <v>0.130852</v>
      </c>
      <c r="GE181">
        <v>0.138335</v>
      </c>
      <c r="GF181">
        <v>0.108102</v>
      </c>
      <c r="GG181">
        <v>0.084874</v>
      </c>
      <c r="GH181">
        <v>27316.5</v>
      </c>
      <c r="GI181">
        <v>27198.2</v>
      </c>
      <c r="GJ181">
        <v>29237.8</v>
      </c>
      <c r="GK181">
        <v>29210.4</v>
      </c>
      <c r="GL181">
        <v>34525.3</v>
      </c>
      <c r="GM181">
        <v>35583.8</v>
      </c>
      <c r="GN181">
        <v>41151.1</v>
      </c>
      <c r="GO181">
        <v>41677.4</v>
      </c>
      <c r="GP181">
        <v>1.7249</v>
      </c>
      <c r="GQ181">
        <v>2.02943</v>
      </c>
      <c r="GR181">
        <v>0.0641719</v>
      </c>
      <c r="GS181">
        <v>0</v>
      </c>
      <c r="GT181">
        <v>28.9415</v>
      </c>
      <c r="GU181">
        <v>999.9</v>
      </c>
      <c r="GV181">
        <v>44.5</v>
      </c>
      <c r="GW181">
        <v>33.3</v>
      </c>
      <c r="GX181">
        <v>25.2954</v>
      </c>
      <c r="GY181">
        <v>63.198</v>
      </c>
      <c r="GZ181">
        <v>28.8822</v>
      </c>
      <c r="HA181">
        <v>1</v>
      </c>
      <c r="HB181">
        <v>0.264512</v>
      </c>
      <c r="HC181">
        <v>0.190014</v>
      </c>
      <c r="HD181">
        <v>20.3815</v>
      </c>
      <c r="HE181">
        <v>5.21714</v>
      </c>
      <c r="HF181">
        <v>12.0099</v>
      </c>
      <c r="HG181">
        <v>4.9881</v>
      </c>
      <c r="HH181">
        <v>3.2883</v>
      </c>
      <c r="HI181">
        <v>2728.4</v>
      </c>
      <c r="HJ181">
        <v>9999</v>
      </c>
      <c r="HK181">
        <v>9999</v>
      </c>
      <c r="HL181">
        <v>50.1</v>
      </c>
      <c r="HM181">
        <v>1.86722</v>
      </c>
      <c r="HN181">
        <v>1.86628</v>
      </c>
      <c r="HO181">
        <v>1.86579</v>
      </c>
      <c r="HP181">
        <v>1.86569</v>
      </c>
      <c r="HQ181">
        <v>1.86748</v>
      </c>
      <c r="HR181">
        <v>1.86998</v>
      </c>
      <c r="HS181">
        <v>1.86864</v>
      </c>
      <c r="HT181">
        <v>1.87004</v>
      </c>
      <c r="HU181">
        <v>0</v>
      </c>
      <c r="HV181">
        <v>0</v>
      </c>
      <c r="HW181">
        <v>0</v>
      </c>
      <c r="HX181">
        <v>0</v>
      </c>
      <c r="HY181" t="s">
        <v>421</v>
      </c>
      <c r="HZ181" t="s">
        <v>422</v>
      </c>
      <c r="IA181" t="s">
        <v>423</v>
      </c>
      <c r="IB181" t="s">
        <v>423</v>
      </c>
      <c r="IC181" t="s">
        <v>423</v>
      </c>
      <c r="ID181" t="s">
        <v>423</v>
      </c>
      <c r="IE181">
        <v>0</v>
      </c>
      <c r="IF181">
        <v>100</v>
      </c>
      <c r="IG181">
        <v>100</v>
      </c>
      <c r="IH181">
        <v>-0.288</v>
      </c>
      <c r="II181">
        <v>0.0459</v>
      </c>
      <c r="IJ181">
        <v>1.257309091789605</v>
      </c>
      <c r="IK181">
        <v>-0.002185601614162945</v>
      </c>
      <c r="IL181">
        <v>-2.252308143750626E-07</v>
      </c>
      <c r="IM181">
        <v>5.915558436307541E-11</v>
      </c>
      <c r="IN181">
        <v>-0.118683452207699</v>
      </c>
      <c r="IO181">
        <v>-0.007570214193104963</v>
      </c>
      <c r="IP181">
        <v>0.0009214429922928372</v>
      </c>
      <c r="IQ181">
        <v>-1.392260276065805E-05</v>
      </c>
      <c r="IR181">
        <v>17</v>
      </c>
      <c r="IS181">
        <v>2272</v>
      </c>
      <c r="IT181">
        <v>1</v>
      </c>
      <c r="IU181">
        <v>31</v>
      </c>
      <c r="IV181">
        <v>21.7</v>
      </c>
      <c r="IW181">
        <v>22</v>
      </c>
      <c r="IX181">
        <v>1.66138</v>
      </c>
      <c r="IY181">
        <v>2.2168</v>
      </c>
      <c r="IZ181">
        <v>1.39648</v>
      </c>
      <c r="JA181">
        <v>2.35474</v>
      </c>
      <c r="JB181">
        <v>1.49536</v>
      </c>
      <c r="JC181">
        <v>2.3584</v>
      </c>
      <c r="JD181">
        <v>36.9794</v>
      </c>
      <c r="JE181">
        <v>15.2528</v>
      </c>
      <c r="JF181">
        <v>18</v>
      </c>
      <c r="JG181">
        <v>389.099</v>
      </c>
      <c r="JH181">
        <v>566.943</v>
      </c>
      <c r="JI181">
        <v>29.4815</v>
      </c>
      <c r="JJ181">
        <v>30.8172</v>
      </c>
      <c r="JK181">
        <v>30.0004</v>
      </c>
      <c r="JL181">
        <v>30.7126</v>
      </c>
      <c r="JM181">
        <v>30.6101</v>
      </c>
      <c r="JN181">
        <v>33.2605</v>
      </c>
      <c r="JO181">
        <v>30.5251</v>
      </c>
      <c r="JP181">
        <v>0</v>
      </c>
      <c r="JQ181">
        <v>29.4844</v>
      </c>
      <c r="JR181">
        <v>760.857</v>
      </c>
      <c r="JS181">
        <v>17.8941</v>
      </c>
      <c r="JT181">
        <v>99.9374</v>
      </c>
      <c r="JU181">
        <v>100.043</v>
      </c>
    </row>
    <row r="182" spans="1:281">
      <c r="A182">
        <v>166</v>
      </c>
      <c r="B182">
        <v>1652372599</v>
      </c>
      <c r="C182">
        <v>4505.400000095367</v>
      </c>
      <c r="D182" t="s">
        <v>800</v>
      </c>
      <c r="E182" t="s">
        <v>801</v>
      </c>
      <c r="F182">
        <v>5</v>
      </c>
      <c r="G182" t="s">
        <v>711</v>
      </c>
      <c r="H182" t="s">
        <v>414</v>
      </c>
      <c r="I182">
        <v>1652372591.5</v>
      </c>
      <c r="J182">
        <f>(K182)/1000</f>
        <v>0</v>
      </c>
      <c r="K182">
        <f>IF(CZ182, AN182, AH182)</f>
        <v>0</v>
      </c>
      <c r="L182">
        <f>IF(CZ182, AI182, AG182)</f>
        <v>0</v>
      </c>
      <c r="M182">
        <f>DB182 - IF(AU182&gt;1, L182*CV182*100.0/(AW182*DP182), 0)</f>
        <v>0</v>
      </c>
      <c r="N182">
        <f>((T182-J182/2)*M182-L182)/(T182+J182/2)</f>
        <v>0</v>
      </c>
      <c r="O182">
        <f>N182*(DI182+DJ182)/1000.0</f>
        <v>0</v>
      </c>
      <c r="P182">
        <f>(DB182 - IF(AU182&gt;1, L182*CV182*100.0/(AW182*DP182), 0))*(DI182+DJ182)/1000.0</f>
        <v>0</v>
      </c>
      <c r="Q182">
        <f>2.0/((1/S182-1/R182)+SIGN(S182)*SQRT((1/S182-1/R182)*(1/S182-1/R182) + 4*CW182/((CW182+1)*(CW182+1))*(2*1/S182*1/R182-1/R182*1/R182)))</f>
        <v>0</v>
      </c>
      <c r="R182">
        <f>IF(LEFT(CX182,1)&lt;&gt;"0",IF(LEFT(CX182,1)="1",3.0,CY182),$D$5+$E$5*(DP182*DI182/($K$5*1000))+$F$5*(DP182*DI182/($K$5*1000))*MAX(MIN(CV182,$J$5),$I$5)*MAX(MIN(CV182,$J$5),$I$5)+$G$5*MAX(MIN(CV182,$J$5),$I$5)*(DP182*DI182/($K$5*1000))+$H$5*(DP182*DI182/($K$5*1000))*(DP182*DI182/($K$5*1000)))</f>
        <v>0</v>
      </c>
      <c r="S182">
        <f>J182*(1000-(1000*0.61365*exp(17.502*W182/(240.97+W182))/(DI182+DJ182)+DD182)/2)/(1000*0.61365*exp(17.502*W182/(240.97+W182))/(DI182+DJ182)-DD182)</f>
        <v>0</v>
      </c>
      <c r="T182">
        <f>1/((CW182+1)/(Q182/1.6)+1/(R182/1.37)) + CW182/((CW182+1)/(Q182/1.6) + CW182/(R182/1.37))</f>
        <v>0</v>
      </c>
      <c r="U182">
        <f>(CR182*CU182)</f>
        <v>0</v>
      </c>
      <c r="V182">
        <f>(DK182+(U182+2*0.95*5.67E-8*(((DK182+$B$7)+273)^4-(DK182+273)^4)-44100*J182)/(1.84*29.3*R182+8*0.95*5.67E-8*(DK182+273)^3))</f>
        <v>0</v>
      </c>
      <c r="W182">
        <f>($C$7*DL182+$D$7*DM182+$E$7*V182)</f>
        <v>0</v>
      </c>
      <c r="X182">
        <f>0.61365*exp(17.502*W182/(240.97+W182))</f>
        <v>0</v>
      </c>
      <c r="Y182">
        <f>(Z182/AA182*100)</f>
        <v>0</v>
      </c>
      <c r="Z182">
        <f>DD182*(DI182+DJ182)/1000</f>
        <v>0</v>
      </c>
      <c r="AA182">
        <f>0.61365*exp(17.502*DK182/(240.97+DK182))</f>
        <v>0</v>
      </c>
      <c r="AB182">
        <f>(X182-DD182*(DI182+DJ182)/1000)</f>
        <v>0</v>
      </c>
      <c r="AC182">
        <f>(-J182*44100)</f>
        <v>0</v>
      </c>
      <c r="AD182">
        <f>2*29.3*R182*0.92*(DK182-W182)</f>
        <v>0</v>
      </c>
      <c r="AE182">
        <f>2*0.95*5.67E-8*(((DK182+$B$7)+273)^4-(W182+273)^4)</f>
        <v>0</v>
      </c>
      <c r="AF182">
        <f>U182+AE182+AC182+AD182</f>
        <v>0</v>
      </c>
      <c r="AG182">
        <f>DH182*AU182*(DC182-DB182*(1000-AU182*DE182)/(1000-AU182*DD182))/(100*CV182)</f>
        <v>0</v>
      </c>
      <c r="AH182">
        <f>1000*DH182*AU182*(DD182-DE182)/(100*CV182*(1000-AU182*DD182))</f>
        <v>0</v>
      </c>
      <c r="AI182">
        <f>(AJ182 - AK182 - DI182*1E3/(8.314*(DK182+273.15)) * AM182/DH182 * AL182) * DH182/(100*CV182) * (1000 - DE182)/1000</f>
        <v>0</v>
      </c>
      <c r="AJ182">
        <v>753.8961268493806</v>
      </c>
      <c r="AK182">
        <v>700.5023939393942</v>
      </c>
      <c r="AL182">
        <v>3.311935150759073</v>
      </c>
      <c r="AM182">
        <v>65.96288611109561</v>
      </c>
      <c r="AN182">
        <f>(AP182 - AO182 + DI182*1E3/(8.314*(DK182+273.15)) * AR182/DH182 * AQ182) * DH182/(100*CV182) * 1000/(1000 - AP182)</f>
        <v>0</v>
      </c>
      <c r="AO182">
        <v>17.87864788706539</v>
      </c>
      <c r="AP182">
        <v>24.66570769230772</v>
      </c>
      <c r="AQ182">
        <v>-0.0001691643652448743</v>
      </c>
      <c r="AR182">
        <v>81.18387902069509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MAX(0,($B$13+$C$13*DP182)/(1+$D$13*DP182)*DI182/(DK182+273)*$E$13)</f>
        <v>0</v>
      </c>
      <c r="AX182" t="s">
        <v>417</v>
      </c>
      <c r="AY182" t="s">
        <v>417</v>
      </c>
      <c r="AZ182">
        <v>0</v>
      </c>
      <c r="BA182">
        <v>0</v>
      </c>
      <c r="BB182">
        <f>1-AZ182/BA182</f>
        <v>0</v>
      </c>
      <c r="BC182">
        <v>0</v>
      </c>
      <c r="BD182" t="s">
        <v>417</v>
      </c>
      <c r="BE182" t="s">
        <v>417</v>
      </c>
      <c r="BF182">
        <v>0</v>
      </c>
      <c r="BG182">
        <v>0</v>
      </c>
      <c r="BH182">
        <f>1-BF182/BG182</f>
        <v>0</v>
      </c>
      <c r="BI182">
        <v>0.5</v>
      </c>
      <c r="BJ182">
        <f>CS182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417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1393</v>
      </c>
      <c r="CA182">
        <v>300</v>
      </c>
      <c r="CB182">
        <v>300</v>
      </c>
      <c r="CC182">
        <v>300</v>
      </c>
      <c r="CD182">
        <v>10378</v>
      </c>
      <c r="CE182">
        <v>2050</v>
      </c>
      <c r="CF182">
        <v>-0.00730649</v>
      </c>
      <c r="CG182">
        <v>-4.53</v>
      </c>
      <c r="CH182" t="s">
        <v>417</v>
      </c>
      <c r="CI182" t="s">
        <v>417</v>
      </c>
      <c r="CJ182" t="s">
        <v>417</v>
      </c>
      <c r="CK182" t="s">
        <v>417</v>
      </c>
      <c r="CL182" t="s">
        <v>417</v>
      </c>
      <c r="CM182" t="s">
        <v>417</v>
      </c>
      <c r="CN182" t="s">
        <v>417</v>
      </c>
      <c r="CO182" t="s">
        <v>417</v>
      </c>
      <c r="CP182" t="s">
        <v>417</v>
      </c>
      <c r="CQ182" t="s">
        <v>417</v>
      </c>
      <c r="CR182">
        <f>$B$11*DQ182+$C$11*DR182+$F$11*EC182*(1-EF182)</f>
        <v>0</v>
      </c>
      <c r="CS182">
        <f>CR182*CT182</f>
        <v>0</v>
      </c>
      <c r="CT182">
        <f>($B$11*$D$9+$C$11*$D$9+$F$11*((EP182+EH182)/MAX(EP182+EH182+EQ182, 0.1)*$I$9+EQ182/MAX(EP182+EH182+EQ182, 0.1)*$J$9))/($B$11+$C$11+$F$11)</f>
        <v>0</v>
      </c>
      <c r="CU182">
        <f>($B$11*$K$9+$C$11*$K$9+$F$11*((EP182+EH182)/MAX(EP182+EH182+EQ182, 0.1)*$P$9+EQ182/MAX(EP182+EH182+EQ182, 0.1)*$Q$9))/($B$11+$C$11+$F$11)</f>
        <v>0</v>
      </c>
      <c r="CV182">
        <v>6</v>
      </c>
      <c r="CW182">
        <v>0.5</v>
      </c>
      <c r="CX182" t="s">
        <v>418</v>
      </c>
      <c r="CY182">
        <v>2</v>
      </c>
      <c r="CZ182" t="b">
        <v>1</v>
      </c>
      <c r="DA182">
        <v>1652372591.5</v>
      </c>
      <c r="DB182">
        <v>660.5335925925928</v>
      </c>
      <c r="DC182">
        <v>728.2233703703705</v>
      </c>
      <c r="DD182">
        <v>24.68641851851853</v>
      </c>
      <c r="DE182">
        <v>17.87740740740741</v>
      </c>
      <c r="DF182">
        <v>660.8017777777777</v>
      </c>
      <c r="DG182">
        <v>24.64046296296297</v>
      </c>
      <c r="DH182">
        <v>400.064074074074</v>
      </c>
      <c r="DI182">
        <v>90.38954444444443</v>
      </c>
      <c r="DJ182">
        <v>0.0999852</v>
      </c>
      <c r="DK182">
        <v>30.83323333333333</v>
      </c>
      <c r="DL182">
        <v>29.98447407407408</v>
      </c>
      <c r="DM182">
        <v>999.9000000000001</v>
      </c>
      <c r="DN182">
        <v>0</v>
      </c>
      <c r="DO182">
        <v>0</v>
      </c>
      <c r="DP182">
        <v>10002.31148148148</v>
      </c>
      <c r="DQ182">
        <v>0</v>
      </c>
      <c r="DR182">
        <v>425.4233333333333</v>
      </c>
      <c r="DS182">
        <v>-67.68991111111112</v>
      </c>
      <c r="DT182">
        <v>677.2522592592593</v>
      </c>
      <c r="DU182">
        <v>741.4792592592593</v>
      </c>
      <c r="DV182">
        <v>6.809001481481481</v>
      </c>
      <c r="DW182">
        <v>728.2233703703705</v>
      </c>
      <c r="DX182">
        <v>17.87740740740741</v>
      </c>
      <c r="DY182">
        <v>2.231395185185185</v>
      </c>
      <c r="DZ182">
        <v>1.615932222222222</v>
      </c>
      <c r="EA182">
        <v>19.1894962962963</v>
      </c>
      <c r="EB182">
        <v>14.11155555555556</v>
      </c>
      <c r="EC182">
        <v>1499.986296296296</v>
      </c>
      <c r="ED182">
        <v>0.9729990740740738</v>
      </c>
      <c r="EE182">
        <v>0.02700108148148148</v>
      </c>
      <c r="EF182">
        <v>0</v>
      </c>
      <c r="EG182">
        <v>1735.527037037037</v>
      </c>
      <c r="EH182">
        <v>5.00097</v>
      </c>
      <c r="EI182">
        <v>26790.38888888889</v>
      </c>
      <c r="EJ182">
        <v>12491.46666666667</v>
      </c>
      <c r="EK182">
        <v>40.06199999999999</v>
      </c>
      <c r="EL182">
        <v>41.56199999999999</v>
      </c>
      <c r="EM182">
        <v>40.31199999999999</v>
      </c>
      <c r="EN182">
        <v>41.40714814814814</v>
      </c>
      <c r="EO182">
        <v>41.16862962962961</v>
      </c>
      <c r="EP182">
        <v>1454.616296296297</v>
      </c>
      <c r="EQ182">
        <v>40.36999999999999</v>
      </c>
      <c r="ER182">
        <v>0</v>
      </c>
      <c r="ES182">
        <v>1433.199999809265</v>
      </c>
      <c r="ET182">
        <v>0</v>
      </c>
      <c r="EU182">
        <v>1735.2064</v>
      </c>
      <c r="EV182">
        <v>-41.97769237309862</v>
      </c>
      <c r="EW182">
        <v>-719.5307702367965</v>
      </c>
      <c r="EX182">
        <v>26785.888</v>
      </c>
      <c r="EY182">
        <v>15</v>
      </c>
      <c r="EZ182">
        <v>1652371289.6</v>
      </c>
      <c r="FA182" t="s">
        <v>515</v>
      </c>
      <c r="FB182">
        <v>1652371289.6</v>
      </c>
      <c r="FC182">
        <v>1652371275.1</v>
      </c>
      <c r="FD182">
        <v>24</v>
      </c>
      <c r="FE182">
        <v>0.442</v>
      </c>
      <c r="FF182">
        <v>0.001</v>
      </c>
      <c r="FG182">
        <v>-2.63</v>
      </c>
      <c r="FH182">
        <v>0.007</v>
      </c>
      <c r="FI182">
        <v>1620</v>
      </c>
      <c r="FJ182">
        <v>22</v>
      </c>
      <c r="FK182">
        <v>0.08</v>
      </c>
      <c r="FL182">
        <v>0.04</v>
      </c>
      <c r="FM182">
        <v>-67.25248500000001</v>
      </c>
      <c r="FN182">
        <v>-7.186012007504719</v>
      </c>
      <c r="FO182">
        <v>0.6955369952597763</v>
      </c>
      <c r="FP182">
        <v>-1</v>
      </c>
      <c r="FQ182">
        <v>6.815187499999999</v>
      </c>
      <c r="FR182">
        <v>-0.1043747842401697</v>
      </c>
      <c r="FS182">
        <v>0.01087485212543139</v>
      </c>
      <c r="FT182">
        <v>1</v>
      </c>
      <c r="FU182">
        <v>0</v>
      </c>
      <c r="FV182">
        <v>0</v>
      </c>
      <c r="FW182">
        <v>0</v>
      </c>
      <c r="FX182">
        <v>-1</v>
      </c>
      <c r="FY182">
        <v>1</v>
      </c>
      <c r="FZ182">
        <v>1</v>
      </c>
      <c r="GA182" t="s">
        <v>420</v>
      </c>
      <c r="GB182">
        <v>2.69562</v>
      </c>
      <c r="GC182">
        <v>2.70513</v>
      </c>
      <c r="GD182">
        <v>0.133031</v>
      </c>
      <c r="GE182">
        <v>0.140469</v>
      </c>
      <c r="GF182">
        <v>0.108052</v>
      </c>
      <c r="GG182">
        <v>0.084878</v>
      </c>
      <c r="GH182">
        <v>27248.2</v>
      </c>
      <c r="GI182">
        <v>27130.5</v>
      </c>
      <c r="GJ182">
        <v>29238</v>
      </c>
      <c r="GK182">
        <v>29210.1</v>
      </c>
      <c r="GL182">
        <v>34527.4</v>
      </c>
      <c r="GM182">
        <v>35583</v>
      </c>
      <c r="GN182">
        <v>41151.2</v>
      </c>
      <c r="GO182">
        <v>41676.6</v>
      </c>
      <c r="GP182">
        <v>1.72473</v>
      </c>
      <c r="GQ182">
        <v>2.02922</v>
      </c>
      <c r="GR182">
        <v>0.06397070000000001</v>
      </c>
      <c r="GS182">
        <v>0</v>
      </c>
      <c r="GT182">
        <v>28.9397</v>
      </c>
      <c r="GU182">
        <v>999.9</v>
      </c>
      <c r="GV182">
        <v>44.5</v>
      </c>
      <c r="GW182">
        <v>33.4</v>
      </c>
      <c r="GX182">
        <v>25.436</v>
      </c>
      <c r="GY182">
        <v>63.028</v>
      </c>
      <c r="GZ182">
        <v>29.6595</v>
      </c>
      <c r="HA182">
        <v>1</v>
      </c>
      <c r="HB182">
        <v>0.264832</v>
      </c>
      <c r="HC182">
        <v>0.185528</v>
      </c>
      <c r="HD182">
        <v>20.3813</v>
      </c>
      <c r="HE182">
        <v>5.21699</v>
      </c>
      <c r="HF182">
        <v>12.0099</v>
      </c>
      <c r="HG182">
        <v>4.9877</v>
      </c>
      <c r="HH182">
        <v>3.28855</v>
      </c>
      <c r="HI182">
        <v>2728.4</v>
      </c>
      <c r="HJ182">
        <v>9999</v>
      </c>
      <c r="HK182">
        <v>9999</v>
      </c>
      <c r="HL182">
        <v>50.1</v>
      </c>
      <c r="HM182">
        <v>1.86722</v>
      </c>
      <c r="HN182">
        <v>1.86627</v>
      </c>
      <c r="HO182">
        <v>1.86578</v>
      </c>
      <c r="HP182">
        <v>1.86569</v>
      </c>
      <c r="HQ182">
        <v>1.86748</v>
      </c>
      <c r="HR182">
        <v>1.86999</v>
      </c>
      <c r="HS182">
        <v>1.86864</v>
      </c>
      <c r="HT182">
        <v>1.87004</v>
      </c>
      <c r="HU182">
        <v>0</v>
      </c>
      <c r="HV182">
        <v>0</v>
      </c>
      <c r="HW182">
        <v>0</v>
      </c>
      <c r="HX182">
        <v>0</v>
      </c>
      <c r="HY182" t="s">
        <v>421</v>
      </c>
      <c r="HZ182" t="s">
        <v>422</v>
      </c>
      <c r="IA182" t="s">
        <v>423</v>
      </c>
      <c r="IB182" t="s">
        <v>423</v>
      </c>
      <c r="IC182" t="s">
        <v>423</v>
      </c>
      <c r="ID182" t="s">
        <v>423</v>
      </c>
      <c r="IE182">
        <v>0</v>
      </c>
      <c r="IF182">
        <v>100</v>
      </c>
      <c r="IG182">
        <v>100</v>
      </c>
      <c r="IH182">
        <v>-0.327</v>
      </c>
      <c r="II182">
        <v>0.0457</v>
      </c>
      <c r="IJ182">
        <v>1.257309091789605</v>
      </c>
      <c r="IK182">
        <v>-0.002185601614162945</v>
      </c>
      <c r="IL182">
        <v>-2.252308143750626E-07</v>
      </c>
      <c r="IM182">
        <v>5.915558436307541E-11</v>
      </c>
      <c r="IN182">
        <v>-0.118683452207699</v>
      </c>
      <c r="IO182">
        <v>-0.007570214193104963</v>
      </c>
      <c r="IP182">
        <v>0.0009214429922928372</v>
      </c>
      <c r="IQ182">
        <v>-1.392260276065805E-05</v>
      </c>
      <c r="IR182">
        <v>17</v>
      </c>
      <c r="IS182">
        <v>2272</v>
      </c>
      <c r="IT182">
        <v>1</v>
      </c>
      <c r="IU182">
        <v>31</v>
      </c>
      <c r="IV182">
        <v>21.8</v>
      </c>
      <c r="IW182">
        <v>22.1</v>
      </c>
      <c r="IX182">
        <v>1.69067</v>
      </c>
      <c r="IY182">
        <v>2.21558</v>
      </c>
      <c r="IZ182">
        <v>1.39648</v>
      </c>
      <c r="JA182">
        <v>2.35474</v>
      </c>
      <c r="JB182">
        <v>1.49536</v>
      </c>
      <c r="JC182">
        <v>2.37061</v>
      </c>
      <c r="JD182">
        <v>36.9794</v>
      </c>
      <c r="JE182">
        <v>15.2528</v>
      </c>
      <c r="JF182">
        <v>18</v>
      </c>
      <c r="JG182">
        <v>389.025</v>
      </c>
      <c r="JH182">
        <v>566.823</v>
      </c>
      <c r="JI182">
        <v>29.4903</v>
      </c>
      <c r="JJ182">
        <v>30.8206</v>
      </c>
      <c r="JK182">
        <v>30.0003</v>
      </c>
      <c r="JL182">
        <v>30.716</v>
      </c>
      <c r="JM182">
        <v>30.6134</v>
      </c>
      <c r="JN182">
        <v>33.8935</v>
      </c>
      <c r="JO182">
        <v>30.5251</v>
      </c>
      <c r="JP182">
        <v>0</v>
      </c>
      <c r="JQ182">
        <v>29.4947</v>
      </c>
      <c r="JR182">
        <v>774.303</v>
      </c>
      <c r="JS182">
        <v>17.8941</v>
      </c>
      <c r="JT182">
        <v>99.9379</v>
      </c>
      <c r="JU182">
        <v>100.042</v>
      </c>
    </row>
    <row r="183" spans="1:281">
      <c r="A183">
        <v>167</v>
      </c>
      <c r="B183">
        <v>1652372604</v>
      </c>
      <c r="C183">
        <v>4510.400000095367</v>
      </c>
      <c r="D183" t="s">
        <v>802</v>
      </c>
      <c r="E183" t="s">
        <v>803</v>
      </c>
      <c r="F183">
        <v>5</v>
      </c>
      <c r="G183" t="s">
        <v>711</v>
      </c>
      <c r="H183" t="s">
        <v>414</v>
      </c>
      <c r="I183">
        <v>1652372596.214286</v>
      </c>
      <c r="J183">
        <f>(K183)/1000</f>
        <v>0</v>
      </c>
      <c r="K183">
        <f>IF(CZ183, AN183, AH183)</f>
        <v>0</v>
      </c>
      <c r="L183">
        <f>IF(CZ183, AI183, AG183)</f>
        <v>0</v>
      </c>
      <c r="M183">
        <f>DB183 - IF(AU183&gt;1, L183*CV183*100.0/(AW183*DP183), 0)</f>
        <v>0</v>
      </c>
      <c r="N183">
        <f>((T183-J183/2)*M183-L183)/(T183+J183/2)</f>
        <v>0</v>
      </c>
      <c r="O183">
        <f>N183*(DI183+DJ183)/1000.0</f>
        <v>0</v>
      </c>
      <c r="P183">
        <f>(DB183 - IF(AU183&gt;1, L183*CV183*100.0/(AW183*DP183), 0))*(DI183+DJ183)/1000.0</f>
        <v>0</v>
      </c>
      <c r="Q183">
        <f>2.0/((1/S183-1/R183)+SIGN(S183)*SQRT((1/S183-1/R183)*(1/S183-1/R183) + 4*CW183/((CW183+1)*(CW183+1))*(2*1/S183*1/R183-1/R183*1/R183)))</f>
        <v>0</v>
      </c>
      <c r="R183">
        <f>IF(LEFT(CX183,1)&lt;&gt;"0",IF(LEFT(CX183,1)="1",3.0,CY183),$D$5+$E$5*(DP183*DI183/($K$5*1000))+$F$5*(DP183*DI183/($K$5*1000))*MAX(MIN(CV183,$J$5),$I$5)*MAX(MIN(CV183,$J$5),$I$5)+$G$5*MAX(MIN(CV183,$J$5),$I$5)*(DP183*DI183/($K$5*1000))+$H$5*(DP183*DI183/($K$5*1000))*(DP183*DI183/($K$5*1000)))</f>
        <v>0</v>
      </c>
      <c r="S183">
        <f>J183*(1000-(1000*0.61365*exp(17.502*W183/(240.97+W183))/(DI183+DJ183)+DD183)/2)/(1000*0.61365*exp(17.502*W183/(240.97+W183))/(DI183+DJ183)-DD183)</f>
        <v>0</v>
      </c>
      <c r="T183">
        <f>1/((CW183+1)/(Q183/1.6)+1/(R183/1.37)) + CW183/((CW183+1)/(Q183/1.6) + CW183/(R183/1.37))</f>
        <v>0</v>
      </c>
      <c r="U183">
        <f>(CR183*CU183)</f>
        <v>0</v>
      </c>
      <c r="V183">
        <f>(DK183+(U183+2*0.95*5.67E-8*(((DK183+$B$7)+273)^4-(DK183+273)^4)-44100*J183)/(1.84*29.3*R183+8*0.95*5.67E-8*(DK183+273)^3))</f>
        <v>0</v>
      </c>
      <c r="W183">
        <f>($C$7*DL183+$D$7*DM183+$E$7*V183)</f>
        <v>0</v>
      </c>
      <c r="X183">
        <f>0.61365*exp(17.502*W183/(240.97+W183))</f>
        <v>0</v>
      </c>
      <c r="Y183">
        <f>(Z183/AA183*100)</f>
        <v>0</v>
      </c>
      <c r="Z183">
        <f>DD183*(DI183+DJ183)/1000</f>
        <v>0</v>
      </c>
      <c r="AA183">
        <f>0.61365*exp(17.502*DK183/(240.97+DK183))</f>
        <v>0</v>
      </c>
      <c r="AB183">
        <f>(X183-DD183*(DI183+DJ183)/1000)</f>
        <v>0</v>
      </c>
      <c r="AC183">
        <f>(-J183*44100)</f>
        <v>0</v>
      </c>
      <c r="AD183">
        <f>2*29.3*R183*0.92*(DK183-W183)</f>
        <v>0</v>
      </c>
      <c r="AE183">
        <f>2*0.95*5.67E-8*(((DK183+$B$7)+273)^4-(W183+273)^4)</f>
        <v>0</v>
      </c>
      <c r="AF183">
        <f>U183+AE183+AC183+AD183</f>
        <v>0</v>
      </c>
      <c r="AG183">
        <f>DH183*AU183*(DC183-DB183*(1000-AU183*DE183)/(1000-AU183*DD183))/(100*CV183)</f>
        <v>0</v>
      </c>
      <c r="AH183">
        <f>1000*DH183*AU183*(DD183-DE183)/(100*CV183*(1000-AU183*DD183))</f>
        <v>0</v>
      </c>
      <c r="AI183">
        <f>(AJ183 - AK183 - DI183*1E3/(8.314*(DK183+273.15)) * AM183/DH183 * AL183) * DH183/(100*CV183) * (1000 - DE183)/1000</f>
        <v>0</v>
      </c>
      <c r="AJ183">
        <v>770.8805733430462</v>
      </c>
      <c r="AK183">
        <v>717.1970303030303</v>
      </c>
      <c r="AL183">
        <v>3.335568507563528</v>
      </c>
      <c r="AM183">
        <v>65.96288611109561</v>
      </c>
      <c r="AN183">
        <f>(AP183 - AO183 + DI183*1E3/(8.314*(DK183+273.15)) * AR183/DH183 * AQ183) * DH183/(100*CV183) * 1000/(1000 - AP183)</f>
        <v>0</v>
      </c>
      <c r="AO183">
        <v>17.87954219994525</v>
      </c>
      <c r="AP183">
        <v>24.63958811188812</v>
      </c>
      <c r="AQ183">
        <v>-0.0001119964687615002</v>
      </c>
      <c r="AR183">
        <v>81.18387902069509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MAX(0,($B$13+$C$13*DP183)/(1+$D$13*DP183)*DI183/(DK183+273)*$E$13)</f>
        <v>0</v>
      </c>
      <c r="AX183" t="s">
        <v>417</v>
      </c>
      <c r="AY183" t="s">
        <v>417</v>
      </c>
      <c r="AZ183">
        <v>0</v>
      </c>
      <c r="BA183">
        <v>0</v>
      </c>
      <c r="BB183">
        <f>1-AZ183/BA183</f>
        <v>0</v>
      </c>
      <c r="BC183">
        <v>0</v>
      </c>
      <c r="BD183" t="s">
        <v>417</v>
      </c>
      <c r="BE183" t="s">
        <v>417</v>
      </c>
      <c r="BF183">
        <v>0</v>
      </c>
      <c r="BG183">
        <v>0</v>
      </c>
      <c r="BH183">
        <f>1-BF183/BG183</f>
        <v>0</v>
      </c>
      <c r="BI183">
        <v>0.5</v>
      </c>
      <c r="BJ183">
        <f>CS183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417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1393</v>
      </c>
      <c r="CA183">
        <v>300</v>
      </c>
      <c r="CB183">
        <v>300</v>
      </c>
      <c r="CC183">
        <v>300</v>
      </c>
      <c r="CD183">
        <v>10378</v>
      </c>
      <c r="CE183">
        <v>2050</v>
      </c>
      <c r="CF183">
        <v>-0.00730649</v>
      </c>
      <c r="CG183">
        <v>-4.53</v>
      </c>
      <c r="CH183" t="s">
        <v>417</v>
      </c>
      <c r="CI183" t="s">
        <v>417</v>
      </c>
      <c r="CJ183" t="s">
        <v>417</v>
      </c>
      <c r="CK183" t="s">
        <v>417</v>
      </c>
      <c r="CL183" t="s">
        <v>417</v>
      </c>
      <c r="CM183" t="s">
        <v>417</v>
      </c>
      <c r="CN183" t="s">
        <v>417</v>
      </c>
      <c r="CO183" t="s">
        <v>417</v>
      </c>
      <c r="CP183" t="s">
        <v>417</v>
      </c>
      <c r="CQ183" t="s">
        <v>417</v>
      </c>
      <c r="CR183">
        <f>$B$11*DQ183+$C$11*DR183+$F$11*EC183*(1-EF183)</f>
        <v>0</v>
      </c>
      <c r="CS183">
        <f>CR183*CT183</f>
        <v>0</v>
      </c>
      <c r="CT183">
        <f>($B$11*$D$9+$C$11*$D$9+$F$11*((EP183+EH183)/MAX(EP183+EH183+EQ183, 0.1)*$I$9+EQ183/MAX(EP183+EH183+EQ183, 0.1)*$J$9))/($B$11+$C$11+$F$11)</f>
        <v>0</v>
      </c>
      <c r="CU183">
        <f>($B$11*$K$9+$C$11*$K$9+$F$11*((EP183+EH183)/MAX(EP183+EH183+EQ183, 0.1)*$P$9+EQ183/MAX(EP183+EH183+EQ183, 0.1)*$Q$9))/($B$11+$C$11+$F$11)</f>
        <v>0</v>
      </c>
      <c r="CV183">
        <v>6</v>
      </c>
      <c r="CW183">
        <v>0.5</v>
      </c>
      <c r="CX183" t="s">
        <v>418</v>
      </c>
      <c r="CY183">
        <v>2</v>
      </c>
      <c r="CZ183" t="b">
        <v>1</v>
      </c>
      <c r="DA183">
        <v>1652372596.214286</v>
      </c>
      <c r="DB183">
        <v>675.84375</v>
      </c>
      <c r="DC183">
        <v>744.0710357142858</v>
      </c>
      <c r="DD183">
        <v>24.67221428571428</v>
      </c>
      <c r="DE183">
        <v>17.87908214285714</v>
      </c>
      <c r="DF183">
        <v>676.1488214285716</v>
      </c>
      <c r="DG183">
        <v>24.62643928571428</v>
      </c>
      <c r="DH183">
        <v>400.0708571428572</v>
      </c>
      <c r="DI183">
        <v>90.38995714285714</v>
      </c>
      <c r="DJ183">
        <v>0.1000296642857143</v>
      </c>
      <c r="DK183">
        <v>30.83698928571428</v>
      </c>
      <c r="DL183">
        <v>29.98180714285715</v>
      </c>
      <c r="DM183">
        <v>999.9000000000002</v>
      </c>
      <c r="DN183">
        <v>0</v>
      </c>
      <c r="DO183">
        <v>0</v>
      </c>
      <c r="DP183">
        <v>9993.4575</v>
      </c>
      <c r="DQ183">
        <v>0</v>
      </c>
      <c r="DR183">
        <v>423.6216785714286</v>
      </c>
      <c r="DS183">
        <v>-68.22737500000001</v>
      </c>
      <c r="DT183">
        <v>692.9397499999999</v>
      </c>
      <c r="DU183">
        <v>757.6166428571427</v>
      </c>
      <c r="DV183">
        <v>6.793127857142857</v>
      </c>
      <c r="DW183">
        <v>744.0710357142858</v>
      </c>
      <c r="DX183">
        <v>17.87908214285714</v>
      </c>
      <c r="DY183">
        <v>2.230121428571429</v>
      </c>
      <c r="DZ183">
        <v>1.61609</v>
      </c>
      <c r="EA183">
        <v>19.18033571428572</v>
      </c>
      <c r="EB183">
        <v>14.11306785714286</v>
      </c>
      <c r="EC183">
        <v>1499.973214285714</v>
      </c>
      <c r="ED183">
        <v>0.97299875</v>
      </c>
      <c r="EE183">
        <v>0.02700142499999999</v>
      </c>
      <c r="EF183">
        <v>0</v>
      </c>
      <c r="EG183">
        <v>1732.225</v>
      </c>
      <c r="EH183">
        <v>5.00097</v>
      </c>
      <c r="EI183">
        <v>26736.68214285714</v>
      </c>
      <c r="EJ183">
        <v>12491.35714285714</v>
      </c>
      <c r="EK183">
        <v>40.06199999999999</v>
      </c>
      <c r="EL183">
        <v>41.56199999999999</v>
      </c>
      <c r="EM183">
        <v>40.31199999999999</v>
      </c>
      <c r="EN183">
        <v>41.41042857142856</v>
      </c>
      <c r="EO183">
        <v>41.17371428571427</v>
      </c>
      <c r="EP183">
        <v>1454.603214285715</v>
      </c>
      <c r="EQ183">
        <v>40.36999999999999</v>
      </c>
      <c r="ER183">
        <v>0</v>
      </c>
      <c r="ES183">
        <v>1438</v>
      </c>
      <c r="ET183">
        <v>0</v>
      </c>
      <c r="EU183">
        <v>1731.8512</v>
      </c>
      <c r="EV183">
        <v>-43.07846147421674</v>
      </c>
      <c r="EW183">
        <v>-644.2615374611513</v>
      </c>
      <c r="EX183">
        <v>26731.188</v>
      </c>
      <c r="EY183">
        <v>15</v>
      </c>
      <c r="EZ183">
        <v>1652371289.6</v>
      </c>
      <c r="FA183" t="s">
        <v>515</v>
      </c>
      <c r="FB183">
        <v>1652371289.6</v>
      </c>
      <c r="FC183">
        <v>1652371275.1</v>
      </c>
      <c r="FD183">
        <v>24</v>
      </c>
      <c r="FE183">
        <v>0.442</v>
      </c>
      <c r="FF183">
        <v>0.001</v>
      </c>
      <c r="FG183">
        <v>-2.63</v>
      </c>
      <c r="FH183">
        <v>0.007</v>
      </c>
      <c r="FI183">
        <v>1620</v>
      </c>
      <c r="FJ183">
        <v>22</v>
      </c>
      <c r="FK183">
        <v>0.08</v>
      </c>
      <c r="FL183">
        <v>0.04</v>
      </c>
      <c r="FM183">
        <v>-67.8207075</v>
      </c>
      <c r="FN183">
        <v>-6.822494183864705</v>
      </c>
      <c r="FO183">
        <v>0.6612949725302242</v>
      </c>
      <c r="FP183">
        <v>-1</v>
      </c>
      <c r="FQ183">
        <v>6.8038195</v>
      </c>
      <c r="FR183">
        <v>-0.1790879549718609</v>
      </c>
      <c r="FS183">
        <v>0.01753651119094099</v>
      </c>
      <c r="FT183">
        <v>1</v>
      </c>
      <c r="FU183">
        <v>0</v>
      </c>
      <c r="FV183">
        <v>0</v>
      </c>
      <c r="FW183">
        <v>0</v>
      </c>
      <c r="FX183">
        <v>-1</v>
      </c>
      <c r="FY183">
        <v>1</v>
      </c>
      <c r="FZ183">
        <v>1</v>
      </c>
      <c r="GA183" t="s">
        <v>420</v>
      </c>
      <c r="GB183">
        <v>2.69559</v>
      </c>
      <c r="GC183">
        <v>2.70496</v>
      </c>
      <c r="GD183">
        <v>0.135197</v>
      </c>
      <c r="GE183">
        <v>0.142579</v>
      </c>
      <c r="GF183">
        <v>0.107968</v>
      </c>
      <c r="GG183">
        <v>0.0848859</v>
      </c>
      <c r="GH183">
        <v>27180.2</v>
      </c>
      <c r="GI183">
        <v>27063.7</v>
      </c>
      <c r="GJ183">
        <v>29238.3</v>
      </c>
      <c r="GK183">
        <v>29209.9</v>
      </c>
      <c r="GL183">
        <v>34531.3</v>
      </c>
      <c r="GM183">
        <v>35582.7</v>
      </c>
      <c r="GN183">
        <v>41152</v>
      </c>
      <c r="GO183">
        <v>41676.5</v>
      </c>
      <c r="GP183">
        <v>1.72485</v>
      </c>
      <c r="GQ183">
        <v>2.02935</v>
      </c>
      <c r="GR183">
        <v>0.06408990000000001</v>
      </c>
      <c r="GS183">
        <v>0</v>
      </c>
      <c r="GT183">
        <v>28.9366</v>
      </c>
      <c r="GU183">
        <v>999.9</v>
      </c>
      <c r="GV183">
        <v>44.5</v>
      </c>
      <c r="GW183">
        <v>33.4</v>
      </c>
      <c r="GX183">
        <v>25.4374</v>
      </c>
      <c r="GY183">
        <v>62.978</v>
      </c>
      <c r="GZ183">
        <v>28.9864</v>
      </c>
      <c r="HA183">
        <v>1</v>
      </c>
      <c r="HB183">
        <v>0.264804</v>
      </c>
      <c r="HC183">
        <v>0.163075</v>
      </c>
      <c r="HD183">
        <v>20.3813</v>
      </c>
      <c r="HE183">
        <v>5.21699</v>
      </c>
      <c r="HF183">
        <v>12.0099</v>
      </c>
      <c r="HG183">
        <v>4.9881</v>
      </c>
      <c r="HH183">
        <v>3.28838</v>
      </c>
      <c r="HI183">
        <v>2728.6</v>
      </c>
      <c r="HJ183">
        <v>9999</v>
      </c>
      <c r="HK183">
        <v>9999</v>
      </c>
      <c r="HL183">
        <v>50.1</v>
      </c>
      <c r="HM183">
        <v>1.86722</v>
      </c>
      <c r="HN183">
        <v>1.86627</v>
      </c>
      <c r="HO183">
        <v>1.8658</v>
      </c>
      <c r="HP183">
        <v>1.86569</v>
      </c>
      <c r="HQ183">
        <v>1.86748</v>
      </c>
      <c r="HR183">
        <v>1.87001</v>
      </c>
      <c r="HS183">
        <v>1.86863</v>
      </c>
      <c r="HT183">
        <v>1.87002</v>
      </c>
      <c r="HU183">
        <v>0</v>
      </c>
      <c r="HV183">
        <v>0</v>
      </c>
      <c r="HW183">
        <v>0</v>
      </c>
      <c r="HX183">
        <v>0</v>
      </c>
      <c r="HY183" t="s">
        <v>421</v>
      </c>
      <c r="HZ183" t="s">
        <v>422</v>
      </c>
      <c r="IA183" t="s">
        <v>423</v>
      </c>
      <c r="IB183" t="s">
        <v>423</v>
      </c>
      <c r="IC183" t="s">
        <v>423</v>
      </c>
      <c r="ID183" t="s">
        <v>423</v>
      </c>
      <c r="IE183">
        <v>0</v>
      </c>
      <c r="IF183">
        <v>100</v>
      </c>
      <c r="IG183">
        <v>100</v>
      </c>
      <c r="IH183">
        <v>-0.366</v>
      </c>
      <c r="II183">
        <v>0.0454</v>
      </c>
      <c r="IJ183">
        <v>1.257309091789605</v>
      </c>
      <c r="IK183">
        <v>-0.002185601614162945</v>
      </c>
      <c r="IL183">
        <v>-2.252308143750626E-07</v>
      </c>
      <c r="IM183">
        <v>5.915558436307541E-11</v>
      </c>
      <c r="IN183">
        <v>-0.118683452207699</v>
      </c>
      <c r="IO183">
        <v>-0.007570214193104963</v>
      </c>
      <c r="IP183">
        <v>0.0009214429922928372</v>
      </c>
      <c r="IQ183">
        <v>-1.392260276065805E-05</v>
      </c>
      <c r="IR183">
        <v>17</v>
      </c>
      <c r="IS183">
        <v>2272</v>
      </c>
      <c r="IT183">
        <v>1</v>
      </c>
      <c r="IU183">
        <v>31</v>
      </c>
      <c r="IV183">
        <v>21.9</v>
      </c>
      <c r="IW183">
        <v>22.1</v>
      </c>
      <c r="IX183">
        <v>1.72119</v>
      </c>
      <c r="IY183">
        <v>2.2229</v>
      </c>
      <c r="IZ183">
        <v>1.39648</v>
      </c>
      <c r="JA183">
        <v>2.35474</v>
      </c>
      <c r="JB183">
        <v>1.49536</v>
      </c>
      <c r="JC183">
        <v>2.32178</v>
      </c>
      <c r="JD183">
        <v>37.0032</v>
      </c>
      <c r="JE183">
        <v>15.244</v>
      </c>
      <c r="JF183">
        <v>18</v>
      </c>
      <c r="JG183">
        <v>389.11</v>
      </c>
      <c r="JH183">
        <v>566.949</v>
      </c>
      <c r="JI183">
        <v>29.5008</v>
      </c>
      <c r="JJ183">
        <v>30.8226</v>
      </c>
      <c r="JK183">
        <v>30.0001</v>
      </c>
      <c r="JL183">
        <v>30.719</v>
      </c>
      <c r="JM183">
        <v>30.6167</v>
      </c>
      <c r="JN183">
        <v>34.4478</v>
      </c>
      <c r="JO183">
        <v>30.5251</v>
      </c>
      <c r="JP183">
        <v>0</v>
      </c>
      <c r="JQ183">
        <v>29.5084</v>
      </c>
      <c r="JR183">
        <v>787.712</v>
      </c>
      <c r="JS183">
        <v>17.8945</v>
      </c>
      <c r="JT183">
        <v>99.9393</v>
      </c>
      <c r="JU183">
        <v>100.042</v>
      </c>
    </row>
    <row r="184" spans="1:281">
      <c r="A184">
        <v>168</v>
      </c>
      <c r="B184">
        <v>1652372609</v>
      </c>
      <c r="C184">
        <v>4515.400000095367</v>
      </c>
      <c r="D184" t="s">
        <v>804</v>
      </c>
      <c r="E184" t="s">
        <v>805</v>
      </c>
      <c r="F184">
        <v>5</v>
      </c>
      <c r="G184" t="s">
        <v>711</v>
      </c>
      <c r="H184" t="s">
        <v>414</v>
      </c>
      <c r="I184">
        <v>1652372601.5</v>
      </c>
      <c r="J184">
        <f>(K184)/1000</f>
        <v>0</v>
      </c>
      <c r="K184">
        <f>IF(CZ184, AN184, AH184)</f>
        <v>0</v>
      </c>
      <c r="L184">
        <f>IF(CZ184, AI184, AG184)</f>
        <v>0</v>
      </c>
      <c r="M184">
        <f>DB184 - IF(AU184&gt;1, L184*CV184*100.0/(AW184*DP184), 0)</f>
        <v>0</v>
      </c>
      <c r="N184">
        <f>((T184-J184/2)*M184-L184)/(T184+J184/2)</f>
        <v>0</v>
      </c>
      <c r="O184">
        <f>N184*(DI184+DJ184)/1000.0</f>
        <v>0</v>
      </c>
      <c r="P184">
        <f>(DB184 - IF(AU184&gt;1, L184*CV184*100.0/(AW184*DP184), 0))*(DI184+DJ184)/1000.0</f>
        <v>0</v>
      </c>
      <c r="Q184">
        <f>2.0/((1/S184-1/R184)+SIGN(S184)*SQRT((1/S184-1/R184)*(1/S184-1/R184) + 4*CW184/((CW184+1)*(CW184+1))*(2*1/S184*1/R184-1/R184*1/R184)))</f>
        <v>0</v>
      </c>
      <c r="R184">
        <f>IF(LEFT(CX184,1)&lt;&gt;"0",IF(LEFT(CX184,1)="1",3.0,CY184),$D$5+$E$5*(DP184*DI184/($K$5*1000))+$F$5*(DP184*DI184/($K$5*1000))*MAX(MIN(CV184,$J$5),$I$5)*MAX(MIN(CV184,$J$5),$I$5)+$G$5*MAX(MIN(CV184,$J$5),$I$5)*(DP184*DI184/($K$5*1000))+$H$5*(DP184*DI184/($K$5*1000))*(DP184*DI184/($K$5*1000)))</f>
        <v>0</v>
      </c>
      <c r="S184">
        <f>J184*(1000-(1000*0.61365*exp(17.502*W184/(240.97+W184))/(DI184+DJ184)+DD184)/2)/(1000*0.61365*exp(17.502*W184/(240.97+W184))/(DI184+DJ184)-DD184)</f>
        <v>0</v>
      </c>
      <c r="T184">
        <f>1/((CW184+1)/(Q184/1.6)+1/(R184/1.37)) + CW184/((CW184+1)/(Q184/1.6) + CW184/(R184/1.37))</f>
        <v>0</v>
      </c>
      <c r="U184">
        <f>(CR184*CU184)</f>
        <v>0</v>
      </c>
      <c r="V184">
        <f>(DK184+(U184+2*0.95*5.67E-8*(((DK184+$B$7)+273)^4-(DK184+273)^4)-44100*J184)/(1.84*29.3*R184+8*0.95*5.67E-8*(DK184+273)^3))</f>
        <v>0</v>
      </c>
      <c r="W184">
        <f>($C$7*DL184+$D$7*DM184+$E$7*V184)</f>
        <v>0</v>
      </c>
      <c r="X184">
        <f>0.61365*exp(17.502*W184/(240.97+W184))</f>
        <v>0</v>
      </c>
      <c r="Y184">
        <f>(Z184/AA184*100)</f>
        <v>0</v>
      </c>
      <c r="Z184">
        <f>DD184*(DI184+DJ184)/1000</f>
        <v>0</v>
      </c>
      <c r="AA184">
        <f>0.61365*exp(17.502*DK184/(240.97+DK184))</f>
        <v>0</v>
      </c>
      <c r="AB184">
        <f>(X184-DD184*(DI184+DJ184)/1000)</f>
        <v>0</v>
      </c>
      <c r="AC184">
        <f>(-J184*44100)</f>
        <v>0</v>
      </c>
      <c r="AD184">
        <f>2*29.3*R184*0.92*(DK184-W184)</f>
        <v>0</v>
      </c>
      <c r="AE184">
        <f>2*0.95*5.67E-8*(((DK184+$B$7)+273)^4-(W184+273)^4)</f>
        <v>0</v>
      </c>
      <c r="AF184">
        <f>U184+AE184+AC184+AD184</f>
        <v>0</v>
      </c>
      <c r="AG184">
        <f>DH184*AU184*(DC184-DB184*(1000-AU184*DE184)/(1000-AU184*DD184))/(100*CV184)</f>
        <v>0</v>
      </c>
      <c r="AH184">
        <f>1000*DH184*AU184*(DD184-DE184)/(100*CV184*(1000-AU184*DD184))</f>
        <v>0</v>
      </c>
      <c r="AI184">
        <f>(AJ184 - AK184 - DI184*1E3/(8.314*(DK184+273.15)) * AM184/DH184 * AL184) * DH184/(100*CV184) * (1000 - DE184)/1000</f>
        <v>0</v>
      </c>
      <c r="AJ184">
        <v>788.0899304081667</v>
      </c>
      <c r="AK184">
        <v>733.9114787878784</v>
      </c>
      <c r="AL184">
        <v>3.349374658979091</v>
      </c>
      <c r="AM184">
        <v>65.96288611109561</v>
      </c>
      <c r="AN184">
        <f>(AP184 - AO184 + DI184*1E3/(8.314*(DK184+273.15)) * AR184/DH184 * AQ184) * DH184/(100*CV184) * 1000/(1000 - AP184)</f>
        <v>0</v>
      </c>
      <c r="AO184">
        <v>17.88160662388036</v>
      </c>
      <c r="AP184">
        <v>24.60953076923077</v>
      </c>
      <c r="AQ184">
        <v>-0.003784096601317359</v>
      </c>
      <c r="AR184">
        <v>81.18387902069509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MAX(0,($B$13+$C$13*DP184)/(1+$D$13*DP184)*DI184/(DK184+273)*$E$13)</f>
        <v>0</v>
      </c>
      <c r="AX184" t="s">
        <v>417</v>
      </c>
      <c r="AY184" t="s">
        <v>417</v>
      </c>
      <c r="AZ184">
        <v>0</v>
      </c>
      <c r="BA184">
        <v>0</v>
      </c>
      <c r="BB184">
        <f>1-AZ184/BA184</f>
        <v>0</v>
      </c>
      <c r="BC184">
        <v>0</v>
      </c>
      <c r="BD184" t="s">
        <v>417</v>
      </c>
      <c r="BE184" t="s">
        <v>417</v>
      </c>
      <c r="BF184">
        <v>0</v>
      </c>
      <c r="BG184">
        <v>0</v>
      </c>
      <c r="BH184">
        <f>1-BF184/BG184</f>
        <v>0</v>
      </c>
      <c r="BI184">
        <v>0.5</v>
      </c>
      <c r="BJ184">
        <f>CS184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417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1393</v>
      </c>
      <c r="CA184">
        <v>300</v>
      </c>
      <c r="CB184">
        <v>300</v>
      </c>
      <c r="CC184">
        <v>300</v>
      </c>
      <c r="CD184">
        <v>10378</v>
      </c>
      <c r="CE184">
        <v>2050</v>
      </c>
      <c r="CF184">
        <v>-0.00730649</v>
      </c>
      <c r="CG184">
        <v>-4.53</v>
      </c>
      <c r="CH184" t="s">
        <v>417</v>
      </c>
      <c r="CI184" t="s">
        <v>417</v>
      </c>
      <c r="CJ184" t="s">
        <v>417</v>
      </c>
      <c r="CK184" t="s">
        <v>417</v>
      </c>
      <c r="CL184" t="s">
        <v>417</v>
      </c>
      <c r="CM184" t="s">
        <v>417</v>
      </c>
      <c r="CN184" t="s">
        <v>417</v>
      </c>
      <c r="CO184" t="s">
        <v>417</v>
      </c>
      <c r="CP184" t="s">
        <v>417</v>
      </c>
      <c r="CQ184" t="s">
        <v>417</v>
      </c>
      <c r="CR184">
        <f>$B$11*DQ184+$C$11*DR184+$F$11*EC184*(1-EF184)</f>
        <v>0</v>
      </c>
      <c r="CS184">
        <f>CR184*CT184</f>
        <v>0</v>
      </c>
      <c r="CT184">
        <f>($B$11*$D$9+$C$11*$D$9+$F$11*((EP184+EH184)/MAX(EP184+EH184+EQ184, 0.1)*$I$9+EQ184/MAX(EP184+EH184+EQ184, 0.1)*$J$9))/($B$11+$C$11+$F$11)</f>
        <v>0</v>
      </c>
      <c r="CU184">
        <f>($B$11*$K$9+$C$11*$K$9+$F$11*((EP184+EH184)/MAX(EP184+EH184+EQ184, 0.1)*$P$9+EQ184/MAX(EP184+EH184+EQ184, 0.1)*$Q$9))/($B$11+$C$11+$F$11)</f>
        <v>0</v>
      </c>
      <c r="CV184">
        <v>6</v>
      </c>
      <c r="CW184">
        <v>0.5</v>
      </c>
      <c r="CX184" t="s">
        <v>418</v>
      </c>
      <c r="CY184">
        <v>2</v>
      </c>
      <c r="CZ184" t="b">
        <v>1</v>
      </c>
      <c r="DA184">
        <v>1652372601.5</v>
      </c>
      <c r="DB184">
        <v>693.0144074074077</v>
      </c>
      <c r="DC184">
        <v>761.8052592592595</v>
      </c>
      <c r="DD184">
        <v>24.64957777777778</v>
      </c>
      <c r="DE184">
        <v>17.88039259259259</v>
      </c>
      <c r="DF184">
        <v>693.360962962963</v>
      </c>
      <c r="DG184">
        <v>24.60408888888889</v>
      </c>
      <c r="DH184">
        <v>400.0758888888888</v>
      </c>
      <c r="DI184">
        <v>90.39227407407409</v>
      </c>
      <c r="DJ184">
        <v>0.100014837037037</v>
      </c>
      <c r="DK184">
        <v>30.84088518518518</v>
      </c>
      <c r="DL184">
        <v>29.98184814814815</v>
      </c>
      <c r="DM184">
        <v>999.9000000000001</v>
      </c>
      <c r="DN184">
        <v>0</v>
      </c>
      <c r="DO184">
        <v>0</v>
      </c>
      <c r="DP184">
        <v>9992.752962962964</v>
      </c>
      <c r="DQ184">
        <v>0</v>
      </c>
      <c r="DR184">
        <v>422.1418148148149</v>
      </c>
      <c r="DS184">
        <v>-68.79090370370371</v>
      </c>
      <c r="DT184">
        <v>710.5282592592592</v>
      </c>
      <c r="DU184">
        <v>775.6747037037037</v>
      </c>
      <c r="DV184">
        <v>6.769181851851853</v>
      </c>
      <c r="DW184">
        <v>761.8052592592595</v>
      </c>
      <c r="DX184">
        <v>17.88039259259259</v>
      </c>
      <c r="DY184">
        <v>2.228131481481481</v>
      </c>
      <c r="DZ184">
        <v>1.61624962962963</v>
      </c>
      <c r="EA184">
        <v>19.16601481481482</v>
      </c>
      <c r="EB184">
        <v>14.11460370370371</v>
      </c>
      <c r="EC184">
        <v>1499.973703703703</v>
      </c>
      <c r="ED184">
        <v>0.9729988888888887</v>
      </c>
      <c r="EE184">
        <v>0.02700127777777777</v>
      </c>
      <c r="EF184">
        <v>0</v>
      </c>
      <c r="EG184">
        <v>1728.420740740741</v>
      </c>
      <c r="EH184">
        <v>5.00097</v>
      </c>
      <c r="EI184">
        <v>26678.61111111112</v>
      </c>
      <c r="EJ184">
        <v>12491.35925925926</v>
      </c>
      <c r="EK184">
        <v>40.06199999999999</v>
      </c>
      <c r="EL184">
        <v>41.56199999999999</v>
      </c>
      <c r="EM184">
        <v>40.31199999999999</v>
      </c>
      <c r="EN184">
        <v>41.42322222222221</v>
      </c>
      <c r="EO184">
        <v>41.17092592592592</v>
      </c>
      <c r="EP184">
        <v>1454.603703703704</v>
      </c>
      <c r="EQ184">
        <v>40.36999999999999</v>
      </c>
      <c r="ER184">
        <v>0</v>
      </c>
      <c r="ES184">
        <v>1442.799999952316</v>
      </c>
      <c r="ET184">
        <v>0</v>
      </c>
      <c r="EU184">
        <v>1728.4152</v>
      </c>
      <c r="EV184">
        <v>-41.47769230573639</v>
      </c>
      <c r="EW184">
        <v>-635.2692307540087</v>
      </c>
      <c r="EX184">
        <v>26678.828</v>
      </c>
      <c r="EY184">
        <v>15</v>
      </c>
      <c r="EZ184">
        <v>1652371289.6</v>
      </c>
      <c r="FA184" t="s">
        <v>515</v>
      </c>
      <c r="FB184">
        <v>1652371289.6</v>
      </c>
      <c r="FC184">
        <v>1652371275.1</v>
      </c>
      <c r="FD184">
        <v>24</v>
      </c>
      <c r="FE184">
        <v>0.442</v>
      </c>
      <c r="FF184">
        <v>0.001</v>
      </c>
      <c r="FG184">
        <v>-2.63</v>
      </c>
      <c r="FH184">
        <v>0.007</v>
      </c>
      <c r="FI184">
        <v>1620</v>
      </c>
      <c r="FJ184">
        <v>22</v>
      </c>
      <c r="FK184">
        <v>0.08</v>
      </c>
      <c r="FL184">
        <v>0.04</v>
      </c>
      <c r="FM184">
        <v>-68.49503</v>
      </c>
      <c r="FN184">
        <v>-6.332055534708995</v>
      </c>
      <c r="FO184">
        <v>0.6124221649320029</v>
      </c>
      <c r="FP184">
        <v>-1</v>
      </c>
      <c r="FQ184">
        <v>6.780511999999999</v>
      </c>
      <c r="FR184">
        <v>-0.2717738836773046</v>
      </c>
      <c r="FS184">
        <v>0.02656953765122758</v>
      </c>
      <c r="FT184">
        <v>1</v>
      </c>
      <c r="FU184">
        <v>0</v>
      </c>
      <c r="FV184">
        <v>0</v>
      </c>
      <c r="FW184">
        <v>0</v>
      </c>
      <c r="FX184">
        <v>-1</v>
      </c>
      <c r="FY184">
        <v>1</v>
      </c>
      <c r="FZ184">
        <v>1</v>
      </c>
      <c r="GA184" t="s">
        <v>420</v>
      </c>
      <c r="GB184">
        <v>2.69561</v>
      </c>
      <c r="GC184">
        <v>2.70499</v>
      </c>
      <c r="GD184">
        <v>0.137351</v>
      </c>
      <c r="GE184">
        <v>0.144656</v>
      </c>
      <c r="GF184">
        <v>0.107872</v>
      </c>
      <c r="GG184">
        <v>0.0848899</v>
      </c>
      <c r="GH184">
        <v>27112</v>
      </c>
      <c r="GI184">
        <v>26998.3</v>
      </c>
      <c r="GJ184">
        <v>29237.8</v>
      </c>
      <c r="GK184">
        <v>29210.2</v>
      </c>
      <c r="GL184">
        <v>34534.1</v>
      </c>
      <c r="GM184">
        <v>35582.9</v>
      </c>
      <c r="GN184">
        <v>41150.8</v>
      </c>
      <c r="GO184">
        <v>41676.9</v>
      </c>
      <c r="GP184">
        <v>1.72465</v>
      </c>
      <c r="GQ184">
        <v>2.0294</v>
      </c>
      <c r="GR184">
        <v>0.0643209</v>
      </c>
      <c r="GS184">
        <v>0</v>
      </c>
      <c r="GT184">
        <v>28.9327</v>
      </c>
      <c r="GU184">
        <v>999.9</v>
      </c>
      <c r="GV184">
        <v>44.5</v>
      </c>
      <c r="GW184">
        <v>33.4</v>
      </c>
      <c r="GX184">
        <v>25.4347</v>
      </c>
      <c r="GY184">
        <v>63.228</v>
      </c>
      <c r="GZ184">
        <v>28.9824</v>
      </c>
      <c r="HA184">
        <v>1</v>
      </c>
      <c r="HB184">
        <v>0.264853</v>
      </c>
      <c r="HC184">
        <v>0.148687</v>
      </c>
      <c r="HD184">
        <v>20.3814</v>
      </c>
      <c r="HE184">
        <v>5.21624</v>
      </c>
      <c r="HF184">
        <v>12.0099</v>
      </c>
      <c r="HG184">
        <v>4.98795</v>
      </c>
      <c r="HH184">
        <v>3.28833</v>
      </c>
      <c r="HI184">
        <v>2728.6</v>
      </c>
      <c r="HJ184">
        <v>9999</v>
      </c>
      <c r="HK184">
        <v>9999</v>
      </c>
      <c r="HL184">
        <v>50.1</v>
      </c>
      <c r="HM184">
        <v>1.86722</v>
      </c>
      <c r="HN184">
        <v>1.86628</v>
      </c>
      <c r="HO184">
        <v>1.8658</v>
      </c>
      <c r="HP184">
        <v>1.86569</v>
      </c>
      <c r="HQ184">
        <v>1.86747</v>
      </c>
      <c r="HR184">
        <v>1.86998</v>
      </c>
      <c r="HS184">
        <v>1.86863</v>
      </c>
      <c r="HT184">
        <v>1.87002</v>
      </c>
      <c r="HU184">
        <v>0</v>
      </c>
      <c r="HV184">
        <v>0</v>
      </c>
      <c r="HW184">
        <v>0</v>
      </c>
      <c r="HX184">
        <v>0</v>
      </c>
      <c r="HY184" t="s">
        <v>421</v>
      </c>
      <c r="HZ184" t="s">
        <v>422</v>
      </c>
      <c r="IA184" t="s">
        <v>423</v>
      </c>
      <c r="IB184" t="s">
        <v>423</v>
      </c>
      <c r="IC184" t="s">
        <v>423</v>
      </c>
      <c r="ID184" t="s">
        <v>423</v>
      </c>
      <c r="IE184">
        <v>0</v>
      </c>
      <c r="IF184">
        <v>100</v>
      </c>
      <c r="IG184">
        <v>100</v>
      </c>
      <c r="IH184">
        <v>-0.406</v>
      </c>
      <c r="II184">
        <v>0.0449</v>
      </c>
      <c r="IJ184">
        <v>1.257309091789605</v>
      </c>
      <c r="IK184">
        <v>-0.002185601614162945</v>
      </c>
      <c r="IL184">
        <v>-2.252308143750626E-07</v>
      </c>
      <c r="IM184">
        <v>5.915558436307541E-11</v>
      </c>
      <c r="IN184">
        <v>-0.118683452207699</v>
      </c>
      <c r="IO184">
        <v>-0.007570214193104963</v>
      </c>
      <c r="IP184">
        <v>0.0009214429922928372</v>
      </c>
      <c r="IQ184">
        <v>-1.392260276065805E-05</v>
      </c>
      <c r="IR184">
        <v>17</v>
      </c>
      <c r="IS184">
        <v>2272</v>
      </c>
      <c r="IT184">
        <v>1</v>
      </c>
      <c r="IU184">
        <v>31</v>
      </c>
      <c r="IV184">
        <v>22</v>
      </c>
      <c r="IW184">
        <v>22.2</v>
      </c>
      <c r="IX184">
        <v>1.75293</v>
      </c>
      <c r="IY184">
        <v>2.22168</v>
      </c>
      <c r="IZ184">
        <v>1.39648</v>
      </c>
      <c r="JA184">
        <v>2.35474</v>
      </c>
      <c r="JB184">
        <v>1.49536</v>
      </c>
      <c r="JC184">
        <v>2.27783</v>
      </c>
      <c r="JD184">
        <v>37.0032</v>
      </c>
      <c r="JE184">
        <v>15.2353</v>
      </c>
      <c r="JF184">
        <v>18</v>
      </c>
      <c r="JG184">
        <v>389.02</v>
      </c>
      <c r="JH184">
        <v>567.0119999999999</v>
      </c>
      <c r="JI184">
        <v>29.5141</v>
      </c>
      <c r="JJ184">
        <v>30.8246</v>
      </c>
      <c r="JK184">
        <v>30.0002</v>
      </c>
      <c r="JL184">
        <v>30.722</v>
      </c>
      <c r="JM184">
        <v>30.6194</v>
      </c>
      <c r="JN184">
        <v>35.0761</v>
      </c>
      <c r="JO184">
        <v>30.5251</v>
      </c>
      <c r="JP184">
        <v>0</v>
      </c>
      <c r="JQ184">
        <v>29.5217</v>
      </c>
      <c r="JR184">
        <v>807.748</v>
      </c>
      <c r="JS184">
        <v>17.9279</v>
      </c>
      <c r="JT184">
        <v>99.93689999999999</v>
      </c>
      <c r="JU184">
        <v>100.042</v>
      </c>
    </row>
    <row r="185" spans="1:281">
      <c r="A185">
        <v>169</v>
      </c>
      <c r="B185">
        <v>1652372614</v>
      </c>
      <c r="C185">
        <v>4520.400000095367</v>
      </c>
      <c r="D185" t="s">
        <v>806</v>
      </c>
      <c r="E185" t="s">
        <v>807</v>
      </c>
      <c r="F185">
        <v>5</v>
      </c>
      <c r="G185" t="s">
        <v>711</v>
      </c>
      <c r="H185" t="s">
        <v>414</v>
      </c>
      <c r="I185">
        <v>1652372606.214286</v>
      </c>
      <c r="J185">
        <f>(K185)/1000</f>
        <v>0</v>
      </c>
      <c r="K185">
        <f>IF(CZ185, AN185, AH185)</f>
        <v>0</v>
      </c>
      <c r="L185">
        <f>IF(CZ185, AI185, AG185)</f>
        <v>0</v>
      </c>
      <c r="M185">
        <f>DB185 - IF(AU185&gt;1, L185*CV185*100.0/(AW185*DP185), 0)</f>
        <v>0</v>
      </c>
      <c r="N185">
        <f>((T185-J185/2)*M185-L185)/(T185+J185/2)</f>
        <v>0</v>
      </c>
      <c r="O185">
        <f>N185*(DI185+DJ185)/1000.0</f>
        <v>0</v>
      </c>
      <c r="P185">
        <f>(DB185 - IF(AU185&gt;1, L185*CV185*100.0/(AW185*DP185), 0))*(DI185+DJ185)/1000.0</f>
        <v>0</v>
      </c>
      <c r="Q185">
        <f>2.0/((1/S185-1/R185)+SIGN(S185)*SQRT((1/S185-1/R185)*(1/S185-1/R185) + 4*CW185/((CW185+1)*(CW185+1))*(2*1/S185*1/R185-1/R185*1/R185)))</f>
        <v>0</v>
      </c>
      <c r="R185">
        <f>IF(LEFT(CX185,1)&lt;&gt;"0",IF(LEFT(CX185,1)="1",3.0,CY185),$D$5+$E$5*(DP185*DI185/($K$5*1000))+$F$5*(DP185*DI185/($K$5*1000))*MAX(MIN(CV185,$J$5),$I$5)*MAX(MIN(CV185,$J$5),$I$5)+$G$5*MAX(MIN(CV185,$J$5),$I$5)*(DP185*DI185/($K$5*1000))+$H$5*(DP185*DI185/($K$5*1000))*(DP185*DI185/($K$5*1000)))</f>
        <v>0</v>
      </c>
      <c r="S185">
        <f>J185*(1000-(1000*0.61365*exp(17.502*W185/(240.97+W185))/(DI185+DJ185)+DD185)/2)/(1000*0.61365*exp(17.502*W185/(240.97+W185))/(DI185+DJ185)-DD185)</f>
        <v>0</v>
      </c>
      <c r="T185">
        <f>1/((CW185+1)/(Q185/1.6)+1/(R185/1.37)) + CW185/((CW185+1)/(Q185/1.6) + CW185/(R185/1.37))</f>
        <v>0</v>
      </c>
      <c r="U185">
        <f>(CR185*CU185)</f>
        <v>0</v>
      </c>
      <c r="V185">
        <f>(DK185+(U185+2*0.95*5.67E-8*(((DK185+$B$7)+273)^4-(DK185+273)^4)-44100*J185)/(1.84*29.3*R185+8*0.95*5.67E-8*(DK185+273)^3))</f>
        <v>0</v>
      </c>
      <c r="W185">
        <f>($C$7*DL185+$D$7*DM185+$E$7*V185)</f>
        <v>0</v>
      </c>
      <c r="X185">
        <f>0.61365*exp(17.502*W185/(240.97+W185))</f>
        <v>0</v>
      </c>
      <c r="Y185">
        <f>(Z185/AA185*100)</f>
        <v>0</v>
      </c>
      <c r="Z185">
        <f>DD185*(DI185+DJ185)/1000</f>
        <v>0</v>
      </c>
      <c r="AA185">
        <f>0.61365*exp(17.502*DK185/(240.97+DK185))</f>
        <v>0</v>
      </c>
      <c r="AB185">
        <f>(X185-DD185*(DI185+DJ185)/1000)</f>
        <v>0</v>
      </c>
      <c r="AC185">
        <f>(-J185*44100)</f>
        <v>0</v>
      </c>
      <c r="AD185">
        <f>2*29.3*R185*0.92*(DK185-W185)</f>
        <v>0</v>
      </c>
      <c r="AE185">
        <f>2*0.95*5.67E-8*(((DK185+$B$7)+273)^4-(W185+273)^4)</f>
        <v>0</v>
      </c>
      <c r="AF185">
        <f>U185+AE185+AC185+AD185</f>
        <v>0</v>
      </c>
      <c r="AG185">
        <f>DH185*AU185*(DC185-DB185*(1000-AU185*DE185)/(1000-AU185*DD185))/(100*CV185)</f>
        <v>0</v>
      </c>
      <c r="AH185">
        <f>1000*DH185*AU185*(DD185-DE185)/(100*CV185*(1000-AU185*DD185))</f>
        <v>0</v>
      </c>
      <c r="AI185">
        <f>(AJ185 - AK185 - DI185*1E3/(8.314*(DK185+273.15)) * AM185/DH185 * AL185) * DH185/(100*CV185) * (1000 - DE185)/1000</f>
        <v>0</v>
      </c>
      <c r="AJ185">
        <v>805.1625265382607</v>
      </c>
      <c r="AK185">
        <v>750.7249878787874</v>
      </c>
      <c r="AL185">
        <v>3.361501029763506</v>
      </c>
      <c r="AM185">
        <v>65.96288611109561</v>
      </c>
      <c r="AN185">
        <f>(AP185 - AO185 + DI185*1E3/(8.314*(DK185+273.15)) * AR185/DH185 * AQ185) * DH185/(100*CV185) * 1000/(1000 - AP185)</f>
        <v>0</v>
      </c>
      <c r="AO185">
        <v>17.88153159343251</v>
      </c>
      <c r="AP185">
        <v>24.5587153846154</v>
      </c>
      <c r="AQ185">
        <v>-0.0103280124081641</v>
      </c>
      <c r="AR185">
        <v>81.18387902069509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MAX(0,($B$13+$C$13*DP185)/(1+$D$13*DP185)*DI185/(DK185+273)*$E$13)</f>
        <v>0</v>
      </c>
      <c r="AX185" t="s">
        <v>417</v>
      </c>
      <c r="AY185" t="s">
        <v>417</v>
      </c>
      <c r="AZ185">
        <v>0</v>
      </c>
      <c r="BA185">
        <v>0</v>
      </c>
      <c r="BB185">
        <f>1-AZ185/BA185</f>
        <v>0</v>
      </c>
      <c r="BC185">
        <v>0</v>
      </c>
      <c r="BD185" t="s">
        <v>417</v>
      </c>
      <c r="BE185" t="s">
        <v>417</v>
      </c>
      <c r="BF185">
        <v>0</v>
      </c>
      <c r="BG185">
        <v>0</v>
      </c>
      <c r="BH185">
        <f>1-BF185/BG185</f>
        <v>0</v>
      </c>
      <c r="BI185">
        <v>0.5</v>
      </c>
      <c r="BJ185">
        <f>CS185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417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1393</v>
      </c>
      <c r="CA185">
        <v>300</v>
      </c>
      <c r="CB185">
        <v>300</v>
      </c>
      <c r="CC185">
        <v>300</v>
      </c>
      <c r="CD185">
        <v>10378</v>
      </c>
      <c r="CE185">
        <v>2050</v>
      </c>
      <c r="CF185">
        <v>-0.00730649</v>
      </c>
      <c r="CG185">
        <v>-4.53</v>
      </c>
      <c r="CH185" t="s">
        <v>417</v>
      </c>
      <c r="CI185" t="s">
        <v>417</v>
      </c>
      <c r="CJ185" t="s">
        <v>417</v>
      </c>
      <c r="CK185" t="s">
        <v>417</v>
      </c>
      <c r="CL185" t="s">
        <v>417</v>
      </c>
      <c r="CM185" t="s">
        <v>417</v>
      </c>
      <c r="CN185" t="s">
        <v>417</v>
      </c>
      <c r="CO185" t="s">
        <v>417</v>
      </c>
      <c r="CP185" t="s">
        <v>417</v>
      </c>
      <c r="CQ185" t="s">
        <v>417</v>
      </c>
      <c r="CR185">
        <f>$B$11*DQ185+$C$11*DR185+$F$11*EC185*(1-EF185)</f>
        <v>0</v>
      </c>
      <c r="CS185">
        <f>CR185*CT185</f>
        <v>0</v>
      </c>
      <c r="CT185">
        <f>($B$11*$D$9+$C$11*$D$9+$F$11*((EP185+EH185)/MAX(EP185+EH185+EQ185, 0.1)*$I$9+EQ185/MAX(EP185+EH185+EQ185, 0.1)*$J$9))/($B$11+$C$11+$F$11)</f>
        <v>0</v>
      </c>
      <c r="CU185">
        <f>($B$11*$K$9+$C$11*$K$9+$F$11*((EP185+EH185)/MAX(EP185+EH185+EQ185, 0.1)*$P$9+EQ185/MAX(EP185+EH185+EQ185, 0.1)*$Q$9))/($B$11+$C$11+$F$11)</f>
        <v>0</v>
      </c>
      <c r="CV185">
        <v>6</v>
      </c>
      <c r="CW185">
        <v>0.5</v>
      </c>
      <c r="CX185" t="s">
        <v>418</v>
      </c>
      <c r="CY185">
        <v>2</v>
      </c>
      <c r="CZ185" t="b">
        <v>1</v>
      </c>
      <c r="DA185">
        <v>1652372606.214286</v>
      </c>
      <c r="DB185">
        <v>708.4031071428573</v>
      </c>
      <c r="DC185">
        <v>777.6572142857142</v>
      </c>
      <c r="DD185">
        <v>24.61972857142857</v>
      </c>
      <c r="DE185">
        <v>17.88106071428571</v>
      </c>
      <c r="DF185">
        <v>708.7869642857141</v>
      </c>
      <c r="DG185">
        <v>24.5746</v>
      </c>
      <c r="DH185">
        <v>400.0865</v>
      </c>
      <c r="DI185">
        <v>90.39407142857145</v>
      </c>
      <c r="DJ185">
        <v>0.1000372107142857</v>
      </c>
      <c r="DK185">
        <v>30.84394285714286</v>
      </c>
      <c r="DL185">
        <v>29.98073571428571</v>
      </c>
      <c r="DM185">
        <v>999.9000000000002</v>
      </c>
      <c r="DN185">
        <v>0</v>
      </c>
      <c r="DO185">
        <v>0</v>
      </c>
      <c r="DP185">
        <v>9987.699285714287</v>
      </c>
      <c r="DQ185">
        <v>0</v>
      </c>
      <c r="DR185">
        <v>421.6091428571428</v>
      </c>
      <c r="DS185">
        <v>-69.25396428571429</v>
      </c>
      <c r="DT185">
        <v>726.2835357142856</v>
      </c>
      <c r="DU185">
        <v>791.8156785714287</v>
      </c>
      <c r="DV185">
        <v>6.738669642857145</v>
      </c>
      <c r="DW185">
        <v>777.6572142857142</v>
      </c>
      <c r="DX185">
        <v>17.88106071428571</v>
      </c>
      <c r="DY185">
        <v>2.225477857142857</v>
      </c>
      <c r="DZ185">
        <v>1.616341071428572</v>
      </c>
      <c r="EA185">
        <v>19.14688928571428</v>
      </c>
      <c r="EB185">
        <v>14.11547857142857</v>
      </c>
      <c r="EC185">
        <v>1500.001071428571</v>
      </c>
      <c r="ED185">
        <v>0.9729994642857142</v>
      </c>
      <c r="EE185">
        <v>0.02700066785714285</v>
      </c>
      <c r="EF185">
        <v>0</v>
      </c>
      <c r="EG185">
        <v>1725.085714285714</v>
      </c>
      <c r="EH185">
        <v>5.00097</v>
      </c>
      <c r="EI185">
        <v>26628.98571428572</v>
      </c>
      <c r="EJ185">
        <v>12491.59285714286</v>
      </c>
      <c r="EK185">
        <v>40.06199999999999</v>
      </c>
      <c r="EL185">
        <v>41.56199999999999</v>
      </c>
      <c r="EM185">
        <v>40.31199999999999</v>
      </c>
      <c r="EN185">
        <v>41.41485714285714</v>
      </c>
      <c r="EO185">
        <v>41.17592857142856</v>
      </c>
      <c r="EP185">
        <v>1454.631071428572</v>
      </c>
      <c r="EQ185">
        <v>40.36999999999999</v>
      </c>
      <c r="ER185">
        <v>0</v>
      </c>
      <c r="ES185">
        <v>1448.199999809265</v>
      </c>
      <c r="ET185">
        <v>0</v>
      </c>
      <c r="EU185">
        <v>1724.792307692308</v>
      </c>
      <c r="EV185">
        <v>-43.13641024486482</v>
      </c>
      <c r="EW185">
        <v>-675.4769230508253</v>
      </c>
      <c r="EX185">
        <v>26624.45769230769</v>
      </c>
      <c r="EY185">
        <v>15</v>
      </c>
      <c r="EZ185">
        <v>1652371289.6</v>
      </c>
      <c r="FA185" t="s">
        <v>515</v>
      </c>
      <c r="FB185">
        <v>1652371289.6</v>
      </c>
      <c r="FC185">
        <v>1652371275.1</v>
      </c>
      <c r="FD185">
        <v>24</v>
      </c>
      <c r="FE185">
        <v>0.442</v>
      </c>
      <c r="FF185">
        <v>0.001</v>
      </c>
      <c r="FG185">
        <v>-2.63</v>
      </c>
      <c r="FH185">
        <v>0.007</v>
      </c>
      <c r="FI185">
        <v>1620</v>
      </c>
      <c r="FJ185">
        <v>22</v>
      </c>
      <c r="FK185">
        <v>0.08</v>
      </c>
      <c r="FL185">
        <v>0.04</v>
      </c>
      <c r="FM185">
        <v>-68.92643170731708</v>
      </c>
      <c r="FN185">
        <v>-6.122945644599371</v>
      </c>
      <c r="FO185">
        <v>0.6079188490608163</v>
      </c>
      <c r="FP185">
        <v>-1</v>
      </c>
      <c r="FQ185">
        <v>6.757327804878049</v>
      </c>
      <c r="FR185">
        <v>-0.3653995818815331</v>
      </c>
      <c r="FS185">
        <v>0.03653300335594972</v>
      </c>
      <c r="FT185">
        <v>1</v>
      </c>
      <c r="FU185">
        <v>0</v>
      </c>
      <c r="FV185">
        <v>0</v>
      </c>
      <c r="FW185">
        <v>0</v>
      </c>
      <c r="FX185">
        <v>-1</v>
      </c>
      <c r="FY185">
        <v>1</v>
      </c>
      <c r="FZ185">
        <v>1</v>
      </c>
      <c r="GA185" t="s">
        <v>420</v>
      </c>
      <c r="GB185">
        <v>2.69572</v>
      </c>
      <c r="GC185">
        <v>2.70505</v>
      </c>
      <c r="GD185">
        <v>0.139475</v>
      </c>
      <c r="GE185">
        <v>0.146739</v>
      </c>
      <c r="GF185">
        <v>0.107717</v>
      </c>
      <c r="GG185">
        <v>0.0848851</v>
      </c>
      <c r="GH185">
        <v>27044.8</v>
      </c>
      <c r="GI185">
        <v>26932.4</v>
      </c>
      <c r="GJ185">
        <v>29237.3</v>
      </c>
      <c r="GK185">
        <v>29210.1</v>
      </c>
      <c r="GL185">
        <v>34539.7</v>
      </c>
      <c r="GM185">
        <v>35582.8</v>
      </c>
      <c r="GN185">
        <v>41150.2</v>
      </c>
      <c r="GO185">
        <v>41676.5</v>
      </c>
      <c r="GP185">
        <v>1.72473</v>
      </c>
      <c r="GQ185">
        <v>2.0297</v>
      </c>
      <c r="GR185">
        <v>0.0644773</v>
      </c>
      <c r="GS185">
        <v>0</v>
      </c>
      <c r="GT185">
        <v>28.9284</v>
      </c>
      <c r="GU185">
        <v>999.9</v>
      </c>
      <c r="GV185">
        <v>44.4</v>
      </c>
      <c r="GW185">
        <v>33.4</v>
      </c>
      <c r="GX185">
        <v>25.3795</v>
      </c>
      <c r="GY185">
        <v>63.388</v>
      </c>
      <c r="GZ185">
        <v>29.2268</v>
      </c>
      <c r="HA185">
        <v>1</v>
      </c>
      <c r="HB185">
        <v>0.264924</v>
      </c>
      <c r="HC185">
        <v>0.135272</v>
      </c>
      <c r="HD185">
        <v>20.3815</v>
      </c>
      <c r="HE185">
        <v>5.21729</v>
      </c>
      <c r="HF185">
        <v>12.0099</v>
      </c>
      <c r="HG185">
        <v>4.9883</v>
      </c>
      <c r="HH185">
        <v>3.28818</v>
      </c>
      <c r="HI185">
        <v>2728.9</v>
      </c>
      <c r="HJ185">
        <v>9999</v>
      </c>
      <c r="HK185">
        <v>9999</v>
      </c>
      <c r="HL185">
        <v>50.1</v>
      </c>
      <c r="HM185">
        <v>1.86722</v>
      </c>
      <c r="HN185">
        <v>1.86627</v>
      </c>
      <c r="HO185">
        <v>1.86582</v>
      </c>
      <c r="HP185">
        <v>1.86569</v>
      </c>
      <c r="HQ185">
        <v>1.86748</v>
      </c>
      <c r="HR185">
        <v>1.87</v>
      </c>
      <c r="HS185">
        <v>1.86866</v>
      </c>
      <c r="HT185">
        <v>1.87007</v>
      </c>
      <c r="HU185">
        <v>0</v>
      </c>
      <c r="HV185">
        <v>0</v>
      </c>
      <c r="HW185">
        <v>0</v>
      </c>
      <c r="HX185">
        <v>0</v>
      </c>
      <c r="HY185" t="s">
        <v>421</v>
      </c>
      <c r="HZ185" t="s">
        <v>422</v>
      </c>
      <c r="IA185" t="s">
        <v>423</v>
      </c>
      <c r="IB185" t="s">
        <v>423</v>
      </c>
      <c r="IC185" t="s">
        <v>423</v>
      </c>
      <c r="ID185" t="s">
        <v>423</v>
      </c>
      <c r="IE185">
        <v>0</v>
      </c>
      <c r="IF185">
        <v>100</v>
      </c>
      <c r="IG185">
        <v>100</v>
      </c>
      <c r="IH185">
        <v>-0.445</v>
      </c>
      <c r="II185">
        <v>0.0443</v>
      </c>
      <c r="IJ185">
        <v>1.257309091789605</v>
      </c>
      <c r="IK185">
        <v>-0.002185601614162945</v>
      </c>
      <c r="IL185">
        <v>-2.252308143750626E-07</v>
      </c>
      <c r="IM185">
        <v>5.915558436307541E-11</v>
      </c>
      <c r="IN185">
        <v>-0.118683452207699</v>
      </c>
      <c r="IO185">
        <v>-0.007570214193104963</v>
      </c>
      <c r="IP185">
        <v>0.0009214429922928372</v>
      </c>
      <c r="IQ185">
        <v>-1.392260276065805E-05</v>
      </c>
      <c r="IR185">
        <v>17</v>
      </c>
      <c r="IS185">
        <v>2272</v>
      </c>
      <c r="IT185">
        <v>1</v>
      </c>
      <c r="IU185">
        <v>31</v>
      </c>
      <c r="IV185">
        <v>22.1</v>
      </c>
      <c r="IW185">
        <v>22.3</v>
      </c>
      <c r="IX185">
        <v>1.77734</v>
      </c>
      <c r="IY185">
        <v>2.2168</v>
      </c>
      <c r="IZ185">
        <v>1.39648</v>
      </c>
      <c r="JA185">
        <v>2.35474</v>
      </c>
      <c r="JB185">
        <v>1.49536</v>
      </c>
      <c r="JC185">
        <v>2.28394</v>
      </c>
      <c r="JD185">
        <v>37.0032</v>
      </c>
      <c r="JE185">
        <v>15.244</v>
      </c>
      <c r="JF185">
        <v>18</v>
      </c>
      <c r="JG185">
        <v>389.076</v>
      </c>
      <c r="JH185">
        <v>567.269</v>
      </c>
      <c r="JI185">
        <v>29.5275</v>
      </c>
      <c r="JJ185">
        <v>30.8273</v>
      </c>
      <c r="JK185">
        <v>30.0002</v>
      </c>
      <c r="JL185">
        <v>30.7246</v>
      </c>
      <c r="JM185">
        <v>30.6227</v>
      </c>
      <c r="JN185">
        <v>35.6158</v>
      </c>
      <c r="JO185">
        <v>30.5251</v>
      </c>
      <c r="JP185">
        <v>0</v>
      </c>
      <c r="JQ185">
        <v>29.5346</v>
      </c>
      <c r="JR185">
        <v>821.107</v>
      </c>
      <c r="JS185">
        <v>17.9808</v>
      </c>
      <c r="JT185">
        <v>99.9354</v>
      </c>
      <c r="JU185">
        <v>100.042</v>
      </c>
    </row>
    <row r="186" spans="1:281">
      <c r="A186">
        <v>170</v>
      </c>
      <c r="B186">
        <v>1652372619</v>
      </c>
      <c r="C186">
        <v>4525.400000095367</v>
      </c>
      <c r="D186" t="s">
        <v>808</v>
      </c>
      <c r="E186" t="s">
        <v>809</v>
      </c>
      <c r="F186">
        <v>5</v>
      </c>
      <c r="G186" t="s">
        <v>711</v>
      </c>
      <c r="H186" t="s">
        <v>414</v>
      </c>
      <c r="I186">
        <v>1652372611.5</v>
      </c>
      <c r="J186">
        <f>(K186)/1000</f>
        <v>0</v>
      </c>
      <c r="K186">
        <f>IF(CZ186, AN186, AH186)</f>
        <v>0</v>
      </c>
      <c r="L186">
        <f>IF(CZ186, AI186, AG186)</f>
        <v>0</v>
      </c>
      <c r="M186">
        <f>DB186 - IF(AU186&gt;1, L186*CV186*100.0/(AW186*DP186), 0)</f>
        <v>0</v>
      </c>
      <c r="N186">
        <f>((T186-J186/2)*M186-L186)/(T186+J186/2)</f>
        <v>0</v>
      </c>
      <c r="O186">
        <f>N186*(DI186+DJ186)/1000.0</f>
        <v>0</v>
      </c>
      <c r="P186">
        <f>(DB186 - IF(AU186&gt;1, L186*CV186*100.0/(AW186*DP186), 0))*(DI186+DJ186)/1000.0</f>
        <v>0</v>
      </c>
      <c r="Q186">
        <f>2.0/((1/S186-1/R186)+SIGN(S186)*SQRT((1/S186-1/R186)*(1/S186-1/R186) + 4*CW186/((CW186+1)*(CW186+1))*(2*1/S186*1/R186-1/R186*1/R186)))</f>
        <v>0</v>
      </c>
      <c r="R186">
        <f>IF(LEFT(CX186,1)&lt;&gt;"0",IF(LEFT(CX186,1)="1",3.0,CY186),$D$5+$E$5*(DP186*DI186/($K$5*1000))+$F$5*(DP186*DI186/($K$5*1000))*MAX(MIN(CV186,$J$5),$I$5)*MAX(MIN(CV186,$J$5),$I$5)+$G$5*MAX(MIN(CV186,$J$5),$I$5)*(DP186*DI186/($K$5*1000))+$H$5*(DP186*DI186/($K$5*1000))*(DP186*DI186/($K$5*1000)))</f>
        <v>0</v>
      </c>
      <c r="S186">
        <f>J186*(1000-(1000*0.61365*exp(17.502*W186/(240.97+W186))/(DI186+DJ186)+DD186)/2)/(1000*0.61365*exp(17.502*W186/(240.97+W186))/(DI186+DJ186)-DD186)</f>
        <v>0</v>
      </c>
      <c r="T186">
        <f>1/((CW186+1)/(Q186/1.6)+1/(R186/1.37)) + CW186/((CW186+1)/(Q186/1.6) + CW186/(R186/1.37))</f>
        <v>0</v>
      </c>
      <c r="U186">
        <f>(CR186*CU186)</f>
        <v>0</v>
      </c>
      <c r="V186">
        <f>(DK186+(U186+2*0.95*5.67E-8*(((DK186+$B$7)+273)^4-(DK186+273)^4)-44100*J186)/(1.84*29.3*R186+8*0.95*5.67E-8*(DK186+273)^3))</f>
        <v>0</v>
      </c>
      <c r="W186">
        <f>($C$7*DL186+$D$7*DM186+$E$7*V186)</f>
        <v>0</v>
      </c>
      <c r="X186">
        <f>0.61365*exp(17.502*W186/(240.97+W186))</f>
        <v>0</v>
      </c>
      <c r="Y186">
        <f>(Z186/AA186*100)</f>
        <v>0</v>
      </c>
      <c r="Z186">
        <f>DD186*(DI186+DJ186)/1000</f>
        <v>0</v>
      </c>
      <c r="AA186">
        <f>0.61365*exp(17.502*DK186/(240.97+DK186))</f>
        <v>0</v>
      </c>
      <c r="AB186">
        <f>(X186-DD186*(DI186+DJ186)/1000)</f>
        <v>0</v>
      </c>
      <c r="AC186">
        <f>(-J186*44100)</f>
        <v>0</v>
      </c>
      <c r="AD186">
        <f>2*29.3*R186*0.92*(DK186-W186)</f>
        <v>0</v>
      </c>
      <c r="AE186">
        <f>2*0.95*5.67E-8*(((DK186+$B$7)+273)^4-(W186+273)^4)</f>
        <v>0</v>
      </c>
      <c r="AF186">
        <f>U186+AE186+AC186+AD186</f>
        <v>0</v>
      </c>
      <c r="AG186">
        <f>DH186*AU186*(DC186-DB186*(1000-AU186*DE186)/(1000-AU186*DD186))/(100*CV186)</f>
        <v>0</v>
      </c>
      <c r="AH186">
        <f>1000*DH186*AU186*(DD186-DE186)/(100*CV186*(1000-AU186*DD186))</f>
        <v>0</v>
      </c>
      <c r="AI186">
        <f>(AJ186 - AK186 - DI186*1E3/(8.314*(DK186+273.15)) * AM186/DH186 * AL186) * DH186/(100*CV186) * (1000 - DE186)/1000</f>
        <v>0</v>
      </c>
      <c r="AJ186">
        <v>822.4195304683009</v>
      </c>
      <c r="AK186">
        <v>767.5340909090909</v>
      </c>
      <c r="AL186">
        <v>3.360282734454978</v>
      </c>
      <c r="AM186">
        <v>65.96288611109561</v>
      </c>
      <c r="AN186">
        <f>(AP186 - AO186 + DI186*1E3/(8.314*(DK186+273.15)) * AR186/DH186 * AQ186) * DH186/(100*CV186) * 1000/(1000 - AP186)</f>
        <v>0</v>
      </c>
      <c r="AO186">
        <v>17.88157117193847</v>
      </c>
      <c r="AP186">
        <v>24.50767832167834</v>
      </c>
      <c r="AQ186">
        <v>-0.007576638596164242</v>
      </c>
      <c r="AR186">
        <v>81.18387902069509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MAX(0,($B$13+$C$13*DP186)/(1+$D$13*DP186)*DI186/(DK186+273)*$E$13)</f>
        <v>0</v>
      </c>
      <c r="AX186" t="s">
        <v>417</v>
      </c>
      <c r="AY186" t="s">
        <v>417</v>
      </c>
      <c r="AZ186">
        <v>0</v>
      </c>
      <c r="BA186">
        <v>0</v>
      </c>
      <c r="BB186">
        <f>1-AZ186/BA186</f>
        <v>0</v>
      </c>
      <c r="BC186">
        <v>0</v>
      </c>
      <c r="BD186" t="s">
        <v>417</v>
      </c>
      <c r="BE186" t="s">
        <v>417</v>
      </c>
      <c r="BF186">
        <v>0</v>
      </c>
      <c r="BG186">
        <v>0</v>
      </c>
      <c r="BH186">
        <f>1-BF186/BG186</f>
        <v>0</v>
      </c>
      <c r="BI186">
        <v>0.5</v>
      </c>
      <c r="BJ186">
        <f>CS186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417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1393</v>
      </c>
      <c r="CA186">
        <v>300</v>
      </c>
      <c r="CB186">
        <v>300</v>
      </c>
      <c r="CC186">
        <v>300</v>
      </c>
      <c r="CD186">
        <v>10378</v>
      </c>
      <c r="CE186">
        <v>2050</v>
      </c>
      <c r="CF186">
        <v>-0.00730649</v>
      </c>
      <c r="CG186">
        <v>-4.53</v>
      </c>
      <c r="CH186" t="s">
        <v>417</v>
      </c>
      <c r="CI186" t="s">
        <v>417</v>
      </c>
      <c r="CJ186" t="s">
        <v>417</v>
      </c>
      <c r="CK186" t="s">
        <v>417</v>
      </c>
      <c r="CL186" t="s">
        <v>417</v>
      </c>
      <c r="CM186" t="s">
        <v>417</v>
      </c>
      <c r="CN186" t="s">
        <v>417</v>
      </c>
      <c r="CO186" t="s">
        <v>417</v>
      </c>
      <c r="CP186" t="s">
        <v>417</v>
      </c>
      <c r="CQ186" t="s">
        <v>417</v>
      </c>
      <c r="CR186">
        <f>$B$11*DQ186+$C$11*DR186+$F$11*EC186*(1-EF186)</f>
        <v>0</v>
      </c>
      <c r="CS186">
        <f>CR186*CT186</f>
        <v>0</v>
      </c>
      <c r="CT186">
        <f>($B$11*$D$9+$C$11*$D$9+$F$11*((EP186+EH186)/MAX(EP186+EH186+EQ186, 0.1)*$I$9+EQ186/MAX(EP186+EH186+EQ186, 0.1)*$J$9))/($B$11+$C$11+$F$11)</f>
        <v>0</v>
      </c>
      <c r="CU186">
        <f>($B$11*$K$9+$C$11*$K$9+$F$11*((EP186+EH186)/MAX(EP186+EH186+EQ186, 0.1)*$P$9+EQ186/MAX(EP186+EH186+EQ186, 0.1)*$Q$9))/($B$11+$C$11+$F$11)</f>
        <v>0</v>
      </c>
      <c r="CV186">
        <v>6</v>
      </c>
      <c r="CW186">
        <v>0.5</v>
      </c>
      <c r="CX186" t="s">
        <v>418</v>
      </c>
      <c r="CY186">
        <v>2</v>
      </c>
      <c r="CZ186" t="b">
        <v>1</v>
      </c>
      <c r="DA186">
        <v>1652372611.5</v>
      </c>
      <c r="DB186">
        <v>725.7208148148148</v>
      </c>
      <c r="DC186">
        <v>795.4075555555554</v>
      </c>
      <c r="DD186">
        <v>24.57732962962963</v>
      </c>
      <c r="DE186">
        <v>17.88253703703704</v>
      </c>
      <c r="DF186">
        <v>726.1467037037038</v>
      </c>
      <c r="DG186">
        <v>24.53272222222222</v>
      </c>
      <c r="DH186">
        <v>400.0727037037037</v>
      </c>
      <c r="DI186">
        <v>90.39303333333334</v>
      </c>
      <c r="DJ186">
        <v>0.09999316666666666</v>
      </c>
      <c r="DK186">
        <v>30.84722962962963</v>
      </c>
      <c r="DL186">
        <v>29.98374074074074</v>
      </c>
      <c r="DM186">
        <v>999.9000000000001</v>
      </c>
      <c r="DN186">
        <v>0</v>
      </c>
      <c r="DO186">
        <v>0</v>
      </c>
      <c r="DP186">
        <v>9992.01222222222</v>
      </c>
      <c r="DQ186">
        <v>0</v>
      </c>
      <c r="DR186">
        <v>420.3398148148149</v>
      </c>
      <c r="DS186">
        <v>-69.68655185185186</v>
      </c>
      <c r="DT186">
        <v>744.0060740740739</v>
      </c>
      <c r="DU186">
        <v>809.8904074074075</v>
      </c>
      <c r="DV186">
        <v>6.694787037037037</v>
      </c>
      <c r="DW186">
        <v>795.4075555555554</v>
      </c>
      <c r="DX186">
        <v>17.88253703703704</v>
      </c>
      <c r="DY186">
        <v>2.221619259259259</v>
      </c>
      <c r="DZ186">
        <v>1.616456666666666</v>
      </c>
      <c r="EA186">
        <v>19.11904074074074</v>
      </c>
      <c r="EB186">
        <v>14.11658518518518</v>
      </c>
      <c r="EC186">
        <v>1500.01074074074</v>
      </c>
      <c r="ED186">
        <v>0.9729999999999999</v>
      </c>
      <c r="EE186">
        <v>0.0270001</v>
      </c>
      <c r="EF186">
        <v>0</v>
      </c>
      <c r="EG186">
        <v>1721.245555555556</v>
      </c>
      <c r="EH186">
        <v>5.00097</v>
      </c>
      <c r="EI186">
        <v>26568.62222222222</v>
      </c>
      <c r="EJ186">
        <v>12491.67037037037</v>
      </c>
      <c r="EK186">
        <v>40.06199999999999</v>
      </c>
      <c r="EL186">
        <v>41.56199999999999</v>
      </c>
      <c r="EM186">
        <v>40.31199999999999</v>
      </c>
      <c r="EN186">
        <v>41.41633333333333</v>
      </c>
      <c r="EO186">
        <v>41.17781481481481</v>
      </c>
      <c r="EP186">
        <v>1454.640740740741</v>
      </c>
      <c r="EQ186">
        <v>40.36851851851851</v>
      </c>
      <c r="ER186">
        <v>0</v>
      </c>
      <c r="ES186">
        <v>1453</v>
      </c>
      <c r="ET186">
        <v>0</v>
      </c>
      <c r="EU186">
        <v>1721.294615384615</v>
      </c>
      <c r="EV186">
        <v>-43.82017093435022</v>
      </c>
      <c r="EW186">
        <v>-699.7982906215198</v>
      </c>
      <c r="EX186">
        <v>26568.8423076923</v>
      </c>
      <c r="EY186">
        <v>15</v>
      </c>
      <c r="EZ186">
        <v>1652371289.6</v>
      </c>
      <c r="FA186" t="s">
        <v>515</v>
      </c>
      <c r="FB186">
        <v>1652371289.6</v>
      </c>
      <c r="FC186">
        <v>1652371275.1</v>
      </c>
      <c r="FD186">
        <v>24</v>
      </c>
      <c r="FE186">
        <v>0.442</v>
      </c>
      <c r="FF186">
        <v>0.001</v>
      </c>
      <c r="FG186">
        <v>-2.63</v>
      </c>
      <c r="FH186">
        <v>0.007</v>
      </c>
      <c r="FI186">
        <v>1620</v>
      </c>
      <c r="FJ186">
        <v>22</v>
      </c>
      <c r="FK186">
        <v>0.08</v>
      </c>
      <c r="FL186">
        <v>0.04</v>
      </c>
      <c r="FM186">
        <v>-69.44323249999999</v>
      </c>
      <c r="FN186">
        <v>-5.007272420262465</v>
      </c>
      <c r="FO186">
        <v>0.5024128000894782</v>
      </c>
      <c r="FP186">
        <v>-1</v>
      </c>
      <c r="FQ186">
        <v>6.71609975</v>
      </c>
      <c r="FR186">
        <v>-0.5022609005628839</v>
      </c>
      <c r="FS186">
        <v>0.04878630102229013</v>
      </c>
      <c r="FT186">
        <v>0</v>
      </c>
      <c r="FU186">
        <v>0</v>
      </c>
      <c r="FV186">
        <v>0</v>
      </c>
      <c r="FW186">
        <v>0</v>
      </c>
      <c r="FX186">
        <v>-1</v>
      </c>
      <c r="FY186">
        <v>0</v>
      </c>
      <c r="FZ186">
        <v>1</v>
      </c>
      <c r="GA186" t="s">
        <v>432</v>
      </c>
      <c r="GB186">
        <v>2.69549</v>
      </c>
      <c r="GC186">
        <v>2.7051</v>
      </c>
      <c r="GD186">
        <v>0.141575</v>
      </c>
      <c r="GE186">
        <v>0.1487</v>
      </c>
      <c r="GF186">
        <v>0.107548</v>
      </c>
      <c r="GG186">
        <v>0.0849405</v>
      </c>
      <c r="GH186">
        <v>26978.6</v>
      </c>
      <c r="GI186">
        <v>26869.9</v>
      </c>
      <c r="GJ186">
        <v>29237.3</v>
      </c>
      <c r="GK186">
        <v>29209.5</v>
      </c>
      <c r="GL186">
        <v>34546.5</v>
      </c>
      <c r="GM186">
        <v>35580.2</v>
      </c>
      <c r="GN186">
        <v>41150.3</v>
      </c>
      <c r="GO186">
        <v>41676</v>
      </c>
      <c r="GP186">
        <v>1.72462</v>
      </c>
      <c r="GQ186">
        <v>2.02975</v>
      </c>
      <c r="GR186">
        <v>0.0659153</v>
      </c>
      <c r="GS186">
        <v>0</v>
      </c>
      <c r="GT186">
        <v>28.9235</v>
      </c>
      <c r="GU186">
        <v>999.9</v>
      </c>
      <c r="GV186">
        <v>44.4</v>
      </c>
      <c r="GW186">
        <v>33.4</v>
      </c>
      <c r="GX186">
        <v>25.3815</v>
      </c>
      <c r="GY186">
        <v>63.188</v>
      </c>
      <c r="GZ186">
        <v>29.6074</v>
      </c>
      <c r="HA186">
        <v>1</v>
      </c>
      <c r="HB186">
        <v>0.265142</v>
      </c>
      <c r="HC186">
        <v>0.124809</v>
      </c>
      <c r="HD186">
        <v>20.3814</v>
      </c>
      <c r="HE186">
        <v>5.21624</v>
      </c>
      <c r="HF186">
        <v>12.0099</v>
      </c>
      <c r="HG186">
        <v>4.9878</v>
      </c>
      <c r="HH186">
        <v>3.2883</v>
      </c>
      <c r="HI186">
        <v>2728.9</v>
      </c>
      <c r="HJ186">
        <v>9999</v>
      </c>
      <c r="HK186">
        <v>9999</v>
      </c>
      <c r="HL186">
        <v>50.1</v>
      </c>
      <c r="HM186">
        <v>1.86722</v>
      </c>
      <c r="HN186">
        <v>1.86628</v>
      </c>
      <c r="HO186">
        <v>1.86581</v>
      </c>
      <c r="HP186">
        <v>1.86569</v>
      </c>
      <c r="HQ186">
        <v>1.86752</v>
      </c>
      <c r="HR186">
        <v>1.87001</v>
      </c>
      <c r="HS186">
        <v>1.86865</v>
      </c>
      <c r="HT186">
        <v>1.87004</v>
      </c>
      <c r="HU186">
        <v>0</v>
      </c>
      <c r="HV186">
        <v>0</v>
      </c>
      <c r="HW186">
        <v>0</v>
      </c>
      <c r="HX186">
        <v>0</v>
      </c>
      <c r="HY186" t="s">
        <v>421</v>
      </c>
      <c r="HZ186" t="s">
        <v>422</v>
      </c>
      <c r="IA186" t="s">
        <v>423</v>
      </c>
      <c r="IB186" t="s">
        <v>423</v>
      </c>
      <c r="IC186" t="s">
        <v>423</v>
      </c>
      <c r="ID186" t="s">
        <v>423</v>
      </c>
      <c r="IE186">
        <v>0</v>
      </c>
      <c r="IF186">
        <v>100</v>
      </c>
      <c r="IG186">
        <v>100</v>
      </c>
      <c r="IH186">
        <v>-0.486</v>
      </c>
      <c r="II186">
        <v>0.0436</v>
      </c>
      <c r="IJ186">
        <v>1.257309091789605</v>
      </c>
      <c r="IK186">
        <v>-0.002185601614162945</v>
      </c>
      <c r="IL186">
        <v>-2.252308143750626E-07</v>
      </c>
      <c r="IM186">
        <v>5.915558436307541E-11</v>
      </c>
      <c r="IN186">
        <v>-0.118683452207699</v>
      </c>
      <c r="IO186">
        <v>-0.007570214193104963</v>
      </c>
      <c r="IP186">
        <v>0.0009214429922928372</v>
      </c>
      <c r="IQ186">
        <v>-1.392260276065805E-05</v>
      </c>
      <c r="IR186">
        <v>17</v>
      </c>
      <c r="IS186">
        <v>2272</v>
      </c>
      <c r="IT186">
        <v>1</v>
      </c>
      <c r="IU186">
        <v>31</v>
      </c>
      <c r="IV186">
        <v>22.2</v>
      </c>
      <c r="IW186">
        <v>22.4</v>
      </c>
      <c r="IX186">
        <v>1.81152</v>
      </c>
      <c r="IY186">
        <v>2.21558</v>
      </c>
      <c r="IZ186">
        <v>1.39648</v>
      </c>
      <c r="JA186">
        <v>2.35474</v>
      </c>
      <c r="JB186">
        <v>1.49536</v>
      </c>
      <c r="JC186">
        <v>2.38892</v>
      </c>
      <c r="JD186">
        <v>37.0032</v>
      </c>
      <c r="JE186">
        <v>15.244</v>
      </c>
      <c r="JF186">
        <v>18</v>
      </c>
      <c r="JG186">
        <v>389.038</v>
      </c>
      <c r="JH186">
        <v>567.332</v>
      </c>
      <c r="JI186">
        <v>29.5416</v>
      </c>
      <c r="JJ186">
        <v>30.8297</v>
      </c>
      <c r="JK186">
        <v>30.0003</v>
      </c>
      <c r="JL186">
        <v>30.7273</v>
      </c>
      <c r="JM186">
        <v>30.6253</v>
      </c>
      <c r="JN186">
        <v>36.2454</v>
      </c>
      <c r="JO186">
        <v>30.2354</v>
      </c>
      <c r="JP186">
        <v>0</v>
      </c>
      <c r="JQ186">
        <v>29.5488</v>
      </c>
      <c r="JR186">
        <v>841.141</v>
      </c>
      <c r="JS186">
        <v>18.0501</v>
      </c>
      <c r="JT186">
        <v>99.9355</v>
      </c>
      <c r="JU186">
        <v>100.04</v>
      </c>
    </row>
    <row r="187" spans="1:281">
      <c r="A187">
        <v>171</v>
      </c>
      <c r="B187">
        <v>1652372624</v>
      </c>
      <c r="C187">
        <v>4530.400000095367</v>
      </c>
      <c r="D187" t="s">
        <v>810</v>
      </c>
      <c r="E187" t="s">
        <v>811</v>
      </c>
      <c r="F187">
        <v>5</v>
      </c>
      <c r="G187" t="s">
        <v>711</v>
      </c>
      <c r="H187" t="s">
        <v>414</v>
      </c>
      <c r="I187">
        <v>1652372616.214286</v>
      </c>
      <c r="J187">
        <f>(K187)/1000</f>
        <v>0</v>
      </c>
      <c r="K187">
        <f>IF(CZ187, AN187, AH187)</f>
        <v>0</v>
      </c>
      <c r="L187">
        <f>IF(CZ187, AI187, AG187)</f>
        <v>0</v>
      </c>
      <c r="M187">
        <f>DB187 - IF(AU187&gt;1, L187*CV187*100.0/(AW187*DP187), 0)</f>
        <v>0</v>
      </c>
      <c r="N187">
        <f>((T187-J187/2)*M187-L187)/(T187+J187/2)</f>
        <v>0</v>
      </c>
      <c r="O187">
        <f>N187*(DI187+DJ187)/1000.0</f>
        <v>0</v>
      </c>
      <c r="P187">
        <f>(DB187 - IF(AU187&gt;1, L187*CV187*100.0/(AW187*DP187), 0))*(DI187+DJ187)/1000.0</f>
        <v>0</v>
      </c>
      <c r="Q187">
        <f>2.0/((1/S187-1/R187)+SIGN(S187)*SQRT((1/S187-1/R187)*(1/S187-1/R187) + 4*CW187/((CW187+1)*(CW187+1))*(2*1/S187*1/R187-1/R187*1/R187)))</f>
        <v>0</v>
      </c>
      <c r="R187">
        <f>IF(LEFT(CX187,1)&lt;&gt;"0",IF(LEFT(CX187,1)="1",3.0,CY187),$D$5+$E$5*(DP187*DI187/($K$5*1000))+$F$5*(DP187*DI187/($K$5*1000))*MAX(MIN(CV187,$J$5),$I$5)*MAX(MIN(CV187,$J$5),$I$5)+$G$5*MAX(MIN(CV187,$J$5),$I$5)*(DP187*DI187/($K$5*1000))+$H$5*(DP187*DI187/($K$5*1000))*(DP187*DI187/($K$5*1000)))</f>
        <v>0</v>
      </c>
      <c r="S187">
        <f>J187*(1000-(1000*0.61365*exp(17.502*W187/(240.97+W187))/(DI187+DJ187)+DD187)/2)/(1000*0.61365*exp(17.502*W187/(240.97+W187))/(DI187+DJ187)-DD187)</f>
        <v>0</v>
      </c>
      <c r="T187">
        <f>1/((CW187+1)/(Q187/1.6)+1/(R187/1.37)) + CW187/((CW187+1)/(Q187/1.6) + CW187/(R187/1.37))</f>
        <v>0</v>
      </c>
      <c r="U187">
        <f>(CR187*CU187)</f>
        <v>0</v>
      </c>
      <c r="V187">
        <f>(DK187+(U187+2*0.95*5.67E-8*(((DK187+$B$7)+273)^4-(DK187+273)^4)-44100*J187)/(1.84*29.3*R187+8*0.95*5.67E-8*(DK187+273)^3))</f>
        <v>0</v>
      </c>
      <c r="W187">
        <f>($C$7*DL187+$D$7*DM187+$E$7*V187)</f>
        <v>0</v>
      </c>
      <c r="X187">
        <f>0.61365*exp(17.502*W187/(240.97+W187))</f>
        <v>0</v>
      </c>
      <c r="Y187">
        <f>(Z187/AA187*100)</f>
        <v>0</v>
      </c>
      <c r="Z187">
        <f>DD187*(DI187+DJ187)/1000</f>
        <v>0</v>
      </c>
      <c r="AA187">
        <f>0.61365*exp(17.502*DK187/(240.97+DK187))</f>
        <v>0</v>
      </c>
      <c r="AB187">
        <f>(X187-DD187*(DI187+DJ187)/1000)</f>
        <v>0</v>
      </c>
      <c r="AC187">
        <f>(-J187*44100)</f>
        <v>0</v>
      </c>
      <c r="AD187">
        <f>2*29.3*R187*0.92*(DK187-W187)</f>
        <v>0</v>
      </c>
      <c r="AE187">
        <f>2*0.95*5.67E-8*(((DK187+$B$7)+273)^4-(W187+273)^4)</f>
        <v>0</v>
      </c>
      <c r="AF187">
        <f>U187+AE187+AC187+AD187</f>
        <v>0</v>
      </c>
      <c r="AG187">
        <f>DH187*AU187*(DC187-DB187*(1000-AU187*DE187)/(1000-AU187*DD187))/(100*CV187)</f>
        <v>0</v>
      </c>
      <c r="AH187">
        <f>1000*DH187*AU187*(DD187-DE187)/(100*CV187*(1000-AU187*DD187))</f>
        <v>0</v>
      </c>
      <c r="AI187">
        <f>(AJ187 - AK187 - DI187*1E3/(8.314*(DK187+273.15)) * AM187/DH187 * AL187) * DH187/(100*CV187) * (1000 - DE187)/1000</f>
        <v>0</v>
      </c>
      <c r="AJ187">
        <v>839.2722869642427</v>
      </c>
      <c r="AK187">
        <v>784.3927515151512</v>
      </c>
      <c r="AL187">
        <v>3.369138068362242</v>
      </c>
      <c r="AM187">
        <v>65.96288611109561</v>
      </c>
      <c r="AN187">
        <f>(AP187 - AO187 + DI187*1E3/(8.314*(DK187+273.15)) * AR187/DH187 * AQ187) * DH187/(100*CV187) * 1000/(1000 - AP187)</f>
        <v>0</v>
      </c>
      <c r="AO187">
        <v>17.90288367600915</v>
      </c>
      <c r="AP187">
        <v>24.44936223776225</v>
      </c>
      <c r="AQ187">
        <v>-0.01231292313951899</v>
      </c>
      <c r="AR187">
        <v>81.18387902069509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MAX(0,($B$13+$C$13*DP187)/(1+$D$13*DP187)*DI187/(DK187+273)*$E$13)</f>
        <v>0</v>
      </c>
      <c r="AX187" t="s">
        <v>417</v>
      </c>
      <c r="AY187" t="s">
        <v>417</v>
      </c>
      <c r="AZ187">
        <v>0</v>
      </c>
      <c r="BA187">
        <v>0</v>
      </c>
      <c r="BB187">
        <f>1-AZ187/BA187</f>
        <v>0</v>
      </c>
      <c r="BC187">
        <v>0</v>
      </c>
      <c r="BD187" t="s">
        <v>417</v>
      </c>
      <c r="BE187" t="s">
        <v>417</v>
      </c>
      <c r="BF187">
        <v>0</v>
      </c>
      <c r="BG187">
        <v>0</v>
      </c>
      <c r="BH187">
        <f>1-BF187/BG187</f>
        <v>0</v>
      </c>
      <c r="BI187">
        <v>0.5</v>
      </c>
      <c r="BJ187">
        <f>CS187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417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1393</v>
      </c>
      <c r="CA187">
        <v>300</v>
      </c>
      <c r="CB187">
        <v>300</v>
      </c>
      <c r="CC187">
        <v>300</v>
      </c>
      <c r="CD187">
        <v>10378</v>
      </c>
      <c r="CE187">
        <v>2050</v>
      </c>
      <c r="CF187">
        <v>-0.00730649</v>
      </c>
      <c r="CG187">
        <v>-4.53</v>
      </c>
      <c r="CH187" t="s">
        <v>417</v>
      </c>
      <c r="CI187" t="s">
        <v>417</v>
      </c>
      <c r="CJ187" t="s">
        <v>417</v>
      </c>
      <c r="CK187" t="s">
        <v>417</v>
      </c>
      <c r="CL187" t="s">
        <v>417</v>
      </c>
      <c r="CM187" t="s">
        <v>417</v>
      </c>
      <c r="CN187" t="s">
        <v>417</v>
      </c>
      <c r="CO187" t="s">
        <v>417</v>
      </c>
      <c r="CP187" t="s">
        <v>417</v>
      </c>
      <c r="CQ187" t="s">
        <v>417</v>
      </c>
      <c r="CR187">
        <f>$B$11*DQ187+$C$11*DR187+$F$11*EC187*(1-EF187)</f>
        <v>0</v>
      </c>
      <c r="CS187">
        <f>CR187*CT187</f>
        <v>0</v>
      </c>
      <c r="CT187">
        <f>($B$11*$D$9+$C$11*$D$9+$F$11*((EP187+EH187)/MAX(EP187+EH187+EQ187, 0.1)*$I$9+EQ187/MAX(EP187+EH187+EQ187, 0.1)*$J$9))/($B$11+$C$11+$F$11)</f>
        <v>0</v>
      </c>
      <c r="CU187">
        <f>($B$11*$K$9+$C$11*$K$9+$F$11*((EP187+EH187)/MAX(EP187+EH187+EQ187, 0.1)*$P$9+EQ187/MAX(EP187+EH187+EQ187, 0.1)*$Q$9))/($B$11+$C$11+$F$11)</f>
        <v>0</v>
      </c>
      <c r="CV187">
        <v>6</v>
      </c>
      <c r="CW187">
        <v>0.5</v>
      </c>
      <c r="CX187" t="s">
        <v>418</v>
      </c>
      <c r="CY187">
        <v>2</v>
      </c>
      <c r="CZ187" t="b">
        <v>1</v>
      </c>
      <c r="DA187">
        <v>1652372616.214286</v>
      </c>
      <c r="DB187">
        <v>741.2187142857144</v>
      </c>
      <c r="DC187">
        <v>811.2262142857144</v>
      </c>
      <c r="DD187">
        <v>24.53007857142857</v>
      </c>
      <c r="DE187">
        <v>17.89988928571429</v>
      </c>
      <c r="DF187">
        <v>741.6822142857143</v>
      </c>
      <c r="DG187">
        <v>24.48605</v>
      </c>
      <c r="DH187">
        <v>400.0669285714285</v>
      </c>
      <c r="DI187">
        <v>90.38984285714285</v>
      </c>
      <c r="DJ187">
        <v>0.0999569</v>
      </c>
      <c r="DK187">
        <v>30.851825</v>
      </c>
      <c r="DL187">
        <v>29.98844285714286</v>
      </c>
      <c r="DM187">
        <v>999.9000000000002</v>
      </c>
      <c r="DN187">
        <v>0</v>
      </c>
      <c r="DO187">
        <v>0</v>
      </c>
      <c r="DP187">
        <v>10000.51178571429</v>
      </c>
      <c r="DQ187">
        <v>0</v>
      </c>
      <c r="DR187">
        <v>419.0576071428573</v>
      </c>
      <c r="DS187">
        <v>-70.00739285714285</v>
      </c>
      <c r="DT187">
        <v>759.8574285714285</v>
      </c>
      <c r="DU187">
        <v>826.012107142857</v>
      </c>
      <c r="DV187">
        <v>6.630186071428573</v>
      </c>
      <c r="DW187">
        <v>811.2262142857144</v>
      </c>
      <c r="DX187">
        <v>17.89988928571429</v>
      </c>
      <c r="DY187">
        <v>2.21727</v>
      </c>
      <c r="DZ187">
        <v>1.617967857142857</v>
      </c>
      <c r="EA187">
        <v>19.08760714285714</v>
      </c>
      <c r="EB187">
        <v>14.130975</v>
      </c>
      <c r="EC187">
        <v>1499.999642857143</v>
      </c>
      <c r="ED187">
        <v>0.9729999999999999</v>
      </c>
      <c r="EE187">
        <v>0.0270001</v>
      </c>
      <c r="EF187">
        <v>0</v>
      </c>
      <c r="EG187">
        <v>1717.767857142857</v>
      </c>
      <c r="EH187">
        <v>5.00097</v>
      </c>
      <c r="EI187">
        <v>26510.55357142857</v>
      </c>
      <c r="EJ187">
        <v>12491.58214285715</v>
      </c>
      <c r="EK187">
        <v>40.06199999999999</v>
      </c>
      <c r="EL187">
        <v>41.56199999999999</v>
      </c>
      <c r="EM187">
        <v>40.31199999999999</v>
      </c>
      <c r="EN187">
        <v>41.41264285714284</v>
      </c>
      <c r="EO187">
        <v>41.18257142857141</v>
      </c>
      <c r="EP187">
        <v>1454.629642857143</v>
      </c>
      <c r="EQ187">
        <v>40.36571428571428</v>
      </c>
      <c r="ER187">
        <v>0</v>
      </c>
      <c r="ES187">
        <v>1457.799999952316</v>
      </c>
      <c r="ET187">
        <v>0</v>
      </c>
      <c r="EU187">
        <v>1717.748461538462</v>
      </c>
      <c r="EV187">
        <v>-43.22256412394452</v>
      </c>
      <c r="EW187">
        <v>-779.6615390044869</v>
      </c>
      <c r="EX187">
        <v>26510.09615384615</v>
      </c>
      <c r="EY187">
        <v>15</v>
      </c>
      <c r="EZ187">
        <v>1652371289.6</v>
      </c>
      <c r="FA187" t="s">
        <v>515</v>
      </c>
      <c r="FB187">
        <v>1652371289.6</v>
      </c>
      <c r="FC187">
        <v>1652371275.1</v>
      </c>
      <c r="FD187">
        <v>24</v>
      </c>
      <c r="FE187">
        <v>0.442</v>
      </c>
      <c r="FF187">
        <v>0.001</v>
      </c>
      <c r="FG187">
        <v>-2.63</v>
      </c>
      <c r="FH187">
        <v>0.007</v>
      </c>
      <c r="FI187">
        <v>1620</v>
      </c>
      <c r="FJ187">
        <v>22</v>
      </c>
      <c r="FK187">
        <v>0.08</v>
      </c>
      <c r="FL187">
        <v>0.04</v>
      </c>
      <c r="FM187">
        <v>-69.77599024390244</v>
      </c>
      <c r="FN187">
        <v>-4.049956097561015</v>
      </c>
      <c r="FO187">
        <v>0.42067248473963</v>
      </c>
      <c r="FP187">
        <v>-1</v>
      </c>
      <c r="FQ187">
        <v>6.667913902439025</v>
      </c>
      <c r="FR187">
        <v>-0.7299071080139445</v>
      </c>
      <c r="FS187">
        <v>0.07443172051563311</v>
      </c>
      <c r="FT187">
        <v>0</v>
      </c>
      <c r="FU187">
        <v>0</v>
      </c>
      <c r="FV187">
        <v>0</v>
      </c>
      <c r="FW187">
        <v>0</v>
      </c>
      <c r="FX187">
        <v>-1</v>
      </c>
      <c r="FY187">
        <v>0</v>
      </c>
      <c r="FZ187">
        <v>1</v>
      </c>
      <c r="GA187" t="s">
        <v>432</v>
      </c>
      <c r="GB187">
        <v>2.69561</v>
      </c>
      <c r="GC187">
        <v>2.70519</v>
      </c>
      <c r="GD187">
        <v>0.143667</v>
      </c>
      <c r="GE187">
        <v>0.150739</v>
      </c>
      <c r="GF187">
        <v>0.107371</v>
      </c>
      <c r="GG187">
        <v>0.0852335</v>
      </c>
      <c r="GH187">
        <v>26913</v>
      </c>
      <c r="GI187">
        <v>26805.2</v>
      </c>
      <c r="GJ187">
        <v>29237.5</v>
      </c>
      <c r="GK187">
        <v>29209.3</v>
      </c>
      <c r="GL187">
        <v>34553.7</v>
      </c>
      <c r="GM187">
        <v>35568.5</v>
      </c>
      <c r="GN187">
        <v>41150.6</v>
      </c>
      <c r="GO187">
        <v>41675.7</v>
      </c>
      <c r="GP187">
        <v>1.72465</v>
      </c>
      <c r="GQ187">
        <v>2.02968</v>
      </c>
      <c r="GR187">
        <v>0.0665784</v>
      </c>
      <c r="GS187">
        <v>0</v>
      </c>
      <c r="GT187">
        <v>28.9192</v>
      </c>
      <c r="GU187">
        <v>999.9</v>
      </c>
      <c r="GV187">
        <v>44.4</v>
      </c>
      <c r="GW187">
        <v>33.4</v>
      </c>
      <c r="GX187">
        <v>25.3819</v>
      </c>
      <c r="GY187">
        <v>63.438</v>
      </c>
      <c r="GZ187">
        <v>29.0545</v>
      </c>
      <c r="HA187">
        <v>1</v>
      </c>
      <c r="HB187">
        <v>0.265539</v>
      </c>
      <c r="HC187">
        <v>0.152192</v>
      </c>
      <c r="HD187">
        <v>20.3814</v>
      </c>
      <c r="HE187">
        <v>5.21684</v>
      </c>
      <c r="HF187">
        <v>12.0099</v>
      </c>
      <c r="HG187">
        <v>4.98785</v>
      </c>
      <c r="HH187">
        <v>3.28838</v>
      </c>
      <c r="HI187">
        <v>2729.1</v>
      </c>
      <c r="HJ187">
        <v>9999</v>
      </c>
      <c r="HK187">
        <v>9999</v>
      </c>
      <c r="HL187">
        <v>50.1</v>
      </c>
      <c r="HM187">
        <v>1.86722</v>
      </c>
      <c r="HN187">
        <v>1.86629</v>
      </c>
      <c r="HO187">
        <v>1.86582</v>
      </c>
      <c r="HP187">
        <v>1.86569</v>
      </c>
      <c r="HQ187">
        <v>1.86751</v>
      </c>
      <c r="HR187">
        <v>1.86998</v>
      </c>
      <c r="HS187">
        <v>1.86865</v>
      </c>
      <c r="HT187">
        <v>1.87005</v>
      </c>
      <c r="HU187">
        <v>0</v>
      </c>
      <c r="HV187">
        <v>0</v>
      </c>
      <c r="HW187">
        <v>0</v>
      </c>
      <c r="HX187">
        <v>0</v>
      </c>
      <c r="HY187" t="s">
        <v>421</v>
      </c>
      <c r="HZ187" t="s">
        <v>422</v>
      </c>
      <c r="IA187" t="s">
        <v>423</v>
      </c>
      <c r="IB187" t="s">
        <v>423</v>
      </c>
      <c r="IC187" t="s">
        <v>423</v>
      </c>
      <c r="ID187" t="s">
        <v>423</v>
      </c>
      <c r="IE187">
        <v>0</v>
      </c>
      <c r="IF187">
        <v>100</v>
      </c>
      <c r="IG187">
        <v>100</v>
      </c>
      <c r="IH187">
        <v>-0.526</v>
      </c>
      <c r="II187">
        <v>0.043</v>
      </c>
      <c r="IJ187">
        <v>1.257309091789605</v>
      </c>
      <c r="IK187">
        <v>-0.002185601614162945</v>
      </c>
      <c r="IL187">
        <v>-2.252308143750626E-07</v>
      </c>
      <c r="IM187">
        <v>5.915558436307541E-11</v>
      </c>
      <c r="IN187">
        <v>-0.118683452207699</v>
      </c>
      <c r="IO187">
        <v>-0.007570214193104963</v>
      </c>
      <c r="IP187">
        <v>0.0009214429922928372</v>
      </c>
      <c r="IQ187">
        <v>-1.392260276065805E-05</v>
      </c>
      <c r="IR187">
        <v>17</v>
      </c>
      <c r="IS187">
        <v>2272</v>
      </c>
      <c r="IT187">
        <v>1</v>
      </c>
      <c r="IU187">
        <v>31</v>
      </c>
      <c r="IV187">
        <v>22.2</v>
      </c>
      <c r="IW187">
        <v>22.5</v>
      </c>
      <c r="IX187">
        <v>1.83838</v>
      </c>
      <c r="IY187">
        <v>2.21802</v>
      </c>
      <c r="IZ187">
        <v>1.39648</v>
      </c>
      <c r="JA187">
        <v>2.35474</v>
      </c>
      <c r="JB187">
        <v>1.49536</v>
      </c>
      <c r="JC187">
        <v>2.34253</v>
      </c>
      <c r="JD187">
        <v>37.0032</v>
      </c>
      <c r="JE187">
        <v>15.244</v>
      </c>
      <c r="JF187">
        <v>18</v>
      </c>
      <c r="JG187">
        <v>389.071</v>
      </c>
      <c r="JH187">
        <v>567.307</v>
      </c>
      <c r="JI187">
        <v>29.5539</v>
      </c>
      <c r="JJ187">
        <v>30.8324</v>
      </c>
      <c r="JK187">
        <v>30.0003</v>
      </c>
      <c r="JL187">
        <v>30.7306</v>
      </c>
      <c r="JM187">
        <v>30.6286</v>
      </c>
      <c r="JN187">
        <v>36.785</v>
      </c>
      <c r="JO187">
        <v>29.9209</v>
      </c>
      <c r="JP187">
        <v>0</v>
      </c>
      <c r="JQ187">
        <v>29.5519</v>
      </c>
      <c r="JR187">
        <v>854.502</v>
      </c>
      <c r="JS187">
        <v>18.1423</v>
      </c>
      <c r="JT187">
        <v>99.9363</v>
      </c>
      <c r="JU187">
        <v>100.039</v>
      </c>
    </row>
    <row r="188" spans="1:281">
      <c r="A188">
        <v>172</v>
      </c>
      <c r="B188">
        <v>1652372629</v>
      </c>
      <c r="C188">
        <v>4535.400000095367</v>
      </c>
      <c r="D188" t="s">
        <v>812</v>
      </c>
      <c r="E188" t="s">
        <v>813</v>
      </c>
      <c r="F188">
        <v>5</v>
      </c>
      <c r="G188" t="s">
        <v>711</v>
      </c>
      <c r="H188" t="s">
        <v>414</v>
      </c>
      <c r="I188">
        <v>1652372621.5</v>
      </c>
      <c r="J188">
        <f>(K188)/1000</f>
        <v>0</v>
      </c>
      <c r="K188">
        <f>IF(CZ188, AN188, AH188)</f>
        <v>0</v>
      </c>
      <c r="L188">
        <f>IF(CZ188, AI188, AG188)</f>
        <v>0</v>
      </c>
      <c r="M188">
        <f>DB188 - IF(AU188&gt;1, L188*CV188*100.0/(AW188*DP188), 0)</f>
        <v>0</v>
      </c>
      <c r="N188">
        <f>((T188-J188/2)*M188-L188)/(T188+J188/2)</f>
        <v>0</v>
      </c>
      <c r="O188">
        <f>N188*(DI188+DJ188)/1000.0</f>
        <v>0</v>
      </c>
      <c r="P188">
        <f>(DB188 - IF(AU188&gt;1, L188*CV188*100.0/(AW188*DP188), 0))*(DI188+DJ188)/1000.0</f>
        <v>0</v>
      </c>
      <c r="Q188">
        <f>2.0/((1/S188-1/R188)+SIGN(S188)*SQRT((1/S188-1/R188)*(1/S188-1/R188) + 4*CW188/((CW188+1)*(CW188+1))*(2*1/S188*1/R188-1/R188*1/R188)))</f>
        <v>0</v>
      </c>
      <c r="R188">
        <f>IF(LEFT(CX188,1)&lt;&gt;"0",IF(LEFT(CX188,1)="1",3.0,CY188),$D$5+$E$5*(DP188*DI188/($K$5*1000))+$F$5*(DP188*DI188/($K$5*1000))*MAX(MIN(CV188,$J$5),$I$5)*MAX(MIN(CV188,$J$5),$I$5)+$G$5*MAX(MIN(CV188,$J$5),$I$5)*(DP188*DI188/($K$5*1000))+$H$5*(DP188*DI188/($K$5*1000))*(DP188*DI188/($K$5*1000)))</f>
        <v>0</v>
      </c>
      <c r="S188">
        <f>J188*(1000-(1000*0.61365*exp(17.502*W188/(240.97+W188))/(DI188+DJ188)+DD188)/2)/(1000*0.61365*exp(17.502*W188/(240.97+W188))/(DI188+DJ188)-DD188)</f>
        <v>0</v>
      </c>
      <c r="T188">
        <f>1/((CW188+1)/(Q188/1.6)+1/(R188/1.37)) + CW188/((CW188+1)/(Q188/1.6) + CW188/(R188/1.37))</f>
        <v>0</v>
      </c>
      <c r="U188">
        <f>(CR188*CU188)</f>
        <v>0</v>
      </c>
      <c r="V188">
        <f>(DK188+(U188+2*0.95*5.67E-8*(((DK188+$B$7)+273)^4-(DK188+273)^4)-44100*J188)/(1.84*29.3*R188+8*0.95*5.67E-8*(DK188+273)^3))</f>
        <v>0</v>
      </c>
      <c r="W188">
        <f>($C$7*DL188+$D$7*DM188+$E$7*V188)</f>
        <v>0</v>
      </c>
      <c r="X188">
        <f>0.61365*exp(17.502*W188/(240.97+W188))</f>
        <v>0</v>
      </c>
      <c r="Y188">
        <f>(Z188/AA188*100)</f>
        <v>0</v>
      </c>
      <c r="Z188">
        <f>DD188*(DI188+DJ188)/1000</f>
        <v>0</v>
      </c>
      <c r="AA188">
        <f>0.61365*exp(17.502*DK188/(240.97+DK188))</f>
        <v>0</v>
      </c>
      <c r="AB188">
        <f>(X188-DD188*(DI188+DJ188)/1000)</f>
        <v>0</v>
      </c>
      <c r="AC188">
        <f>(-J188*44100)</f>
        <v>0</v>
      </c>
      <c r="AD188">
        <f>2*29.3*R188*0.92*(DK188-W188)</f>
        <v>0</v>
      </c>
      <c r="AE188">
        <f>2*0.95*5.67E-8*(((DK188+$B$7)+273)^4-(W188+273)^4)</f>
        <v>0</v>
      </c>
      <c r="AF188">
        <f>U188+AE188+AC188+AD188</f>
        <v>0</v>
      </c>
      <c r="AG188">
        <f>DH188*AU188*(DC188-DB188*(1000-AU188*DE188)/(1000-AU188*DD188))/(100*CV188)</f>
        <v>0</v>
      </c>
      <c r="AH188">
        <f>1000*DH188*AU188*(DD188-DE188)/(100*CV188*(1000-AU188*DD188))</f>
        <v>0</v>
      </c>
      <c r="AI188">
        <f>(AJ188 - AK188 - DI188*1E3/(8.314*(DK188+273.15)) * AM188/DH188 * AL188) * DH188/(100*CV188) * (1000 - DE188)/1000</f>
        <v>0</v>
      </c>
      <c r="AJ188">
        <v>856.4817323737651</v>
      </c>
      <c r="AK188">
        <v>801.2665454545453</v>
      </c>
      <c r="AL188">
        <v>3.372542382575116</v>
      </c>
      <c r="AM188">
        <v>65.96288611109561</v>
      </c>
      <c r="AN188">
        <f>(AP188 - AO188 + DI188*1E3/(8.314*(DK188+273.15)) * AR188/DH188 * AQ188) * DH188/(100*CV188) * 1000/(1000 - AP188)</f>
        <v>0</v>
      </c>
      <c r="AO188">
        <v>17.99545314217808</v>
      </c>
      <c r="AP188">
        <v>24.40809020979024</v>
      </c>
      <c r="AQ188">
        <v>-0.01138641380559093</v>
      </c>
      <c r="AR188">
        <v>81.18387902069509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MAX(0,($B$13+$C$13*DP188)/(1+$D$13*DP188)*DI188/(DK188+273)*$E$13)</f>
        <v>0</v>
      </c>
      <c r="AX188" t="s">
        <v>417</v>
      </c>
      <c r="AY188" t="s">
        <v>417</v>
      </c>
      <c r="AZ188">
        <v>0</v>
      </c>
      <c r="BA188">
        <v>0</v>
      </c>
      <c r="BB188">
        <f>1-AZ188/BA188</f>
        <v>0</v>
      </c>
      <c r="BC188">
        <v>0</v>
      </c>
      <c r="BD188" t="s">
        <v>417</v>
      </c>
      <c r="BE188" t="s">
        <v>417</v>
      </c>
      <c r="BF188">
        <v>0</v>
      </c>
      <c r="BG188">
        <v>0</v>
      </c>
      <c r="BH188">
        <f>1-BF188/BG188</f>
        <v>0</v>
      </c>
      <c r="BI188">
        <v>0.5</v>
      </c>
      <c r="BJ188">
        <f>CS188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417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1393</v>
      </c>
      <c r="CA188">
        <v>300</v>
      </c>
      <c r="CB188">
        <v>300</v>
      </c>
      <c r="CC188">
        <v>300</v>
      </c>
      <c r="CD188">
        <v>10378</v>
      </c>
      <c r="CE188">
        <v>2050</v>
      </c>
      <c r="CF188">
        <v>-0.00730649</v>
      </c>
      <c r="CG188">
        <v>-4.53</v>
      </c>
      <c r="CH188" t="s">
        <v>417</v>
      </c>
      <c r="CI188" t="s">
        <v>417</v>
      </c>
      <c r="CJ188" t="s">
        <v>417</v>
      </c>
      <c r="CK188" t="s">
        <v>417</v>
      </c>
      <c r="CL188" t="s">
        <v>417</v>
      </c>
      <c r="CM188" t="s">
        <v>417</v>
      </c>
      <c r="CN188" t="s">
        <v>417</v>
      </c>
      <c r="CO188" t="s">
        <v>417</v>
      </c>
      <c r="CP188" t="s">
        <v>417</v>
      </c>
      <c r="CQ188" t="s">
        <v>417</v>
      </c>
      <c r="CR188">
        <f>$B$11*DQ188+$C$11*DR188+$F$11*EC188*(1-EF188)</f>
        <v>0</v>
      </c>
      <c r="CS188">
        <f>CR188*CT188</f>
        <v>0</v>
      </c>
      <c r="CT188">
        <f>($B$11*$D$9+$C$11*$D$9+$F$11*((EP188+EH188)/MAX(EP188+EH188+EQ188, 0.1)*$I$9+EQ188/MAX(EP188+EH188+EQ188, 0.1)*$J$9))/($B$11+$C$11+$F$11)</f>
        <v>0</v>
      </c>
      <c r="CU188">
        <f>($B$11*$K$9+$C$11*$K$9+$F$11*((EP188+EH188)/MAX(EP188+EH188+EQ188, 0.1)*$P$9+EQ188/MAX(EP188+EH188+EQ188, 0.1)*$Q$9))/($B$11+$C$11+$F$11)</f>
        <v>0</v>
      </c>
      <c r="CV188">
        <v>6</v>
      </c>
      <c r="CW188">
        <v>0.5</v>
      </c>
      <c r="CX188" t="s">
        <v>418</v>
      </c>
      <c r="CY188">
        <v>2</v>
      </c>
      <c r="CZ188" t="b">
        <v>1</v>
      </c>
      <c r="DA188">
        <v>1652372621.5</v>
      </c>
      <c r="DB188">
        <v>758.6352222222222</v>
      </c>
      <c r="DC188">
        <v>828.8481851851852</v>
      </c>
      <c r="DD188">
        <v>24.47474814814816</v>
      </c>
      <c r="DE188">
        <v>17.95236666666667</v>
      </c>
      <c r="DF188">
        <v>759.1410370370371</v>
      </c>
      <c r="DG188">
        <v>24.4314037037037</v>
      </c>
      <c r="DH188">
        <v>400.070037037037</v>
      </c>
      <c r="DI188">
        <v>90.38680370370369</v>
      </c>
      <c r="DJ188">
        <v>0.09999035925925927</v>
      </c>
      <c r="DK188">
        <v>30.85781481481482</v>
      </c>
      <c r="DL188">
        <v>29.99720370370371</v>
      </c>
      <c r="DM188">
        <v>999.9000000000001</v>
      </c>
      <c r="DN188">
        <v>0</v>
      </c>
      <c r="DO188">
        <v>0</v>
      </c>
      <c r="DP188">
        <v>10000.67037037037</v>
      </c>
      <c r="DQ188">
        <v>0</v>
      </c>
      <c r="DR188">
        <v>417.3057407407408</v>
      </c>
      <c r="DS188">
        <v>-70.2129888888889</v>
      </c>
      <c r="DT188">
        <v>777.6677407407407</v>
      </c>
      <c r="DU188">
        <v>844.0009629629631</v>
      </c>
      <c r="DV188">
        <v>6.522384444444445</v>
      </c>
      <c r="DW188">
        <v>828.8481851851852</v>
      </c>
      <c r="DX188">
        <v>17.95236666666667</v>
      </c>
      <c r="DY188">
        <v>2.212194074074074</v>
      </c>
      <c r="DZ188">
        <v>1.622656666666667</v>
      </c>
      <c r="EA188">
        <v>19.05086666666667</v>
      </c>
      <c r="EB188">
        <v>14.17555925925926</v>
      </c>
      <c r="EC188">
        <v>1499.986296296296</v>
      </c>
      <c r="ED188">
        <v>0.9729999999999999</v>
      </c>
      <c r="EE188">
        <v>0.0270001</v>
      </c>
      <c r="EF188">
        <v>0</v>
      </c>
      <c r="EG188">
        <v>1713.740740740741</v>
      </c>
      <c r="EH188">
        <v>5.00097</v>
      </c>
      <c r="EI188">
        <v>26443.5</v>
      </c>
      <c r="EJ188">
        <v>12491.47777777778</v>
      </c>
      <c r="EK188">
        <v>40.06199999999999</v>
      </c>
      <c r="EL188">
        <v>41.56199999999999</v>
      </c>
      <c r="EM188">
        <v>40.31199999999999</v>
      </c>
      <c r="EN188">
        <v>41.41633333333333</v>
      </c>
      <c r="EO188">
        <v>41.1824074074074</v>
      </c>
      <c r="EP188">
        <v>1454.616296296296</v>
      </c>
      <c r="EQ188">
        <v>40.36222222222222</v>
      </c>
      <c r="ER188">
        <v>0</v>
      </c>
      <c r="ES188">
        <v>1463.199999809265</v>
      </c>
      <c r="ET188">
        <v>0</v>
      </c>
      <c r="EU188">
        <v>1713.4112</v>
      </c>
      <c r="EV188">
        <v>-46.30846159730024</v>
      </c>
      <c r="EW188">
        <v>-764.8538473387721</v>
      </c>
      <c r="EX188">
        <v>26437.808</v>
      </c>
      <c r="EY188">
        <v>15</v>
      </c>
      <c r="EZ188">
        <v>1652371289.6</v>
      </c>
      <c r="FA188" t="s">
        <v>515</v>
      </c>
      <c r="FB188">
        <v>1652371289.6</v>
      </c>
      <c r="FC188">
        <v>1652371275.1</v>
      </c>
      <c r="FD188">
        <v>24</v>
      </c>
      <c r="FE188">
        <v>0.442</v>
      </c>
      <c r="FF188">
        <v>0.001</v>
      </c>
      <c r="FG188">
        <v>-2.63</v>
      </c>
      <c r="FH188">
        <v>0.007</v>
      </c>
      <c r="FI188">
        <v>1620</v>
      </c>
      <c r="FJ188">
        <v>22</v>
      </c>
      <c r="FK188">
        <v>0.08</v>
      </c>
      <c r="FL188">
        <v>0.04</v>
      </c>
      <c r="FM188">
        <v>-70.092775</v>
      </c>
      <c r="FN188">
        <v>-2.473879924953037</v>
      </c>
      <c r="FO188">
        <v>0.2880914783102758</v>
      </c>
      <c r="FP188">
        <v>-1</v>
      </c>
      <c r="FQ188">
        <v>6.570895</v>
      </c>
      <c r="FR188">
        <v>-1.226724878048781</v>
      </c>
      <c r="FS188">
        <v>0.1211501206561512</v>
      </c>
      <c r="FT188">
        <v>0</v>
      </c>
      <c r="FU188">
        <v>0</v>
      </c>
      <c r="FV188">
        <v>0</v>
      </c>
      <c r="FW188">
        <v>0</v>
      </c>
      <c r="FX188">
        <v>-1</v>
      </c>
      <c r="FY188">
        <v>0</v>
      </c>
      <c r="FZ188">
        <v>1</v>
      </c>
      <c r="GA188" t="s">
        <v>432</v>
      </c>
      <c r="GB188">
        <v>2.69547</v>
      </c>
      <c r="GC188">
        <v>2.70509</v>
      </c>
      <c r="GD188">
        <v>0.14574</v>
      </c>
      <c r="GE188">
        <v>0.15266</v>
      </c>
      <c r="GF188">
        <v>0.107253</v>
      </c>
      <c r="GG188">
        <v>0.08551250000000001</v>
      </c>
      <c r="GH188">
        <v>26847.1</v>
      </c>
      <c r="GI188">
        <v>26744.4</v>
      </c>
      <c r="GJ188">
        <v>29236.8</v>
      </c>
      <c r="GK188">
        <v>29209.2</v>
      </c>
      <c r="GL188">
        <v>34557.7</v>
      </c>
      <c r="GM188">
        <v>35557.4</v>
      </c>
      <c r="GN188">
        <v>41149.8</v>
      </c>
      <c r="GO188">
        <v>41675.5</v>
      </c>
      <c r="GP188">
        <v>1.7243</v>
      </c>
      <c r="GQ188">
        <v>2.02957</v>
      </c>
      <c r="GR188">
        <v>0.06725639999999999</v>
      </c>
      <c r="GS188">
        <v>0</v>
      </c>
      <c r="GT188">
        <v>28.9149</v>
      </c>
      <c r="GU188">
        <v>999.9</v>
      </c>
      <c r="GV188">
        <v>44.4</v>
      </c>
      <c r="GW188">
        <v>33.4</v>
      </c>
      <c r="GX188">
        <v>25.3792</v>
      </c>
      <c r="GY188">
        <v>63.418</v>
      </c>
      <c r="GZ188">
        <v>28.9824</v>
      </c>
      <c r="HA188">
        <v>1</v>
      </c>
      <c r="HB188">
        <v>0.266552</v>
      </c>
      <c r="HC188">
        <v>1.14059</v>
      </c>
      <c r="HD188">
        <v>20.3761</v>
      </c>
      <c r="HE188">
        <v>5.21624</v>
      </c>
      <c r="HF188">
        <v>12.0099</v>
      </c>
      <c r="HG188">
        <v>4.98795</v>
      </c>
      <c r="HH188">
        <v>3.2883</v>
      </c>
      <c r="HI188">
        <v>2729.1</v>
      </c>
      <c r="HJ188">
        <v>9999</v>
      </c>
      <c r="HK188">
        <v>9999</v>
      </c>
      <c r="HL188">
        <v>50.1</v>
      </c>
      <c r="HM188">
        <v>1.86722</v>
      </c>
      <c r="HN188">
        <v>1.86626</v>
      </c>
      <c r="HO188">
        <v>1.86581</v>
      </c>
      <c r="HP188">
        <v>1.86569</v>
      </c>
      <c r="HQ188">
        <v>1.8675</v>
      </c>
      <c r="HR188">
        <v>1.86998</v>
      </c>
      <c r="HS188">
        <v>1.86862</v>
      </c>
      <c r="HT188">
        <v>1.87002</v>
      </c>
      <c r="HU188">
        <v>0</v>
      </c>
      <c r="HV188">
        <v>0</v>
      </c>
      <c r="HW188">
        <v>0</v>
      </c>
      <c r="HX188">
        <v>0</v>
      </c>
      <c r="HY188" t="s">
        <v>421</v>
      </c>
      <c r="HZ188" t="s">
        <v>422</v>
      </c>
      <c r="IA188" t="s">
        <v>423</v>
      </c>
      <c r="IB188" t="s">
        <v>423</v>
      </c>
      <c r="IC188" t="s">
        <v>423</v>
      </c>
      <c r="ID188" t="s">
        <v>423</v>
      </c>
      <c r="IE188">
        <v>0</v>
      </c>
      <c r="IF188">
        <v>100</v>
      </c>
      <c r="IG188">
        <v>100</v>
      </c>
      <c r="IH188">
        <v>-0.5659999999999999</v>
      </c>
      <c r="II188">
        <v>0.0425</v>
      </c>
      <c r="IJ188">
        <v>1.257309091789605</v>
      </c>
      <c r="IK188">
        <v>-0.002185601614162945</v>
      </c>
      <c r="IL188">
        <v>-2.252308143750626E-07</v>
      </c>
      <c r="IM188">
        <v>5.915558436307541E-11</v>
      </c>
      <c r="IN188">
        <v>-0.118683452207699</v>
      </c>
      <c r="IO188">
        <v>-0.007570214193104963</v>
      </c>
      <c r="IP188">
        <v>0.0009214429922928372</v>
      </c>
      <c r="IQ188">
        <v>-1.392260276065805E-05</v>
      </c>
      <c r="IR188">
        <v>17</v>
      </c>
      <c r="IS188">
        <v>2272</v>
      </c>
      <c r="IT188">
        <v>1</v>
      </c>
      <c r="IU188">
        <v>31</v>
      </c>
      <c r="IV188">
        <v>22.3</v>
      </c>
      <c r="IW188">
        <v>22.6</v>
      </c>
      <c r="IX188">
        <v>1.86646</v>
      </c>
      <c r="IY188">
        <v>2.2168</v>
      </c>
      <c r="IZ188">
        <v>1.39648</v>
      </c>
      <c r="JA188">
        <v>2.35474</v>
      </c>
      <c r="JB188">
        <v>1.49536</v>
      </c>
      <c r="JC188">
        <v>2.30469</v>
      </c>
      <c r="JD188">
        <v>37.0032</v>
      </c>
      <c r="JE188">
        <v>15.2353</v>
      </c>
      <c r="JF188">
        <v>18</v>
      </c>
      <c r="JG188">
        <v>388.899</v>
      </c>
      <c r="JH188">
        <v>567.2619999999999</v>
      </c>
      <c r="JI188">
        <v>29.5025</v>
      </c>
      <c r="JJ188">
        <v>30.8346</v>
      </c>
      <c r="JK188">
        <v>30.001</v>
      </c>
      <c r="JL188">
        <v>30.7333</v>
      </c>
      <c r="JM188">
        <v>30.6319</v>
      </c>
      <c r="JN188">
        <v>37.3994</v>
      </c>
      <c r="JO188">
        <v>29.6358</v>
      </c>
      <c r="JP188">
        <v>0</v>
      </c>
      <c r="JQ188">
        <v>29.2689</v>
      </c>
      <c r="JR188">
        <v>874.559</v>
      </c>
      <c r="JS188">
        <v>18.2282</v>
      </c>
      <c r="JT188">
        <v>99.9341</v>
      </c>
      <c r="JU188">
        <v>100.039</v>
      </c>
    </row>
    <row r="189" spans="1:281">
      <c r="A189">
        <v>173</v>
      </c>
      <c r="B189">
        <v>1652372634</v>
      </c>
      <c r="C189">
        <v>4540.400000095367</v>
      </c>
      <c r="D189" t="s">
        <v>814</v>
      </c>
      <c r="E189" t="s">
        <v>815</v>
      </c>
      <c r="F189">
        <v>5</v>
      </c>
      <c r="G189" t="s">
        <v>711</v>
      </c>
      <c r="H189" t="s">
        <v>414</v>
      </c>
      <c r="I189">
        <v>1652372626.214286</v>
      </c>
      <c r="J189">
        <f>(K189)/1000</f>
        <v>0</v>
      </c>
      <c r="K189">
        <f>IF(CZ189, AN189, AH189)</f>
        <v>0</v>
      </c>
      <c r="L189">
        <f>IF(CZ189, AI189, AG189)</f>
        <v>0</v>
      </c>
      <c r="M189">
        <f>DB189 - IF(AU189&gt;1, L189*CV189*100.0/(AW189*DP189), 0)</f>
        <v>0</v>
      </c>
      <c r="N189">
        <f>((T189-J189/2)*M189-L189)/(T189+J189/2)</f>
        <v>0</v>
      </c>
      <c r="O189">
        <f>N189*(DI189+DJ189)/1000.0</f>
        <v>0</v>
      </c>
      <c r="P189">
        <f>(DB189 - IF(AU189&gt;1, L189*CV189*100.0/(AW189*DP189), 0))*(DI189+DJ189)/1000.0</f>
        <v>0</v>
      </c>
      <c r="Q189">
        <f>2.0/((1/S189-1/R189)+SIGN(S189)*SQRT((1/S189-1/R189)*(1/S189-1/R189) + 4*CW189/((CW189+1)*(CW189+1))*(2*1/S189*1/R189-1/R189*1/R189)))</f>
        <v>0</v>
      </c>
      <c r="R189">
        <f>IF(LEFT(CX189,1)&lt;&gt;"0",IF(LEFT(CX189,1)="1",3.0,CY189),$D$5+$E$5*(DP189*DI189/($K$5*1000))+$F$5*(DP189*DI189/($K$5*1000))*MAX(MIN(CV189,$J$5),$I$5)*MAX(MIN(CV189,$J$5),$I$5)+$G$5*MAX(MIN(CV189,$J$5),$I$5)*(DP189*DI189/($K$5*1000))+$H$5*(DP189*DI189/($K$5*1000))*(DP189*DI189/($K$5*1000)))</f>
        <v>0</v>
      </c>
      <c r="S189">
        <f>J189*(1000-(1000*0.61365*exp(17.502*W189/(240.97+W189))/(DI189+DJ189)+DD189)/2)/(1000*0.61365*exp(17.502*W189/(240.97+W189))/(DI189+DJ189)-DD189)</f>
        <v>0</v>
      </c>
      <c r="T189">
        <f>1/((CW189+1)/(Q189/1.6)+1/(R189/1.37)) + CW189/((CW189+1)/(Q189/1.6) + CW189/(R189/1.37))</f>
        <v>0</v>
      </c>
      <c r="U189">
        <f>(CR189*CU189)</f>
        <v>0</v>
      </c>
      <c r="V189">
        <f>(DK189+(U189+2*0.95*5.67E-8*(((DK189+$B$7)+273)^4-(DK189+273)^4)-44100*J189)/(1.84*29.3*R189+8*0.95*5.67E-8*(DK189+273)^3))</f>
        <v>0</v>
      </c>
      <c r="W189">
        <f>($C$7*DL189+$D$7*DM189+$E$7*V189)</f>
        <v>0</v>
      </c>
      <c r="X189">
        <f>0.61365*exp(17.502*W189/(240.97+W189))</f>
        <v>0</v>
      </c>
      <c r="Y189">
        <f>(Z189/AA189*100)</f>
        <v>0</v>
      </c>
      <c r="Z189">
        <f>DD189*(DI189+DJ189)/1000</f>
        <v>0</v>
      </c>
      <c r="AA189">
        <f>0.61365*exp(17.502*DK189/(240.97+DK189))</f>
        <v>0</v>
      </c>
      <c r="AB189">
        <f>(X189-DD189*(DI189+DJ189)/1000)</f>
        <v>0</v>
      </c>
      <c r="AC189">
        <f>(-J189*44100)</f>
        <v>0</v>
      </c>
      <c r="AD189">
        <f>2*29.3*R189*0.92*(DK189-W189)</f>
        <v>0</v>
      </c>
      <c r="AE189">
        <f>2*0.95*5.67E-8*(((DK189+$B$7)+273)^4-(W189+273)^4)</f>
        <v>0</v>
      </c>
      <c r="AF189">
        <f>U189+AE189+AC189+AD189</f>
        <v>0</v>
      </c>
      <c r="AG189">
        <f>DH189*AU189*(DC189-DB189*(1000-AU189*DE189)/(1000-AU189*DD189))/(100*CV189)</f>
        <v>0</v>
      </c>
      <c r="AH189">
        <f>1000*DH189*AU189*(DD189-DE189)/(100*CV189*(1000-AU189*DD189))</f>
        <v>0</v>
      </c>
      <c r="AI189">
        <f>(AJ189 - AK189 - DI189*1E3/(8.314*(DK189+273.15)) * AM189/DH189 * AL189) * DH189/(100*CV189) * (1000 - DE189)/1000</f>
        <v>0</v>
      </c>
      <c r="AJ189">
        <v>872.947471111645</v>
      </c>
      <c r="AK189">
        <v>817.871078787879</v>
      </c>
      <c r="AL189">
        <v>3.318743697687833</v>
      </c>
      <c r="AM189">
        <v>65.96288611109561</v>
      </c>
      <c r="AN189">
        <f>(AP189 - AO189 + DI189*1E3/(8.314*(DK189+273.15)) * AR189/DH189 * AQ189) * DH189/(100*CV189) * 1000/(1000 - AP189)</f>
        <v>0</v>
      </c>
      <c r="AO189">
        <v>18.07224570241218</v>
      </c>
      <c r="AP189">
        <v>24.35978881118883</v>
      </c>
      <c r="AQ189">
        <v>-0.008883904015382402</v>
      </c>
      <c r="AR189">
        <v>81.18387902069509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MAX(0,($B$13+$C$13*DP189)/(1+$D$13*DP189)*DI189/(DK189+273)*$E$13)</f>
        <v>0</v>
      </c>
      <c r="AX189" t="s">
        <v>417</v>
      </c>
      <c r="AY189" t="s">
        <v>417</v>
      </c>
      <c r="AZ189">
        <v>0</v>
      </c>
      <c r="BA189">
        <v>0</v>
      </c>
      <c r="BB189">
        <f>1-AZ189/BA189</f>
        <v>0</v>
      </c>
      <c r="BC189">
        <v>0</v>
      </c>
      <c r="BD189" t="s">
        <v>417</v>
      </c>
      <c r="BE189" t="s">
        <v>417</v>
      </c>
      <c r="BF189">
        <v>0</v>
      </c>
      <c r="BG189">
        <v>0</v>
      </c>
      <c r="BH189">
        <f>1-BF189/BG189</f>
        <v>0</v>
      </c>
      <c r="BI189">
        <v>0.5</v>
      </c>
      <c r="BJ189">
        <f>CS189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417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1393</v>
      </c>
      <c r="CA189">
        <v>300</v>
      </c>
      <c r="CB189">
        <v>300</v>
      </c>
      <c r="CC189">
        <v>300</v>
      </c>
      <c r="CD189">
        <v>10378</v>
      </c>
      <c r="CE189">
        <v>2050</v>
      </c>
      <c r="CF189">
        <v>-0.00730649</v>
      </c>
      <c r="CG189">
        <v>-4.53</v>
      </c>
      <c r="CH189" t="s">
        <v>417</v>
      </c>
      <c r="CI189" t="s">
        <v>417</v>
      </c>
      <c r="CJ189" t="s">
        <v>417</v>
      </c>
      <c r="CK189" t="s">
        <v>417</v>
      </c>
      <c r="CL189" t="s">
        <v>417</v>
      </c>
      <c r="CM189" t="s">
        <v>417</v>
      </c>
      <c r="CN189" t="s">
        <v>417</v>
      </c>
      <c r="CO189" t="s">
        <v>417</v>
      </c>
      <c r="CP189" t="s">
        <v>417</v>
      </c>
      <c r="CQ189" t="s">
        <v>417</v>
      </c>
      <c r="CR189">
        <f>$B$11*DQ189+$C$11*DR189+$F$11*EC189*(1-EF189)</f>
        <v>0</v>
      </c>
      <c r="CS189">
        <f>CR189*CT189</f>
        <v>0</v>
      </c>
      <c r="CT189">
        <f>($B$11*$D$9+$C$11*$D$9+$F$11*((EP189+EH189)/MAX(EP189+EH189+EQ189, 0.1)*$I$9+EQ189/MAX(EP189+EH189+EQ189, 0.1)*$J$9))/($B$11+$C$11+$F$11)</f>
        <v>0</v>
      </c>
      <c r="CU189">
        <f>($B$11*$K$9+$C$11*$K$9+$F$11*((EP189+EH189)/MAX(EP189+EH189+EQ189, 0.1)*$P$9+EQ189/MAX(EP189+EH189+EQ189, 0.1)*$Q$9))/($B$11+$C$11+$F$11)</f>
        <v>0</v>
      </c>
      <c r="CV189">
        <v>6</v>
      </c>
      <c r="CW189">
        <v>0.5</v>
      </c>
      <c r="CX189" t="s">
        <v>418</v>
      </c>
      <c r="CY189">
        <v>2</v>
      </c>
      <c r="CZ189" t="b">
        <v>1</v>
      </c>
      <c r="DA189">
        <v>1652372626.214286</v>
      </c>
      <c r="DB189">
        <v>774.1200714285714</v>
      </c>
      <c r="DC189">
        <v>844.4936071428572</v>
      </c>
      <c r="DD189">
        <v>24.42753571428572</v>
      </c>
      <c r="DE189">
        <v>18.02237857142857</v>
      </c>
      <c r="DF189">
        <v>774.6635714285715</v>
      </c>
      <c r="DG189">
        <v>24.384775</v>
      </c>
      <c r="DH189">
        <v>400.0722857142858</v>
      </c>
      <c r="DI189">
        <v>90.38798571428572</v>
      </c>
      <c r="DJ189">
        <v>0.09999573928571427</v>
      </c>
      <c r="DK189">
        <v>30.86235714285715</v>
      </c>
      <c r="DL189">
        <v>30.00567857142857</v>
      </c>
      <c r="DM189">
        <v>999.9000000000002</v>
      </c>
      <c r="DN189">
        <v>0</v>
      </c>
      <c r="DO189">
        <v>0</v>
      </c>
      <c r="DP189">
        <v>10003.56785714286</v>
      </c>
      <c r="DQ189">
        <v>0</v>
      </c>
      <c r="DR189">
        <v>416.312392857143</v>
      </c>
      <c r="DS189">
        <v>-70.37353214285714</v>
      </c>
      <c r="DT189">
        <v>793.5027142857144</v>
      </c>
      <c r="DU189">
        <v>859.9938571428571</v>
      </c>
      <c r="DV189">
        <v>6.405160357142857</v>
      </c>
      <c r="DW189">
        <v>844.4936071428572</v>
      </c>
      <c r="DX189">
        <v>18.02237857142857</v>
      </c>
      <c r="DY189">
        <v>2.207956071428572</v>
      </c>
      <c r="DZ189">
        <v>1.629006785714286</v>
      </c>
      <c r="EA189">
        <v>19.02013571428571</v>
      </c>
      <c r="EB189">
        <v>14.23582857142857</v>
      </c>
      <c r="EC189">
        <v>1499.976785714286</v>
      </c>
      <c r="ED189">
        <v>0.9729999999999999</v>
      </c>
      <c r="EE189">
        <v>0.0270001</v>
      </c>
      <c r="EF189">
        <v>0</v>
      </c>
      <c r="EG189">
        <v>1710.136071428571</v>
      </c>
      <c r="EH189">
        <v>5.00097</v>
      </c>
      <c r="EI189">
        <v>26382.81071428571</v>
      </c>
      <c r="EJ189">
        <v>12491.41071428571</v>
      </c>
      <c r="EK189">
        <v>40.06199999999999</v>
      </c>
      <c r="EL189">
        <v>41.56199999999999</v>
      </c>
      <c r="EM189">
        <v>40.31199999999999</v>
      </c>
      <c r="EN189">
        <v>41.41707142857143</v>
      </c>
      <c r="EO189">
        <v>41.18699999999999</v>
      </c>
      <c r="EP189">
        <v>1454.608214285714</v>
      </c>
      <c r="EQ189">
        <v>40.36035714285713</v>
      </c>
      <c r="ER189">
        <v>0</v>
      </c>
      <c r="ES189">
        <v>1468</v>
      </c>
      <c r="ET189">
        <v>0</v>
      </c>
      <c r="EU189">
        <v>1709.676</v>
      </c>
      <c r="EV189">
        <v>-48.19692300100007</v>
      </c>
      <c r="EW189">
        <v>-749.2538450201802</v>
      </c>
      <c r="EX189">
        <v>26376.028</v>
      </c>
      <c r="EY189">
        <v>15</v>
      </c>
      <c r="EZ189">
        <v>1652371289.6</v>
      </c>
      <c r="FA189" t="s">
        <v>515</v>
      </c>
      <c r="FB189">
        <v>1652371289.6</v>
      </c>
      <c r="FC189">
        <v>1652371275.1</v>
      </c>
      <c r="FD189">
        <v>24</v>
      </c>
      <c r="FE189">
        <v>0.442</v>
      </c>
      <c r="FF189">
        <v>0.001</v>
      </c>
      <c r="FG189">
        <v>-2.63</v>
      </c>
      <c r="FH189">
        <v>0.007</v>
      </c>
      <c r="FI189">
        <v>1620</v>
      </c>
      <c r="FJ189">
        <v>22</v>
      </c>
      <c r="FK189">
        <v>0.08</v>
      </c>
      <c r="FL189">
        <v>0.04</v>
      </c>
      <c r="FM189">
        <v>-70.23294250000001</v>
      </c>
      <c r="FN189">
        <v>-1.460002626641564</v>
      </c>
      <c r="FO189">
        <v>0.2244913805555799</v>
      </c>
      <c r="FP189">
        <v>-1</v>
      </c>
      <c r="FQ189">
        <v>6.488265749999999</v>
      </c>
      <c r="FR189">
        <v>-1.458217598499074</v>
      </c>
      <c r="FS189">
        <v>0.1412971450151682</v>
      </c>
      <c r="FT189">
        <v>0</v>
      </c>
      <c r="FU189">
        <v>0</v>
      </c>
      <c r="FV189">
        <v>0</v>
      </c>
      <c r="FW189">
        <v>0</v>
      </c>
      <c r="FX189">
        <v>-1</v>
      </c>
      <c r="FY189">
        <v>0</v>
      </c>
      <c r="FZ189">
        <v>1</v>
      </c>
      <c r="GA189" t="s">
        <v>432</v>
      </c>
      <c r="GB189">
        <v>2.69575</v>
      </c>
      <c r="GC189">
        <v>2.70519</v>
      </c>
      <c r="GD189">
        <v>0.147767</v>
      </c>
      <c r="GE189">
        <v>0.154686</v>
      </c>
      <c r="GF189">
        <v>0.10711</v>
      </c>
      <c r="GG189">
        <v>0.0858362</v>
      </c>
      <c r="GH189">
        <v>26783.9</v>
      </c>
      <c r="GI189">
        <v>26680.2</v>
      </c>
      <c r="GJ189">
        <v>29237.4</v>
      </c>
      <c r="GK189">
        <v>29209</v>
      </c>
      <c r="GL189">
        <v>34563.8</v>
      </c>
      <c r="GM189">
        <v>35544.8</v>
      </c>
      <c r="GN189">
        <v>41150.4</v>
      </c>
      <c r="GO189">
        <v>41675.5</v>
      </c>
      <c r="GP189">
        <v>1.72438</v>
      </c>
      <c r="GQ189">
        <v>2.02973</v>
      </c>
      <c r="GR189">
        <v>0.06730849999999999</v>
      </c>
      <c r="GS189">
        <v>0</v>
      </c>
      <c r="GT189">
        <v>28.9125</v>
      </c>
      <c r="GU189">
        <v>999.9</v>
      </c>
      <c r="GV189">
        <v>44.4</v>
      </c>
      <c r="GW189">
        <v>33.4</v>
      </c>
      <c r="GX189">
        <v>25.3793</v>
      </c>
      <c r="GY189">
        <v>63.218</v>
      </c>
      <c r="GZ189">
        <v>29.1627</v>
      </c>
      <c r="HA189">
        <v>1</v>
      </c>
      <c r="HB189">
        <v>0.267846</v>
      </c>
      <c r="HC189">
        <v>0.881185</v>
      </c>
      <c r="HD189">
        <v>20.3786</v>
      </c>
      <c r="HE189">
        <v>5.21789</v>
      </c>
      <c r="HF189">
        <v>12.0099</v>
      </c>
      <c r="HG189">
        <v>4.9883</v>
      </c>
      <c r="HH189">
        <v>3.28845</v>
      </c>
      <c r="HI189">
        <v>2729.3</v>
      </c>
      <c r="HJ189">
        <v>9999</v>
      </c>
      <c r="HK189">
        <v>9999</v>
      </c>
      <c r="HL189">
        <v>50.1</v>
      </c>
      <c r="HM189">
        <v>1.86722</v>
      </c>
      <c r="HN189">
        <v>1.86624</v>
      </c>
      <c r="HO189">
        <v>1.86583</v>
      </c>
      <c r="HP189">
        <v>1.86569</v>
      </c>
      <c r="HQ189">
        <v>1.86752</v>
      </c>
      <c r="HR189">
        <v>1.87</v>
      </c>
      <c r="HS189">
        <v>1.86863</v>
      </c>
      <c r="HT189">
        <v>1.87003</v>
      </c>
      <c r="HU189">
        <v>0</v>
      </c>
      <c r="HV189">
        <v>0</v>
      </c>
      <c r="HW189">
        <v>0</v>
      </c>
      <c r="HX189">
        <v>0</v>
      </c>
      <c r="HY189" t="s">
        <v>421</v>
      </c>
      <c r="HZ189" t="s">
        <v>422</v>
      </c>
      <c r="IA189" t="s">
        <v>423</v>
      </c>
      <c r="IB189" t="s">
        <v>423</v>
      </c>
      <c r="IC189" t="s">
        <v>423</v>
      </c>
      <c r="ID189" t="s">
        <v>423</v>
      </c>
      <c r="IE189">
        <v>0</v>
      </c>
      <c r="IF189">
        <v>100</v>
      </c>
      <c r="IG189">
        <v>100</v>
      </c>
      <c r="IH189">
        <v>-0.606</v>
      </c>
      <c r="II189">
        <v>0.0418</v>
      </c>
      <c r="IJ189">
        <v>1.257309091789605</v>
      </c>
      <c r="IK189">
        <v>-0.002185601614162945</v>
      </c>
      <c r="IL189">
        <v>-2.252308143750626E-07</v>
      </c>
      <c r="IM189">
        <v>5.915558436307541E-11</v>
      </c>
      <c r="IN189">
        <v>-0.118683452207699</v>
      </c>
      <c r="IO189">
        <v>-0.007570214193104963</v>
      </c>
      <c r="IP189">
        <v>0.0009214429922928372</v>
      </c>
      <c r="IQ189">
        <v>-1.392260276065805E-05</v>
      </c>
      <c r="IR189">
        <v>17</v>
      </c>
      <c r="IS189">
        <v>2272</v>
      </c>
      <c r="IT189">
        <v>1</v>
      </c>
      <c r="IU189">
        <v>31</v>
      </c>
      <c r="IV189">
        <v>22.4</v>
      </c>
      <c r="IW189">
        <v>22.6</v>
      </c>
      <c r="IX189">
        <v>1.89575</v>
      </c>
      <c r="IY189">
        <v>2.21313</v>
      </c>
      <c r="IZ189">
        <v>1.39648</v>
      </c>
      <c r="JA189">
        <v>2.35474</v>
      </c>
      <c r="JB189">
        <v>1.49536</v>
      </c>
      <c r="JC189">
        <v>2.32178</v>
      </c>
      <c r="JD189">
        <v>37.027</v>
      </c>
      <c r="JE189">
        <v>15.244</v>
      </c>
      <c r="JF189">
        <v>18</v>
      </c>
      <c r="JG189">
        <v>388.959</v>
      </c>
      <c r="JH189">
        <v>567.407</v>
      </c>
      <c r="JI189">
        <v>29.2711</v>
      </c>
      <c r="JJ189">
        <v>30.836</v>
      </c>
      <c r="JK189">
        <v>30.0009</v>
      </c>
      <c r="JL189">
        <v>30.7366</v>
      </c>
      <c r="JM189">
        <v>30.6352</v>
      </c>
      <c r="JN189">
        <v>37.9499</v>
      </c>
      <c r="JO189">
        <v>29.3234</v>
      </c>
      <c r="JP189">
        <v>0</v>
      </c>
      <c r="JQ189">
        <v>29.2594</v>
      </c>
      <c r="JR189">
        <v>887.971</v>
      </c>
      <c r="JS189">
        <v>18.3305</v>
      </c>
      <c r="JT189">
        <v>99.9359</v>
      </c>
      <c r="JU189">
        <v>100.039</v>
      </c>
    </row>
    <row r="190" spans="1:281">
      <c r="A190">
        <v>174</v>
      </c>
      <c r="B190">
        <v>1652372639</v>
      </c>
      <c r="C190">
        <v>4545.400000095367</v>
      </c>
      <c r="D190" t="s">
        <v>816</v>
      </c>
      <c r="E190" t="s">
        <v>817</v>
      </c>
      <c r="F190">
        <v>5</v>
      </c>
      <c r="G190" t="s">
        <v>711</v>
      </c>
      <c r="H190" t="s">
        <v>414</v>
      </c>
      <c r="I190">
        <v>1652372631.5</v>
      </c>
      <c r="J190">
        <f>(K190)/1000</f>
        <v>0</v>
      </c>
      <c r="K190">
        <f>IF(CZ190, AN190, AH190)</f>
        <v>0</v>
      </c>
      <c r="L190">
        <f>IF(CZ190, AI190, AG190)</f>
        <v>0</v>
      </c>
      <c r="M190">
        <f>DB190 - IF(AU190&gt;1, L190*CV190*100.0/(AW190*DP190), 0)</f>
        <v>0</v>
      </c>
      <c r="N190">
        <f>((T190-J190/2)*M190-L190)/(T190+J190/2)</f>
        <v>0</v>
      </c>
      <c r="O190">
        <f>N190*(DI190+DJ190)/1000.0</f>
        <v>0</v>
      </c>
      <c r="P190">
        <f>(DB190 - IF(AU190&gt;1, L190*CV190*100.0/(AW190*DP190), 0))*(DI190+DJ190)/1000.0</f>
        <v>0</v>
      </c>
      <c r="Q190">
        <f>2.0/((1/S190-1/R190)+SIGN(S190)*SQRT((1/S190-1/R190)*(1/S190-1/R190) + 4*CW190/((CW190+1)*(CW190+1))*(2*1/S190*1/R190-1/R190*1/R190)))</f>
        <v>0</v>
      </c>
      <c r="R190">
        <f>IF(LEFT(CX190,1)&lt;&gt;"0",IF(LEFT(CX190,1)="1",3.0,CY190),$D$5+$E$5*(DP190*DI190/($K$5*1000))+$F$5*(DP190*DI190/($K$5*1000))*MAX(MIN(CV190,$J$5),$I$5)*MAX(MIN(CV190,$J$5),$I$5)+$G$5*MAX(MIN(CV190,$J$5),$I$5)*(DP190*DI190/($K$5*1000))+$H$5*(DP190*DI190/($K$5*1000))*(DP190*DI190/($K$5*1000)))</f>
        <v>0</v>
      </c>
      <c r="S190">
        <f>J190*(1000-(1000*0.61365*exp(17.502*W190/(240.97+W190))/(DI190+DJ190)+DD190)/2)/(1000*0.61365*exp(17.502*W190/(240.97+W190))/(DI190+DJ190)-DD190)</f>
        <v>0</v>
      </c>
      <c r="T190">
        <f>1/((CW190+1)/(Q190/1.6)+1/(R190/1.37)) + CW190/((CW190+1)/(Q190/1.6) + CW190/(R190/1.37))</f>
        <v>0</v>
      </c>
      <c r="U190">
        <f>(CR190*CU190)</f>
        <v>0</v>
      </c>
      <c r="V190">
        <f>(DK190+(U190+2*0.95*5.67E-8*(((DK190+$B$7)+273)^4-(DK190+273)^4)-44100*J190)/(1.84*29.3*R190+8*0.95*5.67E-8*(DK190+273)^3))</f>
        <v>0</v>
      </c>
      <c r="W190">
        <f>($C$7*DL190+$D$7*DM190+$E$7*V190)</f>
        <v>0</v>
      </c>
      <c r="X190">
        <f>0.61365*exp(17.502*W190/(240.97+W190))</f>
        <v>0</v>
      </c>
      <c r="Y190">
        <f>(Z190/AA190*100)</f>
        <v>0</v>
      </c>
      <c r="Z190">
        <f>DD190*(DI190+DJ190)/1000</f>
        <v>0</v>
      </c>
      <c r="AA190">
        <f>0.61365*exp(17.502*DK190/(240.97+DK190))</f>
        <v>0</v>
      </c>
      <c r="AB190">
        <f>(X190-DD190*(DI190+DJ190)/1000)</f>
        <v>0</v>
      </c>
      <c r="AC190">
        <f>(-J190*44100)</f>
        <v>0</v>
      </c>
      <c r="AD190">
        <f>2*29.3*R190*0.92*(DK190-W190)</f>
        <v>0</v>
      </c>
      <c r="AE190">
        <f>2*0.95*5.67E-8*(((DK190+$B$7)+273)^4-(W190+273)^4)</f>
        <v>0</v>
      </c>
      <c r="AF190">
        <f>U190+AE190+AC190+AD190</f>
        <v>0</v>
      </c>
      <c r="AG190">
        <f>DH190*AU190*(DC190-DB190*(1000-AU190*DE190)/(1000-AU190*DD190))/(100*CV190)</f>
        <v>0</v>
      </c>
      <c r="AH190">
        <f>1000*DH190*AU190*(DD190-DE190)/(100*CV190*(1000-AU190*DD190))</f>
        <v>0</v>
      </c>
      <c r="AI190">
        <f>(AJ190 - AK190 - DI190*1E3/(8.314*(DK190+273.15)) * AM190/DH190 * AL190) * DH190/(100*CV190) * (1000 - DE190)/1000</f>
        <v>0</v>
      </c>
      <c r="AJ190">
        <v>890.6201006028803</v>
      </c>
      <c r="AK190">
        <v>834.8447151515146</v>
      </c>
      <c r="AL190">
        <v>3.398286434359551</v>
      </c>
      <c r="AM190">
        <v>65.96288611109561</v>
      </c>
      <c r="AN190">
        <f>(AP190 - AO190 + DI190*1E3/(8.314*(DK190+273.15)) * AR190/DH190 * AQ190) * DH190/(100*CV190) * 1000/(1000 - AP190)</f>
        <v>0</v>
      </c>
      <c r="AO190">
        <v>18.17192297880386</v>
      </c>
      <c r="AP190">
        <v>24.31557832167833</v>
      </c>
      <c r="AQ190">
        <v>-0.009724175305694336</v>
      </c>
      <c r="AR190">
        <v>81.18387902069509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MAX(0,($B$13+$C$13*DP190)/(1+$D$13*DP190)*DI190/(DK190+273)*$E$13)</f>
        <v>0</v>
      </c>
      <c r="AX190" t="s">
        <v>417</v>
      </c>
      <c r="AY190" t="s">
        <v>417</v>
      </c>
      <c r="AZ190">
        <v>0</v>
      </c>
      <c r="BA190">
        <v>0</v>
      </c>
      <c r="BB190">
        <f>1-AZ190/BA190</f>
        <v>0</v>
      </c>
      <c r="BC190">
        <v>0</v>
      </c>
      <c r="BD190" t="s">
        <v>417</v>
      </c>
      <c r="BE190" t="s">
        <v>417</v>
      </c>
      <c r="BF190">
        <v>0</v>
      </c>
      <c r="BG190">
        <v>0</v>
      </c>
      <c r="BH190">
        <f>1-BF190/BG190</f>
        <v>0</v>
      </c>
      <c r="BI190">
        <v>0.5</v>
      </c>
      <c r="BJ190">
        <f>CS190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417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1393</v>
      </c>
      <c r="CA190">
        <v>300</v>
      </c>
      <c r="CB190">
        <v>300</v>
      </c>
      <c r="CC190">
        <v>300</v>
      </c>
      <c r="CD190">
        <v>10378</v>
      </c>
      <c r="CE190">
        <v>2050</v>
      </c>
      <c r="CF190">
        <v>-0.00730649</v>
      </c>
      <c r="CG190">
        <v>-4.53</v>
      </c>
      <c r="CH190" t="s">
        <v>417</v>
      </c>
      <c r="CI190" t="s">
        <v>417</v>
      </c>
      <c r="CJ190" t="s">
        <v>417</v>
      </c>
      <c r="CK190" t="s">
        <v>417</v>
      </c>
      <c r="CL190" t="s">
        <v>417</v>
      </c>
      <c r="CM190" t="s">
        <v>417</v>
      </c>
      <c r="CN190" t="s">
        <v>417</v>
      </c>
      <c r="CO190" t="s">
        <v>417</v>
      </c>
      <c r="CP190" t="s">
        <v>417</v>
      </c>
      <c r="CQ190" t="s">
        <v>417</v>
      </c>
      <c r="CR190">
        <f>$B$11*DQ190+$C$11*DR190+$F$11*EC190*(1-EF190)</f>
        <v>0</v>
      </c>
      <c r="CS190">
        <f>CR190*CT190</f>
        <v>0</v>
      </c>
      <c r="CT190">
        <f>($B$11*$D$9+$C$11*$D$9+$F$11*((EP190+EH190)/MAX(EP190+EH190+EQ190, 0.1)*$I$9+EQ190/MAX(EP190+EH190+EQ190, 0.1)*$J$9))/($B$11+$C$11+$F$11)</f>
        <v>0</v>
      </c>
      <c r="CU190">
        <f>($B$11*$K$9+$C$11*$K$9+$F$11*((EP190+EH190)/MAX(EP190+EH190+EQ190, 0.1)*$P$9+EQ190/MAX(EP190+EH190+EQ190, 0.1)*$Q$9))/($B$11+$C$11+$F$11)</f>
        <v>0</v>
      </c>
      <c r="CV190">
        <v>6</v>
      </c>
      <c r="CW190">
        <v>0.5</v>
      </c>
      <c r="CX190" t="s">
        <v>418</v>
      </c>
      <c r="CY190">
        <v>2</v>
      </c>
      <c r="CZ190" t="b">
        <v>1</v>
      </c>
      <c r="DA190">
        <v>1652372631.5</v>
      </c>
      <c r="DB190">
        <v>791.4995555555556</v>
      </c>
      <c r="DC190">
        <v>862.1206296296297</v>
      </c>
      <c r="DD190">
        <v>24.37805925925925</v>
      </c>
      <c r="DE190">
        <v>18.12321481481482</v>
      </c>
      <c r="DF190">
        <v>792.0853333333334</v>
      </c>
      <c r="DG190">
        <v>24.33592222222222</v>
      </c>
      <c r="DH190">
        <v>400.0715925925925</v>
      </c>
      <c r="DI190">
        <v>90.39107037037037</v>
      </c>
      <c r="DJ190">
        <v>0.09998891111111109</v>
      </c>
      <c r="DK190">
        <v>30.86314074074074</v>
      </c>
      <c r="DL190">
        <v>30.00828888888888</v>
      </c>
      <c r="DM190">
        <v>999.9000000000001</v>
      </c>
      <c r="DN190">
        <v>0</v>
      </c>
      <c r="DO190">
        <v>0</v>
      </c>
      <c r="DP190">
        <v>10002.44814814815</v>
      </c>
      <c r="DQ190">
        <v>0</v>
      </c>
      <c r="DR190">
        <v>415.910962962963</v>
      </c>
      <c r="DS190">
        <v>-70.62110000000001</v>
      </c>
      <c r="DT190">
        <v>811.2762962962964</v>
      </c>
      <c r="DU190">
        <v>878.0345925925926</v>
      </c>
      <c r="DV190">
        <v>6.25485037037037</v>
      </c>
      <c r="DW190">
        <v>862.1206296296297</v>
      </c>
      <c r="DX190">
        <v>18.12321481481482</v>
      </c>
      <c r="DY190">
        <v>2.203559259259259</v>
      </c>
      <c r="DZ190">
        <v>1.638177037037037</v>
      </c>
      <c r="EA190">
        <v>18.9882037037037</v>
      </c>
      <c r="EB190">
        <v>14.32254814814815</v>
      </c>
      <c r="EC190">
        <v>1499.988148148148</v>
      </c>
      <c r="ED190">
        <v>0.9730001851851852</v>
      </c>
      <c r="EE190">
        <v>0.0269999</v>
      </c>
      <c r="EF190">
        <v>0</v>
      </c>
      <c r="EG190">
        <v>1705.844074074074</v>
      </c>
      <c r="EH190">
        <v>5.00097</v>
      </c>
      <c r="EI190">
        <v>26319.72222222223</v>
      </c>
      <c r="EJ190">
        <v>12491.50740740741</v>
      </c>
      <c r="EK190">
        <v>40.06199999999999</v>
      </c>
      <c r="EL190">
        <v>41.56199999999999</v>
      </c>
      <c r="EM190">
        <v>40.31199999999999</v>
      </c>
      <c r="EN190">
        <v>41.42322222222221</v>
      </c>
      <c r="EO190">
        <v>41.1824074074074</v>
      </c>
      <c r="EP190">
        <v>1454.622222222222</v>
      </c>
      <c r="EQ190">
        <v>40.36037037037037</v>
      </c>
      <c r="ER190">
        <v>0</v>
      </c>
      <c r="ES190">
        <v>1472.799999952316</v>
      </c>
      <c r="ET190">
        <v>0</v>
      </c>
      <c r="EU190">
        <v>1705.7992</v>
      </c>
      <c r="EV190">
        <v>-48.05076922942133</v>
      </c>
      <c r="EW190">
        <v>-696.0999999137925</v>
      </c>
      <c r="EX190">
        <v>26319.372</v>
      </c>
      <c r="EY190">
        <v>15</v>
      </c>
      <c r="EZ190">
        <v>1652371289.6</v>
      </c>
      <c r="FA190" t="s">
        <v>515</v>
      </c>
      <c r="FB190">
        <v>1652371289.6</v>
      </c>
      <c r="FC190">
        <v>1652371275.1</v>
      </c>
      <c r="FD190">
        <v>24</v>
      </c>
      <c r="FE190">
        <v>0.442</v>
      </c>
      <c r="FF190">
        <v>0.001</v>
      </c>
      <c r="FG190">
        <v>-2.63</v>
      </c>
      <c r="FH190">
        <v>0.007</v>
      </c>
      <c r="FI190">
        <v>1620</v>
      </c>
      <c r="FJ190">
        <v>22</v>
      </c>
      <c r="FK190">
        <v>0.08</v>
      </c>
      <c r="FL190">
        <v>0.04</v>
      </c>
      <c r="FM190">
        <v>-70.52955999999999</v>
      </c>
      <c r="FN190">
        <v>-2.830320450281469</v>
      </c>
      <c r="FO190">
        <v>0.3483718952498892</v>
      </c>
      <c r="FP190">
        <v>-1</v>
      </c>
      <c r="FQ190">
        <v>6.33237125</v>
      </c>
      <c r="FR190">
        <v>-1.66886893058164</v>
      </c>
      <c r="FS190">
        <v>0.1609184255172089</v>
      </c>
      <c r="FT190">
        <v>0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1</v>
      </c>
      <c r="GA190" t="s">
        <v>432</v>
      </c>
      <c r="GB190">
        <v>2.69538</v>
      </c>
      <c r="GC190">
        <v>2.70522</v>
      </c>
      <c r="GD190">
        <v>0.149807</v>
      </c>
      <c r="GE190">
        <v>0.1566</v>
      </c>
      <c r="GF190">
        <v>0.106975</v>
      </c>
      <c r="GG190">
        <v>0.08623309999999999</v>
      </c>
      <c r="GH190">
        <v>26719.8</v>
      </c>
      <c r="GI190">
        <v>26619.5</v>
      </c>
      <c r="GJ190">
        <v>29237.5</v>
      </c>
      <c r="GK190">
        <v>29208.8</v>
      </c>
      <c r="GL190">
        <v>34569.4</v>
      </c>
      <c r="GM190">
        <v>35528.9</v>
      </c>
      <c r="GN190">
        <v>41150.8</v>
      </c>
      <c r="GO190">
        <v>41675.1</v>
      </c>
      <c r="GP190">
        <v>1.7238</v>
      </c>
      <c r="GQ190">
        <v>2.03025</v>
      </c>
      <c r="GR190">
        <v>0.0672191</v>
      </c>
      <c r="GS190">
        <v>0</v>
      </c>
      <c r="GT190">
        <v>28.91</v>
      </c>
      <c r="GU190">
        <v>999.9</v>
      </c>
      <c r="GV190">
        <v>44.4</v>
      </c>
      <c r="GW190">
        <v>33.4</v>
      </c>
      <c r="GX190">
        <v>25.378</v>
      </c>
      <c r="GY190">
        <v>63.288</v>
      </c>
      <c r="GZ190">
        <v>29.6274</v>
      </c>
      <c r="HA190">
        <v>1</v>
      </c>
      <c r="HB190">
        <v>0.267144</v>
      </c>
      <c r="HC190">
        <v>0.61909</v>
      </c>
      <c r="HD190">
        <v>20.3799</v>
      </c>
      <c r="HE190">
        <v>5.21669</v>
      </c>
      <c r="HF190">
        <v>12.0099</v>
      </c>
      <c r="HG190">
        <v>4.98815</v>
      </c>
      <c r="HH190">
        <v>3.28833</v>
      </c>
      <c r="HI190">
        <v>2729.3</v>
      </c>
      <c r="HJ190">
        <v>9999</v>
      </c>
      <c r="HK190">
        <v>9999</v>
      </c>
      <c r="HL190">
        <v>50.1</v>
      </c>
      <c r="HM190">
        <v>1.86722</v>
      </c>
      <c r="HN190">
        <v>1.86626</v>
      </c>
      <c r="HO190">
        <v>1.86581</v>
      </c>
      <c r="HP190">
        <v>1.86569</v>
      </c>
      <c r="HQ190">
        <v>1.86752</v>
      </c>
      <c r="HR190">
        <v>1.86998</v>
      </c>
      <c r="HS190">
        <v>1.86863</v>
      </c>
      <c r="HT190">
        <v>1.87007</v>
      </c>
      <c r="HU190">
        <v>0</v>
      </c>
      <c r="HV190">
        <v>0</v>
      </c>
      <c r="HW190">
        <v>0</v>
      </c>
      <c r="HX190">
        <v>0</v>
      </c>
      <c r="HY190" t="s">
        <v>421</v>
      </c>
      <c r="HZ190" t="s">
        <v>422</v>
      </c>
      <c r="IA190" t="s">
        <v>423</v>
      </c>
      <c r="IB190" t="s">
        <v>423</v>
      </c>
      <c r="IC190" t="s">
        <v>423</v>
      </c>
      <c r="ID190" t="s">
        <v>423</v>
      </c>
      <c r="IE190">
        <v>0</v>
      </c>
      <c r="IF190">
        <v>100</v>
      </c>
      <c r="IG190">
        <v>100</v>
      </c>
      <c r="IH190">
        <v>-0.646</v>
      </c>
      <c r="II190">
        <v>0.0413</v>
      </c>
      <c r="IJ190">
        <v>1.257309091789605</v>
      </c>
      <c r="IK190">
        <v>-0.002185601614162945</v>
      </c>
      <c r="IL190">
        <v>-2.252308143750626E-07</v>
      </c>
      <c r="IM190">
        <v>5.915558436307541E-11</v>
      </c>
      <c r="IN190">
        <v>-0.118683452207699</v>
      </c>
      <c r="IO190">
        <v>-0.007570214193104963</v>
      </c>
      <c r="IP190">
        <v>0.0009214429922928372</v>
      </c>
      <c r="IQ190">
        <v>-1.392260276065805E-05</v>
      </c>
      <c r="IR190">
        <v>17</v>
      </c>
      <c r="IS190">
        <v>2272</v>
      </c>
      <c r="IT190">
        <v>1</v>
      </c>
      <c r="IU190">
        <v>31</v>
      </c>
      <c r="IV190">
        <v>22.5</v>
      </c>
      <c r="IW190">
        <v>22.7</v>
      </c>
      <c r="IX190">
        <v>1.92749</v>
      </c>
      <c r="IY190">
        <v>2.21191</v>
      </c>
      <c r="IZ190">
        <v>1.39648</v>
      </c>
      <c r="JA190">
        <v>2.35474</v>
      </c>
      <c r="JB190">
        <v>1.49536</v>
      </c>
      <c r="JC190">
        <v>2.37061</v>
      </c>
      <c r="JD190">
        <v>37.027</v>
      </c>
      <c r="JE190">
        <v>15.244</v>
      </c>
      <c r="JF190">
        <v>18</v>
      </c>
      <c r="JG190">
        <v>388.666</v>
      </c>
      <c r="JH190">
        <v>567.835</v>
      </c>
      <c r="JI190">
        <v>29.2203</v>
      </c>
      <c r="JJ190">
        <v>30.838</v>
      </c>
      <c r="JK190">
        <v>30</v>
      </c>
      <c r="JL190">
        <v>30.7392</v>
      </c>
      <c r="JM190">
        <v>30.6385</v>
      </c>
      <c r="JN190">
        <v>38.5727</v>
      </c>
      <c r="JO190">
        <v>29.0041</v>
      </c>
      <c r="JP190">
        <v>0</v>
      </c>
      <c r="JQ190">
        <v>29.2485</v>
      </c>
      <c r="JR190">
        <v>908.266</v>
      </c>
      <c r="JS190">
        <v>18.448</v>
      </c>
      <c r="JT190">
        <v>99.93640000000001</v>
      </c>
      <c r="JU190">
        <v>100.038</v>
      </c>
    </row>
    <row r="191" spans="1:281">
      <c r="A191">
        <v>175</v>
      </c>
      <c r="B191">
        <v>1652372644</v>
      </c>
      <c r="C191">
        <v>4550.400000095367</v>
      </c>
      <c r="D191" t="s">
        <v>818</v>
      </c>
      <c r="E191" t="s">
        <v>819</v>
      </c>
      <c r="F191">
        <v>5</v>
      </c>
      <c r="G191" t="s">
        <v>711</v>
      </c>
      <c r="H191" t="s">
        <v>414</v>
      </c>
      <c r="I191">
        <v>1652372636.214286</v>
      </c>
      <c r="J191">
        <f>(K191)/1000</f>
        <v>0</v>
      </c>
      <c r="K191">
        <f>IF(CZ191, AN191, AH191)</f>
        <v>0</v>
      </c>
      <c r="L191">
        <f>IF(CZ191, AI191, AG191)</f>
        <v>0</v>
      </c>
      <c r="M191">
        <f>DB191 - IF(AU191&gt;1, L191*CV191*100.0/(AW191*DP191), 0)</f>
        <v>0</v>
      </c>
      <c r="N191">
        <f>((T191-J191/2)*M191-L191)/(T191+J191/2)</f>
        <v>0</v>
      </c>
      <c r="O191">
        <f>N191*(DI191+DJ191)/1000.0</f>
        <v>0</v>
      </c>
      <c r="P191">
        <f>(DB191 - IF(AU191&gt;1, L191*CV191*100.0/(AW191*DP191), 0))*(DI191+DJ191)/1000.0</f>
        <v>0</v>
      </c>
      <c r="Q191">
        <f>2.0/((1/S191-1/R191)+SIGN(S191)*SQRT((1/S191-1/R191)*(1/S191-1/R191) + 4*CW191/((CW191+1)*(CW191+1))*(2*1/S191*1/R191-1/R191*1/R191)))</f>
        <v>0</v>
      </c>
      <c r="R191">
        <f>IF(LEFT(CX191,1)&lt;&gt;"0",IF(LEFT(CX191,1)="1",3.0,CY191),$D$5+$E$5*(DP191*DI191/($K$5*1000))+$F$5*(DP191*DI191/($K$5*1000))*MAX(MIN(CV191,$J$5),$I$5)*MAX(MIN(CV191,$J$5),$I$5)+$G$5*MAX(MIN(CV191,$J$5),$I$5)*(DP191*DI191/($K$5*1000))+$H$5*(DP191*DI191/($K$5*1000))*(DP191*DI191/($K$5*1000)))</f>
        <v>0</v>
      </c>
      <c r="S191">
        <f>J191*(1000-(1000*0.61365*exp(17.502*W191/(240.97+W191))/(DI191+DJ191)+DD191)/2)/(1000*0.61365*exp(17.502*W191/(240.97+W191))/(DI191+DJ191)-DD191)</f>
        <v>0</v>
      </c>
      <c r="T191">
        <f>1/((CW191+1)/(Q191/1.6)+1/(R191/1.37)) + CW191/((CW191+1)/(Q191/1.6) + CW191/(R191/1.37))</f>
        <v>0</v>
      </c>
      <c r="U191">
        <f>(CR191*CU191)</f>
        <v>0</v>
      </c>
      <c r="V191">
        <f>(DK191+(U191+2*0.95*5.67E-8*(((DK191+$B$7)+273)^4-(DK191+273)^4)-44100*J191)/(1.84*29.3*R191+8*0.95*5.67E-8*(DK191+273)^3))</f>
        <v>0</v>
      </c>
      <c r="W191">
        <f>($C$7*DL191+$D$7*DM191+$E$7*V191)</f>
        <v>0</v>
      </c>
      <c r="X191">
        <f>0.61365*exp(17.502*W191/(240.97+W191))</f>
        <v>0</v>
      </c>
      <c r="Y191">
        <f>(Z191/AA191*100)</f>
        <v>0</v>
      </c>
      <c r="Z191">
        <f>DD191*(DI191+DJ191)/1000</f>
        <v>0</v>
      </c>
      <c r="AA191">
        <f>0.61365*exp(17.502*DK191/(240.97+DK191))</f>
        <v>0</v>
      </c>
      <c r="AB191">
        <f>(X191-DD191*(DI191+DJ191)/1000)</f>
        <v>0</v>
      </c>
      <c r="AC191">
        <f>(-J191*44100)</f>
        <v>0</v>
      </c>
      <c r="AD191">
        <f>2*29.3*R191*0.92*(DK191-W191)</f>
        <v>0</v>
      </c>
      <c r="AE191">
        <f>2*0.95*5.67E-8*(((DK191+$B$7)+273)^4-(W191+273)^4)</f>
        <v>0</v>
      </c>
      <c r="AF191">
        <f>U191+AE191+AC191+AD191</f>
        <v>0</v>
      </c>
      <c r="AG191">
        <f>DH191*AU191*(DC191-DB191*(1000-AU191*DE191)/(1000-AU191*DD191))/(100*CV191)</f>
        <v>0</v>
      </c>
      <c r="AH191">
        <f>1000*DH191*AU191*(DD191-DE191)/(100*CV191*(1000-AU191*DD191))</f>
        <v>0</v>
      </c>
      <c r="AI191">
        <f>(AJ191 - AK191 - DI191*1E3/(8.314*(DK191+273.15)) * AM191/DH191 * AL191) * DH191/(100*CV191) * (1000 - DE191)/1000</f>
        <v>0</v>
      </c>
      <c r="AJ191">
        <v>907.3892404242671</v>
      </c>
      <c r="AK191">
        <v>851.706387878788</v>
      </c>
      <c r="AL191">
        <v>3.36532762989941</v>
      </c>
      <c r="AM191">
        <v>65.96288611109561</v>
      </c>
      <c r="AN191">
        <f>(AP191 - AO191 + DI191*1E3/(8.314*(DK191+273.15)) * AR191/DH191 * AQ191) * DH191/(100*CV191) * 1000/(1000 - AP191)</f>
        <v>0</v>
      </c>
      <c r="AO191">
        <v>18.29062647828204</v>
      </c>
      <c r="AP191">
        <v>24.27158881118883</v>
      </c>
      <c r="AQ191">
        <v>-0.008828250858749326</v>
      </c>
      <c r="AR191">
        <v>81.18387902069509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MAX(0,($B$13+$C$13*DP191)/(1+$D$13*DP191)*DI191/(DK191+273)*$E$13)</f>
        <v>0</v>
      </c>
      <c r="AX191" t="s">
        <v>417</v>
      </c>
      <c r="AY191" t="s">
        <v>417</v>
      </c>
      <c r="AZ191">
        <v>0</v>
      </c>
      <c r="BA191">
        <v>0</v>
      </c>
      <c r="BB191">
        <f>1-AZ191/BA191</f>
        <v>0</v>
      </c>
      <c r="BC191">
        <v>0</v>
      </c>
      <c r="BD191" t="s">
        <v>417</v>
      </c>
      <c r="BE191" t="s">
        <v>417</v>
      </c>
      <c r="BF191">
        <v>0</v>
      </c>
      <c r="BG191">
        <v>0</v>
      </c>
      <c r="BH191">
        <f>1-BF191/BG191</f>
        <v>0</v>
      </c>
      <c r="BI191">
        <v>0.5</v>
      </c>
      <c r="BJ191">
        <f>CS191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417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1393</v>
      </c>
      <c r="CA191">
        <v>300</v>
      </c>
      <c r="CB191">
        <v>300</v>
      </c>
      <c r="CC191">
        <v>300</v>
      </c>
      <c r="CD191">
        <v>10378</v>
      </c>
      <c r="CE191">
        <v>2050</v>
      </c>
      <c r="CF191">
        <v>-0.00730649</v>
      </c>
      <c r="CG191">
        <v>-4.53</v>
      </c>
      <c r="CH191" t="s">
        <v>417</v>
      </c>
      <c r="CI191" t="s">
        <v>417</v>
      </c>
      <c r="CJ191" t="s">
        <v>417</v>
      </c>
      <c r="CK191" t="s">
        <v>417</v>
      </c>
      <c r="CL191" t="s">
        <v>417</v>
      </c>
      <c r="CM191" t="s">
        <v>417</v>
      </c>
      <c r="CN191" t="s">
        <v>417</v>
      </c>
      <c r="CO191" t="s">
        <v>417</v>
      </c>
      <c r="CP191" t="s">
        <v>417</v>
      </c>
      <c r="CQ191" t="s">
        <v>417</v>
      </c>
      <c r="CR191">
        <f>$B$11*DQ191+$C$11*DR191+$F$11*EC191*(1-EF191)</f>
        <v>0</v>
      </c>
      <c r="CS191">
        <f>CR191*CT191</f>
        <v>0</v>
      </c>
      <c r="CT191">
        <f>($B$11*$D$9+$C$11*$D$9+$F$11*((EP191+EH191)/MAX(EP191+EH191+EQ191, 0.1)*$I$9+EQ191/MAX(EP191+EH191+EQ191, 0.1)*$J$9))/($B$11+$C$11+$F$11)</f>
        <v>0</v>
      </c>
      <c r="CU191">
        <f>($B$11*$K$9+$C$11*$K$9+$F$11*((EP191+EH191)/MAX(EP191+EH191+EQ191, 0.1)*$P$9+EQ191/MAX(EP191+EH191+EQ191, 0.1)*$Q$9))/($B$11+$C$11+$F$11)</f>
        <v>0</v>
      </c>
      <c r="CV191">
        <v>6</v>
      </c>
      <c r="CW191">
        <v>0.5</v>
      </c>
      <c r="CX191" t="s">
        <v>418</v>
      </c>
      <c r="CY191">
        <v>2</v>
      </c>
      <c r="CZ191" t="b">
        <v>1</v>
      </c>
      <c r="DA191">
        <v>1652372636.214286</v>
      </c>
      <c r="DB191">
        <v>806.986642857143</v>
      </c>
      <c r="DC191">
        <v>877.8894642857142</v>
      </c>
      <c r="DD191">
        <v>24.336475</v>
      </c>
      <c r="DE191">
        <v>18.217625</v>
      </c>
      <c r="DF191">
        <v>807.6101428571429</v>
      </c>
      <c r="DG191">
        <v>24.29485</v>
      </c>
      <c r="DH191">
        <v>400.0728928571429</v>
      </c>
      <c r="DI191">
        <v>90.39372857142857</v>
      </c>
      <c r="DJ191">
        <v>0.09996125357142856</v>
      </c>
      <c r="DK191">
        <v>30.85987857142857</v>
      </c>
      <c r="DL191">
        <v>30.0096</v>
      </c>
      <c r="DM191">
        <v>999.9000000000002</v>
      </c>
      <c r="DN191">
        <v>0</v>
      </c>
      <c r="DO191">
        <v>0</v>
      </c>
      <c r="DP191">
        <v>10008.61</v>
      </c>
      <c r="DQ191">
        <v>0</v>
      </c>
      <c r="DR191">
        <v>418.5130357142857</v>
      </c>
      <c r="DS191">
        <v>-70.90283214285715</v>
      </c>
      <c r="DT191">
        <v>827.1150357142857</v>
      </c>
      <c r="DU191">
        <v>894.1808214285713</v>
      </c>
      <c r="DV191">
        <v>6.118850714285714</v>
      </c>
      <c r="DW191">
        <v>877.8894642857142</v>
      </c>
      <c r="DX191">
        <v>18.217625</v>
      </c>
      <c r="DY191">
        <v>2.199864285714285</v>
      </c>
      <c r="DZ191">
        <v>1.646758571428572</v>
      </c>
      <c r="EA191">
        <v>18.96131071428571</v>
      </c>
      <c r="EB191">
        <v>14.40326071428571</v>
      </c>
      <c r="EC191">
        <v>1500.010357142857</v>
      </c>
      <c r="ED191">
        <v>0.973000357142857</v>
      </c>
      <c r="EE191">
        <v>0.02699971428571428</v>
      </c>
      <c r="EF191">
        <v>0</v>
      </c>
      <c r="EG191">
        <v>1702.016785714286</v>
      </c>
      <c r="EH191">
        <v>5.00097</v>
      </c>
      <c r="EI191">
        <v>26268.97142857143</v>
      </c>
      <c r="EJ191">
        <v>12491.68571428571</v>
      </c>
      <c r="EK191">
        <v>40.06199999999999</v>
      </c>
      <c r="EL191">
        <v>41.56199999999999</v>
      </c>
      <c r="EM191">
        <v>40.31199999999999</v>
      </c>
      <c r="EN191">
        <v>41.42814285714284</v>
      </c>
      <c r="EO191">
        <v>41.17814285714284</v>
      </c>
      <c r="EP191">
        <v>1454.646785714286</v>
      </c>
      <c r="EQ191">
        <v>40.36107142857143</v>
      </c>
      <c r="ER191">
        <v>0</v>
      </c>
      <c r="ES191">
        <v>1478.199999809265</v>
      </c>
      <c r="ET191">
        <v>0</v>
      </c>
      <c r="EU191">
        <v>1701.690384615385</v>
      </c>
      <c r="EV191">
        <v>-49.33094018229438</v>
      </c>
      <c r="EW191">
        <v>-611.9418802686746</v>
      </c>
      <c r="EX191">
        <v>26263.79615384615</v>
      </c>
      <c r="EY191">
        <v>15</v>
      </c>
      <c r="EZ191">
        <v>1652371289.6</v>
      </c>
      <c r="FA191" t="s">
        <v>515</v>
      </c>
      <c r="FB191">
        <v>1652371289.6</v>
      </c>
      <c r="FC191">
        <v>1652371275.1</v>
      </c>
      <c r="FD191">
        <v>24</v>
      </c>
      <c r="FE191">
        <v>0.442</v>
      </c>
      <c r="FF191">
        <v>0.001</v>
      </c>
      <c r="FG191">
        <v>-2.63</v>
      </c>
      <c r="FH191">
        <v>0.007</v>
      </c>
      <c r="FI191">
        <v>1620</v>
      </c>
      <c r="FJ191">
        <v>22</v>
      </c>
      <c r="FK191">
        <v>0.08</v>
      </c>
      <c r="FL191">
        <v>0.04</v>
      </c>
      <c r="FM191">
        <v>-70.69554000000001</v>
      </c>
      <c r="FN191">
        <v>-3.258409756097577</v>
      </c>
      <c r="FO191">
        <v>0.3880878120992723</v>
      </c>
      <c r="FP191">
        <v>-1</v>
      </c>
      <c r="FQ191">
        <v>6.21522825</v>
      </c>
      <c r="FR191">
        <v>-1.735301876172604</v>
      </c>
      <c r="FS191">
        <v>0.1674966388451944</v>
      </c>
      <c r="FT191">
        <v>0</v>
      </c>
      <c r="FU191">
        <v>0</v>
      </c>
      <c r="FV191">
        <v>0</v>
      </c>
      <c r="FW191">
        <v>0</v>
      </c>
      <c r="FX191">
        <v>-1</v>
      </c>
      <c r="FY191">
        <v>0</v>
      </c>
      <c r="FZ191">
        <v>1</v>
      </c>
      <c r="GA191" t="s">
        <v>432</v>
      </c>
      <c r="GB191">
        <v>2.6956</v>
      </c>
      <c r="GC191">
        <v>2.70512</v>
      </c>
      <c r="GD191">
        <v>0.151823</v>
      </c>
      <c r="GE191">
        <v>0.158629</v>
      </c>
      <c r="GF191">
        <v>0.106835</v>
      </c>
      <c r="GG191">
        <v>0.086548</v>
      </c>
      <c r="GH191">
        <v>26655.6</v>
      </c>
      <c r="GI191">
        <v>26555.1</v>
      </c>
      <c r="GJ191">
        <v>29236.8</v>
      </c>
      <c r="GK191">
        <v>29208.5</v>
      </c>
      <c r="GL191">
        <v>34573.9</v>
      </c>
      <c r="GM191">
        <v>35516.3</v>
      </c>
      <c r="GN191">
        <v>41149.6</v>
      </c>
      <c r="GO191">
        <v>41674.7</v>
      </c>
      <c r="GP191">
        <v>1.72405</v>
      </c>
      <c r="GQ191">
        <v>2.0303</v>
      </c>
      <c r="GR191">
        <v>0.0676587</v>
      </c>
      <c r="GS191">
        <v>0</v>
      </c>
      <c r="GT191">
        <v>28.9081</v>
      </c>
      <c r="GU191">
        <v>999.9</v>
      </c>
      <c r="GV191">
        <v>44.4</v>
      </c>
      <c r="GW191">
        <v>33.4</v>
      </c>
      <c r="GX191">
        <v>25.3767</v>
      </c>
      <c r="GY191">
        <v>63.448</v>
      </c>
      <c r="GZ191">
        <v>29.0224</v>
      </c>
      <c r="HA191">
        <v>1</v>
      </c>
      <c r="HB191">
        <v>0.267149</v>
      </c>
      <c r="HC191">
        <v>0.463913</v>
      </c>
      <c r="HD191">
        <v>20.3806</v>
      </c>
      <c r="HE191">
        <v>5.21714</v>
      </c>
      <c r="HF191">
        <v>12.0099</v>
      </c>
      <c r="HG191">
        <v>4.98855</v>
      </c>
      <c r="HH191">
        <v>3.2885</v>
      </c>
      <c r="HI191">
        <v>2729.5</v>
      </c>
      <c r="HJ191">
        <v>9999</v>
      </c>
      <c r="HK191">
        <v>9999</v>
      </c>
      <c r="HL191">
        <v>50.1</v>
      </c>
      <c r="HM191">
        <v>1.86722</v>
      </c>
      <c r="HN191">
        <v>1.86623</v>
      </c>
      <c r="HO191">
        <v>1.86581</v>
      </c>
      <c r="HP191">
        <v>1.86569</v>
      </c>
      <c r="HQ191">
        <v>1.86749</v>
      </c>
      <c r="HR191">
        <v>1.86999</v>
      </c>
      <c r="HS191">
        <v>1.86863</v>
      </c>
      <c r="HT191">
        <v>1.87002</v>
      </c>
      <c r="HU191">
        <v>0</v>
      </c>
      <c r="HV191">
        <v>0</v>
      </c>
      <c r="HW191">
        <v>0</v>
      </c>
      <c r="HX191">
        <v>0</v>
      </c>
      <c r="HY191" t="s">
        <v>421</v>
      </c>
      <c r="HZ191" t="s">
        <v>422</v>
      </c>
      <c r="IA191" t="s">
        <v>423</v>
      </c>
      <c r="IB191" t="s">
        <v>423</v>
      </c>
      <c r="IC191" t="s">
        <v>423</v>
      </c>
      <c r="ID191" t="s">
        <v>423</v>
      </c>
      <c r="IE191">
        <v>0</v>
      </c>
      <c r="IF191">
        <v>100</v>
      </c>
      <c r="IG191">
        <v>100</v>
      </c>
      <c r="IH191">
        <v>-0.6860000000000001</v>
      </c>
      <c r="II191">
        <v>0.0408</v>
      </c>
      <c r="IJ191">
        <v>1.257309091789605</v>
      </c>
      <c r="IK191">
        <v>-0.002185601614162945</v>
      </c>
      <c r="IL191">
        <v>-2.252308143750626E-07</v>
      </c>
      <c r="IM191">
        <v>5.915558436307541E-11</v>
      </c>
      <c r="IN191">
        <v>-0.118683452207699</v>
      </c>
      <c r="IO191">
        <v>-0.007570214193104963</v>
      </c>
      <c r="IP191">
        <v>0.0009214429922928372</v>
      </c>
      <c r="IQ191">
        <v>-1.392260276065805E-05</v>
      </c>
      <c r="IR191">
        <v>17</v>
      </c>
      <c r="IS191">
        <v>2272</v>
      </c>
      <c r="IT191">
        <v>1</v>
      </c>
      <c r="IU191">
        <v>31</v>
      </c>
      <c r="IV191">
        <v>22.6</v>
      </c>
      <c r="IW191">
        <v>22.8</v>
      </c>
      <c r="IX191">
        <v>1.9519</v>
      </c>
      <c r="IY191">
        <v>2.21191</v>
      </c>
      <c r="IZ191">
        <v>1.39648</v>
      </c>
      <c r="JA191">
        <v>2.35474</v>
      </c>
      <c r="JB191">
        <v>1.49536</v>
      </c>
      <c r="JC191">
        <v>2.36206</v>
      </c>
      <c r="JD191">
        <v>37.027</v>
      </c>
      <c r="JE191">
        <v>15.244</v>
      </c>
      <c r="JF191">
        <v>18</v>
      </c>
      <c r="JG191">
        <v>388.817</v>
      </c>
      <c r="JH191">
        <v>567.898</v>
      </c>
      <c r="JI191">
        <v>29.2131</v>
      </c>
      <c r="JJ191">
        <v>30.8404</v>
      </c>
      <c r="JK191">
        <v>30</v>
      </c>
      <c r="JL191">
        <v>30.7419</v>
      </c>
      <c r="JM191">
        <v>30.6411</v>
      </c>
      <c r="JN191">
        <v>39.1074</v>
      </c>
      <c r="JO191">
        <v>28.4394</v>
      </c>
      <c r="JP191">
        <v>0</v>
      </c>
      <c r="JQ191">
        <v>29.2434</v>
      </c>
      <c r="JR191">
        <v>921.646</v>
      </c>
      <c r="JS191">
        <v>18.5767</v>
      </c>
      <c r="JT191">
        <v>99.93380000000001</v>
      </c>
      <c r="JU191">
        <v>100.037</v>
      </c>
    </row>
    <row r="192" spans="1:281">
      <c r="A192">
        <v>176</v>
      </c>
      <c r="B192">
        <v>1652372649</v>
      </c>
      <c r="C192">
        <v>4555.400000095367</v>
      </c>
      <c r="D192" t="s">
        <v>820</v>
      </c>
      <c r="E192" t="s">
        <v>821</v>
      </c>
      <c r="F192">
        <v>5</v>
      </c>
      <c r="G192" t="s">
        <v>711</v>
      </c>
      <c r="H192" t="s">
        <v>414</v>
      </c>
      <c r="I192">
        <v>1652372641.5</v>
      </c>
      <c r="J192">
        <f>(K192)/1000</f>
        <v>0</v>
      </c>
      <c r="K192">
        <f>IF(CZ192, AN192, AH192)</f>
        <v>0</v>
      </c>
      <c r="L192">
        <f>IF(CZ192, AI192, AG192)</f>
        <v>0</v>
      </c>
      <c r="M192">
        <f>DB192 - IF(AU192&gt;1, L192*CV192*100.0/(AW192*DP192), 0)</f>
        <v>0</v>
      </c>
      <c r="N192">
        <f>((T192-J192/2)*M192-L192)/(T192+J192/2)</f>
        <v>0</v>
      </c>
      <c r="O192">
        <f>N192*(DI192+DJ192)/1000.0</f>
        <v>0</v>
      </c>
      <c r="P192">
        <f>(DB192 - IF(AU192&gt;1, L192*CV192*100.0/(AW192*DP192), 0))*(DI192+DJ192)/1000.0</f>
        <v>0</v>
      </c>
      <c r="Q192">
        <f>2.0/((1/S192-1/R192)+SIGN(S192)*SQRT((1/S192-1/R192)*(1/S192-1/R192) + 4*CW192/((CW192+1)*(CW192+1))*(2*1/S192*1/R192-1/R192*1/R192)))</f>
        <v>0</v>
      </c>
      <c r="R192">
        <f>IF(LEFT(CX192,1)&lt;&gt;"0",IF(LEFT(CX192,1)="1",3.0,CY192),$D$5+$E$5*(DP192*DI192/($K$5*1000))+$F$5*(DP192*DI192/($K$5*1000))*MAX(MIN(CV192,$J$5),$I$5)*MAX(MIN(CV192,$J$5),$I$5)+$G$5*MAX(MIN(CV192,$J$5),$I$5)*(DP192*DI192/($K$5*1000))+$H$5*(DP192*DI192/($K$5*1000))*(DP192*DI192/($K$5*1000)))</f>
        <v>0</v>
      </c>
      <c r="S192">
        <f>J192*(1000-(1000*0.61365*exp(17.502*W192/(240.97+W192))/(DI192+DJ192)+DD192)/2)/(1000*0.61365*exp(17.502*W192/(240.97+W192))/(DI192+DJ192)-DD192)</f>
        <v>0</v>
      </c>
      <c r="T192">
        <f>1/((CW192+1)/(Q192/1.6)+1/(R192/1.37)) + CW192/((CW192+1)/(Q192/1.6) + CW192/(R192/1.37))</f>
        <v>0</v>
      </c>
      <c r="U192">
        <f>(CR192*CU192)</f>
        <v>0</v>
      </c>
      <c r="V192">
        <f>(DK192+(U192+2*0.95*5.67E-8*(((DK192+$B$7)+273)^4-(DK192+273)^4)-44100*J192)/(1.84*29.3*R192+8*0.95*5.67E-8*(DK192+273)^3))</f>
        <v>0</v>
      </c>
      <c r="W192">
        <f>($C$7*DL192+$D$7*DM192+$E$7*V192)</f>
        <v>0</v>
      </c>
      <c r="X192">
        <f>0.61365*exp(17.502*W192/(240.97+W192))</f>
        <v>0</v>
      </c>
      <c r="Y192">
        <f>(Z192/AA192*100)</f>
        <v>0</v>
      </c>
      <c r="Z192">
        <f>DD192*(DI192+DJ192)/1000</f>
        <v>0</v>
      </c>
      <c r="AA192">
        <f>0.61365*exp(17.502*DK192/(240.97+DK192))</f>
        <v>0</v>
      </c>
      <c r="AB192">
        <f>(X192-DD192*(DI192+DJ192)/1000)</f>
        <v>0</v>
      </c>
      <c r="AC192">
        <f>(-J192*44100)</f>
        <v>0</v>
      </c>
      <c r="AD192">
        <f>2*29.3*R192*0.92*(DK192-W192)</f>
        <v>0</v>
      </c>
      <c r="AE192">
        <f>2*0.95*5.67E-8*(((DK192+$B$7)+273)^4-(W192+273)^4)</f>
        <v>0</v>
      </c>
      <c r="AF192">
        <f>U192+AE192+AC192+AD192</f>
        <v>0</v>
      </c>
      <c r="AG192">
        <f>DH192*AU192*(DC192-DB192*(1000-AU192*DE192)/(1000-AU192*DD192))/(100*CV192)</f>
        <v>0</v>
      </c>
      <c r="AH192">
        <f>1000*DH192*AU192*(DD192-DE192)/(100*CV192*(1000-AU192*DD192))</f>
        <v>0</v>
      </c>
      <c r="AI192">
        <f>(AJ192 - AK192 - DI192*1E3/(8.314*(DK192+273.15)) * AM192/DH192 * AL192) * DH192/(100*CV192) * (1000 - DE192)/1000</f>
        <v>0</v>
      </c>
      <c r="AJ192">
        <v>925.3619480708209</v>
      </c>
      <c r="AK192">
        <v>869.0281515151515</v>
      </c>
      <c r="AL192">
        <v>3.47478848852608</v>
      </c>
      <c r="AM192">
        <v>65.96288611109561</v>
      </c>
      <c r="AN192">
        <f>(AP192 - AO192 + DI192*1E3/(8.314*(DK192+273.15)) * AR192/DH192 * AQ192) * DH192/(100*CV192) * 1000/(1000 - AP192)</f>
        <v>0</v>
      </c>
      <c r="AO192">
        <v>18.38227710591134</v>
      </c>
      <c r="AP192">
        <v>24.21722237762239</v>
      </c>
      <c r="AQ192">
        <v>-0.01286965174429937</v>
      </c>
      <c r="AR192">
        <v>81.18387902069509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MAX(0,($B$13+$C$13*DP192)/(1+$D$13*DP192)*DI192/(DK192+273)*$E$13)</f>
        <v>0</v>
      </c>
      <c r="AX192" t="s">
        <v>417</v>
      </c>
      <c r="AY192" t="s">
        <v>417</v>
      </c>
      <c r="AZ192">
        <v>0</v>
      </c>
      <c r="BA192">
        <v>0</v>
      </c>
      <c r="BB192">
        <f>1-AZ192/BA192</f>
        <v>0</v>
      </c>
      <c r="BC192">
        <v>0</v>
      </c>
      <c r="BD192" t="s">
        <v>417</v>
      </c>
      <c r="BE192" t="s">
        <v>417</v>
      </c>
      <c r="BF192">
        <v>0</v>
      </c>
      <c r="BG192">
        <v>0</v>
      </c>
      <c r="BH192">
        <f>1-BF192/BG192</f>
        <v>0</v>
      </c>
      <c r="BI192">
        <v>0.5</v>
      </c>
      <c r="BJ192">
        <f>CS192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417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1393</v>
      </c>
      <c r="CA192">
        <v>300</v>
      </c>
      <c r="CB192">
        <v>300</v>
      </c>
      <c r="CC192">
        <v>300</v>
      </c>
      <c r="CD192">
        <v>10378</v>
      </c>
      <c r="CE192">
        <v>2050</v>
      </c>
      <c r="CF192">
        <v>-0.00730649</v>
      </c>
      <c r="CG192">
        <v>-4.53</v>
      </c>
      <c r="CH192" t="s">
        <v>417</v>
      </c>
      <c r="CI192" t="s">
        <v>417</v>
      </c>
      <c r="CJ192" t="s">
        <v>417</v>
      </c>
      <c r="CK192" t="s">
        <v>417</v>
      </c>
      <c r="CL192" t="s">
        <v>417</v>
      </c>
      <c r="CM192" t="s">
        <v>417</v>
      </c>
      <c r="CN192" t="s">
        <v>417</v>
      </c>
      <c r="CO192" t="s">
        <v>417</v>
      </c>
      <c r="CP192" t="s">
        <v>417</v>
      </c>
      <c r="CQ192" t="s">
        <v>417</v>
      </c>
      <c r="CR192">
        <f>$B$11*DQ192+$C$11*DR192+$F$11*EC192*(1-EF192)</f>
        <v>0</v>
      </c>
      <c r="CS192">
        <f>CR192*CT192</f>
        <v>0</v>
      </c>
      <c r="CT192">
        <f>($B$11*$D$9+$C$11*$D$9+$F$11*((EP192+EH192)/MAX(EP192+EH192+EQ192, 0.1)*$I$9+EQ192/MAX(EP192+EH192+EQ192, 0.1)*$J$9))/($B$11+$C$11+$F$11)</f>
        <v>0</v>
      </c>
      <c r="CU192">
        <f>($B$11*$K$9+$C$11*$K$9+$F$11*((EP192+EH192)/MAX(EP192+EH192+EQ192, 0.1)*$P$9+EQ192/MAX(EP192+EH192+EQ192, 0.1)*$Q$9))/($B$11+$C$11+$F$11)</f>
        <v>0</v>
      </c>
      <c r="CV192">
        <v>6</v>
      </c>
      <c r="CW192">
        <v>0.5</v>
      </c>
      <c r="CX192" t="s">
        <v>418</v>
      </c>
      <c r="CY192">
        <v>2</v>
      </c>
      <c r="CZ192" t="b">
        <v>1</v>
      </c>
      <c r="DA192">
        <v>1652372641.5</v>
      </c>
      <c r="DB192">
        <v>824.530925925926</v>
      </c>
      <c r="DC192">
        <v>895.7927777777778</v>
      </c>
      <c r="DD192">
        <v>24.28633333333334</v>
      </c>
      <c r="DE192">
        <v>18.33555185185185</v>
      </c>
      <c r="DF192">
        <v>825.1973333333333</v>
      </c>
      <c r="DG192">
        <v>24.24532962962963</v>
      </c>
      <c r="DH192">
        <v>400.0747777777778</v>
      </c>
      <c r="DI192">
        <v>90.39442222222223</v>
      </c>
      <c r="DJ192">
        <v>0.09997608148148147</v>
      </c>
      <c r="DK192">
        <v>30.85545185185185</v>
      </c>
      <c r="DL192">
        <v>30.00801481481481</v>
      </c>
      <c r="DM192">
        <v>999.9000000000001</v>
      </c>
      <c r="DN192">
        <v>0</v>
      </c>
      <c r="DO192">
        <v>0</v>
      </c>
      <c r="DP192">
        <v>10004.00407407407</v>
      </c>
      <c r="DQ192">
        <v>0</v>
      </c>
      <c r="DR192">
        <v>421.7184444444445</v>
      </c>
      <c r="DS192">
        <v>-71.26184814814816</v>
      </c>
      <c r="DT192">
        <v>845.0535925925926</v>
      </c>
      <c r="DU192">
        <v>912.5259259259261</v>
      </c>
      <c r="DV192">
        <v>5.950784814814816</v>
      </c>
      <c r="DW192">
        <v>895.7927777777778</v>
      </c>
      <c r="DX192">
        <v>18.33555185185185</v>
      </c>
      <c r="DY192">
        <v>2.195348148148148</v>
      </c>
      <c r="DZ192">
        <v>1.65743074074074</v>
      </c>
      <c r="EA192">
        <v>18.9284</v>
      </c>
      <c r="EB192">
        <v>14.5032037037037</v>
      </c>
      <c r="EC192">
        <v>1500.008518518518</v>
      </c>
      <c r="ED192">
        <v>0.9730005555555555</v>
      </c>
      <c r="EE192">
        <v>0.0269995</v>
      </c>
      <c r="EF192">
        <v>0</v>
      </c>
      <c r="EG192">
        <v>1697.58962962963</v>
      </c>
      <c r="EH192">
        <v>5.00097</v>
      </c>
      <c r="EI192">
        <v>26209.58518518519</v>
      </c>
      <c r="EJ192">
        <v>12491.65925925926</v>
      </c>
      <c r="EK192">
        <v>40.06199999999999</v>
      </c>
      <c r="EL192">
        <v>41.56199999999999</v>
      </c>
      <c r="EM192">
        <v>40.31199999999999</v>
      </c>
      <c r="EN192">
        <v>41.4324074074074</v>
      </c>
      <c r="EO192">
        <v>41.16862962962961</v>
      </c>
      <c r="EP192">
        <v>1454.647037037037</v>
      </c>
      <c r="EQ192">
        <v>40.36111111111111</v>
      </c>
      <c r="ER192">
        <v>0</v>
      </c>
      <c r="ES192">
        <v>1483</v>
      </c>
      <c r="ET192">
        <v>0</v>
      </c>
      <c r="EU192">
        <v>1697.635769230769</v>
      </c>
      <c r="EV192">
        <v>-50.61230769693369</v>
      </c>
      <c r="EW192">
        <v>-679.8461537861815</v>
      </c>
      <c r="EX192">
        <v>26209.98076923077</v>
      </c>
      <c r="EY192">
        <v>15</v>
      </c>
      <c r="EZ192">
        <v>1652371289.6</v>
      </c>
      <c r="FA192" t="s">
        <v>515</v>
      </c>
      <c r="FB192">
        <v>1652371289.6</v>
      </c>
      <c r="FC192">
        <v>1652371275.1</v>
      </c>
      <c r="FD192">
        <v>24</v>
      </c>
      <c r="FE192">
        <v>0.442</v>
      </c>
      <c r="FF192">
        <v>0.001</v>
      </c>
      <c r="FG192">
        <v>-2.63</v>
      </c>
      <c r="FH192">
        <v>0.007</v>
      </c>
      <c r="FI192">
        <v>1620</v>
      </c>
      <c r="FJ192">
        <v>22</v>
      </c>
      <c r="FK192">
        <v>0.08</v>
      </c>
      <c r="FL192">
        <v>0.04</v>
      </c>
      <c r="FM192">
        <v>-71.057925</v>
      </c>
      <c r="FN192">
        <v>-4.077187992495226</v>
      </c>
      <c r="FO192">
        <v>0.4727783565001681</v>
      </c>
      <c r="FP192">
        <v>-1</v>
      </c>
      <c r="FQ192">
        <v>6.03885225</v>
      </c>
      <c r="FR192">
        <v>-1.900985853658556</v>
      </c>
      <c r="FS192">
        <v>0.1830837462677599</v>
      </c>
      <c r="FT192">
        <v>0</v>
      </c>
      <c r="FU192">
        <v>0</v>
      </c>
      <c r="FV192">
        <v>0</v>
      </c>
      <c r="FW192">
        <v>0</v>
      </c>
      <c r="FX192">
        <v>-1</v>
      </c>
      <c r="FY192">
        <v>0</v>
      </c>
      <c r="FZ192">
        <v>1</v>
      </c>
      <c r="GA192" t="s">
        <v>432</v>
      </c>
      <c r="GB192">
        <v>2.69553</v>
      </c>
      <c r="GC192">
        <v>2.70503</v>
      </c>
      <c r="GD192">
        <v>0.153853</v>
      </c>
      <c r="GE192">
        <v>0.160484</v>
      </c>
      <c r="GF192">
        <v>0.106677</v>
      </c>
      <c r="GG192">
        <v>0.08703379999999999</v>
      </c>
      <c r="GH192">
        <v>26591.9</v>
      </c>
      <c r="GI192">
        <v>26496.8</v>
      </c>
      <c r="GJ192">
        <v>29236.9</v>
      </c>
      <c r="GK192">
        <v>29208.9</v>
      </c>
      <c r="GL192">
        <v>34580.3</v>
      </c>
      <c r="GM192">
        <v>35497.7</v>
      </c>
      <c r="GN192">
        <v>41149.8</v>
      </c>
      <c r="GO192">
        <v>41675.1</v>
      </c>
      <c r="GP192">
        <v>1.72385</v>
      </c>
      <c r="GQ192">
        <v>2.0305</v>
      </c>
      <c r="GR192">
        <v>0.068441</v>
      </c>
      <c r="GS192">
        <v>0</v>
      </c>
      <c r="GT192">
        <v>28.9051</v>
      </c>
      <c r="GU192">
        <v>999.9</v>
      </c>
      <c r="GV192">
        <v>44.3</v>
      </c>
      <c r="GW192">
        <v>33.4</v>
      </c>
      <c r="GX192">
        <v>25.3197</v>
      </c>
      <c r="GY192">
        <v>63.368</v>
      </c>
      <c r="GZ192">
        <v>28.8782</v>
      </c>
      <c r="HA192">
        <v>1</v>
      </c>
      <c r="HB192">
        <v>0.267231</v>
      </c>
      <c r="HC192">
        <v>0.419978</v>
      </c>
      <c r="HD192">
        <v>20.3805</v>
      </c>
      <c r="HE192">
        <v>5.21669</v>
      </c>
      <c r="HF192">
        <v>12.0099</v>
      </c>
      <c r="HG192">
        <v>4.98815</v>
      </c>
      <c r="HH192">
        <v>3.2884</v>
      </c>
      <c r="HI192">
        <v>2729.5</v>
      </c>
      <c r="HJ192">
        <v>9999</v>
      </c>
      <c r="HK192">
        <v>9999</v>
      </c>
      <c r="HL192">
        <v>50.1</v>
      </c>
      <c r="HM192">
        <v>1.86722</v>
      </c>
      <c r="HN192">
        <v>1.86622</v>
      </c>
      <c r="HO192">
        <v>1.8658</v>
      </c>
      <c r="HP192">
        <v>1.86569</v>
      </c>
      <c r="HQ192">
        <v>1.8675</v>
      </c>
      <c r="HR192">
        <v>1.86998</v>
      </c>
      <c r="HS192">
        <v>1.86862</v>
      </c>
      <c r="HT192">
        <v>1.86998</v>
      </c>
      <c r="HU192">
        <v>0</v>
      </c>
      <c r="HV192">
        <v>0</v>
      </c>
      <c r="HW192">
        <v>0</v>
      </c>
      <c r="HX192">
        <v>0</v>
      </c>
      <c r="HY192" t="s">
        <v>421</v>
      </c>
      <c r="HZ192" t="s">
        <v>422</v>
      </c>
      <c r="IA192" t="s">
        <v>423</v>
      </c>
      <c r="IB192" t="s">
        <v>423</v>
      </c>
      <c r="IC192" t="s">
        <v>423</v>
      </c>
      <c r="ID192" t="s">
        <v>423</v>
      </c>
      <c r="IE192">
        <v>0</v>
      </c>
      <c r="IF192">
        <v>100</v>
      </c>
      <c r="IG192">
        <v>100</v>
      </c>
      <c r="IH192">
        <v>-0.727</v>
      </c>
      <c r="II192">
        <v>0.0401</v>
      </c>
      <c r="IJ192">
        <v>1.257309091789605</v>
      </c>
      <c r="IK192">
        <v>-0.002185601614162945</v>
      </c>
      <c r="IL192">
        <v>-2.252308143750626E-07</v>
      </c>
      <c r="IM192">
        <v>5.915558436307541E-11</v>
      </c>
      <c r="IN192">
        <v>-0.118683452207699</v>
      </c>
      <c r="IO192">
        <v>-0.007570214193104963</v>
      </c>
      <c r="IP192">
        <v>0.0009214429922928372</v>
      </c>
      <c r="IQ192">
        <v>-1.392260276065805E-05</v>
      </c>
      <c r="IR192">
        <v>17</v>
      </c>
      <c r="IS192">
        <v>2272</v>
      </c>
      <c r="IT192">
        <v>1</v>
      </c>
      <c r="IU192">
        <v>31</v>
      </c>
      <c r="IV192">
        <v>22.7</v>
      </c>
      <c r="IW192">
        <v>22.9</v>
      </c>
      <c r="IX192">
        <v>1.98364</v>
      </c>
      <c r="IY192">
        <v>2.2168</v>
      </c>
      <c r="IZ192">
        <v>1.39648</v>
      </c>
      <c r="JA192">
        <v>2.35474</v>
      </c>
      <c r="JB192">
        <v>1.49536</v>
      </c>
      <c r="JC192">
        <v>2.24854</v>
      </c>
      <c r="JD192">
        <v>37.027</v>
      </c>
      <c r="JE192">
        <v>15.2265</v>
      </c>
      <c r="JF192">
        <v>18</v>
      </c>
      <c r="JG192">
        <v>388.725</v>
      </c>
      <c r="JH192">
        <v>568.075</v>
      </c>
      <c r="JI192">
        <v>29.2203</v>
      </c>
      <c r="JJ192">
        <v>30.842</v>
      </c>
      <c r="JK192">
        <v>30.0001</v>
      </c>
      <c r="JL192">
        <v>30.7446</v>
      </c>
      <c r="JM192">
        <v>30.6438</v>
      </c>
      <c r="JN192">
        <v>39.717</v>
      </c>
      <c r="JO192">
        <v>28.1616</v>
      </c>
      <c r="JP192">
        <v>0</v>
      </c>
      <c r="JQ192">
        <v>29.2344</v>
      </c>
      <c r="JR192">
        <v>941.748</v>
      </c>
      <c r="JS192">
        <v>18.7179</v>
      </c>
      <c r="JT192">
        <v>99.93429999999999</v>
      </c>
      <c r="JU192">
        <v>100.038</v>
      </c>
    </row>
    <row r="193" spans="1:281">
      <c r="A193">
        <v>177</v>
      </c>
      <c r="B193">
        <v>1652372654</v>
      </c>
      <c r="C193">
        <v>4560.400000095367</v>
      </c>
      <c r="D193" t="s">
        <v>822</v>
      </c>
      <c r="E193" t="s">
        <v>823</v>
      </c>
      <c r="F193">
        <v>5</v>
      </c>
      <c r="G193" t="s">
        <v>711</v>
      </c>
      <c r="H193" t="s">
        <v>414</v>
      </c>
      <c r="I193">
        <v>1652372646.214286</v>
      </c>
      <c r="J193">
        <f>(K193)/1000</f>
        <v>0</v>
      </c>
      <c r="K193">
        <f>IF(CZ193, AN193, AH193)</f>
        <v>0</v>
      </c>
      <c r="L193">
        <f>IF(CZ193, AI193, AG193)</f>
        <v>0</v>
      </c>
      <c r="M193">
        <f>DB193 - IF(AU193&gt;1, L193*CV193*100.0/(AW193*DP193), 0)</f>
        <v>0</v>
      </c>
      <c r="N193">
        <f>((T193-J193/2)*M193-L193)/(T193+J193/2)</f>
        <v>0</v>
      </c>
      <c r="O193">
        <f>N193*(DI193+DJ193)/1000.0</f>
        <v>0</v>
      </c>
      <c r="P193">
        <f>(DB193 - IF(AU193&gt;1, L193*CV193*100.0/(AW193*DP193), 0))*(DI193+DJ193)/1000.0</f>
        <v>0</v>
      </c>
      <c r="Q193">
        <f>2.0/((1/S193-1/R193)+SIGN(S193)*SQRT((1/S193-1/R193)*(1/S193-1/R193) + 4*CW193/((CW193+1)*(CW193+1))*(2*1/S193*1/R193-1/R193*1/R193)))</f>
        <v>0</v>
      </c>
      <c r="R193">
        <f>IF(LEFT(CX193,1)&lt;&gt;"0",IF(LEFT(CX193,1)="1",3.0,CY193),$D$5+$E$5*(DP193*DI193/($K$5*1000))+$F$5*(DP193*DI193/($K$5*1000))*MAX(MIN(CV193,$J$5),$I$5)*MAX(MIN(CV193,$J$5),$I$5)+$G$5*MAX(MIN(CV193,$J$5),$I$5)*(DP193*DI193/($K$5*1000))+$H$5*(DP193*DI193/($K$5*1000))*(DP193*DI193/($K$5*1000)))</f>
        <v>0</v>
      </c>
      <c r="S193">
        <f>J193*(1000-(1000*0.61365*exp(17.502*W193/(240.97+W193))/(DI193+DJ193)+DD193)/2)/(1000*0.61365*exp(17.502*W193/(240.97+W193))/(DI193+DJ193)-DD193)</f>
        <v>0</v>
      </c>
      <c r="T193">
        <f>1/((CW193+1)/(Q193/1.6)+1/(R193/1.37)) + CW193/((CW193+1)/(Q193/1.6) + CW193/(R193/1.37))</f>
        <v>0</v>
      </c>
      <c r="U193">
        <f>(CR193*CU193)</f>
        <v>0</v>
      </c>
      <c r="V193">
        <f>(DK193+(U193+2*0.95*5.67E-8*(((DK193+$B$7)+273)^4-(DK193+273)^4)-44100*J193)/(1.84*29.3*R193+8*0.95*5.67E-8*(DK193+273)^3))</f>
        <v>0</v>
      </c>
      <c r="W193">
        <f>($C$7*DL193+$D$7*DM193+$E$7*V193)</f>
        <v>0</v>
      </c>
      <c r="X193">
        <f>0.61365*exp(17.502*W193/(240.97+W193))</f>
        <v>0</v>
      </c>
      <c r="Y193">
        <f>(Z193/AA193*100)</f>
        <v>0</v>
      </c>
      <c r="Z193">
        <f>DD193*(DI193+DJ193)/1000</f>
        <v>0</v>
      </c>
      <c r="AA193">
        <f>0.61365*exp(17.502*DK193/(240.97+DK193))</f>
        <v>0</v>
      </c>
      <c r="AB193">
        <f>(X193-DD193*(DI193+DJ193)/1000)</f>
        <v>0</v>
      </c>
      <c r="AC193">
        <f>(-J193*44100)</f>
        <v>0</v>
      </c>
      <c r="AD193">
        <f>2*29.3*R193*0.92*(DK193-W193)</f>
        <v>0</v>
      </c>
      <c r="AE193">
        <f>2*0.95*5.67E-8*(((DK193+$B$7)+273)^4-(W193+273)^4)</f>
        <v>0</v>
      </c>
      <c r="AF193">
        <f>U193+AE193+AC193+AD193</f>
        <v>0</v>
      </c>
      <c r="AG193">
        <f>DH193*AU193*(DC193-DB193*(1000-AU193*DE193)/(1000-AU193*DD193))/(100*CV193)</f>
        <v>0</v>
      </c>
      <c r="AH193">
        <f>1000*DH193*AU193*(DD193-DE193)/(100*CV193*(1000-AU193*DD193))</f>
        <v>0</v>
      </c>
      <c r="AI193">
        <f>(AJ193 - AK193 - DI193*1E3/(8.314*(DK193+273.15)) * AM193/DH193 * AL193) * DH193/(100*CV193) * (1000 - DE193)/1000</f>
        <v>0</v>
      </c>
      <c r="AJ193">
        <v>941.9999031626658</v>
      </c>
      <c r="AK193">
        <v>885.9447939393937</v>
      </c>
      <c r="AL193">
        <v>3.37738290780867</v>
      </c>
      <c r="AM193">
        <v>65.96288611109561</v>
      </c>
      <c r="AN193">
        <f>(AP193 - AO193 + DI193*1E3/(8.314*(DK193+273.15)) * AR193/DH193 * AQ193) * DH193/(100*CV193) * 1000/(1000 - AP193)</f>
        <v>0</v>
      </c>
      <c r="AO193">
        <v>18.52499146632501</v>
      </c>
      <c r="AP193">
        <v>24.17337762237764</v>
      </c>
      <c r="AQ193">
        <v>-0.007451780778425234</v>
      </c>
      <c r="AR193">
        <v>81.18387902069509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MAX(0,($B$13+$C$13*DP193)/(1+$D$13*DP193)*DI193/(DK193+273)*$E$13)</f>
        <v>0</v>
      </c>
      <c r="AX193" t="s">
        <v>417</v>
      </c>
      <c r="AY193" t="s">
        <v>417</v>
      </c>
      <c r="AZ193">
        <v>0</v>
      </c>
      <c r="BA193">
        <v>0</v>
      </c>
      <c r="BB193">
        <f>1-AZ193/BA193</f>
        <v>0</v>
      </c>
      <c r="BC193">
        <v>0</v>
      </c>
      <c r="BD193" t="s">
        <v>417</v>
      </c>
      <c r="BE193" t="s">
        <v>417</v>
      </c>
      <c r="BF193">
        <v>0</v>
      </c>
      <c r="BG193">
        <v>0</v>
      </c>
      <c r="BH193">
        <f>1-BF193/BG193</f>
        <v>0</v>
      </c>
      <c r="BI193">
        <v>0.5</v>
      </c>
      <c r="BJ193">
        <f>CS193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417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1393</v>
      </c>
      <c r="CA193">
        <v>300</v>
      </c>
      <c r="CB193">
        <v>300</v>
      </c>
      <c r="CC193">
        <v>300</v>
      </c>
      <c r="CD193">
        <v>10378</v>
      </c>
      <c r="CE193">
        <v>2050</v>
      </c>
      <c r="CF193">
        <v>-0.00730649</v>
      </c>
      <c r="CG193">
        <v>-4.53</v>
      </c>
      <c r="CH193" t="s">
        <v>417</v>
      </c>
      <c r="CI193" t="s">
        <v>417</v>
      </c>
      <c r="CJ193" t="s">
        <v>417</v>
      </c>
      <c r="CK193" t="s">
        <v>417</v>
      </c>
      <c r="CL193" t="s">
        <v>417</v>
      </c>
      <c r="CM193" t="s">
        <v>417</v>
      </c>
      <c r="CN193" t="s">
        <v>417</v>
      </c>
      <c r="CO193" t="s">
        <v>417</v>
      </c>
      <c r="CP193" t="s">
        <v>417</v>
      </c>
      <c r="CQ193" t="s">
        <v>417</v>
      </c>
      <c r="CR193">
        <f>$B$11*DQ193+$C$11*DR193+$F$11*EC193*(1-EF193)</f>
        <v>0</v>
      </c>
      <c r="CS193">
        <f>CR193*CT193</f>
        <v>0</v>
      </c>
      <c r="CT193">
        <f>($B$11*$D$9+$C$11*$D$9+$F$11*((EP193+EH193)/MAX(EP193+EH193+EQ193, 0.1)*$I$9+EQ193/MAX(EP193+EH193+EQ193, 0.1)*$J$9))/($B$11+$C$11+$F$11)</f>
        <v>0</v>
      </c>
      <c r="CU193">
        <f>($B$11*$K$9+$C$11*$K$9+$F$11*((EP193+EH193)/MAX(EP193+EH193+EQ193, 0.1)*$P$9+EQ193/MAX(EP193+EH193+EQ193, 0.1)*$Q$9))/($B$11+$C$11+$F$11)</f>
        <v>0</v>
      </c>
      <c r="CV193">
        <v>6</v>
      </c>
      <c r="CW193">
        <v>0.5</v>
      </c>
      <c r="CX193" t="s">
        <v>418</v>
      </c>
      <c r="CY193">
        <v>2</v>
      </c>
      <c r="CZ193" t="b">
        <v>1</v>
      </c>
      <c r="DA193">
        <v>1652372646.214286</v>
      </c>
      <c r="DB193">
        <v>840.2301785714286</v>
      </c>
      <c r="DC193">
        <v>911.6145357142857</v>
      </c>
      <c r="DD193">
        <v>24.24226428571429</v>
      </c>
      <c r="DE193">
        <v>18.44874285714286</v>
      </c>
      <c r="DF193">
        <v>840.9349642857145</v>
      </c>
      <c r="DG193">
        <v>24.20179642857143</v>
      </c>
      <c r="DH193">
        <v>400.0733928571428</v>
      </c>
      <c r="DI193">
        <v>90.39414999999998</v>
      </c>
      <c r="DJ193">
        <v>0.09999902500000001</v>
      </c>
      <c r="DK193">
        <v>30.85415714285714</v>
      </c>
      <c r="DL193">
        <v>30.01466785714285</v>
      </c>
      <c r="DM193">
        <v>999.9000000000002</v>
      </c>
      <c r="DN193">
        <v>0</v>
      </c>
      <c r="DO193">
        <v>0</v>
      </c>
      <c r="DP193">
        <v>10002.34392857143</v>
      </c>
      <c r="DQ193">
        <v>0</v>
      </c>
      <c r="DR193">
        <v>424.81175</v>
      </c>
      <c r="DS193">
        <v>-71.38432857142858</v>
      </c>
      <c r="DT193">
        <v>861.1047142857143</v>
      </c>
      <c r="DU193">
        <v>928.7504999999999</v>
      </c>
      <c r="DV193">
        <v>5.793514642857143</v>
      </c>
      <c r="DW193">
        <v>911.6145357142857</v>
      </c>
      <c r="DX193">
        <v>18.44874285714286</v>
      </c>
      <c r="DY193">
        <v>2.191358214285714</v>
      </c>
      <c r="DZ193">
        <v>1.667657857142857</v>
      </c>
      <c r="EA193">
        <v>18.89926071428571</v>
      </c>
      <c r="EB193">
        <v>14.598375</v>
      </c>
      <c r="EC193">
        <v>1499.995714285714</v>
      </c>
      <c r="ED193">
        <v>0.9730007142857142</v>
      </c>
      <c r="EE193">
        <v>0.02699932857142857</v>
      </c>
      <c r="EF193">
        <v>0</v>
      </c>
      <c r="EG193">
        <v>1693.552857142857</v>
      </c>
      <c r="EH193">
        <v>5.00097</v>
      </c>
      <c r="EI193">
        <v>26155.89642857143</v>
      </c>
      <c r="EJ193">
        <v>12491.54642857143</v>
      </c>
      <c r="EK193">
        <v>40.06199999999999</v>
      </c>
      <c r="EL193">
        <v>41.56199999999999</v>
      </c>
      <c r="EM193">
        <v>40.31199999999999</v>
      </c>
      <c r="EN193">
        <v>41.41485714285714</v>
      </c>
      <c r="EO193">
        <v>41.16928571428571</v>
      </c>
      <c r="EP193">
        <v>1454.635</v>
      </c>
      <c r="EQ193">
        <v>40.36071428571427</v>
      </c>
      <c r="ER193">
        <v>0</v>
      </c>
      <c r="ES193">
        <v>1487.799999952316</v>
      </c>
      <c r="ET193">
        <v>0</v>
      </c>
      <c r="EU193">
        <v>1693.550384615385</v>
      </c>
      <c r="EV193">
        <v>-51.6181197000485</v>
      </c>
      <c r="EW193">
        <v>-748.6871799311321</v>
      </c>
      <c r="EX193">
        <v>26155.83461538461</v>
      </c>
      <c r="EY193">
        <v>15</v>
      </c>
      <c r="EZ193">
        <v>1652371289.6</v>
      </c>
      <c r="FA193" t="s">
        <v>515</v>
      </c>
      <c r="FB193">
        <v>1652371289.6</v>
      </c>
      <c r="FC193">
        <v>1652371275.1</v>
      </c>
      <c r="FD193">
        <v>24</v>
      </c>
      <c r="FE193">
        <v>0.442</v>
      </c>
      <c r="FF193">
        <v>0.001</v>
      </c>
      <c r="FG193">
        <v>-2.63</v>
      </c>
      <c r="FH193">
        <v>0.007</v>
      </c>
      <c r="FI193">
        <v>1620</v>
      </c>
      <c r="FJ193">
        <v>22</v>
      </c>
      <c r="FK193">
        <v>0.08</v>
      </c>
      <c r="FL193">
        <v>0.04</v>
      </c>
      <c r="FM193">
        <v>-71.25261</v>
      </c>
      <c r="FN193">
        <v>-1.881219512194948</v>
      </c>
      <c r="FO193">
        <v>0.316995591294265</v>
      </c>
      <c r="FP193">
        <v>-1</v>
      </c>
      <c r="FQ193">
        <v>5.90786425</v>
      </c>
      <c r="FR193">
        <v>-1.969385628517827</v>
      </c>
      <c r="FS193">
        <v>0.189728728674488</v>
      </c>
      <c r="FT193">
        <v>0</v>
      </c>
      <c r="FU193">
        <v>0</v>
      </c>
      <c r="FV193">
        <v>0</v>
      </c>
      <c r="FW193">
        <v>0</v>
      </c>
      <c r="FX193">
        <v>-1</v>
      </c>
      <c r="FY193">
        <v>0</v>
      </c>
      <c r="FZ193">
        <v>1</v>
      </c>
      <c r="GA193" t="s">
        <v>432</v>
      </c>
      <c r="GB193">
        <v>2.69566</v>
      </c>
      <c r="GC193">
        <v>2.70521</v>
      </c>
      <c r="GD193">
        <v>0.155829</v>
      </c>
      <c r="GE193">
        <v>0.162438</v>
      </c>
      <c r="GF193">
        <v>0.10654</v>
      </c>
      <c r="GG193">
        <v>0.0875026</v>
      </c>
      <c r="GH193">
        <v>26529.6</v>
      </c>
      <c r="GI193">
        <v>26434.6</v>
      </c>
      <c r="GJ193">
        <v>29236.8</v>
      </c>
      <c r="GK193">
        <v>29208.4</v>
      </c>
      <c r="GL193">
        <v>34585.5</v>
      </c>
      <c r="GM193">
        <v>35478.8</v>
      </c>
      <c r="GN193">
        <v>41149.6</v>
      </c>
      <c r="GO193">
        <v>41674.5</v>
      </c>
      <c r="GP193">
        <v>1.72388</v>
      </c>
      <c r="GQ193">
        <v>2.03058</v>
      </c>
      <c r="GR193">
        <v>0.0695959</v>
      </c>
      <c r="GS193">
        <v>0</v>
      </c>
      <c r="GT193">
        <v>28.9031</v>
      </c>
      <c r="GU193">
        <v>999.9</v>
      </c>
      <c r="GV193">
        <v>44.3</v>
      </c>
      <c r="GW193">
        <v>33.4</v>
      </c>
      <c r="GX193">
        <v>25.32</v>
      </c>
      <c r="GY193">
        <v>63.288</v>
      </c>
      <c r="GZ193">
        <v>29.2428</v>
      </c>
      <c r="HA193">
        <v>1</v>
      </c>
      <c r="HB193">
        <v>0.267276</v>
      </c>
      <c r="HC193">
        <v>0.449022</v>
      </c>
      <c r="HD193">
        <v>20.3806</v>
      </c>
      <c r="HE193">
        <v>5.21699</v>
      </c>
      <c r="HF193">
        <v>12.0099</v>
      </c>
      <c r="HG193">
        <v>4.98805</v>
      </c>
      <c r="HH193">
        <v>3.2882</v>
      </c>
      <c r="HI193">
        <v>2729.8</v>
      </c>
      <c r="HJ193">
        <v>9999</v>
      </c>
      <c r="HK193">
        <v>9999</v>
      </c>
      <c r="HL193">
        <v>50.1</v>
      </c>
      <c r="HM193">
        <v>1.86722</v>
      </c>
      <c r="HN193">
        <v>1.86623</v>
      </c>
      <c r="HO193">
        <v>1.86583</v>
      </c>
      <c r="HP193">
        <v>1.86569</v>
      </c>
      <c r="HQ193">
        <v>1.86749</v>
      </c>
      <c r="HR193">
        <v>1.86997</v>
      </c>
      <c r="HS193">
        <v>1.86861</v>
      </c>
      <c r="HT193">
        <v>1.87001</v>
      </c>
      <c r="HU193">
        <v>0</v>
      </c>
      <c r="HV193">
        <v>0</v>
      </c>
      <c r="HW193">
        <v>0</v>
      </c>
      <c r="HX193">
        <v>0</v>
      </c>
      <c r="HY193" t="s">
        <v>421</v>
      </c>
      <c r="HZ193" t="s">
        <v>422</v>
      </c>
      <c r="IA193" t="s">
        <v>423</v>
      </c>
      <c r="IB193" t="s">
        <v>423</v>
      </c>
      <c r="IC193" t="s">
        <v>423</v>
      </c>
      <c r="ID193" t="s">
        <v>423</v>
      </c>
      <c r="IE193">
        <v>0</v>
      </c>
      <c r="IF193">
        <v>100</v>
      </c>
      <c r="IG193">
        <v>100</v>
      </c>
      <c r="IH193">
        <v>-0.768</v>
      </c>
      <c r="II193">
        <v>0.0396</v>
      </c>
      <c r="IJ193">
        <v>1.257309091789605</v>
      </c>
      <c r="IK193">
        <v>-0.002185601614162945</v>
      </c>
      <c r="IL193">
        <v>-2.252308143750626E-07</v>
      </c>
      <c r="IM193">
        <v>5.915558436307541E-11</v>
      </c>
      <c r="IN193">
        <v>-0.118683452207699</v>
      </c>
      <c r="IO193">
        <v>-0.007570214193104963</v>
      </c>
      <c r="IP193">
        <v>0.0009214429922928372</v>
      </c>
      <c r="IQ193">
        <v>-1.392260276065805E-05</v>
      </c>
      <c r="IR193">
        <v>17</v>
      </c>
      <c r="IS193">
        <v>2272</v>
      </c>
      <c r="IT193">
        <v>1</v>
      </c>
      <c r="IU193">
        <v>31</v>
      </c>
      <c r="IV193">
        <v>22.7</v>
      </c>
      <c r="IW193">
        <v>23</v>
      </c>
      <c r="IX193">
        <v>2.01172</v>
      </c>
      <c r="IY193">
        <v>2.21069</v>
      </c>
      <c r="IZ193">
        <v>1.39648</v>
      </c>
      <c r="JA193">
        <v>2.35474</v>
      </c>
      <c r="JB193">
        <v>1.49536</v>
      </c>
      <c r="JC193">
        <v>2.32544</v>
      </c>
      <c r="JD193">
        <v>37.027</v>
      </c>
      <c r="JE193">
        <v>15.244</v>
      </c>
      <c r="JF193">
        <v>18</v>
      </c>
      <c r="JG193">
        <v>388.751</v>
      </c>
      <c r="JH193">
        <v>568.157</v>
      </c>
      <c r="JI193">
        <v>29.2207</v>
      </c>
      <c r="JJ193">
        <v>30.8431</v>
      </c>
      <c r="JK193">
        <v>30.0001</v>
      </c>
      <c r="JL193">
        <v>30.7466</v>
      </c>
      <c r="JM193">
        <v>30.6464</v>
      </c>
      <c r="JN193">
        <v>40.2564</v>
      </c>
      <c r="JO193">
        <v>27.5892</v>
      </c>
      <c r="JP193">
        <v>0</v>
      </c>
      <c r="JQ193">
        <v>29.217</v>
      </c>
      <c r="JR193">
        <v>955.191</v>
      </c>
      <c r="JS193">
        <v>18.8677</v>
      </c>
      <c r="JT193">
        <v>99.93380000000001</v>
      </c>
      <c r="JU193">
        <v>100.036</v>
      </c>
    </row>
    <row r="194" spans="1:281">
      <c r="A194">
        <v>178</v>
      </c>
      <c r="B194">
        <v>1652372659</v>
      </c>
      <c r="C194">
        <v>4565.400000095367</v>
      </c>
      <c r="D194" t="s">
        <v>824</v>
      </c>
      <c r="E194" t="s">
        <v>825</v>
      </c>
      <c r="F194">
        <v>5</v>
      </c>
      <c r="G194" t="s">
        <v>711</v>
      </c>
      <c r="H194" t="s">
        <v>414</v>
      </c>
      <c r="I194">
        <v>1652372651.5</v>
      </c>
      <c r="J194">
        <f>(K194)/1000</f>
        <v>0</v>
      </c>
      <c r="K194">
        <f>IF(CZ194, AN194, AH194)</f>
        <v>0</v>
      </c>
      <c r="L194">
        <f>IF(CZ194, AI194, AG194)</f>
        <v>0</v>
      </c>
      <c r="M194">
        <f>DB194 - IF(AU194&gt;1, L194*CV194*100.0/(AW194*DP194), 0)</f>
        <v>0</v>
      </c>
      <c r="N194">
        <f>((T194-J194/2)*M194-L194)/(T194+J194/2)</f>
        <v>0</v>
      </c>
      <c r="O194">
        <f>N194*(DI194+DJ194)/1000.0</f>
        <v>0</v>
      </c>
      <c r="P194">
        <f>(DB194 - IF(AU194&gt;1, L194*CV194*100.0/(AW194*DP194), 0))*(DI194+DJ194)/1000.0</f>
        <v>0</v>
      </c>
      <c r="Q194">
        <f>2.0/((1/S194-1/R194)+SIGN(S194)*SQRT((1/S194-1/R194)*(1/S194-1/R194) + 4*CW194/((CW194+1)*(CW194+1))*(2*1/S194*1/R194-1/R194*1/R194)))</f>
        <v>0</v>
      </c>
      <c r="R194">
        <f>IF(LEFT(CX194,1)&lt;&gt;"0",IF(LEFT(CX194,1)="1",3.0,CY194),$D$5+$E$5*(DP194*DI194/($K$5*1000))+$F$5*(DP194*DI194/($K$5*1000))*MAX(MIN(CV194,$J$5),$I$5)*MAX(MIN(CV194,$J$5),$I$5)+$G$5*MAX(MIN(CV194,$J$5),$I$5)*(DP194*DI194/($K$5*1000))+$H$5*(DP194*DI194/($K$5*1000))*(DP194*DI194/($K$5*1000)))</f>
        <v>0</v>
      </c>
      <c r="S194">
        <f>J194*(1000-(1000*0.61365*exp(17.502*W194/(240.97+W194))/(DI194+DJ194)+DD194)/2)/(1000*0.61365*exp(17.502*W194/(240.97+W194))/(DI194+DJ194)-DD194)</f>
        <v>0</v>
      </c>
      <c r="T194">
        <f>1/((CW194+1)/(Q194/1.6)+1/(R194/1.37)) + CW194/((CW194+1)/(Q194/1.6) + CW194/(R194/1.37))</f>
        <v>0</v>
      </c>
      <c r="U194">
        <f>(CR194*CU194)</f>
        <v>0</v>
      </c>
      <c r="V194">
        <f>(DK194+(U194+2*0.95*5.67E-8*(((DK194+$B$7)+273)^4-(DK194+273)^4)-44100*J194)/(1.84*29.3*R194+8*0.95*5.67E-8*(DK194+273)^3))</f>
        <v>0</v>
      </c>
      <c r="W194">
        <f>($C$7*DL194+$D$7*DM194+$E$7*V194)</f>
        <v>0</v>
      </c>
      <c r="X194">
        <f>0.61365*exp(17.502*W194/(240.97+W194))</f>
        <v>0</v>
      </c>
      <c r="Y194">
        <f>(Z194/AA194*100)</f>
        <v>0</v>
      </c>
      <c r="Z194">
        <f>DD194*(DI194+DJ194)/1000</f>
        <v>0</v>
      </c>
      <c r="AA194">
        <f>0.61365*exp(17.502*DK194/(240.97+DK194))</f>
        <v>0</v>
      </c>
      <c r="AB194">
        <f>(X194-DD194*(DI194+DJ194)/1000)</f>
        <v>0</v>
      </c>
      <c r="AC194">
        <f>(-J194*44100)</f>
        <v>0</v>
      </c>
      <c r="AD194">
        <f>2*29.3*R194*0.92*(DK194-W194)</f>
        <v>0</v>
      </c>
      <c r="AE194">
        <f>2*0.95*5.67E-8*(((DK194+$B$7)+273)^4-(W194+273)^4)</f>
        <v>0</v>
      </c>
      <c r="AF194">
        <f>U194+AE194+AC194+AD194</f>
        <v>0</v>
      </c>
      <c r="AG194">
        <f>DH194*AU194*(DC194-DB194*(1000-AU194*DE194)/(1000-AU194*DD194))/(100*CV194)</f>
        <v>0</v>
      </c>
      <c r="AH194">
        <f>1000*DH194*AU194*(DD194-DE194)/(100*CV194*(1000-AU194*DD194))</f>
        <v>0</v>
      </c>
      <c r="AI194">
        <f>(AJ194 - AK194 - DI194*1E3/(8.314*(DK194+273.15)) * AM194/DH194 * AL194) * DH194/(100*CV194) * (1000 - DE194)/1000</f>
        <v>0</v>
      </c>
      <c r="AJ194">
        <v>959.7831281255341</v>
      </c>
      <c r="AK194">
        <v>903.1460363636357</v>
      </c>
      <c r="AL194">
        <v>3.441976494515413</v>
      </c>
      <c r="AM194">
        <v>65.96288611109561</v>
      </c>
      <c r="AN194">
        <f>(AP194 - AO194 + DI194*1E3/(8.314*(DK194+273.15)) * AR194/DH194 * AQ194) * DH194/(100*CV194) * 1000/(1000 - AP194)</f>
        <v>0</v>
      </c>
      <c r="AO194">
        <v>18.67188704258285</v>
      </c>
      <c r="AP194">
        <v>24.13649370629371</v>
      </c>
      <c r="AQ194">
        <v>-0.009040681278508402</v>
      </c>
      <c r="AR194">
        <v>81.18387902069509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MAX(0,($B$13+$C$13*DP194)/(1+$D$13*DP194)*DI194/(DK194+273)*$E$13)</f>
        <v>0</v>
      </c>
      <c r="AX194" t="s">
        <v>417</v>
      </c>
      <c r="AY194" t="s">
        <v>417</v>
      </c>
      <c r="AZ194">
        <v>0</v>
      </c>
      <c r="BA194">
        <v>0</v>
      </c>
      <c r="BB194">
        <f>1-AZ194/BA194</f>
        <v>0</v>
      </c>
      <c r="BC194">
        <v>0</v>
      </c>
      <c r="BD194" t="s">
        <v>417</v>
      </c>
      <c r="BE194" t="s">
        <v>417</v>
      </c>
      <c r="BF194">
        <v>0</v>
      </c>
      <c r="BG194">
        <v>0</v>
      </c>
      <c r="BH194">
        <f>1-BF194/BG194</f>
        <v>0</v>
      </c>
      <c r="BI194">
        <v>0.5</v>
      </c>
      <c r="BJ194">
        <f>CS194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417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1393</v>
      </c>
      <c r="CA194">
        <v>300</v>
      </c>
      <c r="CB194">
        <v>300</v>
      </c>
      <c r="CC194">
        <v>300</v>
      </c>
      <c r="CD194">
        <v>10378</v>
      </c>
      <c r="CE194">
        <v>2050</v>
      </c>
      <c r="CF194">
        <v>-0.00730649</v>
      </c>
      <c r="CG194">
        <v>-4.53</v>
      </c>
      <c r="CH194" t="s">
        <v>417</v>
      </c>
      <c r="CI194" t="s">
        <v>417</v>
      </c>
      <c r="CJ194" t="s">
        <v>417</v>
      </c>
      <c r="CK194" t="s">
        <v>417</v>
      </c>
      <c r="CL194" t="s">
        <v>417</v>
      </c>
      <c r="CM194" t="s">
        <v>417</v>
      </c>
      <c r="CN194" t="s">
        <v>417</v>
      </c>
      <c r="CO194" t="s">
        <v>417</v>
      </c>
      <c r="CP194" t="s">
        <v>417</v>
      </c>
      <c r="CQ194" t="s">
        <v>417</v>
      </c>
      <c r="CR194">
        <f>$B$11*DQ194+$C$11*DR194+$F$11*EC194*(1-EF194)</f>
        <v>0</v>
      </c>
      <c r="CS194">
        <f>CR194*CT194</f>
        <v>0</v>
      </c>
      <c r="CT194">
        <f>($B$11*$D$9+$C$11*$D$9+$F$11*((EP194+EH194)/MAX(EP194+EH194+EQ194, 0.1)*$I$9+EQ194/MAX(EP194+EH194+EQ194, 0.1)*$J$9))/($B$11+$C$11+$F$11)</f>
        <v>0</v>
      </c>
      <c r="CU194">
        <f>($B$11*$K$9+$C$11*$K$9+$F$11*((EP194+EH194)/MAX(EP194+EH194+EQ194, 0.1)*$P$9+EQ194/MAX(EP194+EH194+EQ194, 0.1)*$Q$9))/($B$11+$C$11+$F$11)</f>
        <v>0</v>
      </c>
      <c r="CV194">
        <v>6</v>
      </c>
      <c r="CW194">
        <v>0.5</v>
      </c>
      <c r="CX194" t="s">
        <v>418</v>
      </c>
      <c r="CY194">
        <v>2</v>
      </c>
      <c r="CZ194" t="b">
        <v>1</v>
      </c>
      <c r="DA194">
        <v>1652372651.5</v>
      </c>
      <c r="DB194">
        <v>857.917074074074</v>
      </c>
      <c r="DC194">
        <v>929.4828518518517</v>
      </c>
      <c r="DD194">
        <v>24.19320740740741</v>
      </c>
      <c r="DE194">
        <v>18.58758888888889</v>
      </c>
      <c r="DF194">
        <v>858.6651851851851</v>
      </c>
      <c r="DG194">
        <v>24.15335555555556</v>
      </c>
      <c r="DH194">
        <v>400.0679999999999</v>
      </c>
      <c r="DI194">
        <v>90.39243703703703</v>
      </c>
      <c r="DJ194">
        <v>0.09999305925925926</v>
      </c>
      <c r="DK194">
        <v>30.85586296296296</v>
      </c>
      <c r="DL194">
        <v>30.02706296296297</v>
      </c>
      <c r="DM194">
        <v>999.9000000000001</v>
      </c>
      <c r="DN194">
        <v>0</v>
      </c>
      <c r="DO194">
        <v>0</v>
      </c>
      <c r="DP194">
        <v>10001.31777777778</v>
      </c>
      <c r="DQ194">
        <v>0</v>
      </c>
      <c r="DR194">
        <v>427.8727037037037</v>
      </c>
      <c r="DS194">
        <v>-71.56573703703704</v>
      </c>
      <c r="DT194">
        <v>879.1869629629631</v>
      </c>
      <c r="DU194">
        <v>947.0887777777779</v>
      </c>
      <c r="DV194">
        <v>5.605617407407408</v>
      </c>
      <c r="DW194">
        <v>929.4828518518517</v>
      </c>
      <c r="DX194">
        <v>18.58758888888889</v>
      </c>
      <c r="DY194">
        <v>2.186884074074074</v>
      </c>
      <c r="DZ194">
        <v>1.680177407407407</v>
      </c>
      <c r="EA194">
        <v>18.86654074074074</v>
      </c>
      <c r="EB194">
        <v>14.71418888888889</v>
      </c>
      <c r="EC194">
        <v>1499.971851851852</v>
      </c>
      <c r="ED194">
        <v>0.9730009259259259</v>
      </c>
      <c r="EE194">
        <v>0.0269991</v>
      </c>
      <c r="EF194">
        <v>0</v>
      </c>
      <c r="EG194">
        <v>1688.847407407407</v>
      </c>
      <c r="EH194">
        <v>5.00097</v>
      </c>
      <c r="EI194">
        <v>26090.72592592593</v>
      </c>
      <c r="EJ194">
        <v>12491.36296296296</v>
      </c>
      <c r="EK194">
        <v>40.06199999999999</v>
      </c>
      <c r="EL194">
        <v>41.56199999999999</v>
      </c>
      <c r="EM194">
        <v>40.31199999999999</v>
      </c>
      <c r="EN194">
        <v>41.39337037037038</v>
      </c>
      <c r="EO194">
        <v>41.16862962962963</v>
      </c>
      <c r="EP194">
        <v>1454.611851851852</v>
      </c>
      <c r="EQ194">
        <v>40.35999999999999</v>
      </c>
      <c r="ER194">
        <v>0</v>
      </c>
      <c r="ES194">
        <v>1493.199999809265</v>
      </c>
      <c r="ET194">
        <v>0</v>
      </c>
      <c r="EU194">
        <v>1688.464</v>
      </c>
      <c r="EV194">
        <v>-54.32769239843885</v>
      </c>
      <c r="EW194">
        <v>-693.3384623800981</v>
      </c>
      <c r="EX194">
        <v>26086.124</v>
      </c>
      <c r="EY194">
        <v>15</v>
      </c>
      <c r="EZ194">
        <v>1652371289.6</v>
      </c>
      <c r="FA194" t="s">
        <v>515</v>
      </c>
      <c r="FB194">
        <v>1652371289.6</v>
      </c>
      <c r="FC194">
        <v>1652371275.1</v>
      </c>
      <c r="FD194">
        <v>24</v>
      </c>
      <c r="FE194">
        <v>0.442</v>
      </c>
      <c r="FF194">
        <v>0.001</v>
      </c>
      <c r="FG194">
        <v>-2.63</v>
      </c>
      <c r="FH194">
        <v>0.007</v>
      </c>
      <c r="FI194">
        <v>1620</v>
      </c>
      <c r="FJ194">
        <v>22</v>
      </c>
      <c r="FK194">
        <v>0.08</v>
      </c>
      <c r="FL194">
        <v>0.04</v>
      </c>
      <c r="FM194">
        <v>-71.44885365853659</v>
      </c>
      <c r="FN194">
        <v>-2.220528919860576</v>
      </c>
      <c r="FO194">
        <v>0.3416379977564059</v>
      </c>
      <c r="FP194">
        <v>-1</v>
      </c>
      <c r="FQ194">
        <v>5.726726341463415</v>
      </c>
      <c r="FR194">
        <v>-2.122188083623683</v>
      </c>
      <c r="FS194">
        <v>0.2096452553633666</v>
      </c>
      <c r="FT194">
        <v>0</v>
      </c>
      <c r="FU194">
        <v>0</v>
      </c>
      <c r="FV194">
        <v>0</v>
      </c>
      <c r="FW194">
        <v>0</v>
      </c>
      <c r="FX194">
        <v>-1</v>
      </c>
      <c r="FY194">
        <v>0</v>
      </c>
      <c r="FZ194">
        <v>1</v>
      </c>
      <c r="GA194" t="s">
        <v>432</v>
      </c>
      <c r="GB194">
        <v>2.69557</v>
      </c>
      <c r="GC194">
        <v>2.70513</v>
      </c>
      <c r="GD194">
        <v>0.157807</v>
      </c>
      <c r="GE194">
        <v>0.164276</v>
      </c>
      <c r="GF194">
        <v>0.106423</v>
      </c>
      <c r="GG194">
        <v>0.0879687</v>
      </c>
      <c r="GH194">
        <v>26467.3</v>
      </c>
      <c r="GI194">
        <v>26376.7</v>
      </c>
      <c r="GJ194">
        <v>29236.7</v>
      </c>
      <c r="GK194">
        <v>29208.5</v>
      </c>
      <c r="GL194">
        <v>34590</v>
      </c>
      <c r="GM194">
        <v>35460.7</v>
      </c>
      <c r="GN194">
        <v>41149.4</v>
      </c>
      <c r="GO194">
        <v>41674.7</v>
      </c>
      <c r="GP194">
        <v>1.7237</v>
      </c>
      <c r="GQ194">
        <v>2.03087</v>
      </c>
      <c r="GR194">
        <v>0.0704229</v>
      </c>
      <c r="GS194">
        <v>0</v>
      </c>
      <c r="GT194">
        <v>28.9026</v>
      </c>
      <c r="GU194">
        <v>999.9</v>
      </c>
      <c r="GV194">
        <v>44.3</v>
      </c>
      <c r="GW194">
        <v>33.4</v>
      </c>
      <c r="GX194">
        <v>25.3214</v>
      </c>
      <c r="GY194">
        <v>63.418</v>
      </c>
      <c r="GZ194">
        <v>29.5673</v>
      </c>
      <c r="HA194">
        <v>1</v>
      </c>
      <c r="HB194">
        <v>0.267348</v>
      </c>
      <c r="HC194">
        <v>0.5419929999999999</v>
      </c>
      <c r="HD194">
        <v>20.3803</v>
      </c>
      <c r="HE194">
        <v>5.21654</v>
      </c>
      <c r="HF194">
        <v>12.0099</v>
      </c>
      <c r="HG194">
        <v>4.988</v>
      </c>
      <c r="HH194">
        <v>3.28828</v>
      </c>
      <c r="HI194">
        <v>2729.8</v>
      </c>
      <c r="HJ194">
        <v>9999</v>
      </c>
      <c r="HK194">
        <v>9999</v>
      </c>
      <c r="HL194">
        <v>50.1</v>
      </c>
      <c r="HM194">
        <v>1.86722</v>
      </c>
      <c r="HN194">
        <v>1.86623</v>
      </c>
      <c r="HO194">
        <v>1.86582</v>
      </c>
      <c r="HP194">
        <v>1.86568</v>
      </c>
      <c r="HQ194">
        <v>1.86749</v>
      </c>
      <c r="HR194">
        <v>1.86996</v>
      </c>
      <c r="HS194">
        <v>1.86862</v>
      </c>
      <c r="HT194">
        <v>1.87004</v>
      </c>
      <c r="HU194">
        <v>0</v>
      </c>
      <c r="HV194">
        <v>0</v>
      </c>
      <c r="HW194">
        <v>0</v>
      </c>
      <c r="HX194">
        <v>0</v>
      </c>
      <c r="HY194" t="s">
        <v>421</v>
      </c>
      <c r="HZ194" t="s">
        <v>422</v>
      </c>
      <c r="IA194" t="s">
        <v>423</v>
      </c>
      <c r="IB194" t="s">
        <v>423</v>
      </c>
      <c r="IC194" t="s">
        <v>423</v>
      </c>
      <c r="ID194" t="s">
        <v>423</v>
      </c>
      <c r="IE194">
        <v>0</v>
      </c>
      <c r="IF194">
        <v>100</v>
      </c>
      <c r="IG194">
        <v>100</v>
      </c>
      <c r="IH194">
        <v>-0.8090000000000001</v>
      </c>
      <c r="II194">
        <v>0.0391</v>
      </c>
      <c r="IJ194">
        <v>1.257309091789605</v>
      </c>
      <c r="IK194">
        <v>-0.002185601614162945</v>
      </c>
      <c r="IL194">
        <v>-2.252308143750626E-07</v>
      </c>
      <c r="IM194">
        <v>5.915558436307541E-11</v>
      </c>
      <c r="IN194">
        <v>-0.118683452207699</v>
      </c>
      <c r="IO194">
        <v>-0.007570214193104963</v>
      </c>
      <c r="IP194">
        <v>0.0009214429922928372</v>
      </c>
      <c r="IQ194">
        <v>-1.392260276065805E-05</v>
      </c>
      <c r="IR194">
        <v>17</v>
      </c>
      <c r="IS194">
        <v>2272</v>
      </c>
      <c r="IT194">
        <v>1</v>
      </c>
      <c r="IU194">
        <v>31</v>
      </c>
      <c r="IV194">
        <v>22.8</v>
      </c>
      <c r="IW194">
        <v>23.1</v>
      </c>
      <c r="IX194">
        <v>2.03369</v>
      </c>
      <c r="IY194">
        <v>2.20825</v>
      </c>
      <c r="IZ194">
        <v>1.39648</v>
      </c>
      <c r="JA194">
        <v>2.35474</v>
      </c>
      <c r="JB194">
        <v>1.49536</v>
      </c>
      <c r="JC194">
        <v>2.35107</v>
      </c>
      <c r="JD194">
        <v>37.027</v>
      </c>
      <c r="JE194">
        <v>15.244</v>
      </c>
      <c r="JF194">
        <v>18</v>
      </c>
      <c r="JG194">
        <v>388.672</v>
      </c>
      <c r="JH194">
        <v>568.409</v>
      </c>
      <c r="JI194">
        <v>29.2056</v>
      </c>
      <c r="JJ194">
        <v>30.8458</v>
      </c>
      <c r="JK194">
        <v>30.0002</v>
      </c>
      <c r="JL194">
        <v>30.7492</v>
      </c>
      <c r="JM194">
        <v>30.649</v>
      </c>
      <c r="JN194">
        <v>40.8633</v>
      </c>
      <c r="JO194">
        <v>27.2786</v>
      </c>
      <c r="JP194">
        <v>0</v>
      </c>
      <c r="JQ194">
        <v>29.1818</v>
      </c>
      <c r="JR194">
        <v>975.2619999999999</v>
      </c>
      <c r="JS194">
        <v>19.0222</v>
      </c>
      <c r="JT194">
        <v>99.9335</v>
      </c>
      <c r="JU194">
        <v>100.037</v>
      </c>
    </row>
    <row r="195" spans="1:281">
      <c r="A195">
        <v>179</v>
      </c>
      <c r="B195">
        <v>1652372664</v>
      </c>
      <c r="C195">
        <v>4570.400000095367</v>
      </c>
      <c r="D195" t="s">
        <v>826</v>
      </c>
      <c r="E195" t="s">
        <v>827</v>
      </c>
      <c r="F195">
        <v>5</v>
      </c>
      <c r="G195" t="s">
        <v>711</v>
      </c>
      <c r="H195" t="s">
        <v>414</v>
      </c>
      <c r="I195">
        <v>1652372656.214286</v>
      </c>
      <c r="J195">
        <f>(K195)/1000</f>
        <v>0</v>
      </c>
      <c r="K195">
        <f>IF(CZ195, AN195, AH195)</f>
        <v>0</v>
      </c>
      <c r="L195">
        <f>IF(CZ195, AI195, AG195)</f>
        <v>0</v>
      </c>
      <c r="M195">
        <f>DB195 - IF(AU195&gt;1, L195*CV195*100.0/(AW195*DP195), 0)</f>
        <v>0</v>
      </c>
      <c r="N195">
        <f>((T195-J195/2)*M195-L195)/(T195+J195/2)</f>
        <v>0</v>
      </c>
      <c r="O195">
        <f>N195*(DI195+DJ195)/1000.0</f>
        <v>0</v>
      </c>
      <c r="P195">
        <f>(DB195 - IF(AU195&gt;1, L195*CV195*100.0/(AW195*DP195), 0))*(DI195+DJ195)/1000.0</f>
        <v>0</v>
      </c>
      <c r="Q195">
        <f>2.0/((1/S195-1/R195)+SIGN(S195)*SQRT((1/S195-1/R195)*(1/S195-1/R195) + 4*CW195/((CW195+1)*(CW195+1))*(2*1/S195*1/R195-1/R195*1/R195)))</f>
        <v>0</v>
      </c>
      <c r="R195">
        <f>IF(LEFT(CX195,1)&lt;&gt;"0",IF(LEFT(CX195,1)="1",3.0,CY195),$D$5+$E$5*(DP195*DI195/($K$5*1000))+$F$5*(DP195*DI195/($K$5*1000))*MAX(MIN(CV195,$J$5),$I$5)*MAX(MIN(CV195,$J$5),$I$5)+$G$5*MAX(MIN(CV195,$J$5),$I$5)*(DP195*DI195/($K$5*1000))+$H$5*(DP195*DI195/($K$5*1000))*(DP195*DI195/($K$5*1000)))</f>
        <v>0</v>
      </c>
      <c r="S195">
        <f>J195*(1000-(1000*0.61365*exp(17.502*W195/(240.97+W195))/(DI195+DJ195)+DD195)/2)/(1000*0.61365*exp(17.502*W195/(240.97+W195))/(DI195+DJ195)-DD195)</f>
        <v>0</v>
      </c>
      <c r="T195">
        <f>1/((CW195+1)/(Q195/1.6)+1/(R195/1.37)) + CW195/((CW195+1)/(Q195/1.6) + CW195/(R195/1.37))</f>
        <v>0</v>
      </c>
      <c r="U195">
        <f>(CR195*CU195)</f>
        <v>0</v>
      </c>
      <c r="V195">
        <f>(DK195+(U195+2*0.95*5.67E-8*(((DK195+$B$7)+273)^4-(DK195+273)^4)-44100*J195)/(1.84*29.3*R195+8*0.95*5.67E-8*(DK195+273)^3))</f>
        <v>0</v>
      </c>
      <c r="W195">
        <f>($C$7*DL195+$D$7*DM195+$E$7*V195)</f>
        <v>0</v>
      </c>
      <c r="X195">
        <f>0.61365*exp(17.502*W195/(240.97+W195))</f>
        <v>0</v>
      </c>
      <c r="Y195">
        <f>(Z195/AA195*100)</f>
        <v>0</v>
      </c>
      <c r="Z195">
        <f>DD195*(DI195+DJ195)/1000</f>
        <v>0</v>
      </c>
      <c r="AA195">
        <f>0.61365*exp(17.502*DK195/(240.97+DK195))</f>
        <v>0</v>
      </c>
      <c r="AB195">
        <f>(X195-DD195*(DI195+DJ195)/1000)</f>
        <v>0</v>
      </c>
      <c r="AC195">
        <f>(-J195*44100)</f>
        <v>0</v>
      </c>
      <c r="AD195">
        <f>2*29.3*R195*0.92*(DK195-W195)</f>
        <v>0</v>
      </c>
      <c r="AE195">
        <f>2*0.95*5.67E-8*(((DK195+$B$7)+273)^4-(W195+273)^4)</f>
        <v>0</v>
      </c>
      <c r="AF195">
        <f>U195+AE195+AC195+AD195</f>
        <v>0</v>
      </c>
      <c r="AG195">
        <f>DH195*AU195*(DC195-DB195*(1000-AU195*DE195)/(1000-AU195*DD195))/(100*CV195)</f>
        <v>0</v>
      </c>
      <c r="AH195">
        <f>1000*DH195*AU195*(DD195-DE195)/(100*CV195*(1000-AU195*DD195))</f>
        <v>0</v>
      </c>
      <c r="AI195">
        <f>(AJ195 - AK195 - DI195*1E3/(8.314*(DK195+273.15)) * AM195/DH195 * AL195) * DH195/(100*CV195) * (1000 - DE195)/1000</f>
        <v>0</v>
      </c>
      <c r="AJ195">
        <v>976.4301990656827</v>
      </c>
      <c r="AK195">
        <v>920.194927272727</v>
      </c>
      <c r="AL195">
        <v>3.402042732976976</v>
      </c>
      <c r="AM195">
        <v>65.96288611109561</v>
      </c>
      <c r="AN195">
        <f>(AP195 - AO195 + DI195*1E3/(8.314*(DK195+273.15)) * AR195/DH195 * AQ195) * DH195/(100*CV195) * 1000/(1000 - AP195)</f>
        <v>0</v>
      </c>
      <c r="AO195">
        <v>18.81323761617287</v>
      </c>
      <c r="AP195">
        <v>24.09851048951051</v>
      </c>
      <c r="AQ195">
        <v>-0.007474810670295103</v>
      </c>
      <c r="AR195">
        <v>81.18387902069509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MAX(0,($B$13+$C$13*DP195)/(1+$D$13*DP195)*DI195/(DK195+273)*$E$13)</f>
        <v>0</v>
      </c>
      <c r="AX195" t="s">
        <v>417</v>
      </c>
      <c r="AY195" t="s">
        <v>417</v>
      </c>
      <c r="AZ195">
        <v>0</v>
      </c>
      <c r="BA195">
        <v>0</v>
      </c>
      <c r="BB195">
        <f>1-AZ195/BA195</f>
        <v>0</v>
      </c>
      <c r="BC195">
        <v>0</v>
      </c>
      <c r="BD195" t="s">
        <v>417</v>
      </c>
      <c r="BE195" t="s">
        <v>417</v>
      </c>
      <c r="BF195">
        <v>0</v>
      </c>
      <c r="BG195">
        <v>0</v>
      </c>
      <c r="BH195">
        <f>1-BF195/BG195</f>
        <v>0</v>
      </c>
      <c r="BI195">
        <v>0.5</v>
      </c>
      <c r="BJ195">
        <f>CS195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417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1393</v>
      </c>
      <c r="CA195">
        <v>300</v>
      </c>
      <c r="CB195">
        <v>300</v>
      </c>
      <c r="CC195">
        <v>300</v>
      </c>
      <c r="CD195">
        <v>10378</v>
      </c>
      <c r="CE195">
        <v>2050</v>
      </c>
      <c r="CF195">
        <v>-0.00730649</v>
      </c>
      <c r="CG195">
        <v>-4.53</v>
      </c>
      <c r="CH195" t="s">
        <v>417</v>
      </c>
      <c r="CI195" t="s">
        <v>417</v>
      </c>
      <c r="CJ195" t="s">
        <v>417</v>
      </c>
      <c r="CK195" t="s">
        <v>417</v>
      </c>
      <c r="CL195" t="s">
        <v>417</v>
      </c>
      <c r="CM195" t="s">
        <v>417</v>
      </c>
      <c r="CN195" t="s">
        <v>417</v>
      </c>
      <c r="CO195" t="s">
        <v>417</v>
      </c>
      <c r="CP195" t="s">
        <v>417</v>
      </c>
      <c r="CQ195" t="s">
        <v>417</v>
      </c>
      <c r="CR195">
        <f>$B$11*DQ195+$C$11*DR195+$F$11*EC195*(1-EF195)</f>
        <v>0</v>
      </c>
      <c r="CS195">
        <f>CR195*CT195</f>
        <v>0</v>
      </c>
      <c r="CT195">
        <f>($B$11*$D$9+$C$11*$D$9+$F$11*((EP195+EH195)/MAX(EP195+EH195+EQ195, 0.1)*$I$9+EQ195/MAX(EP195+EH195+EQ195, 0.1)*$J$9))/($B$11+$C$11+$F$11)</f>
        <v>0</v>
      </c>
      <c r="CU195">
        <f>($B$11*$K$9+$C$11*$K$9+$F$11*((EP195+EH195)/MAX(EP195+EH195+EQ195, 0.1)*$P$9+EQ195/MAX(EP195+EH195+EQ195, 0.1)*$Q$9))/($B$11+$C$11+$F$11)</f>
        <v>0</v>
      </c>
      <c r="CV195">
        <v>6</v>
      </c>
      <c r="CW195">
        <v>0.5</v>
      </c>
      <c r="CX195" t="s">
        <v>418</v>
      </c>
      <c r="CY195">
        <v>2</v>
      </c>
      <c r="CZ195" t="b">
        <v>1</v>
      </c>
      <c r="DA195">
        <v>1652372656.214286</v>
      </c>
      <c r="DB195">
        <v>873.6629285714286</v>
      </c>
      <c r="DC195">
        <v>945.1824285714284</v>
      </c>
      <c r="DD195">
        <v>24.15445357142857</v>
      </c>
      <c r="DE195">
        <v>18.72495</v>
      </c>
      <c r="DF195">
        <v>874.4494999999999</v>
      </c>
      <c r="DG195">
        <v>24.115075</v>
      </c>
      <c r="DH195">
        <v>400.0653214285714</v>
      </c>
      <c r="DI195">
        <v>90.39076785714285</v>
      </c>
      <c r="DJ195">
        <v>0.09997642857142856</v>
      </c>
      <c r="DK195">
        <v>30.86047142857143</v>
      </c>
      <c r="DL195">
        <v>30.04214642857142</v>
      </c>
      <c r="DM195">
        <v>999.9000000000002</v>
      </c>
      <c r="DN195">
        <v>0</v>
      </c>
      <c r="DO195">
        <v>0</v>
      </c>
      <c r="DP195">
        <v>10004.63928571428</v>
      </c>
      <c r="DQ195">
        <v>0</v>
      </c>
      <c r="DR195">
        <v>430.3177142857143</v>
      </c>
      <c r="DS195">
        <v>-71.51949642857143</v>
      </c>
      <c r="DT195">
        <v>895.2875714285714</v>
      </c>
      <c r="DU195">
        <v>963.2206785714286</v>
      </c>
      <c r="DV195">
        <v>5.429497857142858</v>
      </c>
      <c r="DW195">
        <v>945.1824285714284</v>
      </c>
      <c r="DX195">
        <v>18.72495</v>
      </c>
      <c r="DY195">
        <v>2.18334</v>
      </c>
      <c r="DZ195">
        <v>1.692561785714285</v>
      </c>
      <c r="EA195">
        <v>18.84057857142857</v>
      </c>
      <c r="EB195">
        <v>14.82805</v>
      </c>
      <c r="EC195">
        <v>1499.986071428572</v>
      </c>
      <c r="ED195">
        <v>0.9730012499999999</v>
      </c>
      <c r="EE195">
        <v>0.02699874999999999</v>
      </c>
      <c r="EF195">
        <v>0</v>
      </c>
      <c r="EG195">
        <v>1684.533928571429</v>
      </c>
      <c r="EH195">
        <v>5.00097</v>
      </c>
      <c r="EI195">
        <v>26029.44642857142</v>
      </c>
      <c r="EJ195">
        <v>12491.48928571428</v>
      </c>
      <c r="EK195">
        <v>40.06199999999999</v>
      </c>
      <c r="EL195">
        <v>41.56199999999999</v>
      </c>
      <c r="EM195">
        <v>40.31199999999999</v>
      </c>
      <c r="EN195">
        <v>41.38828571428571</v>
      </c>
      <c r="EO195">
        <v>41.17371428571427</v>
      </c>
      <c r="EP195">
        <v>1454.625714285714</v>
      </c>
      <c r="EQ195">
        <v>40.36035714285713</v>
      </c>
      <c r="ER195">
        <v>0</v>
      </c>
      <c r="ES195">
        <v>1498</v>
      </c>
      <c r="ET195">
        <v>0</v>
      </c>
      <c r="EU195">
        <v>1684.0808</v>
      </c>
      <c r="EV195">
        <v>-56.35307684221716</v>
      </c>
      <c r="EW195">
        <v>-854.3692294554728</v>
      </c>
      <c r="EX195">
        <v>26022.52399999999</v>
      </c>
      <c r="EY195">
        <v>15</v>
      </c>
      <c r="EZ195">
        <v>1652371289.6</v>
      </c>
      <c r="FA195" t="s">
        <v>515</v>
      </c>
      <c r="FB195">
        <v>1652371289.6</v>
      </c>
      <c r="FC195">
        <v>1652371275.1</v>
      </c>
      <c r="FD195">
        <v>24</v>
      </c>
      <c r="FE195">
        <v>0.442</v>
      </c>
      <c r="FF195">
        <v>0.001</v>
      </c>
      <c r="FG195">
        <v>-2.63</v>
      </c>
      <c r="FH195">
        <v>0.007</v>
      </c>
      <c r="FI195">
        <v>1620</v>
      </c>
      <c r="FJ195">
        <v>22</v>
      </c>
      <c r="FK195">
        <v>0.08</v>
      </c>
      <c r="FL195">
        <v>0.04</v>
      </c>
      <c r="FM195">
        <v>-71.52434500000001</v>
      </c>
      <c r="FN195">
        <v>0.01831069418393264</v>
      </c>
      <c r="FO195">
        <v>0.2345685197868634</v>
      </c>
      <c r="FP195">
        <v>-1</v>
      </c>
      <c r="FQ195">
        <v>5.521484750000001</v>
      </c>
      <c r="FR195">
        <v>-2.24334517823641</v>
      </c>
      <c r="FS195">
        <v>0.2158838611613604</v>
      </c>
      <c r="FT195">
        <v>0</v>
      </c>
      <c r="FU195">
        <v>0</v>
      </c>
      <c r="FV195">
        <v>0</v>
      </c>
      <c r="FW195">
        <v>0</v>
      </c>
      <c r="FX195">
        <v>-1</v>
      </c>
      <c r="FY195">
        <v>0</v>
      </c>
      <c r="FZ195">
        <v>1</v>
      </c>
      <c r="GA195" t="s">
        <v>432</v>
      </c>
      <c r="GB195">
        <v>2.69557</v>
      </c>
      <c r="GC195">
        <v>2.70524</v>
      </c>
      <c r="GD195">
        <v>0.159756</v>
      </c>
      <c r="GE195">
        <v>0.166172</v>
      </c>
      <c r="GF195">
        <v>0.10631</v>
      </c>
      <c r="GG195">
        <v>0.088438</v>
      </c>
      <c r="GH195">
        <v>26406.4</v>
      </c>
      <c r="GI195">
        <v>26316.7</v>
      </c>
      <c r="GJ195">
        <v>29237.2</v>
      </c>
      <c r="GK195">
        <v>29208.5</v>
      </c>
      <c r="GL195">
        <v>34594.9</v>
      </c>
      <c r="GM195">
        <v>35442.2</v>
      </c>
      <c r="GN195">
        <v>41149.9</v>
      </c>
      <c r="GO195">
        <v>41674.4</v>
      </c>
      <c r="GP195">
        <v>1.72327</v>
      </c>
      <c r="GQ195">
        <v>2.03118</v>
      </c>
      <c r="GR195">
        <v>0.0715703</v>
      </c>
      <c r="GS195">
        <v>0</v>
      </c>
      <c r="GT195">
        <v>28.9046</v>
      </c>
      <c r="GU195">
        <v>999.9</v>
      </c>
      <c r="GV195">
        <v>44.3</v>
      </c>
      <c r="GW195">
        <v>33.4</v>
      </c>
      <c r="GX195">
        <v>25.3214</v>
      </c>
      <c r="GY195">
        <v>63.368</v>
      </c>
      <c r="GZ195">
        <v>29.1827</v>
      </c>
      <c r="HA195">
        <v>1</v>
      </c>
      <c r="HB195">
        <v>0.267508</v>
      </c>
      <c r="HC195">
        <v>0.657789</v>
      </c>
      <c r="HD195">
        <v>20.3799</v>
      </c>
      <c r="HE195">
        <v>5.21774</v>
      </c>
      <c r="HF195">
        <v>12.0099</v>
      </c>
      <c r="HG195">
        <v>4.9883</v>
      </c>
      <c r="HH195">
        <v>3.28825</v>
      </c>
      <c r="HI195">
        <v>2730</v>
      </c>
      <c r="HJ195">
        <v>9999</v>
      </c>
      <c r="HK195">
        <v>9999</v>
      </c>
      <c r="HL195">
        <v>50.1</v>
      </c>
      <c r="HM195">
        <v>1.86722</v>
      </c>
      <c r="HN195">
        <v>1.86623</v>
      </c>
      <c r="HO195">
        <v>1.86583</v>
      </c>
      <c r="HP195">
        <v>1.86569</v>
      </c>
      <c r="HQ195">
        <v>1.86749</v>
      </c>
      <c r="HR195">
        <v>1.86998</v>
      </c>
      <c r="HS195">
        <v>1.86862</v>
      </c>
      <c r="HT195">
        <v>1.87005</v>
      </c>
      <c r="HU195">
        <v>0</v>
      </c>
      <c r="HV195">
        <v>0</v>
      </c>
      <c r="HW195">
        <v>0</v>
      </c>
      <c r="HX195">
        <v>0</v>
      </c>
      <c r="HY195" t="s">
        <v>421</v>
      </c>
      <c r="HZ195" t="s">
        <v>422</v>
      </c>
      <c r="IA195" t="s">
        <v>423</v>
      </c>
      <c r="IB195" t="s">
        <v>423</v>
      </c>
      <c r="IC195" t="s">
        <v>423</v>
      </c>
      <c r="ID195" t="s">
        <v>423</v>
      </c>
      <c r="IE195">
        <v>0</v>
      </c>
      <c r="IF195">
        <v>100</v>
      </c>
      <c r="IG195">
        <v>100</v>
      </c>
      <c r="IH195">
        <v>-0.85</v>
      </c>
      <c r="II195">
        <v>0.0387</v>
      </c>
      <c r="IJ195">
        <v>1.257309091789605</v>
      </c>
      <c r="IK195">
        <v>-0.002185601614162945</v>
      </c>
      <c r="IL195">
        <v>-2.252308143750626E-07</v>
      </c>
      <c r="IM195">
        <v>5.915558436307541E-11</v>
      </c>
      <c r="IN195">
        <v>-0.118683452207699</v>
      </c>
      <c r="IO195">
        <v>-0.007570214193104963</v>
      </c>
      <c r="IP195">
        <v>0.0009214429922928372</v>
      </c>
      <c r="IQ195">
        <v>-1.392260276065805E-05</v>
      </c>
      <c r="IR195">
        <v>17</v>
      </c>
      <c r="IS195">
        <v>2272</v>
      </c>
      <c r="IT195">
        <v>1</v>
      </c>
      <c r="IU195">
        <v>31</v>
      </c>
      <c r="IV195">
        <v>22.9</v>
      </c>
      <c r="IW195">
        <v>23.1</v>
      </c>
      <c r="IX195">
        <v>2.06787</v>
      </c>
      <c r="IY195">
        <v>2.20825</v>
      </c>
      <c r="IZ195">
        <v>1.39648</v>
      </c>
      <c r="JA195">
        <v>2.35474</v>
      </c>
      <c r="JB195">
        <v>1.49536</v>
      </c>
      <c r="JC195">
        <v>2.34375</v>
      </c>
      <c r="JD195">
        <v>37.0509</v>
      </c>
      <c r="JE195">
        <v>15.2353</v>
      </c>
      <c r="JF195">
        <v>18</v>
      </c>
      <c r="JG195">
        <v>388.456</v>
      </c>
      <c r="JH195">
        <v>568.655</v>
      </c>
      <c r="JI195">
        <v>29.1686</v>
      </c>
      <c r="JJ195">
        <v>30.8467</v>
      </c>
      <c r="JK195">
        <v>30.0003</v>
      </c>
      <c r="JL195">
        <v>30.751</v>
      </c>
      <c r="JM195">
        <v>30.651</v>
      </c>
      <c r="JN195">
        <v>41.4032</v>
      </c>
      <c r="JO195">
        <v>26.6393</v>
      </c>
      <c r="JP195">
        <v>0</v>
      </c>
      <c r="JQ195">
        <v>29.1322</v>
      </c>
      <c r="JR195">
        <v>988.619</v>
      </c>
      <c r="JS195">
        <v>19.1896</v>
      </c>
      <c r="JT195">
        <v>99.9348</v>
      </c>
      <c r="JU195">
        <v>100.037</v>
      </c>
    </row>
    <row r="196" spans="1:281">
      <c r="A196">
        <v>180</v>
      </c>
      <c r="B196">
        <v>1652372669</v>
      </c>
      <c r="C196">
        <v>4575.400000095367</v>
      </c>
      <c r="D196" t="s">
        <v>828</v>
      </c>
      <c r="E196" t="s">
        <v>829</v>
      </c>
      <c r="F196">
        <v>5</v>
      </c>
      <c r="G196" t="s">
        <v>711</v>
      </c>
      <c r="H196" t="s">
        <v>414</v>
      </c>
      <c r="I196">
        <v>1652372661.5</v>
      </c>
      <c r="J196">
        <f>(K196)/1000</f>
        <v>0</v>
      </c>
      <c r="K196">
        <f>IF(CZ196, AN196, AH196)</f>
        <v>0</v>
      </c>
      <c r="L196">
        <f>IF(CZ196, AI196, AG196)</f>
        <v>0</v>
      </c>
      <c r="M196">
        <f>DB196 - IF(AU196&gt;1, L196*CV196*100.0/(AW196*DP196), 0)</f>
        <v>0</v>
      </c>
      <c r="N196">
        <f>((T196-J196/2)*M196-L196)/(T196+J196/2)</f>
        <v>0</v>
      </c>
      <c r="O196">
        <f>N196*(DI196+DJ196)/1000.0</f>
        <v>0</v>
      </c>
      <c r="P196">
        <f>(DB196 - IF(AU196&gt;1, L196*CV196*100.0/(AW196*DP196), 0))*(DI196+DJ196)/1000.0</f>
        <v>0</v>
      </c>
      <c r="Q196">
        <f>2.0/((1/S196-1/R196)+SIGN(S196)*SQRT((1/S196-1/R196)*(1/S196-1/R196) + 4*CW196/((CW196+1)*(CW196+1))*(2*1/S196*1/R196-1/R196*1/R196)))</f>
        <v>0</v>
      </c>
      <c r="R196">
        <f>IF(LEFT(CX196,1)&lt;&gt;"0",IF(LEFT(CX196,1)="1",3.0,CY196),$D$5+$E$5*(DP196*DI196/($K$5*1000))+$F$5*(DP196*DI196/($K$5*1000))*MAX(MIN(CV196,$J$5),$I$5)*MAX(MIN(CV196,$J$5),$I$5)+$G$5*MAX(MIN(CV196,$J$5),$I$5)*(DP196*DI196/($K$5*1000))+$H$5*(DP196*DI196/($K$5*1000))*(DP196*DI196/($K$5*1000)))</f>
        <v>0</v>
      </c>
      <c r="S196">
        <f>J196*(1000-(1000*0.61365*exp(17.502*W196/(240.97+W196))/(DI196+DJ196)+DD196)/2)/(1000*0.61365*exp(17.502*W196/(240.97+W196))/(DI196+DJ196)-DD196)</f>
        <v>0</v>
      </c>
      <c r="T196">
        <f>1/((CW196+1)/(Q196/1.6)+1/(R196/1.37)) + CW196/((CW196+1)/(Q196/1.6) + CW196/(R196/1.37))</f>
        <v>0</v>
      </c>
      <c r="U196">
        <f>(CR196*CU196)</f>
        <v>0</v>
      </c>
      <c r="V196">
        <f>(DK196+(U196+2*0.95*5.67E-8*(((DK196+$B$7)+273)^4-(DK196+273)^4)-44100*J196)/(1.84*29.3*R196+8*0.95*5.67E-8*(DK196+273)^3))</f>
        <v>0</v>
      </c>
      <c r="W196">
        <f>($C$7*DL196+$D$7*DM196+$E$7*V196)</f>
        <v>0</v>
      </c>
      <c r="X196">
        <f>0.61365*exp(17.502*W196/(240.97+W196))</f>
        <v>0</v>
      </c>
      <c r="Y196">
        <f>(Z196/AA196*100)</f>
        <v>0</v>
      </c>
      <c r="Z196">
        <f>DD196*(DI196+DJ196)/1000</f>
        <v>0</v>
      </c>
      <c r="AA196">
        <f>0.61365*exp(17.502*DK196/(240.97+DK196))</f>
        <v>0</v>
      </c>
      <c r="AB196">
        <f>(X196-DD196*(DI196+DJ196)/1000)</f>
        <v>0</v>
      </c>
      <c r="AC196">
        <f>(-J196*44100)</f>
        <v>0</v>
      </c>
      <c r="AD196">
        <f>2*29.3*R196*0.92*(DK196-W196)</f>
        <v>0</v>
      </c>
      <c r="AE196">
        <f>2*0.95*5.67E-8*(((DK196+$B$7)+273)^4-(W196+273)^4)</f>
        <v>0</v>
      </c>
      <c r="AF196">
        <f>U196+AE196+AC196+AD196</f>
        <v>0</v>
      </c>
      <c r="AG196">
        <f>DH196*AU196*(DC196-DB196*(1000-AU196*DE196)/(1000-AU196*DD196))/(100*CV196)</f>
        <v>0</v>
      </c>
      <c r="AH196">
        <f>1000*DH196*AU196*(DD196-DE196)/(100*CV196*(1000-AU196*DD196))</f>
        <v>0</v>
      </c>
      <c r="AI196">
        <f>(AJ196 - AK196 - DI196*1E3/(8.314*(DK196+273.15)) * AM196/DH196 * AL196) * DH196/(100*CV196) * (1000 - DE196)/1000</f>
        <v>0</v>
      </c>
      <c r="AJ196">
        <v>994.0949739183716</v>
      </c>
      <c r="AK196">
        <v>937.4055939393937</v>
      </c>
      <c r="AL196">
        <v>3.44452776000543</v>
      </c>
      <c r="AM196">
        <v>65.96288611109561</v>
      </c>
      <c r="AN196">
        <f>(AP196 - AO196 + DI196*1E3/(8.314*(DK196+273.15)) * AR196/DH196 * AQ196) * DH196/(100*CV196) * 1000/(1000 - AP196)</f>
        <v>0</v>
      </c>
      <c r="AO196">
        <v>18.95644326414426</v>
      </c>
      <c r="AP196">
        <v>24.06453356643357</v>
      </c>
      <c r="AQ196">
        <v>-0.006354151284906968</v>
      </c>
      <c r="AR196">
        <v>81.18387902069509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MAX(0,($B$13+$C$13*DP196)/(1+$D$13*DP196)*DI196/(DK196+273)*$E$13)</f>
        <v>0</v>
      </c>
      <c r="AX196" t="s">
        <v>417</v>
      </c>
      <c r="AY196" t="s">
        <v>417</v>
      </c>
      <c r="AZ196">
        <v>0</v>
      </c>
      <c r="BA196">
        <v>0</v>
      </c>
      <c r="BB196">
        <f>1-AZ196/BA196</f>
        <v>0</v>
      </c>
      <c r="BC196">
        <v>0</v>
      </c>
      <c r="BD196" t="s">
        <v>417</v>
      </c>
      <c r="BE196" t="s">
        <v>417</v>
      </c>
      <c r="BF196">
        <v>0</v>
      </c>
      <c r="BG196">
        <v>0</v>
      </c>
      <c r="BH196">
        <f>1-BF196/BG196</f>
        <v>0</v>
      </c>
      <c r="BI196">
        <v>0.5</v>
      </c>
      <c r="BJ196">
        <f>CS196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417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1393</v>
      </c>
      <c r="CA196">
        <v>300</v>
      </c>
      <c r="CB196">
        <v>300</v>
      </c>
      <c r="CC196">
        <v>300</v>
      </c>
      <c r="CD196">
        <v>10378</v>
      </c>
      <c r="CE196">
        <v>2050</v>
      </c>
      <c r="CF196">
        <v>-0.00730649</v>
      </c>
      <c r="CG196">
        <v>-4.53</v>
      </c>
      <c r="CH196" t="s">
        <v>417</v>
      </c>
      <c r="CI196" t="s">
        <v>417</v>
      </c>
      <c r="CJ196" t="s">
        <v>417</v>
      </c>
      <c r="CK196" t="s">
        <v>417</v>
      </c>
      <c r="CL196" t="s">
        <v>417</v>
      </c>
      <c r="CM196" t="s">
        <v>417</v>
      </c>
      <c r="CN196" t="s">
        <v>417</v>
      </c>
      <c r="CO196" t="s">
        <v>417</v>
      </c>
      <c r="CP196" t="s">
        <v>417</v>
      </c>
      <c r="CQ196" t="s">
        <v>417</v>
      </c>
      <c r="CR196">
        <f>$B$11*DQ196+$C$11*DR196+$F$11*EC196*(1-EF196)</f>
        <v>0</v>
      </c>
      <c r="CS196">
        <f>CR196*CT196</f>
        <v>0</v>
      </c>
      <c r="CT196">
        <f>($B$11*$D$9+$C$11*$D$9+$F$11*((EP196+EH196)/MAX(EP196+EH196+EQ196, 0.1)*$I$9+EQ196/MAX(EP196+EH196+EQ196, 0.1)*$J$9))/($B$11+$C$11+$F$11)</f>
        <v>0</v>
      </c>
      <c r="CU196">
        <f>($B$11*$K$9+$C$11*$K$9+$F$11*((EP196+EH196)/MAX(EP196+EH196+EQ196, 0.1)*$P$9+EQ196/MAX(EP196+EH196+EQ196, 0.1)*$Q$9))/($B$11+$C$11+$F$11)</f>
        <v>0</v>
      </c>
      <c r="CV196">
        <v>6</v>
      </c>
      <c r="CW196">
        <v>0.5</v>
      </c>
      <c r="CX196" t="s">
        <v>418</v>
      </c>
      <c r="CY196">
        <v>2</v>
      </c>
      <c r="CZ196" t="b">
        <v>1</v>
      </c>
      <c r="DA196">
        <v>1652372661.5</v>
      </c>
      <c r="DB196">
        <v>891.36</v>
      </c>
      <c r="DC196">
        <v>962.9547777777778</v>
      </c>
      <c r="DD196">
        <v>24.11435925925926</v>
      </c>
      <c r="DE196">
        <v>18.8827</v>
      </c>
      <c r="DF196">
        <v>892.189888888889</v>
      </c>
      <c r="DG196">
        <v>24.07548518518519</v>
      </c>
      <c r="DH196">
        <v>400.0723703703704</v>
      </c>
      <c r="DI196">
        <v>90.38915925925927</v>
      </c>
      <c r="DJ196">
        <v>0.09996617037037037</v>
      </c>
      <c r="DK196">
        <v>30.86604444444445</v>
      </c>
      <c r="DL196">
        <v>30.0604111111111</v>
      </c>
      <c r="DM196">
        <v>999.9000000000001</v>
      </c>
      <c r="DN196">
        <v>0</v>
      </c>
      <c r="DO196">
        <v>0</v>
      </c>
      <c r="DP196">
        <v>10003.66962962963</v>
      </c>
      <c r="DQ196">
        <v>0</v>
      </c>
      <c r="DR196">
        <v>428.6351481481481</v>
      </c>
      <c r="DS196">
        <v>-71.59480000000001</v>
      </c>
      <c r="DT196">
        <v>913.3851851851852</v>
      </c>
      <c r="DU196">
        <v>981.4897777777779</v>
      </c>
      <c r="DV196">
        <v>5.231657037037037</v>
      </c>
      <c r="DW196">
        <v>962.9547777777778</v>
      </c>
      <c r="DX196">
        <v>18.8827</v>
      </c>
      <c r="DY196">
        <v>2.179676666666666</v>
      </c>
      <c r="DZ196">
        <v>1.70679037037037</v>
      </c>
      <c r="EA196">
        <v>18.81371111111111</v>
      </c>
      <c r="EB196">
        <v>14.95801851851852</v>
      </c>
      <c r="EC196">
        <v>1499.991111111111</v>
      </c>
      <c r="ED196">
        <v>0.9730012962962962</v>
      </c>
      <c r="EE196">
        <v>0.0269987</v>
      </c>
      <c r="EF196">
        <v>0</v>
      </c>
      <c r="EG196">
        <v>1679.552222222222</v>
      </c>
      <c r="EH196">
        <v>5.00097</v>
      </c>
      <c r="EI196">
        <v>25943.95185185185</v>
      </c>
      <c r="EJ196">
        <v>12491.53333333333</v>
      </c>
      <c r="EK196">
        <v>40.06199999999999</v>
      </c>
      <c r="EL196">
        <v>41.56199999999999</v>
      </c>
      <c r="EM196">
        <v>40.31199999999999</v>
      </c>
      <c r="EN196">
        <v>41.38418518518519</v>
      </c>
      <c r="EO196">
        <v>41.1778148148148</v>
      </c>
      <c r="EP196">
        <v>1454.63</v>
      </c>
      <c r="EQ196">
        <v>40.36111111111111</v>
      </c>
      <c r="ER196">
        <v>0</v>
      </c>
      <c r="ES196">
        <v>1502.799999952316</v>
      </c>
      <c r="ET196">
        <v>0</v>
      </c>
      <c r="EU196">
        <v>1679.5512</v>
      </c>
      <c r="EV196">
        <v>-56.27846154372101</v>
      </c>
      <c r="EW196">
        <v>-1123.24615370913</v>
      </c>
      <c r="EX196">
        <v>25943.14</v>
      </c>
      <c r="EY196">
        <v>15</v>
      </c>
      <c r="EZ196">
        <v>1652371289.6</v>
      </c>
      <c r="FA196" t="s">
        <v>515</v>
      </c>
      <c r="FB196">
        <v>1652371289.6</v>
      </c>
      <c r="FC196">
        <v>1652371275.1</v>
      </c>
      <c r="FD196">
        <v>24</v>
      </c>
      <c r="FE196">
        <v>0.442</v>
      </c>
      <c r="FF196">
        <v>0.001</v>
      </c>
      <c r="FG196">
        <v>-2.63</v>
      </c>
      <c r="FH196">
        <v>0.007</v>
      </c>
      <c r="FI196">
        <v>1620</v>
      </c>
      <c r="FJ196">
        <v>22</v>
      </c>
      <c r="FK196">
        <v>0.08</v>
      </c>
      <c r="FL196">
        <v>0.04</v>
      </c>
      <c r="FM196">
        <v>-71.5513225</v>
      </c>
      <c r="FN196">
        <v>-0.4855801125703799</v>
      </c>
      <c r="FO196">
        <v>0.2213840469495266</v>
      </c>
      <c r="FP196">
        <v>-1</v>
      </c>
      <c r="FQ196">
        <v>5.33528825</v>
      </c>
      <c r="FR196">
        <v>-2.236081688555358</v>
      </c>
      <c r="FS196">
        <v>0.2151882000469299</v>
      </c>
      <c r="FT196">
        <v>0</v>
      </c>
      <c r="FU196">
        <v>0</v>
      </c>
      <c r="FV196">
        <v>0</v>
      </c>
      <c r="FW196">
        <v>0</v>
      </c>
      <c r="FX196">
        <v>-1</v>
      </c>
      <c r="FY196">
        <v>0</v>
      </c>
      <c r="FZ196">
        <v>1</v>
      </c>
      <c r="GA196" t="s">
        <v>432</v>
      </c>
      <c r="GB196">
        <v>2.69562</v>
      </c>
      <c r="GC196">
        <v>2.70513</v>
      </c>
      <c r="GD196">
        <v>0.161714</v>
      </c>
      <c r="GE196">
        <v>0.167993</v>
      </c>
      <c r="GF196">
        <v>0.106205</v>
      </c>
      <c r="GG196">
        <v>0.08899029999999999</v>
      </c>
      <c r="GH196">
        <v>26344.1</v>
      </c>
      <c r="GI196">
        <v>26259.4</v>
      </c>
      <c r="GJ196">
        <v>29236.4</v>
      </c>
      <c r="GK196">
        <v>29208.8</v>
      </c>
      <c r="GL196">
        <v>34598.4</v>
      </c>
      <c r="GM196">
        <v>35420.9</v>
      </c>
      <c r="GN196">
        <v>41149.2</v>
      </c>
      <c r="GO196">
        <v>41674.9</v>
      </c>
      <c r="GP196">
        <v>1.72333</v>
      </c>
      <c r="GQ196">
        <v>2.03135</v>
      </c>
      <c r="GR196">
        <v>0.07268040000000001</v>
      </c>
      <c r="GS196">
        <v>0</v>
      </c>
      <c r="GT196">
        <v>28.9051</v>
      </c>
      <c r="GU196">
        <v>999.9</v>
      </c>
      <c r="GV196">
        <v>44.3</v>
      </c>
      <c r="GW196">
        <v>33.4</v>
      </c>
      <c r="GX196">
        <v>25.3221</v>
      </c>
      <c r="GY196">
        <v>63.288</v>
      </c>
      <c r="GZ196">
        <v>28.8502</v>
      </c>
      <c r="HA196">
        <v>1</v>
      </c>
      <c r="HB196">
        <v>0.267693</v>
      </c>
      <c r="HC196">
        <v>0.793001</v>
      </c>
      <c r="HD196">
        <v>20.3791</v>
      </c>
      <c r="HE196">
        <v>5.21759</v>
      </c>
      <c r="HF196">
        <v>12.0099</v>
      </c>
      <c r="HG196">
        <v>4.98845</v>
      </c>
      <c r="HH196">
        <v>3.28842</v>
      </c>
      <c r="HI196">
        <v>2730</v>
      </c>
      <c r="HJ196">
        <v>9999</v>
      </c>
      <c r="HK196">
        <v>9999</v>
      </c>
      <c r="HL196">
        <v>50.1</v>
      </c>
      <c r="HM196">
        <v>1.86722</v>
      </c>
      <c r="HN196">
        <v>1.86624</v>
      </c>
      <c r="HO196">
        <v>1.86579</v>
      </c>
      <c r="HP196">
        <v>1.86569</v>
      </c>
      <c r="HQ196">
        <v>1.8675</v>
      </c>
      <c r="HR196">
        <v>1.86998</v>
      </c>
      <c r="HS196">
        <v>1.86865</v>
      </c>
      <c r="HT196">
        <v>1.87004</v>
      </c>
      <c r="HU196">
        <v>0</v>
      </c>
      <c r="HV196">
        <v>0</v>
      </c>
      <c r="HW196">
        <v>0</v>
      </c>
      <c r="HX196">
        <v>0</v>
      </c>
      <c r="HY196" t="s">
        <v>421</v>
      </c>
      <c r="HZ196" t="s">
        <v>422</v>
      </c>
      <c r="IA196" t="s">
        <v>423</v>
      </c>
      <c r="IB196" t="s">
        <v>423</v>
      </c>
      <c r="IC196" t="s">
        <v>423</v>
      </c>
      <c r="ID196" t="s">
        <v>423</v>
      </c>
      <c r="IE196">
        <v>0</v>
      </c>
      <c r="IF196">
        <v>100</v>
      </c>
      <c r="IG196">
        <v>100</v>
      </c>
      <c r="IH196">
        <v>-0.892</v>
      </c>
      <c r="II196">
        <v>0.0382</v>
      </c>
      <c r="IJ196">
        <v>1.257309091789605</v>
      </c>
      <c r="IK196">
        <v>-0.002185601614162945</v>
      </c>
      <c r="IL196">
        <v>-2.252308143750626E-07</v>
      </c>
      <c r="IM196">
        <v>5.915558436307541E-11</v>
      </c>
      <c r="IN196">
        <v>-0.118683452207699</v>
      </c>
      <c r="IO196">
        <v>-0.007570214193104963</v>
      </c>
      <c r="IP196">
        <v>0.0009214429922928372</v>
      </c>
      <c r="IQ196">
        <v>-1.392260276065805E-05</v>
      </c>
      <c r="IR196">
        <v>17</v>
      </c>
      <c r="IS196">
        <v>2272</v>
      </c>
      <c r="IT196">
        <v>1</v>
      </c>
      <c r="IU196">
        <v>31</v>
      </c>
      <c r="IV196">
        <v>23</v>
      </c>
      <c r="IW196">
        <v>23.2</v>
      </c>
      <c r="IX196">
        <v>2.09839</v>
      </c>
      <c r="IY196">
        <v>2.21313</v>
      </c>
      <c r="IZ196">
        <v>1.39648</v>
      </c>
      <c r="JA196">
        <v>2.35474</v>
      </c>
      <c r="JB196">
        <v>1.49536</v>
      </c>
      <c r="JC196">
        <v>2.30469</v>
      </c>
      <c r="JD196">
        <v>37.0509</v>
      </c>
      <c r="JE196">
        <v>15.2265</v>
      </c>
      <c r="JF196">
        <v>18</v>
      </c>
      <c r="JG196">
        <v>388.498</v>
      </c>
      <c r="JH196">
        <v>568.812</v>
      </c>
      <c r="JI196">
        <v>29.1125</v>
      </c>
      <c r="JJ196">
        <v>30.8485</v>
      </c>
      <c r="JK196">
        <v>30.0004</v>
      </c>
      <c r="JL196">
        <v>30.7536</v>
      </c>
      <c r="JM196">
        <v>30.6535</v>
      </c>
      <c r="JN196">
        <v>42.0119</v>
      </c>
      <c r="JO196">
        <v>26.0528</v>
      </c>
      <c r="JP196">
        <v>0</v>
      </c>
      <c r="JQ196">
        <v>29.0645</v>
      </c>
      <c r="JR196">
        <v>1008.66</v>
      </c>
      <c r="JS196">
        <v>19.3681</v>
      </c>
      <c r="JT196">
        <v>99.9327</v>
      </c>
      <c r="JU196">
        <v>100.038</v>
      </c>
    </row>
    <row r="197" spans="1:281">
      <c r="A197">
        <v>181</v>
      </c>
      <c r="B197">
        <v>1652372674</v>
      </c>
      <c r="C197">
        <v>4580.400000095367</v>
      </c>
      <c r="D197" t="s">
        <v>830</v>
      </c>
      <c r="E197" t="s">
        <v>831</v>
      </c>
      <c r="F197">
        <v>5</v>
      </c>
      <c r="G197" t="s">
        <v>711</v>
      </c>
      <c r="H197" t="s">
        <v>414</v>
      </c>
      <c r="I197">
        <v>1652372666.214286</v>
      </c>
      <c r="J197">
        <f>(K197)/1000</f>
        <v>0</v>
      </c>
      <c r="K197">
        <f>IF(CZ197, AN197, AH197)</f>
        <v>0</v>
      </c>
      <c r="L197">
        <f>IF(CZ197, AI197, AG197)</f>
        <v>0</v>
      </c>
      <c r="M197">
        <f>DB197 - IF(AU197&gt;1, L197*CV197*100.0/(AW197*DP197), 0)</f>
        <v>0</v>
      </c>
      <c r="N197">
        <f>((T197-J197/2)*M197-L197)/(T197+J197/2)</f>
        <v>0</v>
      </c>
      <c r="O197">
        <f>N197*(DI197+DJ197)/1000.0</f>
        <v>0</v>
      </c>
      <c r="P197">
        <f>(DB197 - IF(AU197&gt;1, L197*CV197*100.0/(AW197*DP197), 0))*(DI197+DJ197)/1000.0</f>
        <v>0</v>
      </c>
      <c r="Q197">
        <f>2.0/((1/S197-1/R197)+SIGN(S197)*SQRT((1/S197-1/R197)*(1/S197-1/R197) + 4*CW197/((CW197+1)*(CW197+1))*(2*1/S197*1/R197-1/R197*1/R197)))</f>
        <v>0</v>
      </c>
      <c r="R197">
        <f>IF(LEFT(CX197,1)&lt;&gt;"0",IF(LEFT(CX197,1)="1",3.0,CY197),$D$5+$E$5*(DP197*DI197/($K$5*1000))+$F$5*(DP197*DI197/($K$5*1000))*MAX(MIN(CV197,$J$5),$I$5)*MAX(MIN(CV197,$J$5),$I$5)+$G$5*MAX(MIN(CV197,$J$5),$I$5)*(DP197*DI197/($K$5*1000))+$H$5*(DP197*DI197/($K$5*1000))*(DP197*DI197/($K$5*1000)))</f>
        <v>0</v>
      </c>
      <c r="S197">
        <f>J197*(1000-(1000*0.61365*exp(17.502*W197/(240.97+W197))/(DI197+DJ197)+DD197)/2)/(1000*0.61365*exp(17.502*W197/(240.97+W197))/(DI197+DJ197)-DD197)</f>
        <v>0</v>
      </c>
      <c r="T197">
        <f>1/((CW197+1)/(Q197/1.6)+1/(R197/1.37)) + CW197/((CW197+1)/(Q197/1.6) + CW197/(R197/1.37))</f>
        <v>0</v>
      </c>
      <c r="U197">
        <f>(CR197*CU197)</f>
        <v>0</v>
      </c>
      <c r="V197">
        <f>(DK197+(U197+2*0.95*5.67E-8*(((DK197+$B$7)+273)^4-(DK197+273)^4)-44100*J197)/(1.84*29.3*R197+8*0.95*5.67E-8*(DK197+273)^3))</f>
        <v>0</v>
      </c>
      <c r="W197">
        <f>($C$7*DL197+$D$7*DM197+$E$7*V197)</f>
        <v>0</v>
      </c>
      <c r="X197">
        <f>0.61365*exp(17.502*W197/(240.97+W197))</f>
        <v>0</v>
      </c>
      <c r="Y197">
        <f>(Z197/AA197*100)</f>
        <v>0</v>
      </c>
      <c r="Z197">
        <f>DD197*(DI197+DJ197)/1000</f>
        <v>0</v>
      </c>
      <c r="AA197">
        <f>0.61365*exp(17.502*DK197/(240.97+DK197))</f>
        <v>0</v>
      </c>
      <c r="AB197">
        <f>(X197-DD197*(DI197+DJ197)/1000)</f>
        <v>0</v>
      </c>
      <c r="AC197">
        <f>(-J197*44100)</f>
        <v>0</v>
      </c>
      <c r="AD197">
        <f>2*29.3*R197*0.92*(DK197-W197)</f>
        <v>0</v>
      </c>
      <c r="AE197">
        <f>2*0.95*5.67E-8*(((DK197+$B$7)+273)^4-(W197+273)^4)</f>
        <v>0</v>
      </c>
      <c r="AF197">
        <f>U197+AE197+AC197+AD197</f>
        <v>0</v>
      </c>
      <c r="AG197">
        <f>DH197*AU197*(DC197-DB197*(1000-AU197*DE197)/(1000-AU197*DD197))/(100*CV197)</f>
        <v>0</v>
      </c>
      <c r="AH197">
        <f>1000*DH197*AU197*(DD197-DE197)/(100*CV197*(1000-AU197*DD197))</f>
        <v>0</v>
      </c>
      <c r="AI197">
        <f>(AJ197 - AK197 - DI197*1E3/(8.314*(DK197+273.15)) * AM197/DH197 * AL197) * DH197/(100*CV197) * (1000 - DE197)/1000</f>
        <v>0</v>
      </c>
      <c r="AJ197">
        <v>1010.858262526709</v>
      </c>
      <c r="AK197">
        <v>954.5034727272723</v>
      </c>
      <c r="AL197">
        <v>3.413612731035868</v>
      </c>
      <c r="AM197">
        <v>65.96288611109561</v>
      </c>
      <c r="AN197">
        <f>(AP197 - AO197 + DI197*1E3/(8.314*(DK197+273.15)) * AR197/DH197 * AQ197) * DH197/(100*CV197) * 1000/(1000 - AP197)</f>
        <v>0</v>
      </c>
      <c r="AO197">
        <v>19.12419665650861</v>
      </c>
      <c r="AP197">
        <v>24.04122377622378</v>
      </c>
      <c r="AQ197">
        <v>-0.00676780010602919</v>
      </c>
      <c r="AR197">
        <v>81.18387902069509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MAX(0,($B$13+$C$13*DP197)/(1+$D$13*DP197)*DI197/(DK197+273)*$E$13)</f>
        <v>0</v>
      </c>
      <c r="AX197" t="s">
        <v>417</v>
      </c>
      <c r="AY197" t="s">
        <v>417</v>
      </c>
      <c r="AZ197">
        <v>0</v>
      </c>
      <c r="BA197">
        <v>0</v>
      </c>
      <c r="BB197">
        <f>1-AZ197/BA197</f>
        <v>0</v>
      </c>
      <c r="BC197">
        <v>0</v>
      </c>
      <c r="BD197" t="s">
        <v>417</v>
      </c>
      <c r="BE197" t="s">
        <v>417</v>
      </c>
      <c r="BF197">
        <v>0</v>
      </c>
      <c r="BG197">
        <v>0</v>
      </c>
      <c r="BH197">
        <f>1-BF197/BG197</f>
        <v>0</v>
      </c>
      <c r="BI197">
        <v>0.5</v>
      </c>
      <c r="BJ197">
        <f>CS197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417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1393</v>
      </c>
      <c r="CA197">
        <v>300</v>
      </c>
      <c r="CB197">
        <v>300</v>
      </c>
      <c r="CC197">
        <v>300</v>
      </c>
      <c r="CD197">
        <v>10378</v>
      </c>
      <c r="CE197">
        <v>2050</v>
      </c>
      <c r="CF197">
        <v>-0.00730649</v>
      </c>
      <c r="CG197">
        <v>-4.53</v>
      </c>
      <c r="CH197" t="s">
        <v>417</v>
      </c>
      <c r="CI197" t="s">
        <v>417</v>
      </c>
      <c r="CJ197" t="s">
        <v>417</v>
      </c>
      <c r="CK197" t="s">
        <v>417</v>
      </c>
      <c r="CL197" t="s">
        <v>417</v>
      </c>
      <c r="CM197" t="s">
        <v>417</v>
      </c>
      <c r="CN197" t="s">
        <v>417</v>
      </c>
      <c r="CO197" t="s">
        <v>417</v>
      </c>
      <c r="CP197" t="s">
        <v>417</v>
      </c>
      <c r="CQ197" t="s">
        <v>417</v>
      </c>
      <c r="CR197">
        <f>$B$11*DQ197+$C$11*DR197+$F$11*EC197*(1-EF197)</f>
        <v>0</v>
      </c>
      <c r="CS197">
        <f>CR197*CT197</f>
        <v>0</v>
      </c>
      <c r="CT197">
        <f>($B$11*$D$9+$C$11*$D$9+$F$11*((EP197+EH197)/MAX(EP197+EH197+EQ197, 0.1)*$I$9+EQ197/MAX(EP197+EH197+EQ197, 0.1)*$J$9))/($B$11+$C$11+$F$11)</f>
        <v>0</v>
      </c>
      <c r="CU197">
        <f>($B$11*$K$9+$C$11*$K$9+$F$11*((EP197+EH197)/MAX(EP197+EH197+EQ197, 0.1)*$P$9+EQ197/MAX(EP197+EH197+EQ197, 0.1)*$Q$9))/($B$11+$C$11+$F$11)</f>
        <v>0</v>
      </c>
      <c r="CV197">
        <v>6</v>
      </c>
      <c r="CW197">
        <v>0.5</v>
      </c>
      <c r="CX197" t="s">
        <v>418</v>
      </c>
      <c r="CY197">
        <v>2</v>
      </c>
      <c r="CZ197" t="b">
        <v>1</v>
      </c>
      <c r="DA197">
        <v>1652372666.214286</v>
      </c>
      <c r="DB197">
        <v>907.1608571428573</v>
      </c>
      <c r="DC197">
        <v>978.6188928571427</v>
      </c>
      <c r="DD197">
        <v>24.08265357142857</v>
      </c>
      <c r="DE197">
        <v>19.03072142857143</v>
      </c>
      <c r="DF197">
        <v>908.0294285714286</v>
      </c>
      <c r="DG197">
        <v>24.04417857142857</v>
      </c>
      <c r="DH197">
        <v>400.0793928571428</v>
      </c>
      <c r="DI197">
        <v>90.38878214285715</v>
      </c>
      <c r="DJ197">
        <v>0.1000041321428572</v>
      </c>
      <c r="DK197">
        <v>30.86972500000001</v>
      </c>
      <c r="DL197">
        <v>30.07601785714285</v>
      </c>
      <c r="DM197">
        <v>999.9000000000002</v>
      </c>
      <c r="DN197">
        <v>0</v>
      </c>
      <c r="DO197">
        <v>0</v>
      </c>
      <c r="DP197">
        <v>9995.837857142858</v>
      </c>
      <c r="DQ197">
        <v>0</v>
      </c>
      <c r="DR197">
        <v>423.2329642857143</v>
      </c>
      <c r="DS197">
        <v>-71.45822857142858</v>
      </c>
      <c r="DT197">
        <v>929.5463214285716</v>
      </c>
      <c r="DU197">
        <v>997.6058571428573</v>
      </c>
      <c r="DV197">
        <v>5.051933928571429</v>
      </c>
      <c r="DW197">
        <v>978.6188928571427</v>
      </c>
      <c r="DX197">
        <v>19.03072142857143</v>
      </c>
      <c r="DY197">
        <v>2.176801071428572</v>
      </c>
      <c r="DZ197">
        <v>1.720162857142857</v>
      </c>
      <c r="EA197">
        <v>18.79258928571429</v>
      </c>
      <c r="EB197">
        <v>15.0792</v>
      </c>
      <c r="EC197">
        <v>1499.99</v>
      </c>
      <c r="ED197">
        <v>0.9730014285714285</v>
      </c>
      <c r="EE197">
        <v>0.02699855714285714</v>
      </c>
      <c r="EF197">
        <v>0</v>
      </c>
      <c r="EG197">
        <v>1675.168928571429</v>
      </c>
      <c r="EH197">
        <v>5.00097</v>
      </c>
      <c r="EI197">
        <v>25860.77857142857</v>
      </c>
      <c r="EJ197">
        <v>12491.52857142857</v>
      </c>
      <c r="EK197">
        <v>40.06199999999999</v>
      </c>
      <c r="EL197">
        <v>41.56199999999999</v>
      </c>
      <c r="EM197">
        <v>40.31199999999999</v>
      </c>
      <c r="EN197">
        <v>41.38607142857143</v>
      </c>
      <c r="EO197">
        <v>41.17371428571429</v>
      </c>
      <c r="EP197">
        <v>1454.628571428571</v>
      </c>
      <c r="EQ197">
        <v>40.36142857142857</v>
      </c>
      <c r="ER197">
        <v>0</v>
      </c>
      <c r="ES197">
        <v>1508.199999809265</v>
      </c>
      <c r="ET197">
        <v>0</v>
      </c>
      <c r="EU197">
        <v>1674.792692307692</v>
      </c>
      <c r="EV197">
        <v>-56.40170939239002</v>
      </c>
      <c r="EW197">
        <v>-1105.333333620064</v>
      </c>
      <c r="EX197">
        <v>25853.21538461539</v>
      </c>
      <c r="EY197">
        <v>15</v>
      </c>
      <c r="EZ197">
        <v>1652371289.6</v>
      </c>
      <c r="FA197" t="s">
        <v>515</v>
      </c>
      <c r="FB197">
        <v>1652371289.6</v>
      </c>
      <c r="FC197">
        <v>1652371275.1</v>
      </c>
      <c r="FD197">
        <v>24</v>
      </c>
      <c r="FE197">
        <v>0.442</v>
      </c>
      <c r="FF197">
        <v>0.001</v>
      </c>
      <c r="FG197">
        <v>-2.63</v>
      </c>
      <c r="FH197">
        <v>0.007</v>
      </c>
      <c r="FI197">
        <v>1620</v>
      </c>
      <c r="FJ197">
        <v>22</v>
      </c>
      <c r="FK197">
        <v>0.08</v>
      </c>
      <c r="FL197">
        <v>0.04</v>
      </c>
      <c r="FM197">
        <v>-71.5366125</v>
      </c>
      <c r="FN197">
        <v>1.298966228893179</v>
      </c>
      <c r="FO197">
        <v>0.2229866578828205</v>
      </c>
      <c r="FP197">
        <v>-1</v>
      </c>
      <c r="FQ197">
        <v>5.182654</v>
      </c>
      <c r="FR197">
        <v>-2.266220262664171</v>
      </c>
      <c r="FS197">
        <v>0.2181228477005561</v>
      </c>
      <c r="FT197">
        <v>0</v>
      </c>
      <c r="FU197">
        <v>0</v>
      </c>
      <c r="FV197">
        <v>0</v>
      </c>
      <c r="FW197">
        <v>0</v>
      </c>
      <c r="FX197">
        <v>-1</v>
      </c>
      <c r="FY197">
        <v>0</v>
      </c>
      <c r="FZ197">
        <v>1</v>
      </c>
      <c r="GA197" t="s">
        <v>432</v>
      </c>
      <c r="GB197">
        <v>2.69547</v>
      </c>
      <c r="GC197">
        <v>2.7051</v>
      </c>
      <c r="GD197">
        <v>0.163633</v>
      </c>
      <c r="GE197">
        <v>0.169875</v>
      </c>
      <c r="GF197">
        <v>0.10614</v>
      </c>
      <c r="GG197">
        <v>0.0895471</v>
      </c>
      <c r="GH197">
        <v>26283.3</v>
      </c>
      <c r="GI197">
        <v>26200</v>
      </c>
      <c r="GJ197">
        <v>29236.1</v>
      </c>
      <c r="GK197">
        <v>29208.8</v>
      </c>
      <c r="GL197">
        <v>34600.6</v>
      </c>
      <c r="GM197">
        <v>35399.3</v>
      </c>
      <c r="GN197">
        <v>41148.7</v>
      </c>
      <c r="GO197">
        <v>41675.1</v>
      </c>
      <c r="GP197">
        <v>1.72295</v>
      </c>
      <c r="GQ197">
        <v>2.03148</v>
      </c>
      <c r="GR197">
        <v>0.0731871</v>
      </c>
      <c r="GS197">
        <v>0</v>
      </c>
      <c r="GT197">
        <v>28.9051</v>
      </c>
      <c r="GU197">
        <v>999.9</v>
      </c>
      <c r="GV197">
        <v>44.3</v>
      </c>
      <c r="GW197">
        <v>33.4</v>
      </c>
      <c r="GX197">
        <v>25.3221</v>
      </c>
      <c r="GY197">
        <v>63.538</v>
      </c>
      <c r="GZ197">
        <v>28.9944</v>
      </c>
      <c r="HA197">
        <v>1</v>
      </c>
      <c r="HB197">
        <v>0.268069</v>
      </c>
      <c r="HC197">
        <v>0.950689</v>
      </c>
      <c r="HD197">
        <v>20.3779</v>
      </c>
      <c r="HE197">
        <v>5.21774</v>
      </c>
      <c r="HF197">
        <v>12.0099</v>
      </c>
      <c r="HG197">
        <v>4.98845</v>
      </c>
      <c r="HH197">
        <v>3.28845</v>
      </c>
      <c r="HI197">
        <v>2730</v>
      </c>
      <c r="HJ197">
        <v>9999</v>
      </c>
      <c r="HK197">
        <v>9999</v>
      </c>
      <c r="HL197">
        <v>50.1</v>
      </c>
      <c r="HM197">
        <v>1.86722</v>
      </c>
      <c r="HN197">
        <v>1.8662</v>
      </c>
      <c r="HO197">
        <v>1.86579</v>
      </c>
      <c r="HP197">
        <v>1.86568</v>
      </c>
      <c r="HQ197">
        <v>1.86748</v>
      </c>
      <c r="HR197">
        <v>1.86997</v>
      </c>
      <c r="HS197">
        <v>1.8686</v>
      </c>
      <c r="HT197">
        <v>1.87002</v>
      </c>
      <c r="HU197">
        <v>0</v>
      </c>
      <c r="HV197">
        <v>0</v>
      </c>
      <c r="HW197">
        <v>0</v>
      </c>
      <c r="HX197">
        <v>0</v>
      </c>
      <c r="HY197" t="s">
        <v>421</v>
      </c>
      <c r="HZ197" t="s">
        <v>422</v>
      </c>
      <c r="IA197" t="s">
        <v>423</v>
      </c>
      <c r="IB197" t="s">
        <v>423</v>
      </c>
      <c r="IC197" t="s">
        <v>423</v>
      </c>
      <c r="ID197" t="s">
        <v>423</v>
      </c>
      <c r="IE197">
        <v>0</v>
      </c>
      <c r="IF197">
        <v>100</v>
      </c>
      <c r="IG197">
        <v>100</v>
      </c>
      <c r="IH197">
        <v>-0.9320000000000001</v>
      </c>
      <c r="II197">
        <v>0.0379</v>
      </c>
      <c r="IJ197">
        <v>1.257309091789605</v>
      </c>
      <c r="IK197">
        <v>-0.002185601614162945</v>
      </c>
      <c r="IL197">
        <v>-2.252308143750626E-07</v>
      </c>
      <c r="IM197">
        <v>5.915558436307541E-11</v>
      </c>
      <c r="IN197">
        <v>-0.118683452207699</v>
      </c>
      <c r="IO197">
        <v>-0.007570214193104963</v>
      </c>
      <c r="IP197">
        <v>0.0009214429922928372</v>
      </c>
      <c r="IQ197">
        <v>-1.392260276065805E-05</v>
      </c>
      <c r="IR197">
        <v>17</v>
      </c>
      <c r="IS197">
        <v>2272</v>
      </c>
      <c r="IT197">
        <v>1</v>
      </c>
      <c r="IU197">
        <v>31</v>
      </c>
      <c r="IV197">
        <v>23.1</v>
      </c>
      <c r="IW197">
        <v>23.3</v>
      </c>
      <c r="IX197">
        <v>2.12402</v>
      </c>
      <c r="IY197">
        <v>2.21313</v>
      </c>
      <c r="IZ197">
        <v>1.39648</v>
      </c>
      <c r="JA197">
        <v>2.35474</v>
      </c>
      <c r="JB197">
        <v>1.49536</v>
      </c>
      <c r="JC197">
        <v>2.24976</v>
      </c>
      <c r="JD197">
        <v>37.0509</v>
      </c>
      <c r="JE197">
        <v>15.2265</v>
      </c>
      <c r="JF197">
        <v>18</v>
      </c>
      <c r="JG197">
        <v>388.306</v>
      </c>
      <c r="JH197">
        <v>568.932</v>
      </c>
      <c r="JI197">
        <v>29.0367</v>
      </c>
      <c r="JJ197">
        <v>30.8501</v>
      </c>
      <c r="JK197">
        <v>30.0003</v>
      </c>
      <c r="JL197">
        <v>30.7552</v>
      </c>
      <c r="JM197">
        <v>30.6562</v>
      </c>
      <c r="JN197">
        <v>42.5433</v>
      </c>
      <c r="JO197">
        <v>25.432</v>
      </c>
      <c r="JP197">
        <v>0</v>
      </c>
      <c r="JQ197">
        <v>28.977</v>
      </c>
      <c r="JR197">
        <v>1022.01</v>
      </c>
      <c r="JS197">
        <v>19.534</v>
      </c>
      <c r="JT197">
        <v>99.9315</v>
      </c>
      <c r="JU197">
        <v>100.038</v>
      </c>
    </row>
    <row r="198" spans="1:281">
      <c r="A198">
        <v>182</v>
      </c>
      <c r="B198">
        <v>1652372678.5</v>
      </c>
      <c r="C198">
        <v>4584.900000095367</v>
      </c>
      <c r="D198" t="s">
        <v>832</v>
      </c>
      <c r="E198" t="s">
        <v>833</v>
      </c>
      <c r="F198">
        <v>5</v>
      </c>
      <c r="G198" t="s">
        <v>711</v>
      </c>
      <c r="H198" t="s">
        <v>414</v>
      </c>
      <c r="I198">
        <v>1652372670.660714</v>
      </c>
      <c r="J198">
        <f>(K198)/1000</f>
        <v>0</v>
      </c>
      <c r="K198">
        <f>IF(CZ198, AN198, AH198)</f>
        <v>0</v>
      </c>
      <c r="L198">
        <f>IF(CZ198, AI198, AG198)</f>
        <v>0</v>
      </c>
      <c r="M198">
        <f>DB198 - IF(AU198&gt;1, L198*CV198*100.0/(AW198*DP198), 0)</f>
        <v>0</v>
      </c>
      <c r="N198">
        <f>((T198-J198/2)*M198-L198)/(T198+J198/2)</f>
        <v>0</v>
      </c>
      <c r="O198">
        <f>N198*(DI198+DJ198)/1000.0</f>
        <v>0</v>
      </c>
      <c r="P198">
        <f>(DB198 - IF(AU198&gt;1, L198*CV198*100.0/(AW198*DP198), 0))*(DI198+DJ198)/1000.0</f>
        <v>0</v>
      </c>
      <c r="Q198">
        <f>2.0/((1/S198-1/R198)+SIGN(S198)*SQRT((1/S198-1/R198)*(1/S198-1/R198) + 4*CW198/((CW198+1)*(CW198+1))*(2*1/S198*1/R198-1/R198*1/R198)))</f>
        <v>0</v>
      </c>
      <c r="R198">
        <f>IF(LEFT(CX198,1)&lt;&gt;"0",IF(LEFT(CX198,1)="1",3.0,CY198),$D$5+$E$5*(DP198*DI198/($K$5*1000))+$F$5*(DP198*DI198/($K$5*1000))*MAX(MIN(CV198,$J$5),$I$5)*MAX(MIN(CV198,$J$5),$I$5)+$G$5*MAX(MIN(CV198,$J$5),$I$5)*(DP198*DI198/($K$5*1000))+$H$5*(DP198*DI198/($K$5*1000))*(DP198*DI198/($K$5*1000)))</f>
        <v>0</v>
      </c>
      <c r="S198">
        <f>J198*(1000-(1000*0.61365*exp(17.502*W198/(240.97+W198))/(DI198+DJ198)+DD198)/2)/(1000*0.61365*exp(17.502*W198/(240.97+W198))/(DI198+DJ198)-DD198)</f>
        <v>0</v>
      </c>
      <c r="T198">
        <f>1/((CW198+1)/(Q198/1.6)+1/(R198/1.37)) + CW198/((CW198+1)/(Q198/1.6) + CW198/(R198/1.37))</f>
        <v>0</v>
      </c>
      <c r="U198">
        <f>(CR198*CU198)</f>
        <v>0</v>
      </c>
      <c r="V198">
        <f>(DK198+(U198+2*0.95*5.67E-8*(((DK198+$B$7)+273)^4-(DK198+273)^4)-44100*J198)/(1.84*29.3*R198+8*0.95*5.67E-8*(DK198+273)^3))</f>
        <v>0</v>
      </c>
      <c r="W198">
        <f>($C$7*DL198+$D$7*DM198+$E$7*V198)</f>
        <v>0</v>
      </c>
      <c r="X198">
        <f>0.61365*exp(17.502*W198/(240.97+W198))</f>
        <v>0</v>
      </c>
      <c r="Y198">
        <f>(Z198/AA198*100)</f>
        <v>0</v>
      </c>
      <c r="Z198">
        <f>DD198*(DI198+DJ198)/1000</f>
        <v>0</v>
      </c>
      <c r="AA198">
        <f>0.61365*exp(17.502*DK198/(240.97+DK198))</f>
        <v>0</v>
      </c>
      <c r="AB198">
        <f>(X198-DD198*(DI198+DJ198)/1000)</f>
        <v>0</v>
      </c>
      <c r="AC198">
        <f>(-J198*44100)</f>
        <v>0</v>
      </c>
      <c r="AD198">
        <f>2*29.3*R198*0.92*(DK198-W198)</f>
        <v>0</v>
      </c>
      <c r="AE198">
        <f>2*0.95*5.67E-8*(((DK198+$B$7)+273)^4-(W198+273)^4)</f>
        <v>0</v>
      </c>
      <c r="AF198">
        <f>U198+AE198+AC198+AD198</f>
        <v>0</v>
      </c>
      <c r="AG198">
        <f>DH198*AU198*(DC198-DB198*(1000-AU198*DE198)/(1000-AU198*DD198))/(100*CV198)</f>
        <v>0</v>
      </c>
      <c r="AH198">
        <f>1000*DH198*AU198*(DD198-DE198)/(100*CV198*(1000-AU198*DD198))</f>
        <v>0</v>
      </c>
      <c r="AI198">
        <f>(AJ198 - AK198 - DI198*1E3/(8.314*(DK198+273.15)) * AM198/DH198 * AL198) * DH198/(100*CV198) * (1000 - DE198)/1000</f>
        <v>0</v>
      </c>
      <c r="AJ198">
        <v>1026.960106744705</v>
      </c>
      <c r="AK198">
        <v>970.1630424242425</v>
      </c>
      <c r="AL198">
        <v>3.477918896867285</v>
      </c>
      <c r="AM198">
        <v>65.96288611109561</v>
      </c>
      <c r="AN198">
        <f>(AP198 - AO198 + DI198*1E3/(8.314*(DK198+273.15)) * AR198/DH198 * AQ198) * DH198/(100*CV198) * 1000/(1000 - AP198)</f>
        <v>0</v>
      </c>
      <c r="AO198">
        <v>19.27546482228061</v>
      </c>
      <c r="AP198">
        <v>24.02707272727275</v>
      </c>
      <c r="AQ198">
        <v>-0.000797568784655025</v>
      </c>
      <c r="AR198">
        <v>81.18387902069509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MAX(0,($B$13+$C$13*DP198)/(1+$D$13*DP198)*DI198/(DK198+273)*$E$13)</f>
        <v>0</v>
      </c>
      <c r="AX198" t="s">
        <v>417</v>
      </c>
      <c r="AY198" t="s">
        <v>417</v>
      </c>
      <c r="AZ198">
        <v>0</v>
      </c>
      <c r="BA198">
        <v>0</v>
      </c>
      <c r="BB198">
        <f>1-AZ198/BA198</f>
        <v>0</v>
      </c>
      <c r="BC198">
        <v>0</v>
      </c>
      <c r="BD198" t="s">
        <v>417</v>
      </c>
      <c r="BE198" t="s">
        <v>417</v>
      </c>
      <c r="BF198">
        <v>0</v>
      </c>
      <c r="BG198">
        <v>0</v>
      </c>
      <c r="BH198">
        <f>1-BF198/BG198</f>
        <v>0</v>
      </c>
      <c r="BI198">
        <v>0.5</v>
      </c>
      <c r="BJ198">
        <f>CS198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417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1393</v>
      </c>
      <c r="CA198">
        <v>300</v>
      </c>
      <c r="CB198">
        <v>300</v>
      </c>
      <c r="CC198">
        <v>300</v>
      </c>
      <c r="CD198">
        <v>10378</v>
      </c>
      <c r="CE198">
        <v>2050</v>
      </c>
      <c r="CF198">
        <v>-0.00730649</v>
      </c>
      <c r="CG198">
        <v>-4.53</v>
      </c>
      <c r="CH198" t="s">
        <v>417</v>
      </c>
      <c r="CI198" t="s">
        <v>417</v>
      </c>
      <c r="CJ198" t="s">
        <v>417</v>
      </c>
      <c r="CK198" t="s">
        <v>417</v>
      </c>
      <c r="CL198" t="s">
        <v>417</v>
      </c>
      <c r="CM198" t="s">
        <v>417</v>
      </c>
      <c r="CN198" t="s">
        <v>417</v>
      </c>
      <c r="CO198" t="s">
        <v>417</v>
      </c>
      <c r="CP198" t="s">
        <v>417</v>
      </c>
      <c r="CQ198" t="s">
        <v>417</v>
      </c>
      <c r="CR198">
        <f>$B$11*DQ198+$C$11*DR198+$F$11*EC198*(1-EF198)</f>
        <v>0</v>
      </c>
      <c r="CS198">
        <f>CR198*CT198</f>
        <v>0</v>
      </c>
      <c r="CT198">
        <f>($B$11*$D$9+$C$11*$D$9+$F$11*((EP198+EH198)/MAX(EP198+EH198+EQ198, 0.1)*$I$9+EQ198/MAX(EP198+EH198+EQ198, 0.1)*$J$9))/($B$11+$C$11+$F$11)</f>
        <v>0</v>
      </c>
      <c r="CU198">
        <f>($B$11*$K$9+$C$11*$K$9+$F$11*((EP198+EH198)/MAX(EP198+EH198+EQ198, 0.1)*$P$9+EQ198/MAX(EP198+EH198+EQ198, 0.1)*$Q$9))/($B$11+$C$11+$F$11)</f>
        <v>0</v>
      </c>
      <c r="CV198">
        <v>6</v>
      </c>
      <c r="CW198">
        <v>0.5</v>
      </c>
      <c r="CX198" t="s">
        <v>418</v>
      </c>
      <c r="CY198">
        <v>2</v>
      </c>
      <c r="CZ198" t="b">
        <v>1</v>
      </c>
      <c r="DA198">
        <v>1652372670.660714</v>
      </c>
      <c r="DB198">
        <v>922.0876785714283</v>
      </c>
      <c r="DC198">
        <v>993.6423571428573</v>
      </c>
      <c r="DD198">
        <v>24.05795714285714</v>
      </c>
      <c r="DE198">
        <v>19.17324285714286</v>
      </c>
      <c r="DF198">
        <v>922.9929642857142</v>
      </c>
      <c r="DG198">
        <v>24.01980000000001</v>
      </c>
      <c r="DH198">
        <v>400.0726785714286</v>
      </c>
      <c r="DI198">
        <v>90.38927500000001</v>
      </c>
      <c r="DJ198">
        <v>0.09997895000000001</v>
      </c>
      <c r="DK198">
        <v>30.86940714285714</v>
      </c>
      <c r="DL198">
        <v>30.08726785714286</v>
      </c>
      <c r="DM198">
        <v>999.9000000000002</v>
      </c>
      <c r="DN198">
        <v>0</v>
      </c>
      <c r="DO198">
        <v>0</v>
      </c>
      <c r="DP198">
        <v>10000.2575</v>
      </c>
      <c r="DQ198">
        <v>0</v>
      </c>
      <c r="DR198">
        <v>417.461</v>
      </c>
      <c r="DS198">
        <v>-71.55475714285714</v>
      </c>
      <c r="DT198">
        <v>944.8177499999999</v>
      </c>
      <c r="DU198">
        <v>1013.068392857143</v>
      </c>
      <c r="DV198">
        <v>4.884715357142857</v>
      </c>
      <c r="DW198">
        <v>993.6423571428573</v>
      </c>
      <c r="DX198">
        <v>19.17324285714286</v>
      </c>
      <c r="DY198">
        <v>2.174580714285714</v>
      </c>
      <c r="DZ198">
        <v>1.733055357142857</v>
      </c>
      <c r="EA198">
        <v>18.77626785714285</v>
      </c>
      <c r="EB198">
        <v>15.1953</v>
      </c>
      <c r="EC198">
        <v>1499.995714285714</v>
      </c>
      <c r="ED198">
        <v>0.9730016071428571</v>
      </c>
      <c r="EE198">
        <v>0.02699836428571429</v>
      </c>
      <c r="EF198">
        <v>0</v>
      </c>
      <c r="EG198">
        <v>1671.035</v>
      </c>
      <c r="EH198">
        <v>5.00097</v>
      </c>
      <c r="EI198">
        <v>25783.71071428572</v>
      </c>
      <c r="EJ198">
        <v>12491.575</v>
      </c>
      <c r="EK198">
        <v>40.06199999999999</v>
      </c>
      <c r="EL198">
        <v>41.56199999999999</v>
      </c>
      <c r="EM198">
        <v>40.31199999999999</v>
      </c>
      <c r="EN198">
        <v>41.37721428571428</v>
      </c>
      <c r="EO198">
        <v>41.17371428571427</v>
      </c>
      <c r="EP198">
        <v>1454.633928571429</v>
      </c>
      <c r="EQ198">
        <v>40.36178571428571</v>
      </c>
      <c r="ER198">
        <v>0</v>
      </c>
      <c r="ES198">
        <v>1512.399999856949</v>
      </c>
      <c r="ET198">
        <v>0</v>
      </c>
      <c r="EU198">
        <v>1670.5824</v>
      </c>
      <c r="EV198">
        <v>-56.33384622082862</v>
      </c>
      <c r="EW198">
        <v>-907.9076937813408</v>
      </c>
      <c r="EX198">
        <v>25775.584</v>
      </c>
      <c r="EY198">
        <v>15</v>
      </c>
      <c r="EZ198">
        <v>1652371289.6</v>
      </c>
      <c r="FA198" t="s">
        <v>515</v>
      </c>
      <c r="FB198">
        <v>1652371289.6</v>
      </c>
      <c r="FC198">
        <v>1652371275.1</v>
      </c>
      <c r="FD198">
        <v>24</v>
      </c>
      <c r="FE198">
        <v>0.442</v>
      </c>
      <c r="FF198">
        <v>0.001</v>
      </c>
      <c r="FG198">
        <v>-2.63</v>
      </c>
      <c r="FH198">
        <v>0.007</v>
      </c>
      <c r="FI198">
        <v>1620</v>
      </c>
      <c r="FJ198">
        <v>22</v>
      </c>
      <c r="FK198">
        <v>0.08</v>
      </c>
      <c r="FL198">
        <v>0.04</v>
      </c>
      <c r="FM198">
        <v>-71.51426829268293</v>
      </c>
      <c r="FN198">
        <v>-0.5615017421602867</v>
      </c>
      <c r="FO198">
        <v>0.2011950460513914</v>
      </c>
      <c r="FP198">
        <v>-1</v>
      </c>
      <c r="FQ198">
        <v>4.985915365853659</v>
      </c>
      <c r="FR198">
        <v>-2.290589686411145</v>
      </c>
      <c r="FS198">
        <v>0.2259597041466395</v>
      </c>
      <c r="FT198">
        <v>0</v>
      </c>
      <c r="FU198">
        <v>0</v>
      </c>
      <c r="FV198">
        <v>0</v>
      </c>
      <c r="FW198">
        <v>0</v>
      </c>
      <c r="FX198">
        <v>-1</v>
      </c>
      <c r="FY198">
        <v>0</v>
      </c>
      <c r="FZ198">
        <v>1</v>
      </c>
      <c r="GA198" t="s">
        <v>432</v>
      </c>
      <c r="GB198">
        <v>2.69558</v>
      </c>
      <c r="GC198">
        <v>2.70527</v>
      </c>
      <c r="GD198">
        <v>0.165377</v>
      </c>
      <c r="GE198">
        <v>0.171499</v>
      </c>
      <c r="GF198">
        <v>0.106096</v>
      </c>
      <c r="GG198">
        <v>0.0901086</v>
      </c>
      <c r="GH198">
        <v>26228.4</v>
      </c>
      <c r="GI198">
        <v>26148.5</v>
      </c>
      <c r="GJ198">
        <v>29235.9</v>
      </c>
      <c r="GK198">
        <v>29208.7</v>
      </c>
      <c r="GL198">
        <v>34602.2</v>
      </c>
      <c r="GM198">
        <v>35377.2</v>
      </c>
      <c r="GN198">
        <v>41148.5</v>
      </c>
      <c r="GO198">
        <v>41675</v>
      </c>
      <c r="GP198">
        <v>1.72307</v>
      </c>
      <c r="GQ198">
        <v>2.03175</v>
      </c>
      <c r="GR198">
        <v>0.07270649999999999</v>
      </c>
      <c r="GS198">
        <v>0</v>
      </c>
      <c r="GT198">
        <v>28.9066</v>
      </c>
      <c r="GU198">
        <v>999.9</v>
      </c>
      <c r="GV198">
        <v>44.3</v>
      </c>
      <c r="GW198">
        <v>33.4</v>
      </c>
      <c r="GX198">
        <v>25.323</v>
      </c>
      <c r="GY198">
        <v>63.318</v>
      </c>
      <c r="GZ198">
        <v>28.7941</v>
      </c>
      <c r="HA198">
        <v>1</v>
      </c>
      <c r="HB198">
        <v>0.268549</v>
      </c>
      <c r="HC198">
        <v>1.04541</v>
      </c>
      <c r="HD198">
        <v>20.3774</v>
      </c>
      <c r="HE198">
        <v>5.21774</v>
      </c>
      <c r="HF198">
        <v>12.0099</v>
      </c>
      <c r="HG198">
        <v>4.9884</v>
      </c>
      <c r="HH198">
        <v>3.2884</v>
      </c>
      <c r="HI198">
        <v>2730.2</v>
      </c>
      <c r="HJ198">
        <v>9999</v>
      </c>
      <c r="HK198">
        <v>9999</v>
      </c>
      <c r="HL198">
        <v>50.1</v>
      </c>
      <c r="HM198">
        <v>1.86721</v>
      </c>
      <c r="HN198">
        <v>1.86623</v>
      </c>
      <c r="HO198">
        <v>1.86577</v>
      </c>
      <c r="HP198">
        <v>1.86568</v>
      </c>
      <c r="HQ198">
        <v>1.86746</v>
      </c>
      <c r="HR198">
        <v>1.87</v>
      </c>
      <c r="HS198">
        <v>1.8686</v>
      </c>
      <c r="HT198">
        <v>1.87006</v>
      </c>
      <c r="HU198">
        <v>0</v>
      </c>
      <c r="HV198">
        <v>0</v>
      </c>
      <c r="HW198">
        <v>0</v>
      </c>
      <c r="HX198">
        <v>0</v>
      </c>
      <c r="HY198" t="s">
        <v>421</v>
      </c>
      <c r="HZ198" t="s">
        <v>422</v>
      </c>
      <c r="IA198" t="s">
        <v>423</v>
      </c>
      <c r="IB198" t="s">
        <v>423</v>
      </c>
      <c r="IC198" t="s">
        <v>423</v>
      </c>
      <c r="ID198" t="s">
        <v>423</v>
      </c>
      <c r="IE198">
        <v>0</v>
      </c>
      <c r="IF198">
        <v>100</v>
      </c>
      <c r="IG198">
        <v>100</v>
      </c>
      <c r="IH198">
        <v>-0.971</v>
      </c>
      <c r="II198">
        <v>0.0378</v>
      </c>
      <c r="IJ198">
        <v>1.257309091789605</v>
      </c>
      <c r="IK198">
        <v>-0.002185601614162945</v>
      </c>
      <c r="IL198">
        <v>-2.252308143750626E-07</v>
      </c>
      <c r="IM198">
        <v>5.915558436307541E-11</v>
      </c>
      <c r="IN198">
        <v>-0.118683452207699</v>
      </c>
      <c r="IO198">
        <v>-0.007570214193104963</v>
      </c>
      <c r="IP198">
        <v>0.0009214429922928372</v>
      </c>
      <c r="IQ198">
        <v>-1.392260276065805E-05</v>
      </c>
      <c r="IR198">
        <v>17</v>
      </c>
      <c r="IS198">
        <v>2272</v>
      </c>
      <c r="IT198">
        <v>1</v>
      </c>
      <c r="IU198">
        <v>31</v>
      </c>
      <c r="IV198">
        <v>23.1</v>
      </c>
      <c r="IW198">
        <v>23.4</v>
      </c>
      <c r="IX198">
        <v>2.14722</v>
      </c>
      <c r="IY198">
        <v>2.21069</v>
      </c>
      <c r="IZ198">
        <v>1.39648</v>
      </c>
      <c r="JA198">
        <v>2.35474</v>
      </c>
      <c r="JB198">
        <v>1.49536</v>
      </c>
      <c r="JC198">
        <v>2.33398</v>
      </c>
      <c r="JD198">
        <v>37.0509</v>
      </c>
      <c r="JE198">
        <v>15.2353</v>
      </c>
      <c r="JF198">
        <v>18</v>
      </c>
      <c r="JG198">
        <v>388.38</v>
      </c>
      <c r="JH198">
        <v>569.149</v>
      </c>
      <c r="JI198">
        <v>28.9552</v>
      </c>
      <c r="JJ198">
        <v>30.8511</v>
      </c>
      <c r="JK198">
        <v>30.0005</v>
      </c>
      <c r="JL198">
        <v>30.7563</v>
      </c>
      <c r="JM198">
        <v>30.6572</v>
      </c>
      <c r="JN198">
        <v>42.9867</v>
      </c>
      <c r="JO198">
        <v>24.8485</v>
      </c>
      <c r="JP198">
        <v>0</v>
      </c>
      <c r="JQ198">
        <v>28.8812</v>
      </c>
      <c r="JR198">
        <v>1042.05</v>
      </c>
      <c r="JS198">
        <v>19.6888</v>
      </c>
      <c r="JT198">
        <v>99.9311</v>
      </c>
      <c r="JU198">
        <v>100.038</v>
      </c>
    </row>
    <row r="199" spans="1:281">
      <c r="A199">
        <v>183</v>
      </c>
      <c r="B199">
        <v>1652372684</v>
      </c>
      <c r="C199">
        <v>4590.400000095367</v>
      </c>
      <c r="D199" t="s">
        <v>834</v>
      </c>
      <c r="E199" t="s">
        <v>835</v>
      </c>
      <c r="F199">
        <v>5</v>
      </c>
      <c r="G199" t="s">
        <v>711</v>
      </c>
      <c r="H199" t="s">
        <v>414</v>
      </c>
      <c r="I199">
        <v>1652372676.232143</v>
      </c>
      <c r="J199">
        <f>(K199)/1000</f>
        <v>0</v>
      </c>
      <c r="K199">
        <f>IF(CZ199, AN199, AH199)</f>
        <v>0</v>
      </c>
      <c r="L199">
        <f>IF(CZ199, AI199, AG199)</f>
        <v>0</v>
      </c>
      <c r="M199">
        <f>DB199 - IF(AU199&gt;1, L199*CV199*100.0/(AW199*DP199), 0)</f>
        <v>0</v>
      </c>
      <c r="N199">
        <f>((T199-J199/2)*M199-L199)/(T199+J199/2)</f>
        <v>0</v>
      </c>
      <c r="O199">
        <f>N199*(DI199+DJ199)/1000.0</f>
        <v>0</v>
      </c>
      <c r="P199">
        <f>(DB199 - IF(AU199&gt;1, L199*CV199*100.0/(AW199*DP199), 0))*(DI199+DJ199)/1000.0</f>
        <v>0</v>
      </c>
      <c r="Q199">
        <f>2.0/((1/S199-1/R199)+SIGN(S199)*SQRT((1/S199-1/R199)*(1/S199-1/R199) + 4*CW199/((CW199+1)*(CW199+1))*(2*1/S199*1/R199-1/R199*1/R199)))</f>
        <v>0</v>
      </c>
      <c r="R199">
        <f>IF(LEFT(CX199,1)&lt;&gt;"0",IF(LEFT(CX199,1)="1",3.0,CY199),$D$5+$E$5*(DP199*DI199/($K$5*1000))+$F$5*(DP199*DI199/($K$5*1000))*MAX(MIN(CV199,$J$5),$I$5)*MAX(MIN(CV199,$J$5),$I$5)+$G$5*MAX(MIN(CV199,$J$5),$I$5)*(DP199*DI199/($K$5*1000))+$H$5*(DP199*DI199/($K$5*1000))*(DP199*DI199/($K$5*1000)))</f>
        <v>0</v>
      </c>
      <c r="S199">
        <f>J199*(1000-(1000*0.61365*exp(17.502*W199/(240.97+W199))/(DI199+DJ199)+DD199)/2)/(1000*0.61365*exp(17.502*W199/(240.97+W199))/(DI199+DJ199)-DD199)</f>
        <v>0</v>
      </c>
      <c r="T199">
        <f>1/((CW199+1)/(Q199/1.6)+1/(R199/1.37)) + CW199/((CW199+1)/(Q199/1.6) + CW199/(R199/1.37))</f>
        <v>0</v>
      </c>
      <c r="U199">
        <f>(CR199*CU199)</f>
        <v>0</v>
      </c>
      <c r="V199">
        <f>(DK199+(U199+2*0.95*5.67E-8*(((DK199+$B$7)+273)^4-(DK199+273)^4)-44100*J199)/(1.84*29.3*R199+8*0.95*5.67E-8*(DK199+273)^3))</f>
        <v>0</v>
      </c>
      <c r="W199">
        <f>($C$7*DL199+$D$7*DM199+$E$7*V199)</f>
        <v>0</v>
      </c>
      <c r="X199">
        <f>0.61365*exp(17.502*W199/(240.97+W199))</f>
        <v>0</v>
      </c>
      <c r="Y199">
        <f>(Z199/AA199*100)</f>
        <v>0</v>
      </c>
      <c r="Z199">
        <f>DD199*(DI199+DJ199)/1000</f>
        <v>0</v>
      </c>
      <c r="AA199">
        <f>0.61365*exp(17.502*DK199/(240.97+DK199))</f>
        <v>0</v>
      </c>
      <c r="AB199">
        <f>(X199-DD199*(DI199+DJ199)/1000)</f>
        <v>0</v>
      </c>
      <c r="AC199">
        <f>(-J199*44100)</f>
        <v>0</v>
      </c>
      <c r="AD199">
        <f>2*29.3*R199*0.92*(DK199-W199)</f>
        <v>0</v>
      </c>
      <c r="AE199">
        <f>2*0.95*5.67E-8*(((DK199+$B$7)+273)^4-(W199+273)^4)</f>
        <v>0</v>
      </c>
      <c r="AF199">
        <f>U199+AE199+AC199+AD199</f>
        <v>0</v>
      </c>
      <c r="AG199">
        <f>DH199*AU199*(DC199-DB199*(1000-AU199*DE199)/(1000-AU199*DD199))/(100*CV199)</f>
        <v>0</v>
      </c>
      <c r="AH199">
        <f>1000*DH199*AU199*(DD199-DE199)/(100*CV199*(1000-AU199*DD199))</f>
        <v>0</v>
      </c>
      <c r="AI199">
        <f>(AJ199 - AK199 - DI199*1E3/(8.314*(DK199+273.15)) * AM199/DH199 * AL199) * DH199/(100*CV199) * (1000 - DE199)/1000</f>
        <v>0</v>
      </c>
      <c r="AJ199">
        <v>1045.362419671211</v>
      </c>
      <c r="AK199">
        <v>988.8971030303032</v>
      </c>
      <c r="AL199">
        <v>3.386719482343731</v>
      </c>
      <c r="AM199">
        <v>65.96288611109561</v>
      </c>
      <c r="AN199">
        <f>(AP199 - AO199 + DI199*1E3/(8.314*(DK199+273.15)) * AR199/DH199 * AQ199) * DH199/(100*CV199) * 1000/(1000 - AP199)</f>
        <v>0</v>
      </c>
      <c r="AO199">
        <v>19.4780144949846</v>
      </c>
      <c r="AP199">
        <v>24.02698671328673</v>
      </c>
      <c r="AQ199">
        <v>0.0002663328065167188</v>
      </c>
      <c r="AR199">
        <v>81.18387902069509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MAX(0,($B$13+$C$13*DP199)/(1+$D$13*DP199)*DI199/(DK199+273)*$E$13)</f>
        <v>0</v>
      </c>
      <c r="AX199" t="s">
        <v>417</v>
      </c>
      <c r="AY199" t="s">
        <v>417</v>
      </c>
      <c r="AZ199">
        <v>0</v>
      </c>
      <c r="BA199">
        <v>0</v>
      </c>
      <c r="BB199">
        <f>1-AZ199/BA199</f>
        <v>0</v>
      </c>
      <c r="BC199">
        <v>0</v>
      </c>
      <c r="BD199" t="s">
        <v>417</v>
      </c>
      <c r="BE199" t="s">
        <v>417</v>
      </c>
      <c r="BF199">
        <v>0</v>
      </c>
      <c r="BG199">
        <v>0</v>
      </c>
      <c r="BH199">
        <f>1-BF199/BG199</f>
        <v>0</v>
      </c>
      <c r="BI199">
        <v>0.5</v>
      </c>
      <c r="BJ199">
        <f>CS199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417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1393</v>
      </c>
      <c r="CA199">
        <v>300</v>
      </c>
      <c r="CB199">
        <v>300</v>
      </c>
      <c r="CC199">
        <v>300</v>
      </c>
      <c r="CD199">
        <v>10378</v>
      </c>
      <c r="CE199">
        <v>2050</v>
      </c>
      <c r="CF199">
        <v>-0.00730649</v>
      </c>
      <c r="CG199">
        <v>-4.53</v>
      </c>
      <c r="CH199" t="s">
        <v>417</v>
      </c>
      <c r="CI199" t="s">
        <v>417</v>
      </c>
      <c r="CJ199" t="s">
        <v>417</v>
      </c>
      <c r="CK199" t="s">
        <v>417</v>
      </c>
      <c r="CL199" t="s">
        <v>417</v>
      </c>
      <c r="CM199" t="s">
        <v>417</v>
      </c>
      <c r="CN199" t="s">
        <v>417</v>
      </c>
      <c r="CO199" t="s">
        <v>417</v>
      </c>
      <c r="CP199" t="s">
        <v>417</v>
      </c>
      <c r="CQ199" t="s">
        <v>417</v>
      </c>
      <c r="CR199">
        <f>$B$11*DQ199+$C$11*DR199+$F$11*EC199*(1-EF199)</f>
        <v>0</v>
      </c>
      <c r="CS199">
        <f>CR199*CT199</f>
        <v>0</v>
      </c>
      <c r="CT199">
        <f>($B$11*$D$9+$C$11*$D$9+$F$11*((EP199+EH199)/MAX(EP199+EH199+EQ199, 0.1)*$I$9+EQ199/MAX(EP199+EH199+EQ199, 0.1)*$J$9))/($B$11+$C$11+$F$11)</f>
        <v>0</v>
      </c>
      <c r="CU199">
        <f>($B$11*$K$9+$C$11*$K$9+$F$11*((EP199+EH199)/MAX(EP199+EH199+EQ199, 0.1)*$P$9+EQ199/MAX(EP199+EH199+EQ199, 0.1)*$Q$9))/($B$11+$C$11+$F$11)</f>
        <v>0</v>
      </c>
      <c r="CV199">
        <v>6</v>
      </c>
      <c r="CW199">
        <v>0.5</v>
      </c>
      <c r="CX199" t="s">
        <v>418</v>
      </c>
      <c r="CY199">
        <v>2</v>
      </c>
      <c r="CZ199" t="b">
        <v>1</v>
      </c>
      <c r="DA199">
        <v>1652372676.232143</v>
      </c>
      <c r="DB199">
        <v>940.8479285714286</v>
      </c>
      <c r="DC199">
        <v>1012.067535714286</v>
      </c>
      <c r="DD199">
        <v>24.03702142857143</v>
      </c>
      <c r="DE199">
        <v>19.36099642857143</v>
      </c>
      <c r="DF199">
        <v>941.799357142857</v>
      </c>
      <c r="DG199">
        <v>23.999125</v>
      </c>
      <c r="DH199">
        <v>400.0743571428571</v>
      </c>
      <c r="DI199">
        <v>90.39003214285715</v>
      </c>
      <c r="DJ199">
        <v>0.1000075642857143</v>
      </c>
      <c r="DK199">
        <v>30.86496428571428</v>
      </c>
      <c r="DL199">
        <v>30.091625</v>
      </c>
      <c r="DM199">
        <v>999.9000000000002</v>
      </c>
      <c r="DN199">
        <v>0</v>
      </c>
      <c r="DO199">
        <v>0</v>
      </c>
      <c r="DP199">
        <v>9997.407499999999</v>
      </c>
      <c r="DQ199">
        <v>0</v>
      </c>
      <c r="DR199">
        <v>413.5069642857143</v>
      </c>
      <c r="DS199">
        <v>-71.21987142857144</v>
      </c>
      <c r="DT199">
        <v>964.0199285714287</v>
      </c>
      <c r="DU199">
        <v>1032.051428571428</v>
      </c>
      <c r="DV199">
        <v>4.676028214285714</v>
      </c>
      <c r="DW199">
        <v>1012.067535714286</v>
      </c>
      <c r="DX199">
        <v>19.36099642857143</v>
      </c>
      <c r="DY199">
        <v>2.172706785714286</v>
      </c>
      <c r="DZ199">
        <v>1.750040714285714</v>
      </c>
      <c r="EA199">
        <v>18.76247857142857</v>
      </c>
      <c r="EB199">
        <v>15.34716071428572</v>
      </c>
      <c r="EC199">
        <v>1499.9875</v>
      </c>
      <c r="ED199">
        <v>0.9730021428571429</v>
      </c>
      <c r="EE199">
        <v>0.02699778571428571</v>
      </c>
      <c r="EF199">
        <v>0</v>
      </c>
      <c r="EG199">
        <v>1665.9025</v>
      </c>
      <c r="EH199">
        <v>5.00097</v>
      </c>
      <c r="EI199">
        <v>25698.80714285714</v>
      </c>
      <c r="EJ199">
        <v>12491.5</v>
      </c>
      <c r="EK199">
        <v>40.06199999999999</v>
      </c>
      <c r="EL199">
        <v>41.56199999999999</v>
      </c>
      <c r="EM199">
        <v>40.31199999999999</v>
      </c>
      <c r="EN199">
        <v>41.37721428571428</v>
      </c>
      <c r="EO199">
        <v>41.1692857142857</v>
      </c>
      <c r="EP199">
        <v>1454.626428571429</v>
      </c>
      <c r="EQ199">
        <v>40.36107142857143</v>
      </c>
      <c r="ER199">
        <v>0</v>
      </c>
      <c r="ES199">
        <v>1517.799999952316</v>
      </c>
      <c r="ET199">
        <v>0</v>
      </c>
      <c r="EU199">
        <v>1665.898461538462</v>
      </c>
      <c r="EV199">
        <v>-54.37948720548344</v>
      </c>
      <c r="EW199">
        <v>-873.1247870450626</v>
      </c>
      <c r="EX199">
        <v>25698.97307692308</v>
      </c>
      <c r="EY199">
        <v>15</v>
      </c>
      <c r="EZ199">
        <v>1652371289.6</v>
      </c>
      <c r="FA199" t="s">
        <v>515</v>
      </c>
      <c r="FB199">
        <v>1652371289.6</v>
      </c>
      <c r="FC199">
        <v>1652371275.1</v>
      </c>
      <c r="FD199">
        <v>24</v>
      </c>
      <c r="FE199">
        <v>0.442</v>
      </c>
      <c r="FF199">
        <v>0.001</v>
      </c>
      <c r="FG199">
        <v>-2.63</v>
      </c>
      <c r="FH199">
        <v>0.007</v>
      </c>
      <c r="FI199">
        <v>1620</v>
      </c>
      <c r="FJ199">
        <v>22</v>
      </c>
      <c r="FK199">
        <v>0.08</v>
      </c>
      <c r="FL199">
        <v>0.04</v>
      </c>
      <c r="FM199">
        <v>-71.37601707317074</v>
      </c>
      <c r="FN199">
        <v>2.590737282230001</v>
      </c>
      <c r="FO199">
        <v>0.3937101496070787</v>
      </c>
      <c r="FP199">
        <v>-1</v>
      </c>
      <c r="FQ199">
        <v>4.798089268292683</v>
      </c>
      <c r="FR199">
        <v>-2.258069477351909</v>
      </c>
      <c r="FS199">
        <v>0.2229560051908989</v>
      </c>
      <c r="FT199">
        <v>0</v>
      </c>
      <c r="FU199">
        <v>0</v>
      </c>
      <c r="FV199">
        <v>0</v>
      </c>
      <c r="FW199">
        <v>0</v>
      </c>
      <c r="FX199">
        <v>-1</v>
      </c>
      <c r="FY199">
        <v>0</v>
      </c>
      <c r="FZ199">
        <v>1</v>
      </c>
      <c r="GA199" t="s">
        <v>432</v>
      </c>
      <c r="GB199">
        <v>2.69551</v>
      </c>
      <c r="GC199">
        <v>2.70507</v>
      </c>
      <c r="GD199">
        <v>0.167435</v>
      </c>
      <c r="GE199">
        <v>0.173369</v>
      </c>
      <c r="GF199">
        <v>0.106095</v>
      </c>
      <c r="GG199">
        <v>0.09061230000000001</v>
      </c>
      <c r="GH199">
        <v>26163.9</v>
      </c>
      <c r="GI199">
        <v>26089.4</v>
      </c>
      <c r="GJ199">
        <v>29236.2</v>
      </c>
      <c r="GK199">
        <v>29208.7</v>
      </c>
      <c r="GL199">
        <v>34602.8</v>
      </c>
      <c r="GM199">
        <v>35357.3</v>
      </c>
      <c r="GN199">
        <v>41149.1</v>
      </c>
      <c r="GO199">
        <v>41674.8</v>
      </c>
      <c r="GP199">
        <v>1.72298</v>
      </c>
      <c r="GQ199">
        <v>2.03205</v>
      </c>
      <c r="GR199">
        <v>0.07252400000000001</v>
      </c>
      <c r="GS199">
        <v>0</v>
      </c>
      <c r="GT199">
        <v>28.9076</v>
      </c>
      <c r="GU199">
        <v>999.9</v>
      </c>
      <c r="GV199">
        <v>44.2</v>
      </c>
      <c r="GW199">
        <v>33.4</v>
      </c>
      <c r="GX199">
        <v>25.264</v>
      </c>
      <c r="GY199">
        <v>63.408</v>
      </c>
      <c r="GZ199">
        <v>29.1306</v>
      </c>
      <c r="HA199">
        <v>1</v>
      </c>
      <c r="HB199">
        <v>0.268841</v>
      </c>
      <c r="HC199">
        <v>1.15748</v>
      </c>
      <c r="HD199">
        <v>20.3768</v>
      </c>
      <c r="HE199">
        <v>5.21744</v>
      </c>
      <c r="HF199">
        <v>12.0099</v>
      </c>
      <c r="HG199">
        <v>4.9883</v>
      </c>
      <c r="HH199">
        <v>3.28835</v>
      </c>
      <c r="HI199">
        <v>2730.2</v>
      </c>
      <c r="HJ199">
        <v>9999</v>
      </c>
      <c r="HK199">
        <v>9999</v>
      </c>
      <c r="HL199">
        <v>50.1</v>
      </c>
      <c r="HM199">
        <v>1.86722</v>
      </c>
      <c r="HN199">
        <v>1.86623</v>
      </c>
      <c r="HO199">
        <v>1.86581</v>
      </c>
      <c r="HP199">
        <v>1.86569</v>
      </c>
      <c r="HQ199">
        <v>1.8675</v>
      </c>
      <c r="HR199">
        <v>1.87</v>
      </c>
      <c r="HS199">
        <v>1.86861</v>
      </c>
      <c r="HT199">
        <v>1.87001</v>
      </c>
      <c r="HU199">
        <v>0</v>
      </c>
      <c r="HV199">
        <v>0</v>
      </c>
      <c r="HW199">
        <v>0</v>
      </c>
      <c r="HX199">
        <v>0</v>
      </c>
      <c r="HY199" t="s">
        <v>421</v>
      </c>
      <c r="HZ199" t="s">
        <v>422</v>
      </c>
      <c r="IA199" t="s">
        <v>423</v>
      </c>
      <c r="IB199" t="s">
        <v>423</v>
      </c>
      <c r="IC199" t="s">
        <v>423</v>
      </c>
      <c r="ID199" t="s">
        <v>423</v>
      </c>
      <c r="IE199">
        <v>0</v>
      </c>
      <c r="IF199">
        <v>100</v>
      </c>
      <c r="IG199">
        <v>100</v>
      </c>
      <c r="IH199">
        <v>-1.015</v>
      </c>
      <c r="II199">
        <v>0.0378</v>
      </c>
      <c r="IJ199">
        <v>1.257309091789605</v>
      </c>
      <c r="IK199">
        <v>-0.002185601614162945</v>
      </c>
      <c r="IL199">
        <v>-2.252308143750626E-07</v>
      </c>
      <c r="IM199">
        <v>5.915558436307541E-11</v>
      </c>
      <c r="IN199">
        <v>-0.118683452207699</v>
      </c>
      <c r="IO199">
        <v>-0.007570214193104963</v>
      </c>
      <c r="IP199">
        <v>0.0009214429922928372</v>
      </c>
      <c r="IQ199">
        <v>-1.392260276065805E-05</v>
      </c>
      <c r="IR199">
        <v>17</v>
      </c>
      <c r="IS199">
        <v>2272</v>
      </c>
      <c r="IT199">
        <v>1</v>
      </c>
      <c r="IU199">
        <v>31</v>
      </c>
      <c r="IV199">
        <v>23.2</v>
      </c>
      <c r="IW199">
        <v>23.5</v>
      </c>
      <c r="IX199">
        <v>2.17896</v>
      </c>
      <c r="IY199">
        <v>2.20825</v>
      </c>
      <c r="IZ199">
        <v>1.39648</v>
      </c>
      <c r="JA199">
        <v>2.35474</v>
      </c>
      <c r="JB199">
        <v>1.49536</v>
      </c>
      <c r="JC199">
        <v>2.34985</v>
      </c>
      <c r="JD199">
        <v>37.0509</v>
      </c>
      <c r="JE199">
        <v>15.2353</v>
      </c>
      <c r="JF199">
        <v>18</v>
      </c>
      <c r="JG199">
        <v>388.342</v>
      </c>
      <c r="JH199">
        <v>569.4059999999999</v>
      </c>
      <c r="JI199">
        <v>28.8404</v>
      </c>
      <c r="JJ199">
        <v>30.8527</v>
      </c>
      <c r="JK199">
        <v>30.0003</v>
      </c>
      <c r="JL199">
        <v>30.7589</v>
      </c>
      <c r="JM199">
        <v>30.6603</v>
      </c>
      <c r="JN199">
        <v>43.617</v>
      </c>
      <c r="JO199">
        <v>24.2755</v>
      </c>
      <c r="JP199">
        <v>0</v>
      </c>
      <c r="JQ199">
        <v>28.7905</v>
      </c>
      <c r="JR199">
        <v>1055.41</v>
      </c>
      <c r="JS199">
        <v>19.8686</v>
      </c>
      <c r="JT199">
        <v>99.9324</v>
      </c>
      <c r="JU199">
        <v>100.037</v>
      </c>
    </row>
    <row r="200" spans="1:281">
      <c r="A200">
        <v>184</v>
      </c>
      <c r="B200">
        <v>1652372688.5</v>
      </c>
      <c r="C200">
        <v>4594.900000095367</v>
      </c>
      <c r="D200" t="s">
        <v>836</v>
      </c>
      <c r="E200" t="s">
        <v>837</v>
      </c>
      <c r="F200">
        <v>5</v>
      </c>
      <c r="G200" t="s">
        <v>711</v>
      </c>
      <c r="H200" t="s">
        <v>414</v>
      </c>
      <c r="I200">
        <v>1652372680.678571</v>
      </c>
      <c r="J200">
        <f>(K200)/1000</f>
        <v>0</v>
      </c>
      <c r="K200">
        <f>IF(CZ200, AN200, AH200)</f>
        <v>0</v>
      </c>
      <c r="L200">
        <f>IF(CZ200, AI200, AG200)</f>
        <v>0</v>
      </c>
      <c r="M200">
        <f>DB200 - IF(AU200&gt;1, L200*CV200*100.0/(AW200*DP200), 0)</f>
        <v>0</v>
      </c>
      <c r="N200">
        <f>((T200-J200/2)*M200-L200)/(T200+J200/2)</f>
        <v>0</v>
      </c>
      <c r="O200">
        <f>N200*(DI200+DJ200)/1000.0</f>
        <v>0</v>
      </c>
      <c r="P200">
        <f>(DB200 - IF(AU200&gt;1, L200*CV200*100.0/(AW200*DP200), 0))*(DI200+DJ200)/1000.0</f>
        <v>0</v>
      </c>
      <c r="Q200">
        <f>2.0/((1/S200-1/R200)+SIGN(S200)*SQRT((1/S200-1/R200)*(1/S200-1/R200) + 4*CW200/((CW200+1)*(CW200+1))*(2*1/S200*1/R200-1/R200*1/R200)))</f>
        <v>0</v>
      </c>
      <c r="R200">
        <f>IF(LEFT(CX200,1)&lt;&gt;"0",IF(LEFT(CX200,1)="1",3.0,CY200),$D$5+$E$5*(DP200*DI200/($K$5*1000))+$F$5*(DP200*DI200/($K$5*1000))*MAX(MIN(CV200,$J$5),$I$5)*MAX(MIN(CV200,$J$5),$I$5)+$G$5*MAX(MIN(CV200,$J$5),$I$5)*(DP200*DI200/($K$5*1000))+$H$5*(DP200*DI200/($K$5*1000))*(DP200*DI200/($K$5*1000)))</f>
        <v>0</v>
      </c>
      <c r="S200">
        <f>J200*(1000-(1000*0.61365*exp(17.502*W200/(240.97+W200))/(DI200+DJ200)+DD200)/2)/(1000*0.61365*exp(17.502*W200/(240.97+W200))/(DI200+DJ200)-DD200)</f>
        <v>0</v>
      </c>
      <c r="T200">
        <f>1/((CW200+1)/(Q200/1.6)+1/(R200/1.37)) + CW200/((CW200+1)/(Q200/1.6) + CW200/(R200/1.37))</f>
        <v>0</v>
      </c>
      <c r="U200">
        <f>(CR200*CU200)</f>
        <v>0</v>
      </c>
      <c r="V200">
        <f>(DK200+(U200+2*0.95*5.67E-8*(((DK200+$B$7)+273)^4-(DK200+273)^4)-44100*J200)/(1.84*29.3*R200+8*0.95*5.67E-8*(DK200+273)^3))</f>
        <v>0</v>
      </c>
      <c r="W200">
        <f>($C$7*DL200+$D$7*DM200+$E$7*V200)</f>
        <v>0</v>
      </c>
      <c r="X200">
        <f>0.61365*exp(17.502*W200/(240.97+W200))</f>
        <v>0</v>
      </c>
      <c r="Y200">
        <f>(Z200/AA200*100)</f>
        <v>0</v>
      </c>
      <c r="Z200">
        <f>DD200*(DI200+DJ200)/1000</f>
        <v>0</v>
      </c>
      <c r="AA200">
        <f>0.61365*exp(17.502*DK200/(240.97+DK200))</f>
        <v>0</v>
      </c>
      <c r="AB200">
        <f>(X200-DD200*(DI200+DJ200)/1000)</f>
        <v>0</v>
      </c>
      <c r="AC200">
        <f>(-J200*44100)</f>
        <v>0</v>
      </c>
      <c r="AD200">
        <f>2*29.3*R200*0.92*(DK200-W200)</f>
        <v>0</v>
      </c>
      <c r="AE200">
        <f>2*0.95*5.67E-8*(((DK200+$B$7)+273)^4-(W200+273)^4)</f>
        <v>0</v>
      </c>
      <c r="AF200">
        <f>U200+AE200+AC200+AD200</f>
        <v>0</v>
      </c>
      <c r="AG200">
        <f>DH200*AU200*(DC200-DB200*(1000-AU200*DE200)/(1000-AU200*DD200))/(100*CV200)</f>
        <v>0</v>
      </c>
      <c r="AH200">
        <f>1000*DH200*AU200*(DD200-DE200)/(100*CV200*(1000-AU200*DD200))</f>
        <v>0</v>
      </c>
      <c r="AI200">
        <f>(AJ200 - AK200 - DI200*1E3/(8.314*(DK200+273.15)) * AM200/DH200 * AL200) * DH200/(100*CV200) * (1000 - DE200)/1000</f>
        <v>0</v>
      </c>
      <c r="AJ200">
        <v>1060.072450054751</v>
      </c>
      <c r="AK200">
        <v>1004.018448484848</v>
      </c>
      <c r="AL200">
        <v>3.368090479305357</v>
      </c>
      <c r="AM200">
        <v>65.96288611109561</v>
      </c>
      <c r="AN200">
        <f>(AP200 - AO200 + DI200*1E3/(8.314*(DK200+273.15)) * AR200/DH200 * AQ200) * DH200/(100*CV200) * 1000/(1000 - AP200)</f>
        <v>0</v>
      </c>
      <c r="AO200">
        <v>19.6004718673751</v>
      </c>
      <c r="AP200">
        <v>24.02205034965036</v>
      </c>
      <c r="AQ200">
        <v>-0.0004465458183983105</v>
      </c>
      <c r="AR200">
        <v>81.18387902069509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MAX(0,($B$13+$C$13*DP200)/(1+$D$13*DP200)*DI200/(DK200+273)*$E$13)</f>
        <v>0</v>
      </c>
      <c r="AX200" t="s">
        <v>417</v>
      </c>
      <c r="AY200" t="s">
        <v>417</v>
      </c>
      <c r="AZ200">
        <v>0</v>
      </c>
      <c r="BA200">
        <v>0</v>
      </c>
      <c r="BB200">
        <f>1-AZ200/BA200</f>
        <v>0</v>
      </c>
      <c r="BC200">
        <v>0</v>
      </c>
      <c r="BD200" t="s">
        <v>417</v>
      </c>
      <c r="BE200" t="s">
        <v>417</v>
      </c>
      <c r="BF200">
        <v>0</v>
      </c>
      <c r="BG200">
        <v>0</v>
      </c>
      <c r="BH200">
        <f>1-BF200/BG200</f>
        <v>0</v>
      </c>
      <c r="BI200">
        <v>0.5</v>
      </c>
      <c r="BJ200">
        <f>CS200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417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1393</v>
      </c>
      <c r="CA200">
        <v>300</v>
      </c>
      <c r="CB200">
        <v>300</v>
      </c>
      <c r="CC200">
        <v>300</v>
      </c>
      <c r="CD200">
        <v>10378</v>
      </c>
      <c r="CE200">
        <v>2050</v>
      </c>
      <c r="CF200">
        <v>-0.00730649</v>
      </c>
      <c r="CG200">
        <v>-4.53</v>
      </c>
      <c r="CH200" t="s">
        <v>417</v>
      </c>
      <c r="CI200" t="s">
        <v>417</v>
      </c>
      <c r="CJ200" t="s">
        <v>417</v>
      </c>
      <c r="CK200" t="s">
        <v>417</v>
      </c>
      <c r="CL200" t="s">
        <v>417</v>
      </c>
      <c r="CM200" t="s">
        <v>417</v>
      </c>
      <c r="CN200" t="s">
        <v>417</v>
      </c>
      <c r="CO200" t="s">
        <v>417</v>
      </c>
      <c r="CP200" t="s">
        <v>417</v>
      </c>
      <c r="CQ200" t="s">
        <v>417</v>
      </c>
      <c r="CR200">
        <f>$B$11*DQ200+$C$11*DR200+$F$11*EC200*(1-EF200)</f>
        <v>0</v>
      </c>
      <c r="CS200">
        <f>CR200*CT200</f>
        <v>0</v>
      </c>
      <c r="CT200">
        <f>($B$11*$D$9+$C$11*$D$9+$F$11*((EP200+EH200)/MAX(EP200+EH200+EQ200, 0.1)*$I$9+EQ200/MAX(EP200+EH200+EQ200, 0.1)*$J$9))/($B$11+$C$11+$F$11)</f>
        <v>0</v>
      </c>
      <c r="CU200">
        <f>($B$11*$K$9+$C$11*$K$9+$F$11*((EP200+EH200)/MAX(EP200+EH200+EQ200, 0.1)*$P$9+EQ200/MAX(EP200+EH200+EQ200, 0.1)*$Q$9))/($B$11+$C$11+$F$11)</f>
        <v>0</v>
      </c>
      <c r="CV200">
        <v>6</v>
      </c>
      <c r="CW200">
        <v>0.5</v>
      </c>
      <c r="CX200" t="s">
        <v>418</v>
      </c>
      <c r="CY200">
        <v>2</v>
      </c>
      <c r="CZ200" t="b">
        <v>1</v>
      </c>
      <c r="DA200">
        <v>1652372680.678571</v>
      </c>
      <c r="DB200">
        <v>955.6966428571429</v>
      </c>
      <c r="DC200">
        <v>1026.692857142857</v>
      </c>
      <c r="DD200">
        <v>24.02854285714286</v>
      </c>
      <c r="DE200">
        <v>19.50308214285715</v>
      </c>
      <c r="DF200">
        <v>956.6845714285715</v>
      </c>
      <c r="DG200">
        <v>23.99075714285715</v>
      </c>
      <c r="DH200">
        <v>400.073142857143</v>
      </c>
      <c r="DI200">
        <v>90.3908142857143</v>
      </c>
      <c r="DJ200">
        <v>0.09997676071428571</v>
      </c>
      <c r="DK200">
        <v>30.85871785714286</v>
      </c>
      <c r="DL200">
        <v>30.09121785714286</v>
      </c>
      <c r="DM200">
        <v>999.9000000000002</v>
      </c>
      <c r="DN200">
        <v>0</v>
      </c>
      <c r="DO200">
        <v>0</v>
      </c>
      <c r="DP200">
        <v>10006.29464285714</v>
      </c>
      <c r="DQ200">
        <v>0</v>
      </c>
      <c r="DR200">
        <v>410.9761428571429</v>
      </c>
      <c r="DS200">
        <v>-70.99655357142858</v>
      </c>
      <c r="DT200">
        <v>979.2261071428569</v>
      </c>
      <c r="DU200">
        <v>1047.1175</v>
      </c>
      <c r="DV200">
        <v>4.525457142857142</v>
      </c>
      <c r="DW200">
        <v>1026.692857142857</v>
      </c>
      <c r="DX200">
        <v>19.50308214285715</v>
      </c>
      <c r="DY200">
        <v>2.171958928571429</v>
      </c>
      <c r="DZ200">
        <v>1.762899642857143</v>
      </c>
      <c r="EA200">
        <v>18.75697857142857</v>
      </c>
      <c r="EB200">
        <v>15.46130357142857</v>
      </c>
      <c r="EC200">
        <v>1499.975714285714</v>
      </c>
      <c r="ED200">
        <v>0.9730023214285713</v>
      </c>
      <c r="EE200">
        <v>0.02699759285714285</v>
      </c>
      <c r="EF200">
        <v>0</v>
      </c>
      <c r="EG200">
        <v>1662.070714285714</v>
      </c>
      <c r="EH200">
        <v>5.00097</v>
      </c>
      <c r="EI200">
        <v>25634.02857142857</v>
      </c>
      <c r="EJ200">
        <v>12491.39642857143</v>
      </c>
      <c r="EK200">
        <v>40.06199999999999</v>
      </c>
      <c r="EL200">
        <v>41.56199999999999</v>
      </c>
      <c r="EM200">
        <v>40.31199999999999</v>
      </c>
      <c r="EN200">
        <v>41.37721428571428</v>
      </c>
      <c r="EO200">
        <v>41.17149999999999</v>
      </c>
      <c r="EP200">
        <v>1454.615</v>
      </c>
      <c r="EQ200">
        <v>40.36071428571428</v>
      </c>
      <c r="ER200">
        <v>0</v>
      </c>
      <c r="ES200">
        <v>1522.599999904633</v>
      </c>
      <c r="ET200">
        <v>0</v>
      </c>
      <c r="EU200">
        <v>1661.733461538462</v>
      </c>
      <c r="EV200">
        <v>-50.39076916215903</v>
      </c>
      <c r="EW200">
        <v>-882.7350415320809</v>
      </c>
      <c r="EX200">
        <v>25629</v>
      </c>
      <c r="EY200">
        <v>15</v>
      </c>
      <c r="EZ200">
        <v>1652371289.6</v>
      </c>
      <c r="FA200" t="s">
        <v>515</v>
      </c>
      <c r="FB200">
        <v>1652371289.6</v>
      </c>
      <c r="FC200">
        <v>1652371275.1</v>
      </c>
      <c r="FD200">
        <v>24</v>
      </c>
      <c r="FE200">
        <v>0.442</v>
      </c>
      <c r="FF200">
        <v>0.001</v>
      </c>
      <c r="FG200">
        <v>-2.63</v>
      </c>
      <c r="FH200">
        <v>0.007</v>
      </c>
      <c r="FI200">
        <v>1620</v>
      </c>
      <c r="FJ200">
        <v>22</v>
      </c>
      <c r="FK200">
        <v>0.08</v>
      </c>
      <c r="FL200">
        <v>0.04</v>
      </c>
      <c r="FM200">
        <v>-71.08287804878049</v>
      </c>
      <c r="FN200">
        <v>3.789658536585568</v>
      </c>
      <c r="FO200">
        <v>0.4889026430652549</v>
      </c>
      <c r="FP200">
        <v>-1</v>
      </c>
      <c r="FQ200">
        <v>4.619553170731708</v>
      </c>
      <c r="FR200">
        <v>-2.063995818815326</v>
      </c>
      <c r="FS200">
        <v>0.204043601957284</v>
      </c>
      <c r="FT200">
        <v>0</v>
      </c>
      <c r="FU200">
        <v>0</v>
      </c>
      <c r="FV200">
        <v>0</v>
      </c>
      <c r="FW200">
        <v>0</v>
      </c>
      <c r="FX200">
        <v>-1</v>
      </c>
      <c r="FY200">
        <v>0</v>
      </c>
      <c r="FZ200">
        <v>1</v>
      </c>
      <c r="GA200" t="s">
        <v>432</v>
      </c>
      <c r="GB200">
        <v>2.69564</v>
      </c>
      <c r="GC200">
        <v>2.70535</v>
      </c>
      <c r="GD200">
        <v>0.169086</v>
      </c>
      <c r="GE200">
        <v>0.174965</v>
      </c>
      <c r="GF200">
        <v>0.106081</v>
      </c>
      <c r="GG200">
        <v>0.091032</v>
      </c>
      <c r="GH200">
        <v>26111.4</v>
      </c>
      <c r="GI200">
        <v>26039</v>
      </c>
      <c r="GJ200">
        <v>29235.7</v>
      </c>
      <c r="GK200">
        <v>29208.7</v>
      </c>
      <c r="GL200">
        <v>34602.6</v>
      </c>
      <c r="GM200">
        <v>35341</v>
      </c>
      <c r="GN200">
        <v>41148.2</v>
      </c>
      <c r="GO200">
        <v>41674.8</v>
      </c>
      <c r="GP200">
        <v>1.72298</v>
      </c>
      <c r="GQ200">
        <v>2.03233</v>
      </c>
      <c r="GR200">
        <v>0.0730455</v>
      </c>
      <c r="GS200">
        <v>0</v>
      </c>
      <c r="GT200">
        <v>28.9076</v>
      </c>
      <c r="GU200">
        <v>999.9</v>
      </c>
      <c r="GV200">
        <v>44.2</v>
      </c>
      <c r="GW200">
        <v>33.4</v>
      </c>
      <c r="GX200">
        <v>25.2674</v>
      </c>
      <c r="GY200">
        <v>63.398</v>
      </c>
      <c r="GZ200">
        <v>29.4351</v>
      </c>
      <c r="HA200">
        <v>1</v>
      </c>
      <c r="HB200">
        <v>0.26908</v>
      </c>
      <c r="HC200">
        <v>1.18773</v>
      </c>
      <c r="HD200">
        <v>20.3766</v>
      </c>
      <c r="HE200">
        <v>5.21774</v>
      </c>
      <c r="HF200">
        <v>12.0099</v>
      </c>
      <c r="HG200">
        <v>4.98845</v>
      </c>
      <c r="HH200">
        <v>3.28835</v>
      </c>
      <c r="HI200">
        <v>2730.4</v>
      </c>
      <c r="HJ200">
        <v>9999</v>
      </c>
      <c r="HK200">
        <v>9999</v>
      </c>
      <c r="HL200">
        <v>50.1</v>
      </c>
      <c r="HM200">
        <v>1.86722</v>
      </c>
      <c r="HN200">
        <v>1.86622</v>
      </c>
      <c r="HO200">
        <v>1.86582</v>
      </c>
      <c r="HP200">
        <v>1.86569</v>
      </c>
      <c r="HQ200">
        <v>1.86749</v>
      </c>
      <c r="HR200">
        <v>1.87002</v>
      </c>
      <c r="HS200">
        <v>1.86861</v>
      </c>
      <c r="HT200">
        <v>1.87001</v>
      </c>
      <c r="HU200">
        <v>0</v>
      </c>
      <c r="HV200">
        <v>0</v>
      </c>
      <c r="HW200">
        <v>0</v>
      </c>
      <c r="HX200">
        <v>0</v>
      </c>
      <c r="HY200" t="s">
        <v>421</v>
      </c>
      <c r="HZ200" t="s">
        <v>422</v>
      </c>
      <c r="IA200" t="s">
        <v>423</v>
      </c>
      <c r="IB200" t="s">
        <v>423</v>
      </c>
      <c r="IC200" t="s">
        <v>423</v>
      </c>
      <c r="ID200" t="s">
        <v>423</v>
      </c>
      <c r="IE200">
        <v>0</v>
      </c>
      <c r="IF200">
        <v>100</v>
      </c>
      <c r="IG200">
        <v>100</v>
      </c>
      <c r="IH200">
        <v>-1.052</v>
      </c>
      <c r="II200">
        <v>0.0377</v>
      </c>
      <c r="IJ200">
        <v>1.257309091789605</v>
      </c>
      <c r="IK200">
        <v>-0.002185601614162945</v>
      </c>
      <c r="IL200">
        <v>-2.252308143750626E-07</v>
      </c>
      <c r="IM200">
        <v>5.915558436307541E-11</v>
      </c>
      <c r="IN200">
        <v>-0.118683452207699</v>
      </c>
      <c r="IO200">
        <v>-0.007570214193104963</v>
      </c>
      <c r="IP200">
        <v>0.0009214429922928372</v>
      </c>
      <c r="IQ200">
        <v>-1.392260276065805E-05</v>
      </c>
      <c r="IR200">
        <v>17</v>
      </c>
      <c r="IS200">
        <v>2272</v>
      </c>
      <c r="IT200">
        <v>1</v>
      </c>
      <c r="IU200">
        <v>31</v>
      </c>
      <c r="IV200">
        <v>23.3</v>
      </c>
      <c r="IW200">
        <v>23.6</v>
      </c>
      <c r="IX200">
        <v>2.20337</v>
      </c>
      <c r="IY200">
        <v>2.20947</v>
      </c>
      <c r="IZ200">
        <v>1.39648</v>
      </c>
      <c r="JA200">
        <v>2.35474</v>
      </c>
      <c r="JB200">
        <v>1.49536</v>
      </c>
      <c r="JC200">
        <v>2.34253</v>
      </c>
      <c r="JD200">
        <v>37.0509</v>
      </c>
      <c r="JE200">
        <v>15.2265</v>
      </c>
      <c r="JF200">
        <v>18</v>
      </c>
      <c r="JG200">
        <v>388.357</v>
      </c>
      <c r="JH200">
        <v>569.629</v>
      </c>
      <c r="JI200">
        <v>28.7531</v>
      </c>
      <c r="JJ200">
        <v>30.8538</v>
      </c>
      <c r="JK200">
        <v>30.0001</v>
      </c>
      <c r="JL200">
        <v>30.7615</v>
      </c>
      <c r="JM200">
        <v>30.6618</v>
      </c>
      <c r="JN200">
        <v>44.1007</v>
      </c>
      <c r="JO200">
        <v>23.3967</v>
      </c>
      <c r="JP200">
        <v>0</v>
      </c>
      <c r="JQ200">
        <v>28.7027</v>
      </c>
      <c r="JR200">
        <v>1075.45</v>
      </c>
      <c r="JS200">
        <v>20.0192</v>
      </c>
      <c r="JT200">
        <v>99.9303</v>
      </c>
      <c r="JU200">
        <v>100.037</v>
      </c>
    </row>
    <row r="201" spans="1:281">
      <c r="A201">
        <v>185</v>
      </c>
      <c r="B201">
        <v>1652372694</v>
      </c>
      <c r="C201">
        <v>4600.400000095367</v>
      </c>
      <c r="D201" t="s">
        <v>838</v>
      </c>
      <c r="E201" t="s">
        <v>839</v>
      </c>
      <c r="F201">
        <v>5</v>
      </c>
      <c r="G201" t="s">
        <v>711</v>
      </c>
      <c r="H201" t="s">
        <v>414</v>
      </c>
      <c r="I201">
        <v>1652372686.25</v>
      </c>
      <c r="J201">
        <f>(K201)/1000</f>
        <v>0</v>
      </c>
      <c r="K201">
        <f>IF(CZ201, AN201, AH201)</f>
        <v>0</v>
      </c>
      <c r="L201">
        <f>IF(CZ201, AI201, AG201)</f>
        <v>0</v>
      </c>
      <c r="M201">
        <f>DB201 - IF(AU201&gt;1, L201*CV201*100.0/(AW201*DP201), 0)</f>
        <v>0</v>
      </c>
      <c r="N201">
        <f>((T201-J201/2)*M201-L201)/(T201+J201/2)</f>
        <v>0</v>
      </c>
      <c r="O201">
        <f>N201*(DI201+DJ201)/1000.0</f>
        <v>0</v>
      </c>
      <c r="P201">
        <f>(DB201 - IF(AU201&gt;1, L201*CV201*100.0/(AW201*DP201), 0))*(DI201+DJ201)/1000.0</f>
        <v>0</v>
      </c>
      <c r="Q201">
        <f>2.0/((1/S201-1/R201)+SIGN(S201)*SQRT((1/S201-1/R201)*(1/S201-1/R201) + 4*CW201/((CW201+1)*(CW201+1))*(2*1/S201*1/R201-1/R201*1/R201)))</f>
        <v>0</v>
      </c>
      <c r="R201">
        <f>IF(LEFT(CX201,1)&lt;&gt;"0",IF(LEFT(CX201,1)="1",3.0,CY201),$D$5+$E$5*(DP201*DI201/($K$5*1000))+$F$5*(DP201*DI201/($K$5*1000))*MAX(MIN(CV201,$J$5),$I$5)*MAX(MIN(CV201,$J$5),$I$5)+$G$5*MAX(MIN(CV201,$J$5),$I$5)*(DP201*DI201/($K$5*1000))+$H$5*(DP201*DI201/($K$5*1000))*(DP201*DI201/($K$5*1000)))</f>
        <v>0</v>
      </c>
      <c r="S201">
        <f>J201*(1000-(1000*0.61365*exp(17.502*W201/(240.97+W201))/(DI201+DJ201)+DD201)/2)/(1000*0.61365*exp(17.502*W201/(240.97+W201))/(DI201+DJ201)-DD201)</f>
        <v>0</v>
      </c>
      <c r="T201">
        <f>1/((CW201+1)/(Q201/1.6)+1/(R201/1.37)) + CW201/((CW201+1)/(Q201/1.6) + CW201/(R201/1.37))</f>
        <v>0</v>
      </c>
      <c r="U201">
        <f>(CR201*CU201)</f>
        <v>0</v>
      </c>
      <c r="V201">
        <f>(DK201+(U201+2*0.95*5.67E-8*(((DK201+$B$7)+273)^4-(DK201+273)^4)-44100*J201)/(1.84*29.3*R201+8*0.95*5.67E-8*(DK201+273)^3))</f>
        <v>0</v>
      </c>
      <c r="W201">
        <f>($C$7*DL201+$D$7*DM201+$E$7*V201)</f>
        <v>0</v>
      </c>
      <c r="X201">
        <f>0.61365*exp(17.502*W201/(240.97+W201))</f>
        <v>0</v>
      </c>
      <c r="Y201">
        <f>(Z201/AA201*100)</f>
        <v>0</v>
      </c>
      <c r="Z201">
        <f>DD201*(DI201+DJ201)/1000</f>
        <v>0</v>
      </c>
      <c r="AA201">
        <f>0.61365*exp(17.502*DK201/(240.97+DK201))</f>
        <v>0</v>
      </c>
      <c r="AB201">
        <f>(X201-DD201*(DI201+DJ201)/1000)</f>
        <v>0</v>
      </c>
      <c r="AC201">
        <f>(-J201*44100)</f>
        <v>0</v>
      </c>
      <c r="AD201">
        <f>2*29.3*R201*0.92*(DK201-W201)</f>
        <v>0</v>
      </c>
      <c r="AE201">
        <f>2*0.95*5.67E-8*(((DK201+$B$7)+273)^4-(W201+273)^4)</f>
        <v>0</v>
      </c>
      <c r="AF201">
        <f>U201+AE201+AC201+AD201</f>
        <v>0</v>
      </c>
      <c r="AG201">
        <f>DH201*AU201*(DC201-DB201*(1000-AU201*DE201)/(1000-AU201*DD201))/(100*CV201)</f>
        <v>0</v>
      </c>
      <c r="AH201">
        <f>1000*DH201*AU201*(DD201-DE201)/(100*CV201*(1000-AU201*DD201))</f>
        <v>0</v>
      </c>
      <c r="AI201">
        <f>(AJ201 - AK201 - DI201*1E3/(8.314*(DK201+273.15)) * AM201/DH201 * AL201) * DH201/(100*CV201) * (1000 - DE201)/1000</f>
        <v>0</v>
      </c>
      <c r="AJ201">
        <v>1078.899354270379</v>
      </c>
      <c r="AK201">
        <v>1022.577757575758</v>
      </c>
      <c r="AL201">
        <v>3.386622676240643</v>
      </c>
      <c r="AM201">
        <v>65.96288611109561</v>
      </c>
      <c r="AN201">
        <f>(AP201 - AO201 + DI201*1E3/(8.314*(DK201+273.15)) * AR201/DH201 * AQ201) * DH201/(100*CV201) * 1000/(1000 - AP201)</f>
        <v>0</v>
      </c>
      <c r="AO201">
        <v>19.76378578642795</v>
      </c>
      <c r="AP201">
        <v>24.02162237762239</v>
      </c>
      <c r="AQ201">
        <v>-0.0003712257929145561</v>
      </c>
      <c r="AR201">
        <v>81.18387902069509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MAX(0,($B$13+$C$13*DP201)/(1+$D$13*DP201)*DI201/(DK201+273)*$E$13)</f>
        <v>0</v>
      </c>
      <c r="AX201" t="s">
        <v>417</v>
      </c>
      <c r="AY201" t="s">
        <v>417</v>
      </c>
      <c r="AZ201">
        <v>0</v>
      </c>
      <c r="BA201">
        <v>0</v>
      </c>
      <c r="BB201">
        <f>1-AZ201/BA201</f>
        <v>0</v>
      </c>
      <c r="BC201">
        <v>0</v>
      </c>
      <c r="BD201" t="s">
        <v>417</v>
      </c>
      <c r="BE201" t="s">
        <v>417</v>
      </c>
      <c r="BF201">
        <v>0</v>
      </c>
      <c r="BG201">
        <v>0</v>
      </c>
      <c r="BH201">
        <f>1-BF201/BG201</f>
        <v>0</v>
      </c>
      <c r="BI201">
        <v>0.5</v>
      </c>
      <c r="BJ201">
        <f>CS201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417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1393</v>
      </c>
      <c r="CA201">
        <v>300</v>
      </c>
      <c r="CB201">
        <v>300</v>
      </c>
      <c r="CC201">
        <v>300</v>
      </c>
      <c r="CD201">
        <v>10378</v>
      </c>
      <c r="CE201">
        <v>2050</v>
      </c>
      <c r="CF201">
        <v>-0.00730649</v>
      </c>
      <c r="CG201">
        <v>-4.53</v>
      </c>
      <c r="CH201" t="s">
        <v>417</v>
      </c>
      <c r="CI201" t="s">
        <v>417</v>
      </c>
      <c r="CJ201" t="s">
        <v>417</v>
      </c>
      <c r="CK201" t="s">
        <v>417</v>
      </c>
      <c r="CL201" t="s">
        <v>417</v>
      </c>
      <c r="CM201" t="s">
        <v>417</v>
      </c>
      <c r="CN201" t="s">
        <v>417</v>
      </c>
      <c r="CO201" t="s">
        <v>417</v>
      </c>
      <c r="CP201" t="s">
        <v>417</v>
      </c>
      <c r="CQ201" t="s">
        <v>417</v>
      </c>
      <c r="CR201">
        <f>$B$11*DQ201+$C$11*DR201+$F$11*EC201*(1-EF201)</f>
        <v>0</v>
      </c>
      <c r="CS201">
        <f>CR201*CT201</f>
        <v>0</v>
      </c>
      <c r="CT201">
        <f>($B$11*$D$9+$C$11*$D$9+$F$11*((EP201+EH201)/MAX(EP201+EH201+EQ201, 0.1)*$I$9+EQ201/MAX(EP201+EH201+EQ201, 0.1)*$J$9))/($B$11+$C$11+$F$11)</f>
        <v>0</v>
      </c>
      <c r="CU201">
        <f>($B$11*$K$9+$C$11*$K$9+$F$11*((EP201+EH201)/MAX(EP201+EH201+EQ201, 0.1)*$P$9+EQ201/MAX(EP201+EH201+EQ201, 0.1)*$Q$9))/($B$11+$C$11+$F$11)</f>
        <v>0</v>
      </c>
      <c r="CV201">
        <v>6</v>
      </c>
      <c r="CW201">
        <v>0.5</v>
      </c>
      <c r="CX201" t="s">
        <v>418</v>
      </c>
      <c r="CY201">
        <v>2</v>
      </c>
      <c r="CZ201" t="b">
        <v>1</v>
      </c>
      <c r="DA201">
        <v>1652372686.25</v>
      </c>
      <c r="DB201">
        <v>974.1630714285715</v>
      </c>
      <c r="DC201">
        <v>1044.8125</v>
      </c>
      <c r="DD201">
        <v>24.02268571428571</v>
      </c>
      <c r="DE201">
        <v>19.68284642857143</v>
      </c>
      <c r="DF201">
        <v>975.1962857142855</v>
      </c>
      <c r="DG201">
        <v>23.98496428571428</v>
      </c>
      <c r="DH201">
        <v>400.0861071428571</v>
      </c>
      <c r="DI201">
        <v>90.39121785714285</v>
      </c>
      <c r="DJ201">
        <v>0.1000376285714286</v>
      </c>
      <c r="DK201">
        <v>30.84862142857143</v>
      </c>
      <c r="DL201">
        <v>30.09060714285715</v>
      </c>
      <c r="DM201">
        <v>999.9000000000002</v>
      </c>
      <c r="DN201">
        <v>0</v>
      </c>
      <c r="DO201">
        <v>0</v>
      </c>
      <c r="DP201">
        <v>10003.21535714286</v>
      </c>
      <c r="DQ201">
        <v>0</v>
      </c>
      <c r="DR201">
        <v>407.1631785714286</v>
      </c>
      <c r="DS201">
        <v>-70.64994642857144</v>
      </c>
      <c r="DT201">
        <v>998.1413214285715</v>
      </c>
      <c r="DU201">
        <v>1065.7925</v>
      </c>
      <c r="DV201">
        <v>4.339843214285714</v>
      </c>
      <c r="DW201">
        <v>1044.8125</v>
      </c>
      <c r="DX201">
        <v>19.68284642857143</v>
      </c>
      <c r="DY201">
        <v>2.171439285714285</v>
      </c>
      <c r="DZ201">
        <v>1.779156428571428</v>
      </c>
      <c r="EA201">
        <v>18.75315</v>
      </c>
      <c r="EB201">
        <v>15.60452142857143</v>
      </c>
      <c r="EC201">
        <v>1499.969285714286</v>
      </c>
      <c r="ED201">
        <v>0.9730026785714285</v>
      </c>
      <c r="EE201">
        <v>0.02699720714285715</v>
      </c>
      <c r="EF201">
        <v>0</v>
      </c>
      <c r="EG201">
        <v>1657.422142857143</v>
      </c>
      <c r="EH201">
        <v>5.00097</v>
      </c>
      <c r="EI201">
        <v>25555.79285714286</v>
      </c>
      <c r="EJ201">
        <v>12491.33571428571</v>
      </c>
      <c r="EK201">
        <v>40.06199999999999</v>
      </c>
      <c r="EL201">
        <v>41.56199999999999</v>
      </c>
      <c r="EM201">
        <v>40.31199999999999</v>
      </c>
      <c r="EN201">
        <v>41.375</v>
      </c>
      <c r="EO201">
        <v>41.17814285714284</v>
      </c>
      <c r="EP201">
        <v>1454.608928571428</v>
      </c>
      <c r="EQ201">
        <v>40.36035714285713</v>
      </c>
      <c r="ER201">
        <v>0</v>
      </c>
      <c r="ES201">
        <v>1528</v>
      </c>
      <c r="ET201">
        <v>0</v>
      </c>
      <c r="EU201">
        <v>1657.0288</v>
      </c>
      <c r="EV201">
        <v>-47.61769223806452</v>
      </c>
      <c r="EW201">
        <v>-809.5769217747123</v>
      </c>
      <c r="EX201">
        <v>25548.828</v>
      </c>
      <c r="EY201">
        <v>15</v>
      </c>
      <c r="EZ201">
        <v>1652371289.6</v>
      </c>
      <c r="FA201" t="s">
        <v>515</v>
      </c>
      <c r="FB201">
        <v>1652371289.6</v>
      </c>
      <c r="FC201">
        <v>1652371275.1</v>
      </c>
      <c r="FD201">
        <v>24</v>
      </c>
      <c r="FE201">
        <v>0.442</v>
      </c>
      <c r="FF201">
        <v>0.001</v>
      </c>
      <c r="FG201">
        <v>-2.63</v>
      </c>
      <c r="FH201">
        <v>0.007</v>
      </c>
      <c r="FI201">
        <v>1620</v>
      </c>
      <c r="FJ201">
        <v>22</v>
      </c>
      <c r="FK201">
        <v>0.08</v>
      </c>
      <c r="FL201">
        <v>0.04</v>
      </c>
      <c r="FM201">
        <v>-70.89682999999999</v>
      </c>
      <c r="FN201">
        <v>3.691087429643647</v>
      </c>
      <c r="FO201">
        <v>0.4747081067350749</v>
      </c>
      <c r="FP201">
        <v>-1</v>
      </c>
      <c r="FQ201">
        <v>4.4240355</v>
      </c>
      <c r="FR201">
        <v>-1.96969756097562</v>
      </c>
      <c r="FS201">
        <v>0.1899191811001459</v>
      </c>
      <c r="FT201">
        <v>0</v>
      </c>
      <c r="FU201">
        <v>0</v>
      </c>
      <c r="FV201">
        <v>0</v>
      </c>
      <c r="FW201">
        <v>0</v>
      </c>
      <c r="FX201">
        <v>-1</v>
      </c>
      <c r="FY201">
        <v>0</v>
      </c>
      <c r="FZ201">
        <v>1</v>
      </c>
      <c r="GA201" t="s">
        <v>432</v>
      </c>
      <c r="GB201">
        <v>2.69558</v>
      </c>
      <c r="GC201">
        <v>2.70521</v>
      </c>
      <c r="GD201">
        <v>0.171096</v>
      </c>
      <c r="GE201">
        <v>0.176903</v>
      </c>
      <c r="GF201">
        <v>0.106087</v>
      </c>
      <c r="GG201">
        <v>0.09168809999999999</v>
      </c>
      <c r="GH201">
        <v>26049.4</v>
      </c>
      <c r="GI201">
        <v>25977.6</v>
      </c>
      <c r="GJ201">
        <v>29237.1</v>
      </c>
      <c r="GK201">
        <v>29208.6</v>
      </c>
      <c r="GL201">
        <v>34604.1</v>
      </c>
      <c r="GM201">
        <v>35315.2</v>
      </c>
      <c r="GN201">
        <v>41150.3</v>
      </c>
      <c r="GO201">
        <v>41674.8</v>
      </c>
      <c r="GP201">
        <v>1.72275</v>
      </c>
      <c r="GQ201">
        <v>2.0328</v>
      </c>
      <c r="GR201">
        <v>0.0724047</v>
      </c>
      <c r="GS201">
        <v>0</v>
      </c>
      <c r="GT201">
        <v>28.9082</v>
      </c>
      <c r="GU201">
        <v>999.9</v>
      </c>
      <c r="GV201">
        <v>44.2</v>
      </c>
      <c r="GW201">
        <v>33.4</v>
      </c>
      <c r="GX201">
        <v>25.2653</v>
      </c>
      <c r="GY201">
        <v>63.488</v>
      </c>
      <c r="GZ201">
        <v>28.9103</v>
      </c>
      <c r="HA201">
        <v>1</v>
      </c>
      <c r="HB201">
        <v>0.269329</v>
      </c>
      <c r="HC201">
        <v>1.27505</v>
      </c>
      <c r="HD201">
        <v>20.3759</v>
      </c>
      <c r="HE201">
        <v>5.21759</v>
      </c>
      <c r="HF201">
        <v>12.0099</v>
      </c>
      <c r="HG201">
        <v>4.9883</v>
      </c>
      <c r="HH201">
        <v>3.28818</v>
      </c>
      <c r="HI201">
        <v>2730.4</v>
      </c>
      <c r="HJ201">
        <v>9999</v>
      </c>
      <c r="HK201">
        <v>9999</v>
      </c>
      <c r="HL201">
        <v>50.1</v>
      </c>
      <c r="HM201">
        <v>1.86722</v>
      </c>
      <c r="HN201">
        <v>1.86623</v>
      </c>
      <c r="HO201">
        <v>1.86581</v>
      </c>
      <c r="HP201">
        <v>1.86569</v>
      </c>
      <c r="HQ201">
        <v>1.8675</v>
      </c>
      <c r="HR201">
        <v>1.87</v>
      </c>
      <c r="HS201">
        <v>1.86861</v>
      </c>
      <c r="HT201">
        <v>1.86999</v>
      </c>
      <c r="HU201">
        <v>0</v>
      </c>
      <c r="HV201">
        <v>0</v>
      </c>
      <c r="HW201">
        <v>0</v>
      </c>
      <c r="HX201">
        <v>0</v>
      </c>
      <c r="HY201" t="s">
        <v>421</v>
      </c>
      <c r="HZ201" t="s">
        <v>422</v>
      </c>
      <c r="IA201" t="s">
        <v>423</v>
      </c>
      <c r="IB201" t="s">
        <v>423</v>
      </c>
      <c r="IC201" t="s">
        <v>423</v>
      </c>
      <c r="ID201" t="s">
        <v>423</v>
      </c>
      <c r="IE201">
        <v>0</v>
      </c>
      <c r="IF201">
        <v>100</v>
      </c>
      <c r="IG201">
        <v>100</v>
      </c>
      <c r="IH201">
        <v>-1.093</v>
      </c>
      <c r="II201">
        <v>0.0378</v>
      </c>
      <c r="IJ201">
        <v>1.257309091789605</v>
      </c>
      <c r="IK201">
        <v>-0.002185601614162945</v>
      </c>
      <c r="IL201">
        <v>-2.252308143750626E-07</v>
      </c>
      <c r="IM201">
        <v>5.915558436307541E-11</v>
      </c>
      <c r="IN201">
        <v>-0.118683452207699</v>
      </c>
      <c r="IO201">
        <v>-0.007570214193104963</v>
      </c>
      <c r="IP201">
        <v>0.0009214429922928372</v>
      </c>
      <c r="IQ201">
        <v>-1.392260276065805E-05</v>
      </c>
      <c r="IR201">
        <v>17</v>
      </c>
      <c r="IS201">
        <v>2272</v>
      </c>
      <c r="IT201">
        <v>1</v>
      </c>
      <c r="IU201">
        <v>31</v>
      </c>
      <c r="IV201">
        <v>23.4</v>
      </c>
      <c r="IW201">
        <v>23.6</v>
      </c>
      <c r="IX201">
        <v>2.23511</v>
      </c>
      <c r="IY201">
        <v>2.20825</v>
      </c>
      <c r="IZ201">
        <v>1.39648</v>
      </c>
      <c r="JA201">
        <v>2.35474</v>
      </c>
      <c r="JB201">
        <v>1.49536</v>
      </c>
      <c r="JC201">
        <v>2.2937</v>
      </c>
      <c r="JD201">
        <v>37.0509</v>
      </c>
      <c r="JE201">
        <v>15.2265</v>
      </c>
      <c r="JF201">
        <v>18</v>
      </c>
      <c r="JG201">
        <v>388.25</v>
      </c>
      <c r="JH201">
        <v>570.011</v>
      </c>
      <c r="JI201">
        <v>28.6534</v>
      </c>
      <c r="JJ201">
        <v>30.8554</v>
      </c>
      <c r="JK201">
        <v>30.0003</v>
      </c>
      <c r="JL201">
        <v>30.7639</v>
      </c>
      <c r="JM201">
        <v>30.6641</v>
      </c>
      <c r="JN201">
        <v>44.7419</v>
      </c>
      <c r="JO201">
        <v>22.8218</v>
      </c>
      <c r="JP201">
        <v>0</v>
      </c>
      <c r="JQ201">
        <v>28.6077</v>
      </c>
      <c r="JR201">
        <v>1088.87</v>
      </c>
      <c r="JS201">
        <v>20.1858</v>
      </c>
      <c r="JT201">
        <v>99.93519999999999</v>
      </c>
      <c r="JU201">
        <v>100.037</v>
      </c>
    </row>
    <row r="202" spans="1:281">
      <c r="A202">
        <v>186</v>
      </c>
      <c r="B202">
        <v>1652372698.5</v>
      </c>
      <c r="C202">
        <v>4604.900000095367</v>
      </c>
      <c r="D202" t="s">
        <v>840</v>
      </c>
      <c r="E202" t="s">
        <v>841</v>
      </c>
      <c r="F202">
        <v>5</v>
      </c>
      <c r="G202" t="s">
        <v>711</v>
      </c>
      <c r="H202" t="s">
        <v>414</v>
      </c>
      <c r="I202">
        <v>1652372690.678571</v>
      </c>
      <c r="J202">
        <f>(K202)/1000</f>
        <v>0</v>
      </c>
      <c r="K202">
        <f>IF(CZ202, AN202, AH202)</f>
        <v>0</v>
      </c>
      <c r="L202">
        <f>IF(CZ202, AI202, AG202)</f>
        <v>0</v>
      </c>
      <c r="M202">
        <f>DB202 - IF(AU202&gt;1, L202*CV202*100.0/(AW202*DP202), 0)</f>
        <v>0</v>
      </c>
      <c r="N202">
        <f>((T202-J202/2)*M202-L202)/(T202+J202/2)</f>
        <v>0</v>
      </c>
      <c r="O202">
        <f>N202*(DI202+DJ202)/1000.0</f>
        <v>0</v>
      </c>
      <c r="P202">
        <f>(DB202 - IF(AU202&gt;1, L202*CV202*100.0/(AW202*DP202), 0))*(DI202+DJ202)/1000.0</f>
        <v>0</v>
      </c>
      <c r="Q202">
        <f>2.0/((1/S202-1/R202)+SIGN(S202)*SQRT((1/S202-1/R202)*(1/S202-1/R202) + 4*CW202/((CW202+1)*(CW202+1))*(2*1/S202*1/R202-1/R202*1/R202)))</f>
        <v>0</v>
      </c>
      <c r="R202">
        <f>IF(LEFT(CX202,1)&lt;&gt;"0",IF(LEFT(CX202,1)="1",3.0,CY202),$D$5+$E$5*(DP202*DI202/($K$5*1000))+$F$5*(DP202*DI202/($K$5*1000))*MAX(MIN(CV202,$J$5),$I$5)*MAX(MIN(CV202,$J$5),$I$5)+$G$5*MAX(MIN(CV202,$J$5),$I$5)*(DP202*DI202/($K$5*1000))+$H$5*(DP202*DI202/($K$5*1000))*(DP202*DI202/($K$5*1000)))</f>
        <v>0</v>
      </c>
      <c r="S202">
        <f>J202*(1000-(1000*0.61365*exp(17.502*W202/(240.97+W202))/(DI202+DJ202)+DD202)/2)/(1000*0.61365*exp(17.502*W202/(240.97+W202))/(DI202+DJ202)-DD202)</f>
        <v>0</v>
      </c>
      <c r="T202">
        <f>1/((CW202+1)/(Q202/1.6)+1/(R202/1.37)) + CW202/((CW202+1)/(Q202/1.6) + CW202/(R202/1.37))</f>
        <v>0</v>
      </c>
      <c r="U202">
        <f>(CR202*CU202)</f>
        <v>0</v>
      </c>
      <c r="V202">
        <f>(DK202+(U202+2*0.95*5.67E-8*(((DK202+$B$7)+273)^4-(DK202+273)^4)-44100*J202)/(1.84*29.3*R202+8*0.95*5.67E-8*(DK202+273)^3))</f>
        <v>0</v>
      </c>
      <c r="W202">
        <f>($C$7*DL202+$D$7*DM202+$E$7*V202)</f>
        <v>0</v>
      </c>
      <c r="X202">
        <f>0.61365*exp(17.502*W202/(240.97+W202))</f>
        <v>0</v>
      </c>
      <c r="Y202">
        <f>(Z202/AA202*100)</f>
        <v>0</v>
      </c>
      <c r="Z202">
        <f>DD202*(DI202+DJ202)/1000</f>
        <v>0</v>
      </c>
      <c r="AA202">
        <f>0.61365*exp(17.502*DK202/(240.97+DK202))</f>
        <v>0</v>
      </c>
      <c r="AB202">
        <f>(X202-DD202*(DI202+DJ202)/1000)</f>
        <v>0</v>
      </c>
      <c r="AC202">
        <f>(-J202*44100)</f>
        <v>0</v>
      </c>
      <c r="AD202">
        <f>2*29.3*R202*0.92*(DK202-W202)</f>
        <v>0</v>
      </c>
      <c r="AE202">
        <f>2*0.95*5.67E-8*(((DK202+$B$7)+273)^4-(W202+273)^4)</f>
        <v>0</v>
      </c>
      <c r="AF202">
        <f>U202+AE202+AC202+AD202</f>
        <v>0</v>
      </c>
      <c r="AG202">
        <f>DH202*AU202*(DC202-DB202*(1000-AU202*DE202)/(1000-AU202*DD202))/(100*CV202)</f>
        <v>0</v>
      </c>
      <c r="AH202">
        <f>1000*DH202*AU202*(DD202-DE202)/(100*CV202*(1000-AU202*DD202))</f>
        <v>0</v>
      </c>
      <c r="AI202">
        <f>(AJ202 - AK202 - DI202*1E3/(8.314*(DK202+273.15)) * AM202/DH202 * AL202) * DH202/(100*CV202) * (1000 - DE202)/1000</f>
        <v>0</v>
      </c>
      <c r="AJ202">
        <v>1094.359358329983</v>
      </c>
      <c r="AK202">
        <v>1037.953636363636</v>
      </c>
      <c r="AL202">
        <v>3.420068596087777</v>
      </c>
      <c r="AM202">
        <v>65.96288611109561</v>
      </c>
      <c r="AN202">
        <f>(AP202 - AO202 + DI202*1E3/(8.314*(DK202+273.15)) * AR202/DH202 * AQ202) * DH202/(100*CV202) * 1000/(1000 - AP202)</f>
        <v>0</v>
      </c>
      <c r="AO202">
        <v>19.93037345297695</v>
      </c>
      <c r="AP202">
        <v>24.02616433566435</v>
      </c>
      <c r="AQ202">
        <v>0.0003785404653665278</v>
      </c>
      <c r="AR202">
        <v>81.18387902069509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MAX(0,($B$13+$C$13*DP202)/(1+$D$13*DP202)*DI202/(DK202+273)*$E$13)</f>
        <v>0</v>
      </c>
      <c r="AX202" t="s">
        <v>417</v>
      </c>
      <c r="AY202" t="s">
        <v>417</v>
      </c>
      <c r="AZ202">
        <v>0</v>
      </c>
      <c r="BA202">
        <v>0</v>
      </c>
      <c r="BB202">
        <f>1-AZ202/BA202</f>
        <v>0</v>
      </c>
      <c r="BC202">
        <v>0</v>
      </c>
      <c r="BD202" t="s">
        <v>417</v>
      </c>
      <c r="BE202" t="s">
        <v>417</v>
      </c>
      <c r="BF202">
        <v>0</v>
      </c>
      <c r="BG202">
        <v>0</v>
      </c>
      <c r="BH202">
        <f>1-BF202/BG202</f>
        <v>0</v>
      </c>
      <c r="BI202">
        <v>0.5</v>
      </c>
      <c r="BJ202">
        <f>CS202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417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1393</v>
      </c>
      <c r="CA202">
        <v>300</v>
      </c>
      <c r="CB202">
        <v>300</v>
      </c>
      <c r="CC202">
        <v>300</v>
      </c>
      <c r="CD202">
        <v>10378</v>
      </c>
      <c r="CE202">
        <v>2050</v>
      </c>
      <c r="CF202">
        <v>-0.00730649</v>
      </c>
      <c r="CG202">
        <v>-4.53</v>
      </c>
      <c r="CH202" t="s">
        <v>417</v>
      </c>
      <c r="CI202" t="s">
        <v>417</v>
      </c>
      <c r="CJ202" t="s">
        <v>417</v>
      </c>
      <c r="CK202" t="s">
        <v>417</v>
      </c>
      <c r="CL202" t="s">
        <v>417</v>
      </c>
      <c r="CM202" t="s">
        <v>417</v>
      </c>
      <c r="CN202" t="s">
        <v>417</v>
      </c>
      <c r="CO202" t="s">
        <v>417</v>
      </c>
      <c r="CP202" t="s">
        <v>417</v>
      </c>
      <c r="CQ202" t="s">
        <v>417</v>
      </c>
      <c r="CR202">
        <f>$B$11*DQ202+$C$11*DR202+$F$11*EC202*(1-EF202)</f>
        <v>0</v>
      </c>
      <c r="CS202">
        <f>CR202*CT202</f>
        <v>0</v>
      </c>
      <c r="CT202">
        <f>($B$11*$D$9+$C$11*$D$9+$F$11*((EP202+EH202)/MAX(EP202+EH202+EQ202, 0.1)*$I$9+EQ202/MAX(EP202+EH202+EQ202, 0.1)*$J$9))/($B$11+$C$11+$F$11)</f>
        <v>0</v>
      </c>
      <c r="CU202">
        <f>($B$11*$K$9+$C$11*$K$9+$F$11*((EP202+EH202)/MAX(EP202+EH202+EQ202, 0.1)*$P$9+EQ202/MAX(EP202+EH202+EQ202, 0.1)*$Q$9))/($B$11+$C$11+$F$11)</f>
        <v>0</v>
      </c>
      <c r="CV202">
        <v>6</v>
      </c>
      <c r="CW202">
        <v>0.5</v>
      </c>
      <c r="CX202" t="s">
        <v>418</v>
      </c>
      <c r="CY202">
        <v>2</v>
      </c>
      <c r="CZ202" t="b">
        <v>1</v>
      </c>
      <c r="DA202">
        <v>1652372690.678571</v>
      </c>
      <c r="DB202">
        <v>988.7432500000001</v>
      </c>
      <c r="DC202">
        <v>1059.411785714286</v>
      </c>
      <c r="DD202">
        <v>24.02270357142858</v>
      </c>
      <c r="DE202">
        <v>19.81568928571429</v>
      </c>
      <c r="DF202">
        <v>989.8128571428571</v>
      </c>
      <c r="DG202">
        <v>23.98498928571428</v>
      </c>
      <c r="DH202">
        <v>400.0838928571429</v>
      </c>
      <c r="DI202">
        <v>90.39093214285712</v>
      </c>
      <c r="DJ202">
        <v>0.1000174571428571</v>
      </c>
      <c r="DK202">
        <v>30.83877857142857</v>
      </c>
      <c r="DL202">
        <v>30.08966071428571</v>
      </c>
      <c r="DM202">
        <v>999.9000000000002</v>
      </c>
      <c r="DN202">
        <v>0</v>
      </c>
      <c r="DO202">
        <v>0</v>
      </c>
      <c r="DP202">
        <v>10008.685</v>
      </c>
      <c r="DQ202">
        <v>0</v>
      </c>
      <c r="DR202">
        <v>404.6146071428572</v>
      </c>
      <c r="DS202">
        <v>-70.66861428571428</v>
      </c>
      <c r="DT202">
        <v>1013.080392857143</v>
      </c>
      <c r="DU202">
        <v>1080.830714285715</v>
      </c>
      <c r="DV202">
        <v>4.207024285714286</v>
      </c>
      <c r="DW202">
        <v>1059.411785714286</v>
      </c>
      <c r="DX202">
        <v>19.81568928571429</v>
      </c>
      <c r="DY202">
        <v>2.171434285714286</v>
      </c>
      <c r="DZ202">
        <v>1.791158571428571</v>
      </c>
      <c r="EA202">
        <v>18.75311071428571</v>
      </c>
      <c r="EB202">
        <v>15.7095</v>
      </c>
      <c r="EC202">
        <v>1499.976785714285</v>
      </c>
      <c r="ED202">
        <v>0.9730030357142857</v>
      </c>
      <c r="EE202">
        <v>0.02699682142857143</v>
      </c>
      <c r="EF202">
        <v>0</v>
      </c>
      <c r="EG202">
        <v>1654.021071428571</v>
      </c>
      <c r="EH202">
        <v>5.00097</v>
      </c>
      <c r="EI202">
        <v>25498.90357142857</v>
      </c>
      <c r="EJ202">
        <v>12491.40714285714</v>
      </c>
      <c r="EK202">
        <v>40.06199999999999</v>
      </c>
      <c r="EL202">
        <v>41.56199999999999</v>
      </c>
      <c r="EM202">
        <v>40.31199999999999</v>
      </c>
      <c r="EN202">
        <v>41.375</v>
      </c>
      <c r="EO202">
        <v>41.18257142857141</v>
      </c>
      <c r="EP202">
        <v>1454.616428571429</v>
      </c>
      <c r="EQ202">
        <v>40.36035714285713</v>
      </c>
      <c r="ER202">
        <v>0</v>
      </c>
      <c r="ES202">
        <v>1532.799999952316</v>
      </c>
      <c r="ET202">
        <v>0</v>
      </c>
      <c r="EU202">
        <v>1653.3688</v>
      </c>
      <c r="EV202">
        <v>-44.81307692375059</v>
      </c>
      <c r="EW202">
        <v>-692.4230769414019</v>
      </c>
      <c r="EX202">
        <v>25488.788</v>
      </c>
      <c r="EY202">
        <v>15</v>
      </c>
      <c r="EZ202">
        <v>1652371289.6</v>
      </c>
      <c r="FA202" t="s">
        <v>515</v>
      </c>
      <c r="FB202">
        <v>1652371289.6</v>
      </c>
      <c r="FC202">
        <v>1652371275.1</v>
      </c>
      <c r="FD202">
        <v>24</v>
      </c>
      <c r="FE202">
        <v>0.442</v>
      </c>
      <c r="FF202">
        <v>0.001</v>
      </c>
      <c r="FG202">
        <v>-2.63</v>
      </c>
      <c r="FH202">
        <v>0.007</v>
      </c>
      <c r="FI202">
        <v>1620</v>
      </c>
      <c r="FJ202">
        <v>22</v>
      </c>
      <c r="FK202">
        <v>0.08</v>
      </c>
      <c r="FL202">
        <v>0.04</v>
      </c>
      <c r="FM202">
        <v>-70.71878749999999</v>
      </c>
      <c r="FN202">
        <v>0.2388821763601148</v>
      </c>
      <c r="FO202">
        <v>0.2381220487349912</v>
      </c>
      <c r="FP202">
        <v>-1</v>
      </c>
      <c r="FQ202">
        <v>4.29546125</v>
      </c>
      <c r="FR202">
        <v>-1.847530018761724</v>
      </c>
      <c r="FS202">
        <v>0.1781656967570848</v>
      </c>
      <c r="FT202">
        <v>0</v>
      </c>
      <c r="FU202">
        <v>0</v>
      </c>
      <c r="FV202">
        <v>0</v>
      </c>
      <c r="FW202">
        <v>0</v>
      </c>
      <c r="FX202">
        <v>-1</v>
      </c>
      <c r="FY202">
        <v>0</v>
      </c>
      <c r="FZ202">
        <v>1</v>
      </c>
      <c r="GA202" t="s">
        <v>432</v>
      </c>
      <c r="GB202">
        <v>2.69562</v>
      </c>
      <c r="GC202">
        <v>2.70516</v>
      </c>
      <c r="GD202">
        <v>0.172755</v>
      </c>
      <c r="GE202">
        <v>0.178504</v>
      </c>
      <c r="GF202">
        <v>0.106095</v>
      </c>
      <c r="GG202">
        <v>0.0920035</v>
      </c>
      <c r="GH202">
        <v>25996.9</v>
      </c>
      <c r="GI202">
        <v>25926.9</v>
      </c>
      <c r="GJ202">
        <v>29236.8</v>
      </c>
      <c r="GK202">
        <v>29208.6</v>
      </c>
      <c r="GL202">
        <v>34603.3</v>
      </c>
      <c r="GM202">
        <v>35302.8</v>
      </c>
      <c r="GN202">
        <v>41149.7</v>
      </c>
      <c r="GO202">
        <v>41674.6</v>
      </c>
      <c r="GP202">
        <v>1.72235</v>
      </c>
      <c r="GQ202">
        <v>2.033</v>
      </c>
      <c r="GR202">
        <v>0.0723824</v>
      </c>
      <c r="GS202">
        <v>0</v>
      </c>
      <c r="GT202">
        <v>28.9088</v>
      </c>
      <c r="GU202">
        <v>999.9</v>
      </c>
      <c r="GV202">
        <v>44.2</v>
      </c>
      <c r="GW202">
        <v>33.4</v>
      </c>
      <c r="GX202">
        <v>25.265</v>
      </c>
      <c r="GY202">
        <v>63.538</v>
      </c>
      <c r="GZ202">
        <v>28.8061</v>
      </c>
      <c r="HA202">
        <v>1</v>
      </c>
      <c r="HB202">
        <v>0.26954</v>
      </c>
      <c r="HC202">
        <v>1.28838</v>
      </c>
      <c r="HD202">
        <v>20.3758</v>
      </c>
      <c r="HE202">
        <v>5.21699</v>
      </c>
      <c r="HF202">
        <v>12.0099</v>
      </c>
      <c r="HG202">
        <v>4.98815</v>
      </c>
      <c r="HH202">
        <v>3.28823</v>
      </c>
      <c r="HI202">
        <v>2730.6</v>
      </c>
      <c r="HJ202">
        <v>9999</v>
      </c>
      <c r="HK202">
        <v>9999</v>
      </c>
      <c r="HL202">
        <v>50.1</v>
      </c>
      <c r="HM202">
        <v>1.86722</v>
      </c>
      <c r="HN202">
        <v>1.86626</v>
      </c>
      <c r="HO202">
        <v>1.86581</v>
      </c>
      <c r="HP202">
        <v>1.86569</v>
      </c>
      <c r="HQ202">
        <v>1.8675</v>
      </c>
      <c r="HR202">
        <v>1.86998</v>
      </c>
      <c r="HS202">
        <v>1.86866</v>
      </c>
      <c r="HT202">
        <v>1.87003</v>
      </c>
      <c r="HU202">
        <v>0</v>
      </c>
      <c r="HV202">
        <v>0</v>
      </c>
      <c r="HW202">
        <v>0</v>
      </c>
      <c r="HX202">
        <v>0</v>
      </c>
      <c r="HY202" t="s">
        <v>421</v>
      </c>
      <c r="HZ202" t="s">
        <v>422</v>
      </c>
      <c r="IA202" t="s">
        <v>423</v>
      </c>
      <c r="IB202" t="s">
        <v>423</v>
      </c>
      <c r="IC202" t="s">
        <v>423</v>
      </c>
      <c r="ID202" t="s">
        <v>423</v>
      </c>
      <c r="IE202">
        <v>0</v>
      </c>
      <c r="IF202">
        <v>100</v>
      </c>
      <c r="IG202">
        <v>100</v>
      </c>
      <c r="IH202">
        <v>-1.13</v>
      </c>
      <c r="II202">
        <v>0.0378</v>
      </c>
      <c r="IJ202">
        <v>1.257309091789605</v>
      </c>
      <c r="IK202">
        <v>-0.002185601614162945</v>
      </c>
      <c r="IL202">
        <v>-2.252308143750626E-07</v>
      </c>
      <c r="IM202">
        <v>5.915558436307541E-11</v>
      </c>
      <c r="IN202">
        <v>-0.118683452207699</v>
      </c>
      <c r="IO202">
        <v>-0.007570214193104963</v>
      </c>
      <c r="IP202">
        <v>0.0009214429922928372</v>
      </c>
      <c r="IQ202">
        <v>-1.392260276065805E-05</v>
      </c>
      <c r="IR202">
        <v>17</v>
      </c>
      <c r="IS202">
        <v>2272</v>
      </c>
      <c r="IT202">
        <v>1</v>
      </c>
      <c r="IU202">
        <v>31</v>
      </c>
      <c r="IV202">
        <v>23.5</v>
      </c>
      <c r="IW202">
        <v>23.7</v>
      </c>
      <c r="IX202">
        <v>2.25952</v>
      </c>
      <c r="IY202">
        <v>2.20337</v>
      </c>
      <c r="IZ202">
        <v>1.39648</v>
      </c>
      <c r="JA202">
        <v>2.35474</v>
      </c>
      <c r="JB202">
        <v>1.49536</v>
      </c>
      <c r="JC202">
        <v>2.34741</v>
      </c>
      <c r="JD202">
        <v>37.0509</v>
      </c>
      <c r="JE202">
        <v>15.2265</v>
      </c>
      <c r="JF202">
        <v>18</v>
      </c>
      <c r="JG202">
        <v>388.039</v>
      </c>
      <c r="JH202">
        <v>570.179</v>
      </c>
      <c r="JI202">
        <v>28.5703</v>
      </c>
      <c r="JJ202">
        <v>30.8565</v>
      </c>
      <c r="JK202">
        <v>30.0004</v>
      </c>
      <c r="JL202">
        <v>30.7643</v>
      </c>
      <c r="JM202">
        <v>30.6658</v>
      </c>
      <c r="JN202">
        <v>45.2235</v>
      </c>
      <c r="JO202">
        <v>22.1417</v>
      </c>
      <c r="JP202">
        <v>0</v>
      </c>
      <c r="JQ202">
        <v>28.5203</v>
      </c>
      <c r="JR202">
        <v>1108.91</v>
      </c>
      <c r="JS202">
        <v>20.336</v>
      </c>
      <c r="JT202">
        <v>99.93380000000001</v>
      </c>
      <c r="JU202">
        <v>100.037</v>
      </c>
    </row>
    <row r="203" spans="1:281">
      <c r="A203">
        <v>187</v>
      </c>
      <c r="B203">
        <v>1652372704</v>
      </c>
      <c r="C203">
        <v>4610.400000095367</v>
      </c>
      <c r="D203" t="s">
        <v>842</v>
      </c>
      <c r="E203" t="s">
        <v>843</v>
      </c>
      <c r="F203">
        <v>5</v>
      </c>
      <c r="G203" t="s">
        <v>711</v>
      </c>
      <c r="H203" t="s">
        <v>414</v>
      </c>
      <c r="I203">
        <v>1652372696.25</v>
      </c>
      <c r="J203">
        <f>(K203)/1000</f>
        <v>0</v>
      </c>
      <c r="K203">
        <f>IF(CZ203, AN203, AH203)</f>
        <v>0</v>
      </c>
      <c r="L203">
        <f>IF(CZ203, AI203, AG203)</f>
        <v>0</v>
      </c>
      <c r="M203">
        <f>DB203 - IF(AU203&gt;1, L203*CV203*100.0/(AW203*DP203), 0)</f>
        <v>0</v>
      </c>
      <c r="N203">
        <f>((T203-J203/2)*M203-L203)/(T203+J203/2)</f>
        <v>0</v>
      </c>
      <c r="O203">
        <f>N203*(DI203+DJ203)/1000.0</f>
        <v>0</v>
      </c>
      <c r="P203">
        <f>(DB203 - IF(AU203&gt;1, L203*CV203*100.0/(AW203*DP203), 0))*(DI203+DJ203)/1000.0</f>
        <v>0</v>
      </c>
      <c r="Q203">
        <f>2.0/((1/S203-1/R203)+SIGN(S203)*SQRT((1/S203-1/R203)*(1/S203-1/R203) + 4*CW203/((CW203+1)*(CW203+1))*(2*1/S203*1/R203-1/R203*1/R203)))</f>
        <v>0</v>
      </c>
      <c r="R203">
        <f>IF(LEFT(CX203,1)&lt;&gt;"0",IF(LEFT(CX203,1)="1",3.0,CY203),$D$5+$E$5*(DP203*DI203/($K$5*1000))+$F$5*(DP203*DI203/($K$5*1000))*MAX(MIN(CV203,$J$5),$I$5)*MAX(MIN(CV203,$J$5),$I$5)+$G$5*MAX(MIN(CV203,$J$5),$I$5)*(DP203*DI203/($K$5*1000))+$H$5*(DP203*DI203/($K$5*1000))*(DP203*DI203/($K$5*1000)))</f>
        <v>0</v>
      </c>
      <c r="S203">
        <f>J203*(1000-(1000*0.61365*exp(17.502*W203/(240.97+W203))/(DI203+DJ203)+DD203)/2)/(1000*0.61365*exp(17.502*W203/(240.97+W203))/(DI203+DJ203)-DD203)</f>
        <v>0</v>
      </c>
      <c r="T203">
        <f>1/((CW203+1)/(Q203/1.6)+1/(R203/1.37)) + CW203/((CW203+1)/(Q203/1.6) + CW203/(R203/1.37))</f>
        <v>0</v>
      </c>
      <c r="U203">
        <f>(CR203*CU203)</f>
        <v>0</v>
      </c>
      <c r="V203">
        <f>(DK203+(U203+2*0.95*5.67E-8*(((DK203+$B$7)+273)^4-(DK203+273)^4)-44100*J203)/(1.84*29.3*R203+8*0.95*5.67E-8*(DK203+273)^3))</f>
        <v>0</v>
      </c>
      <c r="W203">
        <f>($C$7*DL203+$D$7*DM203+$E$7*V203)</f>
        <v>0</v>
      </c>
      <c r="X203">
        <f>0.61365*exp(17.502*W203/(240.97+W203))</f>
        <v>0</v>
      </c>
      <c r="Y203">
        <f>(Z203/AA203*100)</f>
        <v>0</v>
      </c>
      <c r="Z203">
        <f>DD203*(DI203+DJ203)/1000</f>
        <v>0</v>
      </c>
      <c r="AA203">
        <f>0.61365*exp(17.502*DK203/(240.97+DK203))</f>
        <v>0</v>
      </c>
      <c r="AB203">
        <f>(X203-DD203*(DI203+DJ203)/1000)</f>
        <v>0</v>
      </c>
      <c r="AC203">
        <f>(-J203*44100)</f>
        <v>0</v>
      </c>
      <c r="AD203">
        <f>2*29.3*R203*0.92*(DK203-W203)</f>
        <v>0</v>
      </c>
      <c r="AE203">
        <f>2*0.95*5.67E-8*(((DK203+$B$7)+273)^4-(W203+273)^4)</f>
        <v>0</v>
      </c>
      <c r="AF203">
        <f>U203+AE203+AC203+AD203</f>
        <v>0</v>
      </c>
      <c r="AG203">
        <f>DH203*AU203*(DC203-DB203*(1000-AU203*DE203)/(1000-AU203*DD203))/(100*CV203)</f>
        <v>0</v>
      </c>
      <c r="AH203">
        <f>1000*DH203*AU203*(DD203-DE203)/(100*CV203*(1000-AU203*DD203))</f>
        <v>0</v>
      </c>
      <c r="AI203">
        <f>(AJ203 - AK203 - DI203*1E3/(8.314*(DK203+273.15)) * AM203/DH203 * AL203) * DH203/(100*CV203) * (1000 - DE203)/1000</f>
        <v>0</v>
      </c>
      <c r="AJ203">
        <v>1113.325048437181</v>
      </c>
      <c r="AK203">
        <v>1056.744121212121</v>
      </c>
      <c r="AL203">
        <v>3.407063609902272</v>
      </c>
      <c r="AM203">
        <v>65.96288611109561</v>
      </c>
      <c r="AN203">
        <f>(AP203 - AO203 + DI203*1E3/(8.314*(DK203+273.15)) * AR203/DH203 * AQ203) * DH203/(100*CV203) * 1000/(1000 - AP203)</f>
        <v>0</v>
      </c>
      <c r="AO203">
        <v>20.06084929757823</v>
      </c>
      <c r="AP203">
        <v>24.02805874125876</v>
      </c>
      <c r="AQ203">
        <v>-9.632409684217292E-05</v>
      </c>
      <c r="AR203">
        <v>81.18387902069509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MAX(0,($B$13+$C$13*DP203)/(1+$D$13*DP203)*DI203/(DK203+273)*$E$13)</f>
        <v>0</v>
      </c>
      <c r="AX203" t="s">
        <v>417</v>
      </c>
      <c r="AY203" t="s">
        <v>417</v>
      </c>
      <c r="AZ203">
        <v>0</v>
      </c>
      <c r="BA203">
        <v>0</v>
      </c>
      <c r="BB203">
        <f>1-AZ203/BA203</f>
        <v>0</v>
      </c>
      <c r="BC203">
        <v>0</v>
      </c>
      <c r="BD203" t="s">
        <v>417</v>
      </c>
      <c r="BE203" t="s">
        <v>417</v>
      </c>
      <c r="BF203">
        <v>0</v>
      </c>
      <c r="BG203">
        <v>0</v>
      </c>
      <c r="BH203">
        <f>1-BF203/BG203</f>
        <v>0</v>
      </c>
      <c r="BI203">
        <v>0.5</v>
      </c>
      <c r="BJ203">
        <f>CS203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417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1393</v>
      </c>
      <c r="CA203">
        <v>300</v>
      </c>
      <c r="CB203">
        <v>300</v>
      </c>
      <c r="CC203">
        <v>300</v>
      </c>
      <c r="CD203">
        <v>10378</v>
      </c>
      <c r="CE203">
        <v>2050</v>
      </c>
      <c r="CF203">
        <v>-0.00730649</v>
      </c>
      <c r="CG203">
        <v>-4.53</v>
      </c>
      <c r="CH203" t="s">
        <v>417</v>
      </c>
      <c r="CI203" t="s">
        <v>417</v>
      </c>
      <c r="CJ203" t="s">
        <v>417</v>
      </c>
      <c r="CK203" t="s">
        <v>417</v>
      </c>
      <c r="CL203" t="s">
        <v>417</v>
      </c>
      <c r="CM203" t="s">
        <v>417</v>
      </c>
      <c r="CN203" t="s">
        <v>417</v>
      </c>
      <c r="CO203" t="s">
        <v>417</v>
      </c>
      <c r="CP203" t="s">
        <v>417</v>
      </c>
      <c r="CQ203" t="s">
        <v>417</v>
      </c>
      <c r="CR203">
        <f>$B$11*DQ203+$C$11*DR203+$F$11*EC203*(1-EF203)</f>
        <v>0</v>
      </c>
      <c r="CS203">
        <f>CR203*CT203</f>
        <v>0</v>
      </c>
      <c r="CT203">
        <f>($B$11*$D$9+$C$11*$D$9+$F$11*((EP203+EH203)/MAX(EP203+EH203+EQ203, 0.1)*$I$9+EQ203/MAX(EP203+EH203+EQ203, 0.1)*$J$9))/($B$11+$C$11+$F$11)</f>
        <v>0</v>
      </c>
      <c r="CU203">
        <f>($B$11*$K$9+$C$11*$K$9+$F$11*((EP203+EH203)/MAX(EP203+EH203+EQ203, 0.1)*$P$9+EQ203/MAX(EP203+EH203+EQ203, 0.1)*$Q$9))/($B$11+$C$11+$F$11)</f>
        <v>0</v>
      </c>
      <c r="CV203">
        <v>6</v>
      </c>
      <c r="CW203">
        <v>0.5</v>
      </c>
      <c r="CX203" t="s">
        <v>418</v>
      </c>
      <c r="CY203">
        <v>2</v>
      </c>
      <c r="CZ203" t="b">
        <v>1</v>
      </c>
      <c r="DA203">
        <v>1652372696.25</v>
      </c>
      <c r="DB203">
        <v>1007.195321428571</v>
      </c>
      <c r="DC203">
        <v>1077.999642857143</v>
      </c>
      <c r="DD203">
        <v>24.02347857142857</v>
      </c>
      <c r="DE203">
        <v>19.98503571428571</v>
      </c>
      <c r="DF203">
        <v>1008.310464285714</v>
      </c>
      <c r="DG203">
        <v>23.98574642857143</v>
      </c>
      <c r="DH203">
        <v>400.07275</v>
      </c>
      <c r="DI203">
        <v>90.39116071428573</v>
      </c>
      <c r="DJ203">
        <v>0.09999194285714287</v>
      </c>
      <c r="DK203">
        <v>30.82605714285714</v>
      </c>
      <c r="DL203">
        <v>30.08889285714286</v>
      </c>
      <c r="DM203">
        <v>999.9000000000002</v>
      </c>
      <c r="DN203">
        <v>0</v>
      </c>
      <c r="DO203">
        <v>0</v>
      </c>
      <c r="DP203">
        <v>10009.20107142857</v>
      </c>
      <c r="DQ203">
        <v>0</v>
      </c>
      <c r="DR203">
        <v>404.9668571428571</v>
      </c>
      <c r="DS203">
        <v>-70.80513571428573</v>
      </c>
      <c r="DT203">
        <v>1031.9875</v>
      </c>
      <c r="DU203">
        <v>1099.985714285714</v>
      </c>
      <c r="DV203">
        <v>4.038456071428572</v>
      </c>
      <c r="DW203">
        <v>1077.999642857143</v>
      </c>
      <c r="DX203">
        <v>19.98503571428571</v>
      </c>
      <c r="DY203">
        <v>2.17151</v>
      </c>
      <c r="DZ203">
        <v>1.80647</v>
      </c>
      <c r="EA203">
        <v>18.75366428571429</v>
      </c>
      <c r="EB203">
        <v>15.84258571428571</v>
      </c>
      <c r="EC203">
        <v>1500.003214285714</v>
      </c>
      <c r="ED203">
        <v>0.9730037500000002</v>
      </c>
      <c r="EE203">
        <v>0.02699605</v>
      </c>
      <c r="EF203">
        <v>0</v>
      </c>
      <c r="EG203">
        <v>1649.926428571429</v>
      </c>
      <c r="EH203">
        <v>5.00097</v>
      </c>
      <c r="EI203">
        <v>25440.61785714286</v>
      </c>
      <c r="EJ203">
        <v>12491.63571428571</v>
      </c>
      <c r="EK203">
        <v>40.06199999999999</v>
      </c>
      <c r="EL203">
        <v>41.56199999999999</v>
      </c>
      <c r="EM203">
        <v>40.31199999999999</v>
      </c>
      <c r="EN203">
        <v>41.375</v>
      </c>
      <c r="EO203">
        <v>41.18257142857141</v>
      </c>
      <c r="EP203">
        <v>1454.642857142857</v>
      </c>
      <c r="EQ203">
        <v>40.36035714285713</v>
      </c>
      <c r="ER203">
        <v>0</v>
      </c>
      <c r="ES203">
        <v>1538.199999809265</v>
      </c>
      <c r="ET203">
        <v>0</v>
      </c>
      <c r="EU203">
        <v>1649.645769230769</v>
      </c>
      <c r="EV203">
        <v>-41.42529913659502</v>
      </c>
      <c r="EW203">
        <v>-540.5880342620352</v>
      </c>
      <c r="EX203">
        <v>25437.14615384616</v>
      </c>
      <c r="EY203">
        <v>15</v>
      </c>
      <c r="EZ203">
        <v>1652371289.6</v>
      </c>
      <c r="FA203" t="s">
        <v>515</v>
      </c>
      <c r="FB203">
        <v>1652371289.6</v>
      </c>
      <c r="FC203">
        <v>1652371275.1</v>
      </c>
      <c r="FD203">
        <v>24</v>
      </c>
      <c r="FE203">
        <v>0.442</v>
      </c>
      <c r="FF203">
        <v>0.001</v>
      </c>
      <c r="FG203">
        <v>-2.63</v>
      </c>
      <c r="FH203">
        <v>0.007</v>
      </c>
      <c r="FI203">
        <v>1620</v>
      </c>
      <c r="FJ203">
        <v>22</v>
      </c>
      <c r="FK203">
        <v>0.08</v>
      </c>
      <c r="FL203">
        <v>0.04</v>
      </c>
      <c r="FM203">
        <v>-70.70309</v>
      </c>
      <c r="FN203">
        <v>-1.541601500938015</v>
      </c>
      <c r="FO203">
        <v>0.1576312814767426</v>
      </c>
      <c r="FP203">
        <v>-1</v>
      </c>
      <c r="FQ203">
        <v>4.146769</v>
      </c>
      <c r="FR203">
        <v>-1.806355497185759</v>
      </c>
      <c r="FS203">
        <v>0.1743125835503565</v>
      </c>
      <c r="FT203">
        <v>0</v>
      </c>
      <c r="FU203">
        <v>0</v>
      </c>
      <c r="FV203">
        <v>0</v>
      </c>
      <c r="FW203">
        <v>0</v>
      </c>
      <c r="FX203">
        <v>-1</v>
      </c>
      <c r="FY203">
        <v>0</v>
      </c>
      <c r="FZ203">
        <v>1</v>
      </c>
      <c r="GA203" t="s">
        <v>432</v>
      </c>
      <c r="GB203">
        <v>2.69555</v>
      </c>
      <c r="GC203">
        <v>2.70527</v>
      </c>
      <c r="GD203">
        <v>0.174759</v>
      </c>
      <c r="GE203">
        <v>0.180433</v>
      </c>
      <c r="GF203">
        <v>0.106107</v>
      </c>
      <c r="GG203">
        <v>0.0926037</v>
      </c>
      <c r="GH203">
        <v>25933.3</v>
      </c>
      <c r="GI203">
        <v>25865.9</v>
      </c>
      <c r="GJ203">
        <v>29236.2</v>
      </c>
      <c r="GK203">
        <v>29208.6</v>
      </c>
      <c r="GL203">
        <v>34602.4</v>
      </c>
      <c r="GM203">
        <v>35279.3</v>
      </c>
      <c r="GN203">
        <v>41149.1</v>
      </c>
      <c r="GO203">
        <v>41674.6</v>
      </c>
      <c r="GP203">
        <v>1.72208</v>
      </c>
      <c r="GQ203">
        <v>2.03325</v>
      </c>
      <c r="GR203">
        <v>0.0723898</v>
      </c>
      <c r="GS203">
        <v>0</v>
      </c>
      <c r="GT203">
        <v>28.9076</v>
      </c>
      <c r="GU203">
        <v>999.9</v>
      </c>
      <c r="GV203">
        <v>44.2</v>
      </c>
      <c r="GW203">
        <v>33.4</v>
      </c>
      <c r="GX203">
        <v>25.2638</v>
      </c>
      <c r="GY203">
        <v>63.328</v>
      </c>
      <c r="GZ203">
        <v>29.3149</v>
      </c>
      <c r="HA203">
        <v>1</v>
      </c>
      <c r="HB203">
        <v>0.269893</v>
      </c>
      <c r="HC203">
        <v>1.36018</v>
      </c>
      <c r="HD203">
        <v>20.3754</v>
      </c>
      <c r="HE203">
        <v>5.21834</v>
      </c>
      <c r="HF203">
        <v>12.0099</v>
      </c>
      <c r="HG203">
        <v>4.98875</v>
      </c>
      <c r="HH203">
        <v>3.28848</v>
      </c>
      <c r="HI203">
        <v>2730.6</v>
      </c>
      <c r="HJ203">
        <v>9999</v>
      </c>
      <c r="HK203">
        <v>9999</v>
      </c>
      <c r="HL203">
        <v>50.1</v>
      </c>
      <c r="HM203">
        <v>1.86722</v>
      </c>
      <c r="HN203">
        <v>1.86626</v>
      </c>
      <c r="HO203">
        <v>1.86581</v>
      </c>
      <c r="HP203">
        <v>1.86569</v>
      </c>
      <c r="HQ203">
        <v>1.86747</v>
      </c>
      <c r="HR203">
        <v>1.86999</v>
      </c>
      <c r="HS203">
        <v>1.86862</v>
      </c>
      <c r="HT203">
        <v>1.86999</v>
      </c>
      <c r="HU203">
        <v>0</v>
      </c>
      <c r="HV203">
        <v>0</v>
      </c>
      <c r="HW203">
        <v>0</v>
      </c>
      <c r="HX203">
        <v>0</v>
      </c>
      <c r="HY203" t="s">
        <v>421</v>
      </c>
      <c r="HZ203" t="s">
        <v>422</v>
      </c>
      <c r="IA203" t="s">
        <v>423</v>
      </c>
      <c r="IB203" t="s">
        <v>423</v>
      </c>
      <c r="IC203" t="s">
        <v>423</v>
      </c>
      <c r="ID203" t="s">
        <v>423</v>
      </c>
      <c r="IE203">
        <v>0</v>
      </c>
      <c r="IF203">
        <v>100</v>
      </c>
      <c r="IG203">
        <v>100</v>
      </c>
      <c r="IH203">
        <v>-1.18</v>
      </c>
      <c r="II203">
        <v>0.0378</v>
      </c>
      <c r="IJ203">
        <v>1.257309091789605</v>
      </c>
      <c r="IK203">
        <v>-0.002185601614162945</v>
      </c>
      <c r="IL203">
        <v>-2.252308143750626E-07</v>
      </c>
      <c r="IM203">
        <v>5.915558436307541E-11</v>
      </c>
      <c r="IN203">
        <v>-0.118683452207699</v>
      </c>
      <c r="IO203">
        <v>-0.007570214193104963</v>
      </c>
      <c r="IP203">
        <v>0.0009214429922928372</v>
      </c>
      <c r="IQ203">
        <v>-1.392260276065805E-05</v>
      </c>
      <c r="IR203">
        <v>17</v>
      </c>
      <c r="IS203">
        <v>2272</v>
      </c>
      <c r="IT203">
        <v>1</v>
      </c>
      <c r="IU203">
        <v>31</v>
      </c>
      <c r="IV203">
        <v>23.6</v>
      </c>
      <c r="IW203">
        <v>23.8</v>
      </c>
      <c r="IX203">
        <v>2.28882</v>
      </c>
      <c r="IY203">
        <v>2.20215</v>
      </c>
      <c r="IZ203">
        <v>1.39648</v>
      </c>
      <c r="JA203">
        <v>2.35474</v>
      </c>
      <c r="JB203">
        <v>1.49536</v>
      </c>
      <c r="JC203">
        <v>2.38403</v>
      </c>
      <c r="JD203">
        <v>37.0509</v>
      </c>
      <c r="JE203">
        <v>15.2353</v>
      </c>
      <c r="JF203">
        <v>18</v>
      </c>
      <c r="JG203">
        <v>387.907</v>
      </c>
      <c r="JH203">
        <v>570.391</v>
      </c>
      <c r="JI203">
        <v>28.4725</v>
      </c>
      <c r="JJ203">
        <v>30.8565</v>
      </c>
      <c r="JK203">
        <v>30.0003</v>
      </c>
      <c r="JL203">
        <v>30.7669</v>
      </c>
      <c r="JM203">
        <v>30.6682</v>
      </c>
      <c r="JN203">
        <v>45.864</v>
      </c>
      <c r="JO203">
        <v>21.261</v>
      </c>
      <c r="JP203">
        <v>0</v>
      </c>
      <c r="JQ203">
        <v>28.4335</v>
      </c>
      <c r="JR203">
        <v>1122.36</v>
      </c>
      <c r="JS203">
        <v>20.5055</v>
      </c>
      <c r="JT203">
        <v>99.93219999999999</v>
      </c>
      <c r="JU203">
        <v>100.037</v>
      </c>
    </row>
    <row r="204" spans="1:281">
      <c r="A204">
        <v>188</v>
      </c>
      <c r="B204">
        <v>1652372708.5</v>
      </c>
      <c r="C204">
        <v>4614.900000095367</v>
      </c>
      <c r="D204" t="s">
        <v>844</v>
      </c>
      <c r="E204" t="s">
        <v>845</v>
      </c>
      <c r="F204">
        <v>5</v>
      </c>
      <c r="G204" t="s">
        <v>711</v>
      </c>
      <c r="H204" t="s">
        <v>414</v>
      </c>
      <c r="I204">
        <v>1652372700.678571</v>
      </c>
      <c r="J204">
        <f>(K204)/1000</f>
        <v>0</v>
      </c>
      <c r="K204">
        <f>IF(CZ204, AN204, AH204)</f>
        <v>0</v>
      </c>
      <c r="L204">
        <f>IF(CZ204, AI204, AG204)</f>
        <v>0</v>
      </c>
      <c r="M204">
        <f>DB204 - IF(AU204&gt;1, L204*CV204*100.0/(AW204*DP204), 0)</f>
        <v>0</v>
      </c>
      <c r="N204">
        <f>((T204-J204/2)*M204-L204)/(T204+J204/2)</f>
        <v>0</v>
      </c>
      <c r="O204">
        <f>N204*(DI204+DJ204)/1000.0</f>
        <v>0</v>
      </c>
      <c r="P204">
        <f>(DB204 - IF(AU204&gt;1, L204*CV204*100.0/(AW204*DP204), 0))*(DI204+DJ204)/1000.0</f>
        <v>0</v>
      </c>
      <c r="Q204">
        <f>2.0/((1/S204-1/R204)+SIGN(S204)*SQRT((1/S204-1/R204)*(1/S204-1/R204) + 4*CW204/((CW204+1)*(CW204+1))*(2*1/S204*1/R204-1/R204*1/R204)))</f>
        <v>0</v>
      </c>
      <c r="R204">
        <f>IF(LEFT(CX204,1)&lt;&gt;"0",IF(LEFT(CX204,1)="1",3.0,CY204),$D$5+$E$5*(DP204*DI204/($K$5*1000))+$F$5*(DP204*DI204/($K$5*1000))*MAX(MIN(CV204,$J$5),$I$5)*MAX(MIN(CV204,$J$5),$I$5)+$G$5*MAX(MIN(CV204,$J$5),$I$5)*(DP204*DI204/($K$5*1000))+$H$5*(DP204*DI204/($K$5*1000))*(DP204*DI204/($K$5*1000)))</f>
        <v>0</v>
      </c>
      <c r="S204">
        <f>J204*(1000-(1000*0.61365*exp(17.502*W204/(240.97+W204))/(DI204+DJ204)+DD204)/2)/(1000*0.61365*exp(17.502*W204/(240.97+W204))/(DI204+DJ204)-DD204)</f>
        <v>0</v>
      </c>
      <c r="T204">
        <f>1/((CW204+1)/(Q204/1.6)+1/(R204/1.37)) + CW204/((CW204+1)/(Q204/1.6) + CW204/(R204/1.37))</f>
        <v>0</v>
      </c>
      <c r="U204">
        <f>(CR204*CU204)</f>
        <v>0</v>
      </c>
      <c r="V204">
        <f>(DK204+(U204+2*0.95*5.67E-8*(((DK204+$B$7)+273)^4-(DK204+273)^4)-44100*J204)/(1.84*29.3*R204+8*0.95*5.67E-8*(DK204+273)^3))</f>
        <v>0</v>
      </c>
      <c r="W204">
        <f>($C$7*DL204+$D$7*DM204+$E$7*V204)</f>
        <v>0</v>
      </c>
      <c r="X204">
        <f>0.61365*exp(17.502*W204/(240.97+W204))</f>
        <v>0</v>
      </c>
      <c r="Y204">
        <f>(Z204/AA204*100)</f>
        <v>0</v>
      </c>
      <c r="Z204">
        <f>DD204*(DI204+DJ204)/1000</f>
        <v>0</v>
      </c>
      <c r="AA204">
        <f>0.61365*exp(17.502*DK204/(240.97+DK204))</f>
        <v>0</v>
      </c>
      <c r="AB204">
        <f>(X204-DD204*(DI204+DJ204)/1000)</f>
        <v>0</v>
      </c>
      <c r="AC204">
        <f>(-J204*44100)</f>
        <v>0</v>
      </c>
      <c r="AD204">
        <f>2*29.3*R204*0.92*(DK204-W204)</f>
        <v>0</v>
      </c>
      <c r="AE204">
        <f>2*0.95*5.67E-8*(((DK204+$B$7)+273)^4-(W204+273)^4)</f>
        <v>0</v>
      </c>
      <c r="AF204">
        <f>U204+AE204+AC204+AD204</f>
        <v>0</v>
      </c>
      <c r="AG204">
        <f>DH204*AU204*(DC204-DB204*(1000-AU204*DE204)/(1000-AU204*DD204))/(100*CV204)</f>
        <v>0</v>
      </c>
      <c r="AH204">
        <f>1000*DH204*AU204*(DD204-DE204)/(100*CV204*(1000-AU204*DD204))</f>
        <v>0</v>
      </c>
      <c r="AI204">
        <f>(AJ204 - AK204 - DI204*1E3/(8.314*(DK204+273.15)) * AM204/DH204 * AL204) * DH204/(100*CV204) * (1000 - DE204)/1000</f>
        <v>0</v>
      </c>
      <c r="AJ204">
        <v>1128.942386248384</v>
      </c>
      <c r="AK204">
        <v>1072.262121212121</v>
      </c>
      <c r="AL204">
        <v>3.444396943235702</v>
      </c>
      <c r="AM204">
        <v>65.96288611109561</v>
      </c>
      <c r="AN204">
        <f>(AP204 - AO204 + DI204*1E3/(8.314*(DK204+273.15)) * AR204/DH204 * AQ204) * DH204/(100*CV204) * 1000/(1000 - AP204)</f>
        <v>0</v>
      </c>
      <c r="AO204">
        <v>20.212807748203</v>
      </c>
      <c r="AP204">
        <v>24.0393034965035</v>
      </c>
      <c r="AQ204">
        <v>0.0001460267446203004</v>
      </c>
      <c r="AR204">
        <v>81.18387902069509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MAX(0,($B$13+$C$13*DP204)/(1+$D$13*DP204)*DI204/(DK204+273)*$E$13)</f>
        <v>0</v>
      </c>
      <c r="AX204" t="s">
        <v>417</v>
      </c>
      <c r="AY204" t="s">
        <v>417</v>
      </c>
      <c r="AZ204">
        <v>0</v>
      </c>
      <c r="BA204">
        <v>0</v>
      </c>
      <c r="BB204">
        <f>1-AZ204/BA204</f>
        <v>0</v>
      </c>
      <c r="BC204">
        <v>0</v>
      </c>
      <c r="BD204" t="s">
        <v>417</v>
      </c>
      <c r="BE204" t="s">
        <v>417</v>
      </c>
      <c r="BF204">
        <v>0</v>
      </c>
      <c r="BG204">
        <v>0</v>
      </c>
      <c r="BH204">
        <f>1-BF204/BG204</f>
        <v>0</v>
      </c>
      <c r="BI204">
        <v>0.5</v>
      </c>
      <c r="BJ204">
        <f>CS204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417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1393</v>
      </c>
      <c r="CA204">
        <v>300</v>
      </c>
      <c r="CB204">
        <v>300</v>
      </c>
      <c r="CC204">
        <v>300</v>
      </c>
      <c r="CD204">
        <v>10378</v>
      </c>
      <c r="CE204">
        <v>2050</v>
      </c>
      <c r="CF204">
        <v>-0.00730649</v>
      </c>
      <c r="CG204">
        <v>-4.53</v>
      </c>
      <c r="CH204" t="s">
        <v>417</v>
      </c>
      <c r="CI204" t="s">
        <v>417</v>
      </c>
      <c r="CJ204" t="s">
        <v>417</v>
      </c>
      <c r="CK204" t="s">
        <v>417</v>
      </c>
      <c r="CL204" t="s">
        <v>417</v>
      </c>
      <c r="CM204" t="s">
        <v>417</v>
      </c>
      <c r="CN204" t="s">
        <v>417</v>
      </c>
      <c r="CO204" t="s">
        <v>417</v>
      </c>
      <c r="CP204" t="s">
        <v>417</v>
      </c>
      <c r="CQ204" t="s">
        <v>417</v>
      </c>
      <c r="CR204">
        <f>$B$11*DQ204+$C$11*DR204+$F$11*EC204*(1-EF204)</f>
        <v>0</v>
      </c>
      <c r="CS204">
        <f>CR204*CT204</f>
        <v>0</v>
      </c>
      <c r="CT204">
        <f>($B$11*$D$9+$C$11*$D$9+$F$11*((EP204+EH204)/MAX(EP204+EH204+EQ204, 0.1)*$I$9+EQ204/MAX(EP204+EH204+EQ204, 0.1)*$J$9))/($B$11+$C$11+$F$11)</f>
        <v>0</v>
      </c>
      <c r="CU204">
        <f>($B$11*$K$9+$C$11*$K$9+$F$11*((EP204+EH204)/MAX(EP204+EH204+EQ204, 0.1)*$P$9+EQ204/MAX(EP204+EH204+EQ204, 0.1)*$Q$9))/($B$11+$C$11+$F$11)</f>
        <v>0</v>
      </c>
      <c r="CV204">
        <v>6</v>
      </c>
      <c r="CW204">
        <v>0.5</v>
      </c>
      <c r="CX204" t="s">
        <v>418</v>
      </c>
      <c r="CY204">
        <v>2</v>
      </c>
      <c r="CZ204" t="b">
        <v>1</v>
      </c>
      <c r="DA204">
        <v>1652372700.678571</v>
      </c>
      <c r="DB204">
        <v>1021.964714285714</v>
      </c>
      <c r="DC204">
        <v>1092.871071428571</v>
      </c>
      <c r="DD204">
        <v>24.0281</v>
      </c>
      <c r="DE204">
        <v>20.11977142857143</v>
      </c>
      <c r="DF204">
        <v>1023.116857142857</v>
      </c>
      <c r="DG204">
        <v>23.99030357142857</v>
      </c>
      <c r="DH204">
        <v>400.07175</v>
      </c>
      <c r="DI204">
        <v>90.39242142857142</v>
      </c>
      <c r="DJ204">
        <v>0.09997750357142855</v>
      </c>
      <c r="DK204">
        <v>30.81409285714286</v>
      </c>
      <c r="DL204">
        <v>30.08418928571428</v>
      </c>
      <c r="DM204">
        <v>999.9000000000002</v>
      </c>
      <c r="DN204">
        <v>0</v>
      </c>
      <c r="DO204">
        <v>0</v>
      </c>
      <c r="DP204">
        <v>10008.46392857143</v>
      </c>
      <c r="DQ204">
        <v>0</v>
      </c>
      <c r="DR204">
        <v>409.1437857142857</v>
      </c>
      <c r="DS204">
        <v>-70.90651785714286</v>
      </c>
      <c r="DT204">
        <v>1047.125714285714</v>
      </c>
      <c r="DU204">
        <v>1115.313928571429</v>
      </c>
      <c r="DV204">
        <v>3.908335714285714</v>
      </c>
      <c r="DW204">
        <v>1092.871071428571</v>
      </c>
      <c r="DX204">
        <v>20.11977142857143</v>
      </c>
      <c r="DY204">
        <v>2.171957857142857</v>
      </c>
      <c r="DZ204">
        <v>1.818674285714286</v>
      </c>
      <c r="EA204">
        <v>18.75696071428572</v>
      </c>
      <c r="EB204">
        <v>15.94790357142857</v>
      </c>
      <c r="EC204">
        <v>1500.001428571428</v>
      </c>
      <c r="ED204">
        <v>0.9730039285714287</v>
      </c>
      <c r="EE204">
        <v>0.02699585714285715</v>
      </c>
      <c r="EF204">
        <v>0</v>
      </c>
      <c r="EG204">
        <v>1647.051071428571</v>
      </c>
      <c r="EH204">
        <v>5.00097</v>
      </c>
      <c r="EI204">
        <v>25405.51071428571</v>
      </c>
      <c r="EJ204">
        <v>12491.62142857143</v>
      </c>
      <c r="EK204">
        <v>40.06199999999999</v>
      </c>
      <c r="EL204">
        <v>41.56199999999999</v>
      </c>
      <c r="EM204">
        <v>40.31199999999999</v>
      </c>
      <c r="EN204">
        <v>41.375</v>
      </c>
      <c r="EO204">
        <v>41.18257142857141</v>
      </c>
      <c r="EP204">
        <v>1454.641071428571</v>
      </c>
      <c r="EQ204">
        <v>40.36035714285713</v>
      </c>
      <c r="ER204">
        <v>0</v>
      </c>
      <c r="ES204">
        <v>1542.399999856949</v>
      </c>
      <c r="ET204">
        <v>0</v>
      </c>
      <c r="EU204">
        <v>1646.718</v>
      </c>
      <c r="EV204">
        <v>-37.23000005247989</v>
      </c>
      <c r="EW204">
        <v>-389.0846158635305</v>
      </c>
      <c r="EX204">
        <v>25401.76</v>
      </c>
      <c r="EY204">
        <v>15</v>
      </c>
      <c r="EZ204">
        <v>1652371289.6</v>
      </c>
      <c r="FA204" t="s">
        <v>515</v>
      </c>
      <c r="FB204">
        <v>1652371289.6</v>
      </c>
      <c r="FC204">
        <v>1652371275.1</v>
      </c>
      <c r="FD204">
        <v>24</v>
      </c>
      <c r="FE204">
        <v>0.442</v>
      </c>
      <c r="FF204">
        <v>0.001</v>
      </c>
      <c r="FG204">
        <v>-2.63</v>
      </c>
      <c r="FH204">
        <v>0.007</v>
      </c>
      <c r="FI204">
        <v>1620</v>
      </c>
      <c r="FJ204">
        <v>22</v>
      </c>
      <c r="FK204">
        <v>0.08</v>
      </c>
      <c r="FL204">
        <v>0.04</v>
      </c>
      <c r="FM204">
        <v>-70.8452243902439</v>
      </c>
      <c r="FN204">
        <v>-1.318047386759567</v>
      </c>
      <c r="FO204">
        <v>0.1389041743397895</v>
      </c>
      <c r="FP204">
        <v>-1</v>
      </c>
      <c r="FQ204">
        <v>3.986963414634146</v>
      </c>
      <c r="FR204">
        <v>-1.771726829268288</v>
      </c>
      <c r="FS204">
        <v>0.1751519073736651</v>
      </c>
      <c r="FT204">
        <v>0</v>
      </c>
      <c r="FU204">
        <v>0</v>
      </c>
      <c r="FV204">
        <v>0</v>
      </c>
      <c r="FW204">
        <v>0</v>
      </c>
      <c r="FX204">
        <v>-1</v>
      </c>
      <c r="FY204">
        <v>0</v>
      </c>
      <c r="FZ204">
        <v>1</v>
      </c>
      <c r="GA204" t="s">
        <v>432</v>
      </c>
      <c r="GB204">
        <v>2.69558</v>
      </c>
      <c r="GC204">
        <v>2.70509</v>
      </c>
      <c r="GD204">
        <v>0.176404</v>
      </c>
      <c r="GE204">
        <v>0.18204</v>
      </c>
      <c r="GF204">
        <v>0.106147</v>
      </c>
      <c r="GG204">
        <v>0.093073</v>
      </c>
      <c r="GH204">
        <v>25881.7</v>
      </c>
      <c r="GI204">
        <v>25814.9</v>
      </c>
      <c r="GJ204">
        <v>29236.4</v>
      </c>
      <c r="GK204">
        <v>29208.3</v>
      </c>
      <c r="GL204">
        <v>34601.2</v>
      </c>
      <c r="GM204">
        <v>35260.4</v>
      </c>
      <c r="GN204">
        <v>41149.5</v>
      </c>
      <c r="GO204">
        <v>41674.1</v>
      </c>
      <c r="GP204">
        <v>1.72228</v>
      </c>
      <c r="GQ204">
        <v>2.03312</v>
      </c>
      <c r="GR204">
        <v>0.0713319</v>
      </c>
      <c r="GS204">
        <v>0</v>
      </c>
      <c r="GT204">
        <v>28.9072</v>
      </c>
      <c r="GU204">
        <v>999.9</v>
      </c>
      <c r="GV204">
        <v>44.2</v>
      </c>
      <c r="GW204">
        <v>33.4</v>
      </c>
      <c r="GX204">
        <v>25.2635</v>
      </c>
      <c r="GY204">
        <v>63.468</v>
      </c>
      <c r="GZ204">
        <v>29.3269</v>
      </c>
      <c r="HA204">
        <v>1</v>
      </c>
      <c r="HB204">
        <v>0.269949</v>
      </c>
      <c r="HC204">
        <v>1.38895</v>
      </c>
      <c r="HD204">
        <v>20.3753</v>
      </c>
      <c r="HE204">
        <v>5.21819</v>
      </c>
      <c r="HF204">
        <v>12.0099</v>
      </c>
      <c r="HG204">
        <v>4.98855</v>
      </c>
      <c r="HH204">
        <v>3.28855</v>
      </c>
      <c r="HI204">
        <v>2730.9</v>
      </c>
      <c r="HJ204">
        <v>9999</v>
      </c>
      <c r="HK204">
        <v>9999</v>
      </c>
      <c r="HL204">
        <v>50.1</v>
      </c>
      <c r="HM204">
        <v>1.86722</v>
      </c>
      <c r="HN204">
        <v>1.86623</v>
      </c>
      <c r="HO204">
        <v>1.86579</v>
      </c>
      <c r="HP204">
        <v>1.86569</v>
      </c>
      <c r="HQ204">
        <v>1.86747</v>
      </c>
      <c r="HR204">
        <v>1.86998</v>
      </c>
      <c r="HS204">
        <v>1.86864</v>
      </c>
      <c r="HT204">
        <v>1.86999</v>
      </c>
      <c r="HU204">
        <v>0</v>
      </c>
      <c r="HV204">
        <v>0</v>
      </c>
      <c r="HW204">
        <v>0</v>
      </c>
      <c r="HX204">
        <v>0</v>
      </c>
      <c r="HY204" t="s">
        <v>421</v>
      </c>
      <c r="HZ204" t="s">
        <v>422</v>
      </c>
      <c r="IA204" t="s">
        <v>423</v>
      </c>
      <c r="IB204" t="s">
        <v>423</v>
      </c>
      <c r="IC204" t="s">
        <v>423</v>
      </c>
      <c r="ID204" t="s">
        <v>423</v>
      </c>
      <c r="IE204">
        <v>0</v>
      </c>
      <c r="IF204">
        <v>100</v>
      </c>
      <c r="IG204">
        <v>100</v>
      </c>
      <c r="IH204">
        <v>-1.22</v>
      </c>
      <c r="II204">
        <v>0.0379</v>
      </c>
      <c r="IJ204">
        <v>1.257309091789605</v>
      </c>
      <c r="IK204">
        <v>-0.002185601614162945</v>
      </c>
      <c r="IL204">
        <v>-2.252308143750626E-07</v>
      </c>
      <c r="IM204">
        <v>5.915558436307541E-11</v>
      </c>
      <c r="IN204">
        <v>-0.118683452207699</v>
      </c>
      <c r="IO204">
        <v>-0.007570214193104963</v>
      </c>
      <c r="IP204">
        <v>0.0009214429922928372</v>
      </c>
      <c r="IQ204">
        <v>-1.392260276065805E-05</v>
      </c>
      <c r="IR204">
        <v>17</v>
      </c>
      <c r="IS204">
        <v>2272</v>
      </c>
      <c r="IT204">
        <v>1</v>
      </c>
      <c r="IU204">
        <v>31</v>
      </c>
      <c r="IV204">
        <v>23.6</v>
      </c>
      <c r="IW204">
        <v>23.9</v>
      </c>
      <c r="IX204">
        <v>2.31567</v>
      </c>
      <c r="IY204">
        <v>2.20581</v>
      </c>
      <c r="IZ204">
        <v>1.39648</v>
      </c>
      <c r="JA204">
        <v>2.35474</v>
      </c>
      <c r="JB204">
        <v>1.49536</v>
      </c>
      <c r="JC204">
        <v>2.34009</v>
      </c>
      <c r="JD204">
        <v>37.0747</v>
      </c>
      <c r="JE204">
        <v>15.2265</v>
      </c>
      <c r="JF204">
        <v>18</v>
      </c>
      <c r="JG204">
        <v>388.025</v>
      </c>
      <c r="JH204">
        <v>570.311</v>
      </c>
      <c r="JI204">
        <v>28.3964</v>
      </c>
      <c r="JJ204">
        <v>30.8591</v>
      </c>
      <c r="JK204">
        <v>30.0002</v>
      </c>
      <c r="JL204">
        <v>30.7688</v>
      </c>
      <c r="JM204">
        <v>30.6698</v>
      </c>
      <c r="JN204">
        <v>46.3303</v>
      </c>
      <c r="JO204">
        <v>20.6444</v>
      </c>
      <c r="JP204">
        <v>0</v>
      </c>
      <c r="JQ204">
        <v>28.3479</v>
      </c>
      <c r="JR204">
        <v>1142.4</v>
      </c>
      <c r="JS204">
        <v>20.6396</v>
      </c>
      <c r="JT204">
        <v>99.9332</v>
      </c>
      <c r="JU204">
        <v>100.036</v>
      </c>
    </row>
    <row r="205" spans="1:281">
      <c r="A205">
        <v>189</v>
      </c>
      <c r="B205">
        <v>1652372714</v>
      </c>
      <c r="C205">
        <v>4620.400000095367</v>
      </c>
      <c r="D205" t="s">
        <v>846</v>
      </c>
      <c r="E205" t="s">
        <v>847</v>
      </c>
      <c r="F205">
        <v>5</v>
      </c>
      <c r="G205" t="s">
        <v>711</v>
      </c>
      <c r="H205" t="s">
        <v>414</v>
      </c>
      <c r="I205">
        <v>1652372706.25</v>
      </c>
      <c r="J205">
        <f>(K205)/1000</f>
        <v>0</v>
      </c>
      <c r="K205">
        <f>IF(CZ205, AN205, AH205)</f>
        <v>0</v>
      </c>
      <c r="L205">
        <f>IF(CZ205, AI205, AG205)</f>
        <v>0</v>
      </c>
      <c r="M205">
        <f>DB205 - IF(AU205&gt;1, L205*CV205*100.0/(AW205*DP205), 0)</f>
        <v>0</v>
      </c>
      <c r="N205">
        <f>((T205-J205/2)*M205-L205)/(T205+J205/2)</f>
        <v>0</v>
      </c>
      <c r="O205">
        <f>N205*(DI205+DJ205)/1000.0</f>
        <v>0</v>
      </c>
      <c r="P205">
        <f>(DB205 - IF(AU205&gt;1, L205*CV205*100.0/(AW205*DP205), 0))*(DI205+DJ205)/1000.0</f>
        <v>0</v>
      </c>
      <c r="Q205">
        <f>2.0/((1/S205-1/R205)+SIGN(S205)*SQRT((1/S205-1/R205)*(1/S205-1/R205) + 4*CW205/((CW205+1)*(CW205+1))*(2*1/S205*1/R205-1/R205*1/R205)))</f>
        <v>0</v>
      </c>
      <c r="R205">
        <f>IF(LEFT(CX205,1)&lt;&gt;"0",IF(LEFT(CX205,1)="1",3.0,CY205),$D$5+$E$5*(DP205*DI205/($K$5*1000))+$F$5*(DP205*DI205/($K$5*1000))*MAX(MIN(CV205,$J$5),$I$5)*MAX(MIN(CV205,$J$5),$I$5)+$G$5*MAX(MIN(CV205,$J$5),$I$5)*(DP205*DI205/($K$5*1000))+$H$5*(DP205*DI205/($K$5*1000))*(DP205*DI205/($K$5*1000)))</f>
        <v>0</v>
      </c>
      <c r="S205">
        <f>J205*(1000-(1000*0.61365*exp(17.502*W205/(240.97+W205))/(DI205+DJ205)+DD205)/2)/(1000*0.61365*exp(17.502*W205/(240.97+W205))/(DI205+DJ205)-DD205)</f>
        <v>0</v>
      </c>
      <c r="T205">
        <f>1/((CW205+1)/(Q205/1.6)+1/(R205/1.37)) + CW205/((CW205+1)/(Q205/1.6) + CW205/(R205/1.37))</f>
        <v>0</v>
      </c>
      <c r="U205">
        <f>(CR205*CU205)</f>
        <v>0</v>
      </c>
      <c r="V205">
        <f>(DK205+(U205+2*0.95*5.67E-8*(((DK205+$B$7)+273)^4-(DK205+273)^4)-44100*J205)/(1.84*29.3*R205+8*0.95*5.67E-8*(DK205+273)^3))</f>
        <v>0</v>
      </c>
      <c r="W205">
        <f>($C$7*DL205+$D$7*DM205+$E$7*V205)</f>
        <v>0</v>
      </c>
      <c r="X205">
        <f>0.61365*exp(17.502*W205/(240.97+W205))</f>
        <v>0</v>
      </c>
      <c r="Y205">
        <f>(Z205/AA205*100)</f>
        <v>0</v>
      </c>
      <c r="Z205">
        <f>DD205*(DI205+DJ205)/1000</f>
        <v>0</v>
      </c>
      <c r="AA205">
        <f>0.61365*exp(17.502*DK205/(240.97+DK205))</f>
        <v>0</v>
      </c>
      <c r="AB205">
        <f>(X205-DD205*(DI205+DJ205)/1000)</f>
        <v>0</v>
      </c>
      <c r="AC205">
        <f>(-J205*44100)</f>
        <v>0</v>
      </c>
      <c r="AD205">
        <f>2*29.3*R205*0.92*(DK205-W205)</f>
        <v>0</v>
      </c>
      <c r="AE205">
        <f>2*0.95*5.67E-8*(((DK205+$B$7)+273)^4-(W205+273)^4)</f>
        <v>0</v>
      </c>
      <c r="AF205">
        <f>U205+AE205+AC205+AD205</f>
        <v>0</v>
      </c>
      <c r="AG205">
        <f>DH205*AU205*(DC205-DB205*(1000-AU205*DE205)/(1000-AU205*DD205))/(100*CV205)</f>
        <v>0</v>
      </c>
      <c r="AH205">
        <f>1000*DH205*AU205*(DD205-DE205)/(100*CV205*(1000-AU205*DD205))</f>
        <v>0</v>
      </c>
      <c r="AI205">
        <f>(AJ205 - AK205 - DI205*1E3/(8.314*(DK205+273.15)) * AM205/DH205 * AL205) * DH205/(100*CV205) * (1000 - DE205)/1000</f>
        <v>0</v>
      </c>
      <c r="AJ205">
        <v>1148.263294760118</v>
      </c>
      <c r="AK205">
        <v>1091.353575757575</v>
      </c>
      <c r="AL205">
        <v>3.471336874299967</v>
      </c>
      <c r="AM205">
        <v>65.96288611109561</v>
      </c>
      <c r="AN205">
        <f>(AP205 - AO205 + DI205*1E3/(8.314*(DK205+273.15)) * AR205/DH205 * AQ205) * DH205/(100*CV205) * 1000/(1000 - AP205)</f>
        <v>0</v>
      </c>
      <c r="AO205">
        <v>20.38425319197625</v>
      </c>
      <c r="AP205">
        <v>24.06024265734266</v>
      </c>
      <c r="AQ205">
        <v>0.0002216846147852408</v>
      </c>
      <c r="AR205">
        <v>81.18387902069509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MAX(0,($B$13+$C$13*DP205)/(1+$D$13*DP205)*DI205/(DK205+273)*$E$13)</f>
        <v>0</v>
      </c>
      <c r="AX205" t="s">
        <v>417</v>
      </c>
      <c r="AY205" t="s">
        <v>417</v>
      </c>
      <c r="AZ205">
        <v>0</v>
      </c>
      <c r="BA205">
        <v>0</v>
      </c>
      <c r="BB205">
        <f>1-AZ205/BA205</f>
        <v>0</v>
      </c>
      <c r="BC205">
        <v>0</v>
      </c>
      <c r="BD205" t="s">
        <v>417</v>
      </c>
      <c r="BE205" t="s">
        <v>417</v>
      </c>
      <c r="BF205">
        <v>0</v>
      </c>
      <c r="BG205">
        <v>0</v>
      </c>
      <c r="BH205">
        <f>1-BF205/BG205</f>
        <v>0</v>
      </c>
      <c r="BI205">
        <v>0.5</v>
      </c>
      <c r="BJ205">
        <f>CS205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417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1393</v>
      </c>
      <c r="CA205">
        <v>300</v>
      </c>
      <c r="CB205">
        <v>300</v>
      </c>
      <c r="CC205">
        <v>300</v>
      </c>
      <c r="CD205">
        <v>10378</v>
      </c>
      <c r="CE205">
        <v>2050</v>
      </c>
      <c r="CF205">
        <v>-0.00730649</v>
      </c>
      <c r="CG205">
        <v>-4.53</v>
      </c>
      <c r="CH205" t="s">
        <v>417</v>
      </c>
      <c r="CI205" t="s">
        <v>417</v>
      </c>
      <c r="CJ205" t="s">
        <v>417</v>
      </c>
      <c r="CK205" t="s">
        <v>417</v>
      </c>
      <c r="CL205" t="s">
        <v>417</v>
      </c>
      <c r="CM205" t="s">
        <v>417</v>
      </c>
      <c r="CN205" t="s">
        <v>417</v>
      </c>
      <c r="CO205" t="s">
        <v>417</v>
      </c>
      <c r="CP205" t="s">
        <v>417</v>
      </c>
      <c r="CQ205" t="s">
        <v>417</v>
      </c>
      <c r="CR205">
        <f>$B$11*DQ205+$C$11*DR205+$F$11*EC205*(1-EF205)</f>
        <v>0</v>
      </c>
      <c r="CS205">
        <f>CR205*CT205</f>
        <v>0</v>
      </c>
      <c r="CT205">
        <f>($B$11*$D$9+$C$11*$D$9+$F$11*((EP205+EH205)/MAX(EP205+EH205+EQ205, 0.1)*$I$9+EQ205/MAX(EP205+EH205+EQ205, 0.1)*$J$9))/($B$11+$C$11+$F$11)</f>
        <v>0</v>
      </c>
      <c r="CU205">
        <f>($B$11*$K$9+$C$11*$K$9+$F$11*((EP205+EH205)/MAX(EP205+EH205+EQ205, 0.1)*$P$9+EQ205/MAX(EP205+EH205+EQ205, 0.1)*$Q$9))/($B$11+$C$11+$F$11)</f>
        <v>0</v>
      </c>
      <c r="CV205">
        <v>6</v>
      </c>
      <c r="CW205">
        <v>0.5</v>
      </c>
      <c r="CX205" t="s">
        <v>418</v>
      </c>
      <c r="CY205">
        <v>2</v>
      </c>
      <c r="CZ205" t="b">
        <v>1</v>
      </c>
      <c r="DA205">
        <v>1652372706.25</v>
      </c>
      <c r="DB205">
        <v>1040.663571428571</v>
      </c>
      <c r="DC205">
        <v>1111.638928571429</v>
      </c>
      <c r="DD205">
        <v>24.03759642857144</v>
      </c>
      <c r="DE205">
        <v>20.28785357142857</v>
      </c>
      <c r="DF205">
        <v>1041.861071428571</v>
      </c>
      <c r="DG205">
        <v>23.999675</v>
      </c>
      <c r="DH205">
        <v>400.0717142857143</v>
      </c>
      <c r="DI205">
        <v>90.39455</v>
      </c>
      <c r="DJ205">
        <v>0.09998146785714286</v>
      </c>
      <c r="DK205">
        <v>30.79743571428571</v>
      </c>
      <c r="DL205">
        <v>30.07506428571428</v>
      </c>
      <c r="DM205">
        <v>999.9000000000002</v>
      </c>
      <c r="DN205">
        <v>0</v>
      </c>
      <c r="DO205">
        <v>0</v>
      </c>
      <c r="DP205">
        <v>10003.08178571428</v>
      </c>
      <c r="DQ205">
        <v>0</v>
      </c>
      <c r="DR205">
        <v>413.8891428571429</v>
      </c>
      <c r="DS205">
        <v>-70.97605714285716</v>
      </c>
      <c r="DT205">
        <v>1066.294642857143</v>
      </c>
      <c r="DU205">
        <v>1134.662142857143</v>
      </c>
      <c r="DV205">
        <v>3.749739999999999</v>
      </c>
      <c r="DW205">
        <v>1111.638928571429</v>
      </c>
      <c r="DX205">
        <v>20.28785357142857</v>
      </c>
      <c r="DY205">
        <v>2.172867142857143</v>
      </c>
      <c r="DZ205">
        <v>1.833910357142857</v>
      </c>
      <c r="EA205">
        <v>18.76365</v>
      </c>
      <c r="EB205">
        <v>16.07854642857142</v>
      </c>
      <c r="EC205">
        <v>1499.989642857143</v>
      </c>
      <c r="ED205">
        <v>0.9730039285714287</v>
      </c>
      <c r="EE205">
        <v>0.02699585714285715</v>
      </c>
      <c r="EF205">
        <v>0</v>
      </c>
      <c r="EG205">
        <v>1643.874642857143</v>
      </c>
      <c r="EH205">
        <v>5.00097</v>
      </c>
      <c r="EI205">
        <v>25363.29285714286</v>
      </c>
      <c r="EJ205">
        <v>12491.52857142857</v>
      </c>
      <c r="EK205">
        <v>40.06199999999999</v>
      </c>
      <c r="EL205">
        <v>41.56199999999999</v>
      </c>
      <c r="EM205">
        <v>40.31199999999999</v>
      </c>
      <c r="EN205">
        <v>41.375</v>
      </c>
      <c r="EO205">
        <v>41.17814285714285</v>
      </c>
      <c r="EP205">
        <v>1454.629285714286</v>
      </c>
      <c r="EQ205">
        <v>40.36035714285714</v>
      </c>
      <c r="ER205">
        <v>0</v>
      </c>
      <c r="ES205">
        <v>1547.799999952316</v>
      </c>
      <c r="ET205">
        <v>0</v>
      </c>
      <c r="EU205">
        <v>1643.872692307692</v>
      </c>
      <c r="EV205">
        <v>-30.24444446098637</v>
      </c>
      <c r="EW205">
        <v>-435.3367524695779</v>
      </c>
      <c r="EX205">
        <v>25363.5</v>
      </c>
      <c r="EY205">
        <v>15</v>
      </c>
      <c r="EZ205">
        <v>1652371289.6</v>
      </c>
      <c r="FA205" t="s">
        <v>515</v>
      </c>
      <c r="FB205">
        <v>1652371289.6</v>
      </c>
      <c r="FC205">
        <v>1652371275.1</v>
      </c>
      <c r="FD205">
        <v>24</v>
      </c>
      <c r="FE205">
        <v>0.442</v>
      </c>
      <c r="FF205">
        <v>0.001</v>
      </c>
      <c r="FG205">
        <v>-2.63</v>
      </c>
      <c r="FH205">
        <v>0.007</v>
      </c>
      <c r="FI205">
        <v>1620</v>
      </c>
      <c r="FJ205">
        <v>22</v>
      </c>
      <c r="FK205">
        <v>0.08</v>
      </c>
      <c r="FL205">
        <v>0.04</v>
      </c>
      <c r="FM205">
        <v>-70.9469575</v>
      </c>
      <c r="FN205">
        <v>-0.8707170731706433</v>
      </c>
      <c r="FO205">
        <v>0.1219035477078095</v>
      </c>
      <c r="FP205">
        <v>-1</v>
      </c>
      <c r="FQ205">
        <v>3.8225635</v>
      </c>
      <c r="FR205">
        <v>-1.732471069418376</v>
      </c>
      <c r="FS205">
        <v>0.166969673721757</v>
      </c>
      <c r="FT205">
        <v>0</v>
      </c>
      <c r="FU205">
        <v>0</v>
      </c>
      <c r="FV205">
        <v>0</v>
      </c>
      <c r="FW205">
        <v>0</v>
      </c>
      <c r="FX205">
        <v>-1</v>
      </c>
      <c r="FY205">
        <v>0</v>
      </c>
      <c r="FZ205">
        <v>1</v>
      </c>
      <c r="GA205" t="s">
        <v>432</v>
      </c>
      <c r="GB205">
        <v>2.69552</v>
      </c>
      <c r="GC205">
        <v>2.70508</v>
      </c>
      <c r="GD205">
        <v>0.178394</v>
      </c>
      <c r="GE205">
        <v>0.183922</v>
      </c>
      <c r="GF205">
        <v>0.106209</v>
      </c>
      <c r="GG205">
        <v>0.0935879</v>
      </c>
      <c r="GH205">
        <v>25819.3</v>
      </c>
      <c r="GI205">
        <v>25755.6</v>
      </c>
      <c r="GJ205">
        <v>29236.6</v>
      </c>
      <c r="GK205">
        <v>29208.4</v>
      </c>
      <c r="GL205">
        <v>34598.9</v>
      </c>
      <c r="GM205">
        <v>35240.5</v>
      </c>
      <c r="GN205">
        <v>41149.5</v>
      </c>
      <c r="GO205">
        <v>41674.4</v>
      </c>
      <c r="GP205">
        <v>1.72202</v>
      </c>
      <c r="GQ205">
        <v>2.03363</v>
      </c>
      <c r="GR205">
        <v>0.0707507</v>
      </c>
      <c r="GS205">
        <v>0</v>
      </c>
      <c r="GT205">
        <v>28.9049</v>
      </c>
      <c r="GU205">
        <v>999.9</v>
      </c>
      <c r="GV205">
        <v>44.2</v>
      </c>
      <c r="GW205">
        <v>33.4</v>
      </c>
      <c r="GX205">
        <v>25.2634</v>
      </c>
      <c r="GY205">
        <v>63.468</v>
      </c>
      <c r="GZ205">
        <v>28.774</v>
      </c>
      <c r="HA205">
        <v>1</v>
      </c>
      <c r="HB205">
        <v>0.27032</v>
      </c>
      <c r="HC205">
        <v>1.3977</v>
      </c>
      <c r="HD205">
        <v>20.3753</v>
      </c>
      <c r="HE205">
        <v>5.21744</v>
      </c>
      <c r="HF205">
        <v>12.0099</v>
      </c>
      <c r="HG205">
        <v>4.98805</v>
      </c>
      <c r="HH205">
        <v>3.28835</v>
      </c>
      <c r="HI205">
        <v>2730.9</v>
      </c>
      <c r="HJ205">
        <v>9999</v>
      </c>
      <c r="HK205">
        <v>9999</v>
      </c>
      <c r="HL205">
        <v>50.1</v>
      </c>
      <c r="HM205">
        <v>1.86722</v>
      </c>
      <c r="HN205">
        <v>1.86621</v>
      </c>
      <c r="HO205">
        <v>1.86581</v>
      </c>
      <c r="HP205">
        <v>1.86569</v>
      </c>
      <c r="HQ205">
        <v>1.8675</v>
      </c>
      <c r="HR205">
        <v>1.86999</v>
      </c>
      <c r="HS205">
        <v>1.86863</v>
      </c>
      <c r="HT205">
        <v>1.87004</v>
      </c>
      <c r="HU205">
        <v>0</v>
      </c>
      <c r="HV205">
        <v>0</v>
      </c>
      <c r="HW205">
        <v>0</v>
      </c>
      <c r="HX205">
        <v>0</v>
      </c>
      <c r="HY205" t="s">
        <v>421</v>
      </c>
      <c r="HZ205" t="s">
        <v>422</v>
      </c>
      <c r="IA205" t="s">
        <v>423</v>
      </c>
      <c r="IB205" t="s">
        <v>423</v>
      </c>
      <c r="IC205" t="s">
        <v>423</v>
      </c>
      <c r="ID205" t="s">
        <v>423</v>
      </c>
      <c r="IE205">
        <v>0</v>
      </c>
      <c r="IF205">
        <v>100</v>
      </c>
      <c r="IG205">
        <v>100</v>
      </c>
      <c r="IH205">
        <v>-1.26</v>
      </c>
      <c r="II205">
        <v>0.0382</v>
      </c>
      <c r="IJ205">
        <v>1.257309091789605</v>
      </c>
      <c r="IK205">
        <v>-0.002185601614162945</v>
      </c>
      <c r="IL205">
        <v>-2.252308143750626E-07</v>
      </c>
      <c r="IM205">
        <v>5.915558436307541E-11</v>
      </c>
      <c r="IN205">
        <v>-0.118683452207699</v>
      </c>
      <c r="IO205">
        <v>-0.007570214193104963</v>
      </c>
      <c r="IP205">
        <v>0.0009214429922928372</v>
      </c>
      <c r="IQ205">
        <v>-1.392260276065805E-05</v>
      </c>
      <c r="IR205">
        <v>17</v>
      </c>
      <c r="IS205">
        <v>2272</v>
      </c>
      <c r="IT205">
        <v>1</v>
      </c>
      <c r="IU205">
        <v>31</v>
      </c>
      <c r="IV205">
        <v>23.7</v>
      </c>
      <c r="IW205">
        <v>24</v>
      </c>
      <c r="IX205">
        <v>2.34619</v>
      </c>
      <c r="IY205">
        <v>2.21069</v>
      </c>
      <c r="IZ205">
        <v>1.39648</v>
      </c>
      <c r="JA205">
        <v>2.35352</v>
      </c>
      <c r="JB205">
        <v>1.49536</v>
      </c>
      <c r="JC205">
        <v>2.30103</v>
      </c>
      <c r="JD205">
        <v>37.0747</v>
      </c>
      <c r="JE205">
        <v>15.2178</v>
      </c>
      <c r="JF205">
        <v>18</v>
      </c>
      <c r="JG205">
        <v>387.901</v>
      </c>
      <c r="JH205">
        <v>570.7140000000001</v>
      </c>
      <c r="JI205">
        <v>28.3047</v>
      </c>
      <c r="JJ205">
        <v>30.8592</v>
      </c>
      <c r="JK205">
        <v>30.0001</v>
      </c>
      <c r="JL205">
        <v>30.7705</v>
      </c>
      <c r="JM205">
        <v>30.6721</v>
      </c>
      <c r="JN205">
        <v>46.9561</v>
      </c>
      <c r="JO205">
        <v>20.0217</v>
      </c>
      <c r="JP205">
        <v>0</v>
      </c>
      <c r="JQ205">
        <v>28.2807</v>
      </c>
      <c r="JR205">
        <v>1155.76</v>
      </c>
      <c r="JS205">
        <v>20.7901</v>
      </c>
      <c r="JT205">
        <v>99.9335</v>
      </c>
      <c r="JU205">
        <v>100.036</v>
      </c>
    </row>
    <row r="206" spans="1:281">
      <c r="A206">
        <v>190</v>
      </c>
      <c r="B206">
        <v>1652372718.5</v>
      </c>
      <c r="C206">
        <v>4624.900000095367</v>
      </c>
      <c r="D206" t="s">
        <v>848</v>
      </c>
      <c r="E206" t="s">
        <v>849</v>
      </c>
      <c r="F206">
        <v>5</v>
      </c>
      <c r="G206" t="s">
        <v>711</v>
      </c>
      <c r="H206" t="s">
        <v>414</v>
      </c>
      <c r="I206">
        <v>1652372710.678571</v>
      </c>
      <c r="J206">
        <f>(K206)/1000</f>
        <v>0</v>
      </c>
      <c r="K206">
        <f>IF(CZ206, AN206, AH206)</f>
        <v>0</v>
      </c>
      <c r="L206">
        <f>IF(CZ206, AI206, AG206)</f>
        <v>0</v>
      </c>
      <c r="M206">
        <f>DB206 - IF(AU206&gt;1, L206*CV206*100.0/(AW206*DP206), 0)</f>
        <v>0</v>
      </c>
      <c r="N206">
        <f>((T206-J206/2)*M206-L206)/(T206+J206/2)</f>
        <v>0</v>
      </c>
      <c r="O206">
        <f>N206*(DI206+DJ206)/1000.0</f>
        <v>0</v>
      </c>
      <c r="P206">
        <f>(DB206 - IF(AU206&gt;1, L206*CV206*100.0/(AW206*DP206), 0))*(DI206+DJ206)/1000.0</f>
        <v>0</v>
      </c>
      <c r="Q206">
        <f>2.0/((1/S206-1/R206)+SIGN(S206)*SQRT((1/S206-1/R206)*(1/S206-1/R206) + 4*CW206/((CW206+1)*(CW206+1))*(2*1/S206*1/R206-1/R206*1/R206)))</f>
        <v>0</v>
      </c>
      <c r="R206">
        <f>IF(LEFT(CX206,1)&lt;&gt;"0",IF(LEFT(CX206,1)="1",3.0,CY206),$D$5+$E$5*(DP206*DI206/($K$5*1000))+$F$5*(DP206*DI206/($K$5*1000))*MAX(MIN(CV206,$J$5),$I$5)*MAX(MIN(CV206,$J$5),$I$5)+$G$5*MAX(MIN(CV206,$J$5),$I$5)*(DP206*DI206/($K$5*1000))+$H$5*(DP206*DI206/($K$5*1000))*(DP206*DI206/($K$5*1000)))</f>
        <v>0</v>
      </c>
      <c r="S206">
        <f>J206*(1000-(1000*0.61365*exp(17.502*W206/(240.97+W206))/(DI206+DJ206)+DD206)/2)/(1000*0.61365*exp(17.502*W206/(240.97+W206))/(DI206+DJ206)-DD206)</f>
        <v>0</v>
      </c>
      <c r="T206">
        <f>1/((CW206+1)/(Q206/1.6)+1/(R206/1.37)) + CW206/((CW206+1)/(Q206/1.6) + CW206/(R206/1.37))</f>
        <v>0</v>
      </c>
      <c r="U206">
        <f>(CR206*CU206)</f>
        <v>0</v>
      </c>
      <c r="V206">
        <f>(DK206+(U206+2*0.95*5.67E-8*(((DK206+$B$7)+273)^4-(DK206+273)^4)-44100*J206)/(1.84*29.3*R206+8*0.95*5.67E-8*(DK206+273)^3))</f>
        <v>0</v>
      </c>
      <c r="W206">
        <f>($C$7*DL206+$D$7*DM206+$E$7*V206)</f>
        <v>0</v>
      </c>
      <c r="X206">
        <f>0.61365*exp(17.502*W206/(240.97+W206))</f>
        <v>0</v>
      </c>
      <c r="Y206">
        <f>(Z206/AA206*100)</f>
        <v>0</v>
      </c>
      <c r="Z206">
        <f>DD206*(DI206+DJ206)/1000</f>
        <v>0</v>
      </c>
      <c r="AA206">
        <f>0.61365*exp(17.502*DK206/(240.97+DK206))</f>
        <v>0</v>
      </c>
      <c r="AB206">
        <f>(X206-DD206*(DI206+DJ206)/1000)</f>
        <v>0</v>
      </c>
      <c r="AC206">
        <f>(-J206*44100)</f>
        <v>0</v>
      </c>
      <c r="AD206">
        <f>2*29.3*R206*0.92*(DK206-W206)</f>
        <v>0</v>
      </c>
      <c r="AE206">
        <f>2*0.95*5.67E-8*(((DK206+$B$7)+273)^4-(W206+273)^4)</f>
        <v>0</v>
      </c>
      <c r="AF206">
        <f>U206+AE206+AC206+AD206</f>
        <v>0</v>
      </c>
      <c r="AG206">
        <f>DH206*AU206*(DC206-DB206*(1000-AU206*DE206)/(1000-AU206*DD206))/(100*CV206)</f>
        <v>0</v>
      </c>
      <c r="AH206">
        <f>1000*DH206*AU206*(DD206-DE206)/(100*CV206*(1000-AU206*DD206))</f>
        <v>0</v>
      </c>
      <c r="AI206">
        <f>(AJ206 - AK206 - DI206*1E3/(8.314*(DK206+273.15)) * AM206/DH206 * AL206) * DH206/(100*CV206) * (1000 - DE206)/1000</f>
        <v>0</v>
      </c>
      <c r="AJ206">
        <v>1163.664563537589</v>
      </c>
      <c r="AK206">
        <v>1106.800606060606</v>
      </c>
      <c r="AL206">
        <v>3.432844308301393</v>
      </c>
      <c r="AM206">
        <v>65.96288611109561</v>
      </c>
      <c r="AN206">
        <f>(AP206 - AO206 + DI206*1E3/(8.314*(DK206+273.15)) * AR206/DH206 * AQ206) * DH206/(100*CV206) * 1000/(1000 - AP206)</f>
        <v>0</v>
      </c>
      <c r="AO206">
        <v>20.52023716467789</v>
      </c>
      <c r="AP206">
        <v>24.08707552447553</v>
      </c>
      <c r="AQ206">
        <v>0.0001663426204614141</v>
      </c>
      <c r="AR206">
        <v>81.18387902069509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MAX(0,($B$13+$C$13*DP206)/(1+$D$13*DP206)*DI206/(DK206+273)*$E$13)</f>
        <v>0</v>
      </c>
      <c r="AX206" t="s">
        <v>417</v>
      </c>
      <c r="AY206" t="s">
        <v>417</v>
      </c>
      <c r="AZ206">
        <v>0</v>
      </c>
      <c r="BA206">
        <v>0</v>
      </c>
      <c r="BB206">
        <f>1-AZ206/BA206</f>
        <v>0</v>
      </c>
      <c r="BC206">
        <v>0</v>
      </c>
      <c r="BD206" t="s">
        <v>417</v>
      </c>
      <c r="BE206" t="s">
        <v>417</v>
      </c>
      <c r="BF206">
        <v>0</v>
      </c>
      <c r="BG206">
        <v>0</v>
      </c>
      <c r="BH206">
        <f>1-BF206/BG206</f>
        <v>0</v>
      </c>
      <c r="BI206">
        <v>0.5</v>
      </c>
      <c r="BJ206">
        <f>CS206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417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1393</v>
      </c>
      <c r="CA206">
        <v>300</v>
      </c>
      <c r="CB206">
        <v>300</v>
      </c>
      <c r="CC206">
        <v>300</v>
      </c>
      <c r="CD206">
        <v>10378</v>
      </c>
      <c r="CE206">
        <v>2050</v>
      </c>
      <c r="CF206">
        <v>-0.00730649</v>
      </c>
      <c r="CG206">
        <v>-4.53</v>
      </c>
      <c r="CH206" t="s">
        <v>417</v>
      </c>
      <c r="CI206" t="s">
        <v>417</v>
      </c>
      <c r="CJ206" t="s">
        <v>417</v>
      </c>
      <c r="CK206" t="s">
        <v>417</v>
      </c>
      <c r="CL206" t="s">
        <v>417</v>
      </c>
      <c r="CM206" t="s">
        <v>417</v>
      </c>
      <c r="CN206" t="s">
        <v>417</v>
      </c>
      <c r="CO206" t="s">
        <v>417</v>
      </c>
      <c r="CP206" t="s">
        <v>417</v>
      </c>
      <c r="CQ206" t="s">
        <v>417</v>
      </c>
      <c r="CR206">
        <f>$B$11*DQ206+$C$11*DR206+$F$11*EC206*(1-EF206)</f>
        <v>0</v>
      </c>
      <c r="CS206">
        <f>CR206*CT206</f>
        <v>0</v>
      </c>
      <c r="CT206">
        <f>($B$11*$D$9+$C$11*$D$9+$F$11*((EP206+EH206)/MAX(EP206+EH206+EQ206, 0.1)*$I$9+EQ206/MAX(EP206+EH206+EQ206, 0.1)*$J$9))/($B$11+$C$11+$F$11)</f>
        <v>0</v>
      </c>
      <c r="CU206">
        <f>($B$11*$K$9+$C$11*$K$9+$F$11*((EP206+EH206)/MAX(EP206+EH206+EQ206, 0.1)*$P$9+EQ206/MAX(EP206+EH206+EQ206, 0.1)*$Q$9))/($B$11+$C$11+$F$11)</f>
        <v>0</v>
      </c>
      <c r="CV206">
        <v>6</v>
      </c>
      <c r="CW206">
        <v>0.5</v>
      </c>
      <c r="CX206" t="s">
        <v>418</v>
      </c>
      <c r="CY206">
        <v>2</v>
      </c>
      <c r="CZ206" t="b">
        <v>1</v>
      </c>
      <c r="DA206">
        <v>1652372710.678571</v>
      </c>
      <c r="DB206">
        <v>1055.537857142857</v>
      </c>
      <c r="DC206">
        <v>1126.5225</v>
      </c>
      <c r="DD206">
        <v>24.05180714285715</v>
      </c>
      <c r="DE206">
        <v>20.43434285714286</v>
      </c>
      <c r="DF206">
        <v>1056.772142857143</v>
      </c>
      <c r="DG206">
        <v>24.01371428571429</v>
      </c>
      <c r="DH206">
        <v>400.0831785714285</v>
      </c>
      <c r="DI206">
        <v>90.39576071428571</v>
      </c>
      <c r="DJ206">
        <v>0.1000320785714286</v>
      </c>
      <c r="DK206">
        <v>30.78186071428571</v>
      </c>
      <c r="DL206">
        <v>30.06564642857143</v>
      </c>
      <c r="DM206">
        <v>999.9000000000002</v>
      </c>
      <c r="DN206">
        <v>0</v>
      </c>
      <c r="DO206">
        <v>0</v>
      </c>
      <c r="DP206">
        <v>9998.458928571428</v>
      </c>
      <c r="DQ206">
        <v>0</v>
      </c>
      <c r="DR206">
        <v>415.4417857142857</v>
      </c>
      <c r="DS206">
        <v>-70.98473928571428</v>
      </c>
      <c r="DT206">
        <v>1081.551071428572</v>
      </c>
      <c r="DU206">
        <v>1150.025</v>
      </c>
      <c r="DV206">
        <v>3.617460714285714</v>
      </c>
      <c r="DW206">
        <v>1126.5225</v>
      </c>
      <c r="DX206">
        <v>20.43434285714286</v>
      </c>
      <c r="DY206">
        <v>2.174181785714286</v>
      </c>
      <c r="DZ206">
        <v>1.8471775</v>
      </c>
      <c r="EA206">
        <v>18.77331428571429</v>
      </c>
      <c r="EB206">
        <v>16.19148571428572</v>
      </c>
      <c r="EC206">
        <v>1499.990357142857</v>
      </c>
      <c r="ED206">
        <v>0.9730041071428571</v>
      </c>
      <c r="EE206">
        <v>0.02699566428571429</v>
      </c>
      <c r="EF206">
        <v>0</v>
      </c>
      <c r="EG206">
        <v>1641.819642857143</v>
      </c>
      <c r="EH206">
        <v>5.00097</v>
      </c>
      <c r="EI206">
        <v>25333.875</v>
      </c>
      <c r="EJ206">
        <v>12491.53928571429</v>
      </c>
      <c r="EK206">
        <v>40.06199999999999</v>
      </c>
      <c r="EL206">
        <v>41.56199999999999</v>
      </c>
      <c r="EM206">
        <v>40.31199999999999</v>
      </c>
      <c r="EN206">
        <v>41.375</v>
      </c>
      <c r="EO206">
        <v>41.17371428571427</v>
      </c>
      <c r="EP206">
        <v>1454.630000000001</v>
      </c>
      <c r="EQ206">
        <v>40.36035714285713</v>
      </c>
      <c r="ER206">
        <v>0</v>
      </c>
      <c r="ES206">
        <v>1552.599999904633</v>
      </c>
      <c r="ET206">
        <v>0</v>
      </c>
      <c r="EU206">
        <v>1641.699230769231</v>
      </c>
      <c r="EV206">
        <v>-23.00239313917941</v>
      </c>
      <c r="EW206">
        <v>-438.7247856722677</v>
      </c>
      <c r="EX206">
        <v>25331.98076923077</v>
      </c>
      <c r="EY206">
        <v>15</v>
      </c>
      <c r="EZ206">
        <v>1652371289.6</v>
      </c>
      <c r="FA206" t="s">
        <v>515</v>
      </c>
      <c r="FB206">
        <v>1652371289.6</v>
      </c>
      <c r="FC206">
        <v>1652371275.1</v>
      </c>
      <c r="FD206">
        <v>24</v>
      </c>
      <c r="FE206">
        <v>0.442</v>
      </c>
      <c r="FF206">
        <v>0.001</v>
      </c>
      <c r="FG206">
        <v>-2.63</v>
      </c>
      <c r="FH206">
        <v>0.007</v>
      </c>
      <c r="FI206">
        <v>1620</v>
      </c>
      <c r="FJ206">
        <v>22</v>
      </c>
      <c r="FK206">
        <v>0.08</v>
      </c>
      <c r="FL206">
        <v>0.04</v>
      </c>
      <c r="FM206">
        <v>-70.95862500000001</v>
      </c>
      <c r="FN206">
        <v>-0.2049590994370954</v>
      </c>
      <c r="FO206">
        <v>0.1112113725074921</v>
      </c>
      <c r="FP206">
        <v>-1</v>
      </c>
      <c r="FQ206">
        <v>3.70527925</v>
      </c>
      <c r="FR206">
        <v>-1.765985853658545</v>
      </c>
      <c r="FS206">
        <v>0.1701795001665521</v>
      </c>
      <c r="FT206">
        <v>0</v>
      </c>
      <c r="FU206">
        <v>0</v>
      </c>
      <c r="FV206">
        <v>0</v>
      </c>
      <c r="FW206">
        <v>0</v>
      </c>
      <c r="FX206">
        <v>-1</v>
      </c>
      <c r="FY206">
        <v>0</v>
      </c>
      <c r="FZ206">
        <v>1</v>
      </c>
      <c r="GA206" t="s">
        <v>432</v>
      </c>
      <c r="GB206">
        <v>2.69552</v>
      </c>
      <c r="GC206">
        <v>2.70508</v>
      </c>
      <c r="GD206">
        <v>0.18</v>
      </c>
      <c r="GE206">
        <v>0.185457</v>
      </c>
      <c r="GF206">
        <v>0.106302</v>
      </c>
      <c r="GG206">
        <v>0.0941898</v>
      </c>
      <c r="GH206">
        <v>25768.7</v>
      </c>
      <c r="GI206">
        <v>25707</v>
      </c>
      <c r="GJ206">
        <v>29236.7</v>
      </c>
      <c r="GK206">
        <v>29208.4</v>
      </c>
      <c r="GL206">
        <v>34595.3</v>
      </c>
      <c r="GM206">
        <v>35216.9</v>
      </c>
      <c r="GN206">
        <v>41149.6</v>
      </c>
      <c r="GO206">
        <v>41674.4</v>
      </c>
      <c r="GP206">
        <v>1.72187</v>
      </c>
      <c r="GQ206">
        <v>2.03395</v>
      </c>
      <c r="GR206">
        <v>0.0706874</v>
      </c>
      <c r="GS206">
        <v>0</v>
      </c>
      <c r="GT206">
        <v>28.9026</v>
      </c>
      <c r="GU206">
        <v>999.9</v>
      </c>
      <c r="GV206">
        <v>44.2</v>
      </c>
      <c r="GW206">
        <v>33.5</v>
      </c>
      <c r="GX206">
        <v>25.4057</v>
      </c>
      <c r="GY206">
        <v>63.458</v>
      </c>
      <c r="GZ206">
        <v>29.3309</v>
      </c>
      <c r="HA206">
        <v>1</v>
      </c>
      <c r="HB206">
        <v>0.270244</v>
      </c>
      <c r="HC206">
        <v>1.35841</v>
      </c>
      <c r="HD206">
        <v>20.3757</v>
      </c>
      <c r="HE206">
        <v>5.21669</v>
      </c>
      <c r="HF206">
        <v>12.0099</v>
      </c>
      <c r="HG206">
        <v>4.98805</v>
      </c>
      <c r="HH206">
        <v>3.28815</v>
      </c>
      <c r="HI206">
        <v>2731.1</v>
      </c>
      <c r="HJ206">
        <v>9999</v>
      </c>
      <c r="HK206">
        <v>9999</v>
      </c>
      <c r="HL206">
        <v>50.1</v>
      </c>
      <c r="HM206">
        <v>1.86722</v>
      </c>
      <c r="HN206">
        <v>1.86621</v>
      </c>
      <c r="HO206">
        <v>1.86582</v>
      </c>
      <c r="HP206">
        <v>1.86569</v>
      </c>
      <c r="HQ206">
        <v>1.86747</v>
      </c>
      <c r="HR206">
        <v>1.87002</v>
      </c>
      <c r="HS206">
        <v>1.86862</v>
      </c>
      <c r="HT206">
        <v>1.87008</v>
      </c>
      <c r="HU206">
        <v>0</v>
      </c>
      <c r="HV206">
        <v>0</v>
      </c>
      <c r="HW206">
        <v>0</v>
      </c>
      <c r="HX206">
        <v>0</v>
      </c>
      <c r="HY206" t="s">
        <v>421</v>
      </c>
      <c r="HZ206" t="s">
        <v>422</v>
      </c>
      <c r="IA206" t="s">
        <v>423</v>
      </c>
      <c r="IB206" t="s">
        <v>423</v>
      </c>
      <c r="IC206" t="s">
        <v>423</v>
      </c>
      <c r="ID206" t="s">
        <v>423</v>
      </c>
      <c r="IE206">
        <v>0</v>
      </c>
      <c r="IF206">
        <v>100</v>
      </c>
      <c r="IG206">
        <v>100</v>
      </c>
      <c r="IH206">
        <v>-1.3</v>
      </c>
      <c r="II206">
        <v>0.0386</v>
      </c>
      <c r="IJ206">
        <v>1.257309091789605</v>
      </c>
      <c r="IK206">
        <v>-0.002185601614162945</v>
      </c>
      <c r="IL206">
        <v>-2.252308143750626E-07</v>
      </c>
      <c r="IM206">
        <v>5.915558436307541E-11</v>
      </c>
      <c r="IN206">
        <v>-0.118683452207699</v>
      </c>
      <c r="IO206">
        <v>-0.007570214193104963</v>
      </c>
      <c r="IP206">
        <v>0.0009214429922928372</v>
      </c>
      <c r="IQ206">
        <v>-1.392260276065805E-05</v>
      </c>
      <c r="IR206">
        <v>17</v>
      </c>
      <c r="IS206">
        <v>2272</v>
      </c>
      <c r="IT206">
        <v>1</v>
      </c>
      <c r="IU206">
        <v>31</v>
      </c>
      <c r="IV206">
        <v>23.8</v>
      </c>
      <c r="IW206">
        <v>24.1</v>
      </c>
      <c r="IX206">
        <v>2.37061</v>
      </c>
      <c r="IY206">
        <v>2.20703</v>
      </c>
      <c r="IZ206">
        <v>1.39648</v>
      </c>
      <c r="JA206">
        <v>2.35474</v>
      </c>
      <c r="JB206">
        <v>1.49536</v>
      </c>
      <c r="JC206">
        <v>2.30347</v>
      </c>
      <c r="JD206">
        <v>37.0747</v>
      </c>
      <c r="JE206">
        <v>15.2265</v>
      </c>
      <c r="JF206">
        <v>18</v>
      </c>
      <c r="JG206">
        <v>387.832</v>
      </c>
      <c r="JH206">
        <v>570.985</v>
      </c>
      <c r="JI206">
        <v>28.2453</v>
      </c>
      <c r="JJ206">
        <v>30.8619</v>
      </c>
      <c r="JK206">
        <v>30.0001</v>
      </c>
      <c r="JL206">
        <v>30.7723</v>
      </c>
      <c r="JM206">
        <v>30.6747</v>
      </c>
      <c r="JN206">
        <v>47.4337</v>
      </c>
      <c r="JO206">
        <v>19.7312</v>
      </c>
      <c r="JP206">
        <v>0</v>
      </c>
      <c r="JQ206">
        <v>28.2241</v>
      </c>
      <c r="JR206">
        <v>1175.8</v>
      </c>
      <c r="JS206">
        <v>20.8937</v>
      </c>
      <c r="JT206">
        <v>99.9337</v>
      </c>
      <c r="JU206">
        <v>100.036</v>
      </c>
    </row>
    <row r="207" spans="1:281">
      <c r="A207">
        <v>191</v>
      </c>
      <c r="B207">
        <v>1652372724</v>
      </c>
      <c r="C207">
        <v>4630.400000095367</v>
      </c>
      <c r="D207" t="s">
        <v>850</v>
      </c>
      <c r="E207" t="s">
        <v>851</v>
      </c>
      <c r="F207">
        <v>5</v>
      </c>
      <c r="G207" t="s">
        <v>711</v>
      </c>
      <c r="H207" t="s">
        <v>414</v>
      </c>
      <c r="I207">
        <v>1652372716.25</v>
      </c>
      <c r="J207">
        <f>(K207)/1000</f>
        <v>0</v>
      </c>
      <c r="K207">
        <f>IF(CZ207, AN207, AH207)</f>
        <v>0</v>
      </c>
      <c r="L207">
        <f>IF(CZ207, AI207, AG207)</f>
        <v>0</v>
      </c>
      <c r="M207">
        <f>DB207 - IF(AU207&gt;1, L207*CV207*100.0/(AW207*DP207), 0)</f>
        <v>0</v>
      </c>
      <c r="N207">
        <f>((T207-J207/2)*M207-L207)/(T207+J207/2)</f>
        <v>0</v>
      </c>
      <c r="O207">
        <f>N207*(DI207+DJ207)/1000.0</f>
        <v>0</v>
      </c>
      <c r="P207">
        <f>(DB207 - IF(AU207&gt;1, L207*CV207*100.0/(AW207*DP207), 0))*(DI207+DJ207)/1000.0</f>
        <v>0</v>
      </c>
      <c r="Q207">
        <f>2.0/((1/S207-1/R207)+SIGN(S207)*SQRT((1/S207-1/R207)*(1/S207-1/R207) + 4*CW207/((CW207+1)*(CW207+1))*(2*1/S207*1/R207-1/R207*1/R207)))</f>
        <v>0</v>
      </c>
      <c r="R207">
        <f>IF(LEFT(CX207,1)&lt;&gt;"0",IF(LEFT(CX207,1)="1",3.0,CY207),$D$5+$E$5*(DP207*DI207/($K$5*1000))+$F$5*(DP207*DI207/($K$5*1000))*MAX(MIN(CV207,$J$5),$I$5)*MAX(MIN(CV207,$J$5),$I$5)+$G$5*MAX(MIN(CV207,$J$5),$I$5)*(DP207*DI207/($K$5*1000))+$H$5*(DP207*DI207/($K$5*1000))*(DP207*DI207/($K$5*1000)))</f>
        <v>0</v>
      </c>
      <c r="S207">
        <f>J207*(1000-(1000*0.61365*exp(17.502*W207/(240.97+W207))/(DI207+DJ207)+DD207)/2)/(1000*0.61365*exp(17.502*W207/(240.97+W207))/(DI207+DJ207)-DD207)</f>
        <v>0</v>
      </c>
      <c r="T207">
        <f>1/((CW207+1)/(Q207/1.6)+1/(R207/1.37)) + CW207/((CW207+1)/(Q207/1.6) + CW207/(R207/1.37))</f>
        <v>0</v>
      </c>
      <c r="U207">
        <f>(CR207*CU207)</f>
        <v>0</v>
      </c>
      <c r="V207">
        <f>(DK207+(U207+2*0.95*5.67E-8*(((DK207+$B$7)+273)^4-(DK207+273)^4)-44100*J207)/(1.84*29.3*R207+8*0.95*5.67E-8*(DK207+273)^3))</f>
        <v>0</v>
      </c>
      <c r="W207">
        <f>($C$7*DL207+$D$7*DM207+$E$7*V207)</f>
        <v>0</v>
      </c>
      <c r="X207">
        <f>0.61365*exp(17.502*W207/(240.97+W207))</f>
        <v>0</v>
      </c>
      <c r="Y207">
        <f>(Z207/AA207*100)</f>
        <v>0</v>
      </c>
      <c r="Z207">
        <f>DD207*(DI207+DJ207)/1000</f>
        <v>0</v>
      </c>
      <c r="AA207">
        <f>0.61365*exp(17.502*DK207/(240.97+DK207))</f>
        <v>0</v>
      </c>
      <c r="AB207">
        <f>(X207-DD207*(DI207+DJ207)/1000)</f>
        <v>0</v>
      </c>
      <c r="AC207">
        <f>(-J207*44100)</f>
        <v>0</v>
      </c>
      <c r="AD207">
        <f>2*29.3*R207*0.92*(DK207-W207)</f>
        <v>0</v>
      </c>
      <c r="AE207">
        <f>2*0.95*5.67E-8*(((DK207+$B$7)+273)^4-(W207+273)^4)</f>
        <v>0</v>
      </c>
      <c r="AF207">
        <f>U207+AE207+AC207+AD207</f>
        <v>0</v>
      </c>
      <c r="AG207">
        <f>DH207*AU207*(DC207-DB207*(1000-AU207*DE207)/(1000-AU207*DD207))/(100*CV207)</f>
        <v>0</v>
      </c>
      <c r="AH207">
        <f>1000*DH207*AU207*(DD207-DE207)/(100*CV207*(1000-AU207*DD207))</f>
        <v>0</v>
      </c>
      <c r="AI207">
        <f>(AJ207 - AK207 - DI207*1E3/(8.314*(DK207+273.15)) * AM207/DH207 * AL207) * DH207/(100*CV207) * (1000 - DE207)/1000</f>
        <v>0</v>
      </c>
      <c r="AJ207">
        <v>1182.750591078385</v>
      </c>
      <c r="AK207">
        <v>1125.816242424242</v>
      </c>
      <c r="AL207">
        <v>3.463455892217694</v>
      </c>
      <c r="AM207">
        <v>65.96288611109561</v>
      </c>
      <c r="AN207">
        <f>(AP207 - AO207 + DI207*1E3/(8.314*(DK207+273.15)) * AR207/DH207 * AQ207) * DH207/(100*CV207) * 1000/(1000 - AP207)</f>
        <v>0</v>
      </c>
      <c r="AO207">
        <v>20.73211729197308</v>
      </c>
      <c r="AP207">
        <v>24.13860699300701</v>
      </c>
      <c r="AQ207">
        <v>0.01176927277657959</v>
      </c>
      <c r="AR207">
        <v>81.18387902069509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MAX(0,($B$13+$C$13*DP207)/(1+$D$13*DP207)*DI207/(DK207+273)*$E$13)</f>
        <v>0</v>
      </c>
      <c r="AX207" t="s">
        <v>417</v>
      </c>
      <c r="AY207" t="s">
        <v>417</v>
      </c>
      <c r="AZ207">
        <v>0</v>
      </c>
      <c r="BA207">
        <v>0</v>
      </c>
      <c r="BB207">
        <f>1-AZ207/BA207</f>
        <v>0</v>
      </c>
      <c r="BC207">
        <v>0</v>
      </c>
      <c r="BD207" t="s">
        <v>417</v>
      </c>
      <c r="BE207" t="s">
        <v>417</v>
      </c>
      <c r="BF207">
        <v>0</v>
      </c>
      <c r="BG207">
        <v>0</v>
      </c>
      <c r="BH207">
        <f>1-BF207/BG207</f>
        <v>0</v>
      </c>
      <c r="BI207">
        <v>0.5</v>
      </c>
      <c r="BJ207">
        <f>CS207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417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1393</v>
      </c>
      <c r="CA207">
        <v>300</v>
      </c>
      <c r="CB207">
        <v>300</v>
      </c>
      <c r="CC207">
        <v>300</v>
      </c>
      <c r="CD207">
        <v>10378</v>
      </c>
      <c r="CE207">
        <v>2050</v>
      </c>
      <c r="CF207">
        <v>-0.00730649</v>
      </c>
      <c r="CG207">
        <v>-4.53</v>
      </c>
      <c r="CH207" t="s">
        <v>417</v>
      </c>
      <c r="CI207" t="s">
        <v>417</v>
      </c>
      <c r="CJ207" t="s">
        <v>417</v>
      </c>
      <c r="CK207" t="s">
        <v>417</v>
      </c>
      <c r="CL207" t="s">
        <v>417</v>
      </c>
      <c r="CM207" t="s">
        <v>417</v>
      </c>
      <c r="CN207" t="s">
        <v>417</v>
      </c>
      <c r="CO207" t="s">
        <v>417</v>
      </c>
      <c r="CP207" t="s">
        <v>417</v>
      </c>
      <c r="CQ207" t="s">
        <v>417</v>
      </c>
      <c r="CR207">
        <f>$B$11*DQ207+$C$11*DR207+$F$11*EC207*(1-EF207)</f>
        <v>0</v>
      </c>
      <c r="CS207">
        <f>CR207*CT207</f>
        <v>0</v>
      </c>
      <c r="CT207">
        <f>($B$11*$D$9+$C$11*$D$9+$F$11*((EP207+EH207)/MAX(EP207+EH207+EQ207, 0.1)*$I$9+EQ207/MAX(EP207+EH207+EQ207, 0.1)*$J$9))/($B$11+$C$11+$F$11)</f>
        <v>0</v>
      </c>
      <c r="CU207">
        <f>($B$11*$K$9+$C$11*$K$9+$F$11*((EP207+EH207)/MAX(EP207+EH207+EQ207, 0.1)*$P$9+EQ207/MAX(EP207+EH207+EQ207, 0.1)*$Q$9))/($B$11+$C$11+$F$11)</f>
        <v>0</v>
      </c>
      <c r="CV207">
        <v>6</v>
      </c>
      <c r="CW207">
        <v>0.5</v>
      </c>
      <c r="CX207" t="s">
        <v>418</v>
      </c>
      <c r="CY207">
        <v>2</v>
      </c>
      <c r="CZ207" t="b">
        <v>1</v>
      </c>
      <c r="DA207">
        <v>1652372716.25</v>
      </c>
      <c r="DB207">
        <v>1074.288214285715</v>
      </c>
      <c r="DC207">
        <v>1145.201071428571</v>
      </c>
      <c r="DD207">
        <v>24.08272142857143</v>
      </c>
      <c r="DE207">
        <v>20.61199285714286</v>
      </c>
      <c r="DF207">
        <v>1075.568571428571</v>
      </c>
      <c r="DG207">
        <v>24.04423928571429</v>
      </c>
      <c r="DH207">
        <v>400.0798928571429</v>
      </c>
      <c r="DI207">
        <v>90.39580357142856</v>
      </c>
      <c r="DJ207">
        <v>0.09999978214285714</v>
      </c>
      <c r="DK207">
        <v>30.76268571428571</v>
      </c>
      <c r="DL207">
        <v>30.05112142857143</v>
      </c>
      <c r="DM207">
        <v>999.9000000000002</v>
      </c>
      <c r="DN207">
        <v>0</v>
      </c>
      <c r="DO207">
        <v>0</v>
      </c>
      <c r="DP207">
        <v>9999.773214285715</v>
      </c>
      <c r="DQ207">
        <v>0</v>
      </c>
      <c r="DR207">
        <v>415.3716785714286</v>
      </c>
      <c r="DS207">
        <v>-70.91254285714287</v>
      </c>
      <c r="DT207">
        <v>1100.798571428571</v>
      </c>
      <c r="DU207">
        <v>1169.304285714286</v>
      </c>
      <c r="DV207">
        <v>3.470719285714285</v>
      </c>
      <c r="DW207">
        <v>1145.201071428571</v>
      </c>
      <c r="DX207">
        <v>20.61199285714286</v>
      </c>
      <c r="DY207">
        <v>2.176977142857143</v>
      </c>
      <c r="DZ207">
        <v>1.863236785714286</v>
      </c>
      <c r="EA207">
        <v>18.79386428571429</v>
      </c>
      <c r="EB207">
        <v>16.32730714285714</v>
      </c>
      <c r="EC207">
        <v>1499.983571428571</v>
      </c>
      <c r="ED207">
        <v>0.9730041071428571</v>
      </c>
      <c r="EE207">
        <v>0.02699566428571429</v>
      </c>
      <c r="EF207">
        <v>0</v>
      </c>
      <c r="EG207">
        <v>1639.9025</v>
      </c>
      <c r="EH207">
        <v>5.00097</v>
      </c>
      <c r="EI207">
        <v>25300.48571428571</v>
      </c>
      <c r="EJ207">
        <v>12491.475</v>
      </c>
      <c r="EK207">
        <v>40.06199999999999</v>
      </c>
      <c r="EL207">
        <v>41.56199999999999</v>
      </c>
      <c r="EM207">
        <v>40.31199999999999</v>
      </c>
      <c r="EN207">
        <v>41.375</v>
      </c>
      <c r="EO207">
        <v>41.16928571428571</v>
      </c>
      <c r="EP207">
        <v>1454.623214285714</v>
      </c>
      <c r="EQ207">
        <v>40.36035714285713</v>
      </c>
      <c r="ER207">
        <v>0</v>
      </c>
      <c r="ES207">
        <v>1558</v>
      </c>
      <c r="ET207">
        <v>0</v>
      </c>
      <c r="EU207">
        <v>1639.8236</v>
      </c>
      <c r="EV207">
        <v>-15.5223076740794</v>
      </c>
      <c r="EW207">
        <v>-238.4999997514203</v>
      </c>
      <c r="EX207">
        <v>25298.256</v>
      </c>
      <c r="EY207">
        <v>15</v>
      </c>
      <c r="EZ207">
        <v>1652371289.6</v>
      </c>
      <c r="FA207" t="s">
        <v>515</v>
      </c>
      <c r="FB207">
        <v>1652371289.6</v>
      </c>
      <c r="FC207">
        <v>1652371275.1</v>
      </c>
      <c r="FD207">
        <v>24</v>
      </c>
      <c r="FE207">
        <v>0.442</v>
      </c>
      <c r="FF207">
        <v>0.001</v>
      </c>
      <c r="FG207">
        <v>-2.63</v>
      </c>
      <c r="FH207">
        <v>0.007</v>
      </c>
      <c r="FI207">
        <v>1620</v>
      </c>
      <c r="FJ207">
        <v>22</v>
      </c>
      <c r="FK207">
        <v>0.08</v>
      </c>
      <c r="FL207">
        <v>0.04</v>
      </c>
      <c r="FM207">
        <v>-70.9607125</v>
      </c>
      <c r="FN207">
        <v>0.7405362101315642</v>
      </c>
      <c r="FO207">
        <v>0.1115746077463425</v>
      </c>
      <c r="FP207">
        <v>-1</v>
      </c>
      <c r="FQ207">
        <v>3.56284025</v>
      </c>
      <c r="FR207">
        <v>-1.651603564727973</v>
      </c>
      <c r="FS207">
        <v>0.1596525663196101</v>
      </c>
      <c r="FT207">
        <v>0</v>
      </c>
      <c r="FU207">
        <v>0</v>
      </c>
      <c r="FV207">
        <v>0</v>
      </c>
      <c r="FW207">
        <v>0</v>
      </c>
      <c r="FX207">
        <v>-1</v>
      </c>
      <c r="FY207">
        <v>0</v>
      </c>
      <c r="FZ207">
        <v>1</v>
      </c>
      <c r="GA207" t="s">
        <v>432</v>
      </c>
      <c r="GB207">
        <v>2.69551</v>
      </c>
      <c r="GC207">
        <v>2.70512</v>
      </c>
      <c r="GD207">
        <v>0.18196</v>
      </c>
      <c r="GE207">
        <v>0.187311</v>
      </c>
      <c r="GF207">
        <v>0.106452</v>
      </c>
      <c r="GG207">
        <v>0.0945806</v>
      </c>
      <c r="GH207">
        <v>25707.3</v>
      </c>
      <c r="GI207">
        <v>25648.6</v>
      </c>
      <c r="GJ207">
        <v>29236.9</v>
      </c>
      <c r="GK207">
        <v>29208.7</v>
      </c>
      <c r="GL207">
        <v>34590.1</v>
      </c>
      <c r="GM207">
        <v>35202</v>
      </c>
      <c r="GN207">
        <v>41150.4</v>
      </c>
      <c r="GO207">
        <v>41674.8</v>
      </c>
      <c r="GP207">
        <v>1.722</v>
      </c>
      <c r="GQ207">
        <v>2.03415</v>
      </c>
      <c r="GR207">
        <v>0.06905940000000001</v>
      </c>
      <c r="GS207">
        <v>0</v>
      </c>
      <c r="GT207">
        <v>28.8994</v>
      </c>
      <c r="GU207">
        <v>999.9</v>
      </c>
      <c r="GV207">
        <v>44.1</v>
      </c>
      <c r="GW207">
        <v>33.5</v>
      </c>
      <c r="GX207">
        <v>25.3478</v>
      </c>
      <c r="GY207">
        <v>63.458</v>
      </c>
      <c r="GZ207">
        <v>29.3349</v>
      </c>
      <c r="HA207">
        <v>1</v>
      </c>
      <c r="HB207">
        <v>0.270193</v>
      </c>
      <c r="HC207">
        <v>1.34475</v>
      </c>
      <c r="HD207">
        <v>20.3756</v>
      </c>
      <c r="HE207">
        <v>5.21714</v>
      </c>
      <c r="HF207">
        <v>12.0099</v>
      </c>
      <c r="HG207">
        <v>4.98805</v>
      </c>
      <c r="HH207">
        <v>3.28825</v>
      </c>
      <c r="HI207">
        <v>2731.1</v>
      </c>
      <c r="HJ207">
        <v>9999</v>
      </c>
      <c r="HK207">
        <v>9999</v>
      </c>
      <c r="HL207">
        <v>50.1</v>
      </c>
      <c r="HM207">
        <v>1.86722</v>
      </c>
      <c r="HN207">
        <v>1.86621</v>
      </c>
      <c r="HO207">
        <v>1.86582</v>
      </c>
      <c r="HP207">
        <v>1.86569</v>
      </c>
      <c r="HQ207">
        <v>1.86746</v>
      </c>
      <c r="HR207">
        <v>1.86999</v>
      </c>
      <c r="HS207">
        <v>1.86864</v>
      </c>
      <c r="HT207">
        <v>1.87008</v>
      </c>
      <c r="HU207">
        <v>0</v>
      </c>
      <c r="HV207">
        <v>0</v>
      </c>
      <c r="HW207">
        <v>0</v>
      </c>
      <c r="HX207">
        <v>0</v>
      </c>
      <c r="HY207" t="s">
        <v>421</v>
      </c>
      <c r="HZ207" t="s">
        <v>422</v>
      </c>
      <c r="IA207" t="s">
        <v>423</v>
      </c>
      <c r="IB207" t="s">
        <v>423</v>
      </c>
      <c r="IC207" t="s">
        <v>423</v>
      </c>
      <c r="ID207" t="s">
        <v>423</v>
      </c>
      <c r="IE207">
        <v>0</v>
      </c>
      <c r="IF207">
        <v>100</v>
      </c>
      <c r="IG207">
        <v>100</v>
      </c>
      <c r="IH207">
        <v>-1.35</v>
      </c>
      <c r="II207">
        <v>0.0392</v>
      </c>
      <c r="IJ207">
        <v>1.257309091789605</v>
      </c>
      <c r="IK207">
        <v>-0.002185601614162945</v>
      </c>
      <c r="IL207">
        <v>-2.252308143750626E-07</v>
      </c>
      <c r="IM207">
        <v>5.915558436307541E-11</v>
      </c>
      <c r="IN207">
        <v>-0.118683452207699</v>
      </c>
      <c r="IO207">
        <v>-0.007570214193104963</v>
      </c>
      <c r="IP207">
        <v>0.0009214429922928372</v>
      </c>
      <c r="IQ207">
        <v>-1.392260276065805E-05</v>
      </c>
      <c r="IR207">
        <v>17</v>
      </c>
      <c r="IS207">
        <v>2272</v>
      </c>
      <c r="IT207">
        <v>1</v>
      </c>
      <c r="IU207">
        <v>31</v>
      </c>
      <c r="IV207">
        <v>23.9</v>
      </c>
      <c r="IW207">
        <v>24.1</v>
      </c>
      <c r="IX207">
        <v>2.40234</v>
      </c>
      <c r="IY207">
        <v>2.20703</v>
      </c>
      <c r="IZ207">
        <v>1.39648</v>
      </c>
      <c r="JA207">
        <v>2.35352</v>
      </c>
      <c r="JB207">
        <v>1.49536</v>
      </c>
      <c r="JC207">
        <v>2.37183</v>
      </c>
      <c r="JD207">
        <v>37.0747</v>
      </c>
      <c r="JE207">
        <v>15.2265</v>
      </c>
      <c r="JF207">
        <v>18</v>
      </c>
      <c r="JG207">
        <v>387.914</v>
      </c>
      <c r="JH207">
        <v>571.162</v>
      </c>
      <c r="JI207">
        <v>28.186</v>
      </c>
      <c r="JJ207">
        <v>30.8619</v>
      </c>
      <c r="JK207">
        <v>30</v>
      </c>
      <c r="JL207">
        <v>30.7749</v>
      </c>
      <c r="JM207">
        <v>30.6773</v>
      </c>
      <c r="JN207">
        <v>48.0633</v>
      </c>
      <c r="JO207">
        <v>19.4278</v>
      </c>
      <c r="JP207">
        <v>0</v>
      </c>
      <c r="JQ207">
        <v>28.1731</v>
      </c>
      <c r="JR207">
        <v>1189.21</v>
      </c>
      <c r="JS207">
        <v>21.006</v>
      </c>
      <c r="JT207">
        <v>99.93519999999999</v>
      </c>
      <c r="JU207">
        <v>100.037</v>
      </c>
    </row>
    <row r="208" spans="1:281">
      <c r="A208">
        <v>192</v>
      </c>
      <c r="B208">
        <v>1652372728.5</v>
      </c>
      <c r="C208">
        <v>4634.900000095367</v>
      </c>
      <c r="D208" t="s">
        <v>852</v>
      </c>
      <c r="E208" t="s">
        <v>853</v>
      </c>
      <c r="F208">
        <v>5</v>
      </c>
      <c r="G208" t="s">
        <v>711</v>
      </c>
      <c r="H208" t="s">
        <v>414</v>
      </c>
      <c r="I208">
        <v>1652372720.678571</v>
      </c>
      <c r="J208">
        <f>(K208)/1000</f>
        <v>0</v>
      </c>
      <c r="K208">
        <f>IF(CZ208, AN208, AH208)</f>
        <v>0</v>
      </c>
      <c r="L208">
        <f>IF(CZ208, AI208, AG208)</f>
        <v>0</v>
      </c>
      <c r="M208">
        <f>DB208 - IF(AU208&gt;1, L208*CV208*100.0/(AW208*DP208), 0)</f>
        <v>0</v>
      </c>
      <c r="N208">
        <f>((T208-J208/2)*M208-L208)/(T208+J208/2)</f>
        <v>0</v>
      </c>
      <c r="O208">
        <f>N208*(DI208+DJ208)/1000.0</f>
        <v>0</v>
      </c>
      <c r="P208">
        <f>(DB208 - IF(AU208&gt;1, L208*CV208*100.0/(AW208*DP208), 0))*(DI208+DJ208)/1000.0</f>
        <v>0</v>
      </c>
      <c r="Q208">
        <f>2.0/((1/S208-1/R208)+SIGN(S208)*SQRT((1/S208-1/R208)*(1/S208-1/R208) + 4*CW208/((CW208+1)*(CW208+1))*(2*1/S208*1/R208-1/R208*1/R208)))</f>
        <v>0</v>
      </c>
      <c r="R208">
        <f>IF(LEFT(CX208,1)&lt;&gt;"0",IF(LEFT(CX208,1)="1",3.0,CY208),$D$5+$E$5*(DP208*DI208/($K$5*1000))+$F$5*(DP208*DI208/($K$5*1000))*MAX(MIN(CV208,$J$5),$I$5)*MAX(MIN(CV208,$J$5),$I$5)+$G$5*MAX(MIN(CV208,$J$5),$I$5)*(DP208*DI208/($K$5*1000))+$H$5*(DP208*DI208/($K$5*1000))*(DP208*DI208/($K$5*1000)))</f>
        <v>0</v>
      </c>
      <c r="S208">
        <f>J208*(1000-(1000*0.61365*exp(17.502*W208/(240.97+W208))/(DI208+DJ208)+DD208)/2)/(1000*0.61365*exp(17.502*W208/(240.97+W208))/(DI208+DJ208)-DD208)</f>
        <v>0</v>
      </c>
      <c r="T208">
        <f>1/((CW208+1)/(Q208/1.6)+1/(R208/1.37)) + CW208/((CW208+1)/(Q208/1.6) + CW208/(R208/1.37))</f>
        <v>0</v>
      </c>
      <c r="U208">
        <f>(CR208*CU208)</f>
        <v>0</v>
      </c>
      <c r="V208">
        <f>(DK208+(U208+2*0.95*5.67E-8*(((DK208+$B$7)+273)^4-(DK208+273)^4)-44100*J208)/(1.84*29.3*R208+8*0.95*5.67E-8*(DK208+273)^3))</f>
        <v>0</v>
      </c>
      <c r="W208">
        <f>($C$7*DL208+$D$7*DM208+$E$7*V208)</f>
        <v>0</v>
      </c>
      <c r="X208">
        <f>0.61365*exp(17.502*W208/(240.97+W208))</f>
        <v>0</v>
      </c>
      <c r="Y208">
        <f>(Z208/AA208*100)</f>
        <v>0</v>
      </c>
      <c r="Z208">
        <f>DD208*(DI208+DJ208)/1000</f>
        <v>0</v>
      </c>
      <c r="AA208">
        <f>0.61365*exp(17.502*DK208/(240.97+DK208))</f>
        <v>0</v>
      </c>
      <c r="AB208">
        <f>(X208-DD208*(DI208+DJ208)/1000)</f>
        <v>0</v>
      </c>
      <c r="AC208">
        <f>(-J208*44100)</f>
        <v>0</v>
      </c>
      <c r="AD208">
        <f>2*29.3*R208*0.92*(DK208-W208)</f>
        <v>0</v>
      </c>
      <c r="AE208">
        <f>2*0.95*5.67E-8*(((DK208+$B$7)+273)^4-(W208+273)^4)</f>
        <v>0</v>
      </c>
      <c r="AF208">
        <f>U208+AE208+AC208+AD208</f>
        <v>0</v>
      </c>
      <c r="AG208">
        <f>DH208*AU208*(DC208-DB208*(1000-AU208*DE208)/(1000-AU208*DD208))/(100*CV208)</f>
        <v>0</v>
      </c>
      <c r="AH208">
        <f>1000*DH208*AU208*(DD208-DE208)/(100*CV208*(1000-AU208*DD208))</f>
        <v>0</v>
      </c>
      <c r="AI208">
        <f>(AJ208 - AK208 - DI208*1E3/(8.314*(DK208+273.15)) * AM208/DH208 * AL208) * DH208/(100*CV208) * (1000 - DE208)/1000</f>
        <v>0</v>
      </c>
      <c r="AJ208">
        <v>1198.062124957011</v>
      </c>
      <c r="AK208">
        <v>1141.323151515152</v>
      </c>
      <c r="AL208">
        <v>3.436173540691206</v>
      </c>
      <c r="AM208">
        <v>65.96288611109561</v>
      </c>
      <c r="AN208">
        <f>(AP208 - AO208 + DI208*1E3/(8.314*(DK208+273.15)) * AR208/DH208 * AQ208) * DH208/(100*CV208) * 1000/(1000 - AP208)</f>
        <v>0</v>
      </c>
      <c r="AO208">
        <v>20.83200023165749</v>
      </c>
      <c r="AP208">
        <v>24.1669160839161</v>
      </c>
      <c r="AQ208">
        <v>0.006495298518061574</v>
      </c>
      <c r="AR208">
        <v>81.18387902069509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MAX(0,($B$13+$C$13*DP208)/(1+$D$13*DP208)*DI208/(DK208+273)*$E$13)</f>
        <v>0</v>
      </c>
      <c r="AX208" t="s">
        <v>417</v>
      </c>
      <c r="AY208" t="s">
        <v>417</v>
      </c>
      <c r="AZ208">
        <v>0</v>
      </c>
      <c r="BA208">
        <v>0</v>
      </c>
      <c r="BB208">
        <f>1-AZ208/BA208</f>
        <v>0</v>
      </c>
      <c r="BC208">
        <v>0</v>
      </c>
      <c r="BD208" t="s">
        <v>417</v>
      </c>
      <c r="BE208" t="s">
        <v>417</v>
      </c>
      <c r="BF208">
        <v>0</v>
      </c>
      <c r="BG208">
        <v>0</v>
      </c>
      <c r="BH208">
        <f>1-BF208/BG208</f>
        <v>0</v>
      </c>
      <c r="BI208">
        <v>0.5</v>
      </c>
      <c r="BJ208">
        <f>CS208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417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1393</v>
      </c>
      <c r="CA208">
        <v>300</v>
      </c>
      <c r="CB208">
        <v>300</v>
      </c>
      <c r="CC208">
        <v>300</v>
      </c>
      <c r="CD208">
        <v>10378</v>
      </c>
      <c r="CE208">
        <v>2050</v>
      </c>
      <c r="CF208">
        <v>-0.00730649</v>
      </c>
      <c r="CG208">
        <v>-4.53</v>
      </c>
      <c r="CH208" t="s">
        <v>417</v>
      </c>
      <c r="CI208" t="s">
        <v>417</v>
      </c>
      <c r="CJ208" t="s">
        <v>417</v>
      </c>
      <c r="CK208" t="s">
        <v>417</v>
      </c>
      <c r="CL208" t="s">
        <v>417</v>
      </c>
      <c r="CM208" t="s">
        <v>417</v>
      </c>
      <c r="CN208" t="s">
        <v>417</v>
      </c>
      <c r="CO208" t="s">
        <v>417</v>
      </c>
      <c r="CP208" t="s">
        <v>417</v>
      </c>
      <c r="CQ208" t="s">
        <v>417</v>
      </c>
      <c r="CR208">
        <f>$B$11*DQ208+$C$11*DR208+$F$11*EC208*(1-EF208)</f>
        <v>0</v>
      </c>
      <c r="CS208">
        <f>CR208*CT208</f>
        <v>0</v>
      </c>
      <c r="CT208">
        <f>($B$11*$D$9+$C$11*$D$9+$F$11*((EP208+EH208)/MAX(EP208+EH208+EQ208, 0.1)*$I$9+EQ208/MAX(EP208+EH208+EQ208, 0.1)*$J$9))/($B$11+$C$11+$F$11)</f>
        <v>0</v>
      </c>
      <c r="CU208">
        <f>($B$11*$K$9+$C$11*$K$9+$F$11*((EP208+EH208)/MAX(EP208+EH208+EQ208, 0.1)*$P$9+EQ208/MAX(EP208+EH208+EQ208, 0.1)*$Q$9))/($B$11+$C$11+$F$11)</f>
        <v>0</v>
      </c>
      <c r="CV208">
        <v>6</v>
      </c>
      <c r="CW208">
        <v>0.5</v>
      </c>
      <c r="CX208" t="s">
        <v>418</v>
      </c>
      <c r="CY208">
        <v>2</v>
      </c>
      <c r="CZ208" t="b">
        <v>1</v>
      </c>
      <c r="DA208">
        <v>1652372720.678571</v>
      </c>
      <c r="DB208">
        <v>1089.15</v>
      </c>
      <c r="DC208">
        <v>1159.971071428571</v>
      </c>
      <c r="DD208">
        <v>24.11302857142857</v>
      </c>
      <c r="DE208">
        <v>20.74679642857143</v>
      </c>
      <c r="DF208">
        <v>1090.4675</v>
      </c>
      <c r="DG208">
        <v>24.07416071428571</v>
      </c>
      <c r="DH208">
        <v>400.07575</v>
      </c>
      <c r="DI208">
        <v>90.39558928571428</v>
      </c>
      <c r="DJ208">
        <v>0.09997651428571429</v>
      </c>
      <c r="DK208">
        <v>30.74635714285715</v>
      </c>
      <c r="DL208">
        <v>30.03881785714286</v>
      </c>
      <c r="DM208">
        <v>999.9000000000002</v>
      </c>
      <c r="DN208">
        <v>0</v>
      </c>
      <c r="DO208">
        <v>0</v>
      </c>
      <c r="DP208">
        <v>10004.44107142857</v>
      </c>
      <c r="DQ208">
        <v>0</v>
      </c>
      <c r="DR208">
        <v>413.0869642857143</v>
      </c>
      <c r="DS208">
        <v>-70.82037142857142</v>
      </c>
      <c r="DT208">
        <v>1116.062857142857</v>
      </c>
      <c r="DU208">
        <v>1184.547857142857</v>
      </c>
      <c r="DV208">
        <v>3.366218214285714</v>
      </c>
      <c r="DW208">
        <v>1159.971071428571</v>
      </c>
      <c r="DX208">
        <v>20.74679642857143</v>
      </c>
      <c r="DY208">
        <v>2.179711785714285</v>
      </c>
      <c r="DZ208">
        <v>1.875418928571428</v>
      </c>
      <c r="EA208">
        <v>18.81395</v>
      </c>
      <c r="EB208">
        <v>16.42972142857143</v>
      </c>
      <c r="EC208">
        <v>1499.999642857142</v>
      </c>
      <c r="ED208">
        <v>0.9730046428571429</v>
      </c>
      <c r="EE208">
        <v>0.02699508571428572</v>
      </c>
      <c r="EF208">
        <v>0</v>
      </c>
      <c r="EG208">
        <v>1639.024285714286</v>
      </c>
      <c r="EH208">
        <v>5.00097</v>
      </c>
      <c r="EI208">
        <v>25283.17499999999</v>
      </c>
      <c r="EJ208">
        <v>12491.61428571428</v>
      </c>
      <c r="EK208">
        <v>40.06199999999999</v>
      </c>
      <c r="EL208">
        <v>41.56199999999999</v>
      </c>
      <c r="EM208">
        <v>40.31199999999999</v>
      </c>
      <c r="EN208">
        <v>41.375</v>
      </c>
      <c r="EO208">
        <v>41.16485714285712</v>
      </c>
      <c r="EP208">
        <v>1454.639642857143</v>
      </c>
      <c r="EQ208">
        <v>40.35999999999999</v>
      </c>
      <c r="ER208">
        <v>0</v>
      </c>
      <c r="ES208">
        <v>1562.799999952316</v>
      </c>
      <c r="ET208">
        <v>0</v>
      </c>
      <c r="EU208">
        <v>1638.8728</v>
      </c>
      <c r="EV208">
        <v>-8.06000000574255</v>
      </c>
      <c r="EW208">
        <v>-167.9923077057008</v>
      </c>
      <c r="EX208">
        <v>25281.31600000001</v>
      </c>
      <c r="EY208">
        <v>15</v>
      </c>
      <c r="EZ208">
        <v>1652371289.6</v>
      </c>
      <c r="FA208" t="s">
        <v>515</v>
      </c>
      <c r="FB208">
        <v>1652371289.6</v>
      </c>
      <c r="FC208">
        <v>1652371275.1</v>
      </c>
      <c r="FD208">
        <v>24</v>
      </c>
      <c r="FE208">
        <v>0.442</v>
      </c>
      <c r="FF208">
        <v>0.001</v>
      </c>
      <c r="FG208">
        <v>-2.63</v>
      </c>
      <c r="FH208">
        <v>0.007</v>
      </c>
      <c r="FI208">
        <v>1620</v>
      </c>
      <c r="FJ208">
        <v>22</v>
      </c>
      <c r="FK208">
        <v>0.08</v>
      </c>
      <c r="FL208">
        <v>0.04</v>
      </c>
      <c r="FM208">
        <v>-70.8836</v>
      </c>
      <c r="FN208">
        <v>1.315271080139342</v>
      </c>
      <c r="FO208">
        <v>0.1486163845479279</v>
      </c>
      <c r="FP208">
        <v>-1</v>
      </c>
      <c r="FQ208">
        <v>3.435032926829269</v>
      </c>
      <c r="FR208">
        <v>-1.417049477351905</v>
      </c>
      <c r="FS208">
        <v>0.1416872235361569</v>
      </c>
      <c r="FT208">
        <v>0</v>
      </c>
      <c r="FU208">
        <v>0</v>
      </c>
      <c r="FV208">
        <v>0</v>
      </c>
      <c r="FW208">
        <v>0</v>
      </c>
      <c r="FX208">
        <v>-1</v>
      </c>
      <c r="FY208">
        <v>0</v>
      </c>
      <c r="FZ208">
        <v>1</v>
      </c>
      <c r="GA208" t="s">
        <v>432</v>
      </c>
      <c r="GB208">
        <v>2.69534</v>
      </c>
      <c r="GC208">
        <v>2.70517</v>
      </c>
      <c r="GD208">
        <v>0.183537</v>
      </c>
      <c r="GE208">
        <v>0.18884</v>
      </c>
      <c r="GF208">
        <v>0.106538</v>
      </c>
      <c r="GG208">
        <v>0.0948788</v>
      </c>
      <c r="GH208">
        <v>25657.7</v>
      </c>
      <c r="GI208">
        <v>25600.2</v>
      </c>
      <c r="GJ208">
        <v>29237.1</v>
      </c>
      <c r="GK208">
        <v>29208.6</v>
      </c>
      <c r="GL208">
        <v>34586.8</v>
      </c>
      <c r="GM208">
        <v>35190.3</v>
      </c>
      <c r="GN208">
        <v>41150.3</v>
      </c>
      <c r="GO208">
        <v>41674.8</v>
      </c>
      <c r="GP208">
        <v>1.72178</v>
      </c>
      <c r="GQ208">
        <v>2.03465</v>
      </c>
      <c r="GR208">
        <v>0.0685938</v>
      </c>
      <c r="GS208">
        <v>0</v>
      </c>
      <c r="GT208">
        <v>28.8949</v>
      </c>
      <c r="GU208">
        <v>999.9</v>
      </c>
      <c r="GV208">
        <v>44.1</v>
      </c>
      <c r="GW208">
        <v>33.5</v>
      </c>
      <c r="GX208">
        <v>25.3484</v>
      </c>
      <c r="GY208">
        <v>63.388</v>
      </c>
      <c r="GZ208">
        <v>28.9022</v>
      </c>
      <c r="HA208">
        <v>1</v>
      </c>
      <c r="HB208">
        <v>0.270137</v>
      </c>
      <c r="HC208">
        <v>1.27151</v>
      </c>
      <c r="HD208">
        <v>20.3761</v>
      </c>
      <c r="HE208">
        <v>5.21489</v>
      </c>
      <c r="HF208">
        <v>12.0099</v>
      </c>
      <c r="HG208">
        <v>4.9875</v>
      </c>
      <c r="HH208">
        <v>3.28805</v>
      </c>
      <c r="HI208">
        <v>2731.3</v>
      </c>
      <c r="HJ208">
        <v>9999</v>
      </c>
      <c r="HK208">
        <v>9999</v>
      </c>
      <c r="HL208">
        <v>50.2</v>
      </c>
      <c r="HM208">
        <v>1.86722</v>
      </c>
      <c r="HN208">
        <v>1.86621</v>
      </c>
      <c r="HO208">
        <v>1.86582</v>
      </c>
      <c r="HP208">
        <v>1.86568</v>
      </c>
      <c r="HQ208">
        <v>1.8675</v>
      </c>
      <c r="HR208">
        <v>1.86999</v>
      </c>
      <c r="HS208">
        <v>1.8686</v>
      </c>
      <c r="HT208">
        <v>1.87006</v>
      </c>
      <c r="HU208">
        <v>0</v>
      </c>
      <c r="HV208">
        <v>0</v>
      </c>
      <c r="HW208">
        <v>0</v>
      </c>
      <c r="HX208">
        <v>0</v>
      </c>
      <c r="HY208" t="s">
        <v>421</v>
      </c>
      <c r="HZ208" t="s">
        <v>422</v>
      </c>
      <c r="IA208" t="s">
        <v>423</v>
      </c>
      <c r="IB208" t="s">
        <v>423</v>
      </c>
      <c r="IC208" t="s">
        <v>423</v>
      </c>
      <c r="ID208" t="s">
        <v>423</v>
      </c>
      <c r="IE208">
        <v>0</v>
      </c>
      <c r="IF208">
        <v>100</v>
      </c>
      <c r="IG208">
        <v>100</v>
      </c>
      <c r="IH208">
        <v>-1.38</v>
      </c>
      <c r="II208">
        <v>0.0396</v>
      </c>
      <c r="IJ208">
        <v>1.257309091789605</v>
      </c>
      <c r="IK208">
        <v>-0.002185601614162945</v>
      </c>
      <c r="IL208">
        <v>-2.252308143750626E-07</v>
      </c>
      <c r="IM208">
        <v>5.915558436307541E-11</v>
      </c>
      <c r="IN208">
        <v>-0.118683452207699</v>
      </c>
      <c r="IO208">
        <v>-0.007570214193104963</v>
      </c>
      <c r="IP208">
        <v>0.0009214429922928372</v>
      </c>
      <c r="IQ208">
        <v>-1.392260276065805E-05</v>
      </c>
      <c r="IR208">
        <v>17</v>
      </c>
      <c r="IS208">
        <v>2272</v>
      </c>
      <c r="IT208">
        <v>1</v>
      </c>
      <c r="IU208">
        <v>31</v>
      </c>
      <c r="IV208">
        <v>24</v>
      </c>
      <c r="IW208">
        <v>24.2</v>
      </c>
      <c r="IX208">
        <v>2.42554</v>
      </c>
      <c r="IY208">
        <v>2.20581</v>
      </c>
      <c r="IZ208">
        <v>1.39648</v>
      </c>
      <c r="JA208">
        <v>2.35474</v>
      </c>
      <c r="JB208">
        <v>1.49536</v>
      </c>
      <c r="JC208">
        <v>2.36816</v>
      </c>
      <c r="JD208">
        <v>37.0747</v>
      </c>
      <c r="JE208">
        <v>15.2265</v>
      </c>
      <c r="JF208">
        <v>18</v>
      </c>
      <c r="JG208">
        <v>387.805</v>
      </c>
      <c r="JH208">
        <v>571.559</v>
      </c>
      <c r="JI208">
        <v>28.1466</v>
      </c>
      <c r="JJ208">
        <v>30.8645</v>
      </c>
      <c r="JK208">
        <v>30</v>
      </c>
      <c r="JL208">
        <v>30.7769</v>
      </c>
      <c r="JM208">
        <v>30.6791</v>
      </c>
      <c r="JN208">
        <v>48.5363</v>
      </c>
      <c r="JO208">
        <v>19.156</v>
      </c>
      <c r="JP208">
        <v>0</v>
      </c>
      <c r="JQ208">
        <v>28.147</v>
      </c>
      <c r="JR208">
        <v>1209.25</v>
      </c>
      <c r="JS208">
        <v>21.0024</v>
      </c>
      <c r="JT208">
        <v>99.9353</v>
      </c>
      <c r="JU208">
        <v>100.037</v>
      </c>
    </row>
    <row r="209" spans="1:281">
      <c r="A209">
        <v>193</v>
      </c>
      <c r="B209">
        <v>1652372734</v>
      </c>
      <c r="C209">
        <v>4640.400000095367</v>
      </c>
      <c r="D209" t="s">
        <v>854</v>
      </c>
      <c r="E209" t="s">
        <v>855</v>
      </c>
      <c r="F209">
        <v>5</v>
      </c>
      <c r="G209" t="s">
        <v>711</v>
      </c>
      <c r="H209" t="s">
        <v>414</v>
      </c>
      <c r="I209">
        <v>1652372726.25</v>
      </c>
      <c r="J209">
        <f>(K209)/1000</f>
        <v>0</v>
      </c>
      <c r="K209">
        <f>IF(CZ209, AN209, AH209)</f>
        <v>0</v>
      </c>
      <c r="L209">
        <f>IF(CZ209, AI209, AG209)</f>
        <v>0</v>
      </c>
      <c r="M209">
        <f>DB209 - IF(AU209&gt;1, L209*CV209*100.0/(AW209*DP209), 0)</f>
        <v>0</v>
      </c>
      <c r="N209">
        <f>((T209-J209/2)*M209-L209)/(T209+J209/2)</f>
        <v>0</v>
      </c>
      <c r="O209">
        <f>N209*(DI209+DJ209)/1000.0</f>
        <v>0</v>
      </c>
      <c r="P209">
        <f>(DB209 - IF(AU209&gt;1, L209*CV209*100.0/(AW209*DP209), 0))*(DI209+DJ209)/1000.0</f>
        <v>0</v>
      </c>
      <c r="Q209">
        <f>2.0/((1/S209-1/R209)+SIGN(S209)*SQRT((1/S209-1/R209)*(1/S209-1/R209) + 4*CW209/((CW209+1)*(CW209+1))*(2*1/S209*1/R209-1/R209*1/R209)))</f>
        <v>0</v>
      </c>
      <c r="R209">
        <f>IF(LEFT(CX209,1)&lt;&gt;"0",IF(LEFT(CX209,1)="1",3.0,CY209),$D$5+$E$5*(DP209*DI209/($K$5*1000))+$F$5*(DP209*DI209/($K$5*1000))*MAX(MIN(CV209,$J$5),$I$5)*MAX(MIN(CV209,$J$5),$I$5)+$G$5*MAX(MIN(CV209,$J$5),$I$5)*(DP209*DI209/($K$5*1000))+$H$5*(DP209*DI209/($K$5*1000))*(DP209*DI209/($K$5*1000)))</f>
        <v>0</v>
      </c>
      <c r="S209">
        <f>J209*(1000-(1000*0.61365*exp(17.502*W209/(240.97+W209))/(DI209+DJ209)+DD209)/2)/(1000*0.61365*exp(17.502*W209/(240.97+W209))/(DI209+DJ209)-DD209)</f>
        <v>0</v>
      </c>
      <c r="T209">
        <f>1/((CW209+1)/(Q209/1.6)+1/(R209/1.37)) + CW209/((CW209+1)/(Q209/1.6) + CW209/(R209/1.37))</f>
        <v>0</v>
      </c>
      <c r="U209">
        <f>(CR209*CU209)</f>
        <v>0</v>
      </c>
      <c r="V209">
        <f>(DK209+(U209+2*0.95*5.67E-8*(((DK209+$B$7)+273)^4-(DK209+273)^4)-44100*J209)/(1.84*29.3*R209+8*0.95*5.67E-8*(DK209+273)^3))</f>
        <v>0</v>
      </c>
      <c r="W209">
        <f>($C$7*DL209+$D$7*DM209+$E$7*V209)</f>
        <v>0</v>
      </c>
      <c r="X209">
        <f>0.61365*exp(17.502*W209/(240.97+W209))</f>
        <v>0</v>
      </c>
      <c r="Y209">
        <f>(Z209/AA209*100)</f>
        <v>0</v>
      </c>
      <c r="Z209">
        <f>DD209*(DI209+DJ209)/1000</f>
        <v>0</v>
      </c>
      <c r="AA209">
        <f>0.61365*exp(17.502*DK209/(240.97+DK209))</f>
        <v>0</v>
      </c>
      <c r="AB209">
        <f>(X209-DD209*(DI209+DJ209)/1000)</f>
        <v>0</v>
      </c>
      <c r="AC209">
        <f>(-J209*44100)</f>
        <v>0</v>
      </c>
      <c r="AD209">
        <f>2*29.3*R209*0.92*(DK209-W209)</f>
        <v>0</v>
      </c>
      <c r="AE209">
        <f>2*0.95*5.67E-8*(((DK209+$B$7)+273)^4-(W209+273)^4)</f>
        <v>0</v>
      </c>
      <c r="AF209">
        <f>U209+AE209+AC209+AD209</f>
        <v>0</v>
      </c>
      <c r="AG209">
        <f>DH209*AU209*(DC209-DB209*(1000-AU209*DE209)/(1000-AU209*DD209))/(100*CV209)</f>
        <v>0</v>
      </c>
      <c r="AH209">
        <f>1000*DH209*AU209*(DD209-DE209)/(100*CV209*(1000-AU209*DD209))</f>
        <v>0</v>
      </c>
      <c r="AI209">
        <f>(AJ209 - AK209 - DI209*1E3/(8.314*(DK209+273.15)) * AM209/DH209 * AL209) * DH209/(100*CV209) * (1000 - DE209)/1000</f>
        <v>0</v>
      </c>
      <c r="AJ209">
        <v>1217.160322619861</v>
      </c>
      <c r="AK209">
        <v>1160.280303030303</v>
      </c>
      <c r="AL209">
        <v>3.449240131583902</v>
      </c>
      <c r="AM209">
        <v>65.96288611109561</v>
      </c>
      <c r="AN209">
        <f>(AP209 - AO209 + DI209*1E3/(8.314*(DK209+273.15)) * AR209/DH209 * AQ209) * DH209/(100*CV209) * 1000/(1000 - AP209)</f>
        <v>0</v>
      </c>
      <c r="AO209">
        <v>20.94162596852165</v>
      </c>
      <c r="AP209">
        <v>24.18872657342659</v>
      </c>
      <c r="AQ209">
        <v>0.006037973771326838</v>
      </c>
      <c r="AR209">
        <v>81.18387902069509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MAX(0,($B$13+$C$13*DP209)/(1+$D$13*DP209)*DI209/(DK209+273)*$E$13)</f>
        <v>0</v>
      </c>
      <c r="AX209" t="s">
        <v>417</v>
      </c>
      <c r="AY209" t="s">
        <v>417</v>
      </c>
      <c r="AZ209">
        <v>0</v>
      </c>
      <c r="BA209">
        <v>0</v>
      </c>
      <c r="BB209">
        <f>1-AZ209/BA209</f>
        <v>0</v>
      </c>
      <c r="BC209">
        <v>0</v>
      </c>
      <c r="BD209" t="s">
        <v>417</v>
      </c>
      <c r="BE209" t="s">
        <v>417</v>
      </c>
      <c r="BF209">
        <v>0</v>
      </c>
      <c r="BG209">
        <v>0</v>
      </c>
      <c r="BH209">
        <f>1-BF209/BG209</f>
        <v>0</v>
      </c>
      <c r="BI209">
        <v>0.5</v>
      </c>
      <c r="BJ209">
        <f>CS209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417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1393</v>
      </c>
      <c r="CA209">
        <v>300</v>
      </c>
      <c r="CB209">
        <v>300</v>
      </c>
      <c r="CC209">
        <v>300</v>
      </c>
      <c r="CD209">
        <v>10378</v>
      </c>
      <c r="CE209">
        <v>2050</v>
      </c>
      <c r="CF209">
        <v>-0.00730649</v>
      </c>
      <c r="CG209">
        <v>-4.53</v>
      </c>
      <c r="CH209" t="s">
        <v>417</v>
      </c>
      <c r="CI209" t="s">
        <v>417</v>
      </c>
      <c r="CJ209" t="s">
        <v>417</v>
      </c>
      <c r="CK209" t="s">
        <v>417</v>
      </c>
      <c r="CL209" t="s">
        <v>417</v>
      </c>
      <c r="CM209" t="s">
        <v>417</v>
      </c>
      <c r="CN209" t="s">
        <v>417</v>
      </c>
      <c r="CO209" t="s">
        <v>417</v>
      </c>
      <c r="CP209" t="s">
        <v>417</v>
      </c>
      <c r="CQ209" t="s">
        <v>417</v>
      </c>
      <c r="CR209">
        <f>$B$11*DQ209+$C$11*DR209+$F$11*EC209*(1-EF209)</f>
        <v>0</v>
      </c>
      <c r="CS209">
        <f>CR209*CT209</f>
        <v>0</v>
      </c>
      <c r="CT209">
        <f>($B$11*$D$9+$C$11*$D$9+$F$11*((EP209+EH209)/MAX(EP209+EH209+EQ209, 0.1)*$I$9+EQ209/MAX(EP209+EH209+EQ209, 0.1)*$J$9))/($B$11+$C$11+$F$11)</f>
        <v>0</v>
      </c>
      <c r="CU209">
        <f>($B$11*$K$9+$C$11*$K$9+$F$11*((EP209+EH209)/MAX(EP209+EH209+EQ209, 0.1)*$P$9+EQ209/MAX(EP209+EH209+EQ209, 0.1)*$Q$9))/($B$11+$C$11+$F$11)</f>
        <v>0</v>
      </c>
      <c r="CV209">
        <v>6</v>
      </c>
      <c r="CW209">
        <v>0.5</v>
      </c>
      <c r="CX209" t="s">
        <v>418</v>
      </c>
      <c r="CY209">
        <v>2</v>
      </c>
      <c r="CZ209" t="b">
        <v>1</v>
      </c>
      <c r="DA209">
        <v>1652372726.25</v>
      </c>
      <c r="DB209">
        <v>1107.876071428572</v>
      </c>
      <c r="DC209">
        <v>1178.664285714286</v>
      </c>
      <c r="DD209">
        <v>24.152625</v>
      </c>
      <c r="DE209">
        <v>20.87540357142857</v>
      </c>
      <c r="DF209">
        <v>1109.24</v>
      </c>
      <c r="DG209">
        <v>24.11326428571428</v>
      </c>
      <c r="DH209">
        <v>400.0695714285714</v>
      </c>
      <c r="DI209">
        <v>90.39464642857145</v>
      </c>
      <c r="DJ209">
        <v>0.09997417857142857</v>
      </c>
      <c r="DK209">
        <v>30.72520357142857</v>
      </c>
      <c r="DL209">
        <v>30.01932142857143</v>
      </c>
      <c r="DM209">
        <v>999.9000000000002</v>
      </c>
      <c r="DN209">
        <v>0</v>
      </c>
      <c r="DO209">
        <v>0</v>
      </c>
      <c r="DP209">
        <v>10010.48892857143</v>
      </c>
      <c r="DQ209">
        <v>0</v>
      </c>
      <c r="DR209">
        <v>412.3183928571429</v>
      </c>
      <c r="DS209">
        <v>-70.78767857142859</v>
      </c>
      <c r="DT209">
        <v>1135.298214285714</v>
      </c>
      <c r="DU209">
        <v>1203.794285714286</v>
      </c>
      <c r="DV209">
        <v>3.277210357142856</v>
      </c>
      <c r="DW209">
        <v>1178.664285714286</v>
      </c>
      <c r="DX209">
        <v>20.87540357142857</v>
      </c>
      <c r="DY209">
        <v>2.183267857142857</v>
      </c>
      <c r="DZ209">
        <v>1.887025</v>
      </c>
      <c r="EA209">
        <v>18.84005357142857</v>
      </c>
      <c r="EB209">
        <v>16.52682857142857</v>
      </c>
      <c r="EC209">
        <v>1499.9975</v>
      </c>
      <c r="ED209">
        <v>0.9730042857142857</v>
      </c>
      <c r="EE209">
        <v>0.02699547142857143</v>
      </c>
      <c r="EF209">
        <v>0</v>
      </c>
      <c r="EG209">
        <v>1638.6175</v>
      </c>
      <c r="EH209">
        <v>5.00097</v>
      </c>
      <c r="EI209">
        <v>25275.33928571429</v>
      </c>
      <c r="EJ209">
        <v>12491.59285714286</v>
      </c>
      <c r="EK209">
        <v>40.06199999999999</v>
      </c>
      <c r="EL209">
        <v>41.56199999999999</v>
      </c>
      <c r="EM209">
        <v>40.31199999999999</v>
      </c>
      <c r="EN209">
        <v>41.375</v>
      </c>
      <c r="EO209">
        <v>41.15821428571428</v>
      </c>
      <c r="EP209">
        <v>1454.636785714286</v>
      </c>
      <c r="EQ209">
        <v>40.36071428571427</v>
      </c>
      <c r="ER209">
        <v>0</v>
      </c>
      <c r="ES209">
        <v>1568.199999809265</v>
      </c>
      <c r="ET209">
        <v>0</v>
      </c>
      <c r="EU209">
        <v>1638.604230769231</v>
      </c>
      <c r="EV209">
        <v>0.7825640895102726</v>
      </c>
      <c r="EW209">
        <v>-23.71965828560399</v>
      </c>
      <c r="EX209">
        <v>25275.37692307692</v>
      </c>
      <c r="EY209">
        <v>15</v>
      </c>
      <c r="EZ209">
        <v>1652371289.6</v>
      </c>
      <c r="FA209" t="s">
        <v>515</v>
      </c>
      <c r="FB209">
        <v>1652371289.6</v>
      </c>
      <c r="FC209">
        <v>1652371275.1</v>
      </c>
      <c r="FD209">
        <v>24</v>
      </c>
      <c r="FE209">
        <v>0.442</v>
      </c>
      <c r="FF209">
        <v>0.001</v>
      </c>
      <c r="FG209">
        <v>-2.63</v>
      </c>
      <c r="FH209">
        <v>0.007</v>
      </c>
      <c r="FI209">
        <v>1620</v>
      </c>
      <c r="FJ209">
        <v>22</v>
      </c>
      <c r="FK209">
        <v>0.08</v>
      </c>
      <c r="FL209">
        <v>0.04</v>
      </c>
      <c r="FM209">
        <v>-70.80714250000001</v>
      </c>
      <c r="FN209">
        <v>0.4362247654785905</v>
      </c>
      <c r="FO209">
        <v>0.09052257698358974</v>
      </c>
      <c r="FP209">
        <v>-1</v>
      </c>
      <c r="FQ209">
        <v>3.3202645</v>
      </c>
      <c r="FR209">
        <v>-0.9317139962476638</v>
      </c>
      <c r="FS209">
        <v>0.09272721819805659</v>
      </c>
      <c r="FT209">
        <v>0</v>
      </c>
      <c r="FU209">
        <v>0</v>
      </c>
      <c r="FV209">
        <v>0</v>
      </c>
      <c r="FW209">
        <v>0</v>
      </c>
      <c r="FX209">
        <v>-1</v>
      </c>
      <c r="FY209">
        <v>0</v>
      </c>
      <c r="FZ209">
        <v>1</v>
      </c>
      <c r="GA209" t="s">
        <v>432</v>
      </c>
      <c r="GB209">
        <v>2.69553</v>
      </c>
      <c r="GC209">
        <v>2.70531</v>
      </c>
      <c r="GD209">
        <v>0.185461</v>
      </c>
      <c r="GE209">
        <v>0.190693</v>
      </c>
      <c r="GF209">
        <v>0.10659</v>
      </c>
      <c r="GG209">
        <v>0.0950189</v>
      </c>
      <c r="GH209">
        <v>25597.2</v>
      </c>
      <c r="GI209">
        <v>25541.4</v>
      </c>
      <c r="GJ209">
        <v>29237.1</v>
      </c>
      <c r="GK209">
        <v>29208.4</v>
      </c>
      <c r="GL209">
        <v>34584.8</v>
      </c>
      <c r="GM209">
        <v>35184.6</v>
      </c>
      <c r="GN209">
        <v>41150.3</v>
      </c>
      <c r="GO209">
        <v>41674.4</v>
      </c>
      <c r="GP209">
        <v>1.72165</v>
      </c>
      <c r="GQ209">
        <v>2.03443</v>
      </c>
      <c r="GR209">
        <v>0.06749479999999999</v>
      </c>
      <c r="GS209">
        <v>0</v>
      </c>
      <c r="GT209">
        <v>28.8887</v>
      </c>
      <c r="GU209">
        <v>999.9</v>
      </c>
      <c r="GV209">
        <v>44.1</v>
      </c>
      <c r="GW209">
        <v>33.5</v>
      </c>
      <c r="GX209">
        <v>25.3474</v>
      </c>
      <c r="GY209">
        <v>63.538</v>
      </c>
      <c r="GZ209">
        <v>28.6258</v>
      </c>
      <c r="HA209">
        <v>1</v>
      </c>
      <c r="HB209">
        <v>0.269759</v>
      </c>
      <c r="HC209">
        <v>1.1781</v>
      </c>
      <c r="HD209">
        <v>20.3774</v>
      </c>
      <c r="HE209">
        <v>5.21714</v>
      </c>
      <c r="HF209">
        <v>12.0099</v>
      </c>
      <c r="HG209">
        <v>4.98795</v>
      </c>
      <c r="HH209">
        <v>3.28833</v>
      </c>
      <c r="HI209">
        <v>2731.3</v>
      </c>
      <c r="HJ209">
        <v>9999</v>
      </c>
      <c r="HK209">
        <v>9999</v>
      </c>
      <c r="HL209">
        <v>50.2</v>
      </c>
      <c r="HM209">
        <v>1.86722</v>
      </c>
      <c r="HN209">
        <v>1.86621</v>
      </c>
      <c r="HO209">
        <v>1.86581</v>
      </c>
      <c r="HP209">
        <v>1.86569</v>
      </c>
      <c r="HQ209">
        <v>1.86747</v>
      </c>
      <c r="HR209">
        <v>1.87</v>
      </c>
      <c r="HS209">
        <v>1.86861</v>
      </c>
      <c r="HT209">
        <v>1.87002</v>
      </c>
      <c r="HU209">
        <v>0</v>
      </c>
      <c r="HV209">
        <v>0</v>
      </c>
      <c r="HW209">
        <v>0</v>
      </c>
      <c r="HX209">
        <v>0</v>
      </c>
      <c r="HY209" t="s">
        <v>421</v>
      </c>
      <c r="HZ209" t="s">
        <v>422</v>
      </c>
      <c r="IA209" t="s">
        <v>423</v>
      </c>
      <c r="IB209" t="s">
        <v>423</v>
      </c>
      <c r="IC209" t="s">
        <v>423</v>
      </c>
      <c r="ID209" t="s">
        <v>423</v>
      </c>
      <c r="IE209">
        <v>0</v>
      </c>
      <c r="IF209">
        <v>100</v>
      </c>
      <c r="IG209">
        <v>100</v>
      </c>
      <c r="IH209">
        <v>-1.43</v>
      </c>
      <c r="II209">
        <v>0.0398</v>
      </c>
      <c r="IJ209">
        <v>1.257309091789605</v>
      </c>
      <c r="IK209">
        <v>-0.002185601614162945</v>
      </c>
      <c r="IL209">
        <v>-2.252308143750626E-07</v>
      </c>
      <c r="IM209">
        <v>5.915558436307541E-11</v>
      </c>
      <c r="IN209">
        <v>-0.118683452207699</v>
      </c>
      <c r="IO209">
        <v>-0.007570214193104963</v>
      </c>
      <c r="IP209">
        <v>0.0009214429922928372</v>
      </c>
      <c r="IQ209">
        <v>-1.392260276065805E-05</v>
      </c>
      <c r="IR209">
        <v>17</v>
      </c>
      <c r="IS209">
        <v>2272</v>
      </c>
      <c r="IT209">
        <v>1</v>
      </c>
      <c r="IU209">
        <v>31</v>
      </c>
      <c r="IV209">
        <v>24.1</v>
      </c>
      <c r="IW209">
        <v>24.3</v>
      </c>
      <c r="IX209">
        <v>2.45361</v>
      </c>
      <c r="IY209">
        <v>2.20703</v>
      </c>
      <c r="IZ209">
        <v>1.39648</v>
      </c>
      <c r="JA209">
        <v>2.35474</v>
      </c>
      <c r="JB209">
        <v>1.49536</v>
      </c>
      <c r="JC209">
        <v>2.30713</v>
      </c>
      <c r="JD209">
        <v>37.0747</v>
      </c>
      <c r="JE209">
        <v>15.2178</v>
      </c>
      <c r="JF209">
        <v>18</v>
      </c>
      <c r="JG209">
        <v>387.748</v>
      </c>
      <c r="JH209">
        <v>571.398</v>
      </c>
      <c r="JI209">
        <v>28.1233</v>
      </c>
      <c r="JJ209">
        <v>30.8649</v>
      </c>
      <c r="JK209">
        <v>30.0001</v>
      </c>
      <c r="JL209">
        <v>30.7785</v>
      </c>
      <c r="JM209">
        <v>30.6801</v>
      </c>
      <c r="JN209">
        <v>49.1482</v>
      </c>
      <c r="JO209">
        <v>18.8827</v>
      </c>
      <c r="JP209">
        <v>0</v>
      </c>
      <c r="JQ209">
        <v>28.1366</v>
      </c>
      <c r="JR209">
        <v>1222.6</v>
      </c>
      <c r="JS209">
        <v>21.09</v>
      </c>
      <c r="JT209">
        <v>99.9353</v>
      </c>
      <c r="JU209">
        <v>100.036</v>
      </c>
    </row>
    <row r="210" spans="1:281">
      <c r="A210">
        <v>194</v>
      </c>
      <c r="B210">
        <v>1652372738.5</v>
      </c>
      <c r="C210">
        <v>4644.900000095367</v>
      </c>
      <c r="D210" t="s">
        <v>856</v>
      </c>
      <c r="E210" t="s">
        <v>857</v>
      </c>
      <c r="F210">
        <v>5</v>
      </c>
      <c r="G210" t="s">
        <v>711</v>
      </c>
      <c r="H210" t="s">
        <v>414</v>
      </c>
      <c r="I210">
        <v>1652372730.678571</v>
      </c>
      <c r="J210">
        <f>(K210)/1000</f>
        <v>0</v>
      </c>
      <c r="K210">
        <f>IF(CZ210, AN210, AH210)</f>
        <v>0</v>
      </c>
      <c r="L210">
        <f>IF(CZ210, AI210, AG210)</f>
        <v>0</v>
      </c>
      <c r="M210">
        <f>DB210 - IF(AU210&gt;1, L210*CV210*100.0/(AW210*DP210), 0)</f>
        <v>0</v>
      </c>
      <c r="N210">
        <f>((T210-J210/2)*M210-L210)/(T210+J210/2)</f>
        <v>0</v>
      </c>
      <c r="O210">
        <f>N210*(DI210+DJ210)/1000.0</f>
        <v>0</v>
      </c>
      <c r="P210">
        <f>(DB210 - IF(AU210&gt;1, L210*CV210*100.0/(AW210*DP210), 0))*(DI210+DJ210)/1000.0</f>
        <v>0</v>
      </c>
      <c r="Q210">
        <f>2.0/((1/S210-1/R210)+SIGN(S210)*SQRT((1/S210-1/R210)*(1/S210-1/R210) + 4*CW210/((CW210+1)*(CW210+1))*(2*1/S210*1/R210-1/R210*1/R210)))</f>
        <v>0</v>
      </c>
      <c r="R210">
        <f>IF(LEFT(CX210,1)&lt;&gt;"0",IF(LEFT(CX210,1)="1",3.0,CY210),$D$5+$E$5*(DP210*DI210/($K$5*1000))+$F$5*(DP210*DI210/($K$5*1000))*MAX(MIN(CV210,$J$5),$I$5)*MAX(MIN(CV210,$J$5),$I$5)+$G$5*MAX(MIN(CV210,$J$5),$I$5)*(DP210*DI210/($K$5*1000))+$H$5*(DP210*DI210/($K$5*1000))*(DP210*DI210/($K$5*1000)))</f>
        <v>0</v>
      </c>
      <c r="S210">
        <f>J210*(1000-(1000*0.61365*exp(17.502*W210/(240.97+W210))/(DI210+DJ210)+DD210)/2)/(1000*0.61365*exp(17.502*W210/(240.97+W210))/(DI210+DJ210)-DD210)</f>
        <v>0</v>
      </c>
      <c r="T210">
        <f>1/((CW210+1)/(Q210/1.6)+1/(R210/1.37)) + CW210/((CW210+1)/(Q210/1.6) + CW210/(R210/1.37))</f>
        <v>0</v>
      </c>
      <c r="U210">
        <f>(CR210*CU210)</f>
        <v>0</v>
      </c>
      <c r="V210">
        <f>(DK210+(U210+2*0.95*5.67E-8*(((DK210+$B$7)+273)^4-(DK210+273)^4)-44100*J210)/(1.84*29.3*R210+8*0.95*5.67E-8*(DK210+273)^3))</f>
        <v>0</v>
      </c>
      <c r="W210">
        <f>($C$7*DL210+$D$7*DM210+$E$7*V210)</f>
        <v>0</v>
      </c>
      <c r="X210">
        <f>0.61365*exp(17.502*W210/(240.97+W210))</f>
        <v>0</v>
      </c>
      <c r="Y210">
        <f>(Z210/AA210*100)</f>
        <v>0</v>
      </c>
      <c r="Z210">
        <f>DD210*(DI210+DJ210)/1000</f>
        <v>0</v>
      </c>
      <c r="AA210">
        <f>0.61365*exp(17.502*DK210/(240.97+DK210))</f>
        <v>0</v>
      </c>
      <c r="AB210">
        <f>(X210-DD210*(DI210+DJ210)/1000)</f>
        <v>0</v>
      </c>
      <c r="AC210">
        <f>(-J210*44100)</f>
        <v>0</v>
      </c>
      <c r="AD210">
        <f>2*29.3*R210*0.92*(DK210-W210)</f>
        <v>0</v>
      </c>
      <c r="AE210">
        <f>2*0.95*5.67E-8*(((DK210+$B$7)+273)^4-(W210+273)^4)</f>
        <v>0</v>
      </c>
      <c r="AF210">
        <f>U210+AE210+AC210+AD210</f>
        <v>0</v>
      </c>
      <c r="AG210">
        <f>DH210*AU210*(DC210-DB210*(1000-AU210*DE210)/(1000-AU210*DD210))/(100*CV210)</f>
        <v>0</v>
      </c>
      <c r="AH210">
        <f>1000*DH210*AU210*(DD210-DE210)/(100*CV210*(1000-AU210*DD210))</f>
        <v>0</v>
      </c>
      <c r="AI210">
        <f>(AJ210 - AK210 - DI210*1E3/(8.314*(DK210+273.15)) * AM210/DH210 * AL210) * DH210/(100*CV210) * (1000 - DE210)/1000</f>
        <v>0</v>
      </c>
      <c r="AJ210">
        <v>1232.723998807112</v>
      </c>
      <c r="AK210">
        <v>1175.828545454545</v>
      </c>
      <c r="AL210">
        <v>3.451445919847154</v>
      </c>
      <c r="AM210">
        <v>65.96288611109561</v>
      </c>
      <c r="AN210">
        <f>(AP210 - AO210 + DI210*1E3/(8.314*(DK210+273.15)) * AR210/DH210 * AQ210) * DH210/(100*CV210) * 1000/(1000 - AP210)</f>
        <v>0</v>
      </c>
      <c r="AO210">
        <v>20.9737377466333</v>
      </c>
      <c r="AP210">
        <v>24.18133006993008</v>
      </c>
      <c r="AQ210">
        <v>0.0002662629053342106</v>
      </c>
      <c r="AR210">
        <v>81.18387902069509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MAX(0,($B$13+$C$13*DP210)/(1+$D$13*DP210)*DI210/(DK210+273)*$E$13)</f>
        <v>0</v>
      </c>
      <c r="AX210" t="s">
        <v>417</v>
      </c>
      <c r="AY210" t="s">
        <v>417</v>
      </c>
      <c r="AZ210">
        <v>0</v>
      </c>
      <c r="BA210">
        <v>0</v>
      </c>
      <c r="BB210">
        <f>1-AZ210/BA210</f>
        <v>0</v>
      </c>
      <c r="BC210">
        <v>0</v>
      </c>
      <c r="BD210" t="s">
        <v>417</v>
      </c>
      <c r="BE210" t="s">
        <v>417</v>
      </c>
      <c r="BF210">
        <v>0</v>
      </c>
      <c r="BG210">
        <v>0</v>
      </c>
      <c r="BH210">
        <f>1-BF210/BG210</f>
        <v>0</v>
      </c>
      <c r="BI210">
        <v>0.5</v>
      </c>
      <c r="BJ210">
        <f>CS210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417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1393</v>
      </c>
      <c r="CA210">
        <v>300</v>
      </c>
      <c r="CB210">
        <v>300</v>
      </c>
      <c r="CC210">
        <v>300</v>
      </c>
      <c r="CD210">
        <v>10378</v>
      </c>
      <c r="CE210">
        <v>2050</v>
      </c>
      <c r="CF210">
        <v>-0.00730649</v>
      </c>
      <c r="CG210">
        <v>-4.53</v>
      </c>
      <c r="CH210" t="s">
        <v>417</v>
      </c>
      <c r="CI210" t="s">
        <v>417</v>
      </c>
      <c r="CJ210" t="s">
        <v>417</v>
      </c>
      <c r="CK210" t="s">
        <v>417</v>
      </c>
      <c r="CL210" t="s">
        <v>417</v>
      </c>
      <c r="CM210" t="s">
        <v>417</v>
      </c>
      <c r="CN210" t="s">
        <v>417</v>
      </c>
      <c r="CO210" t="s">
        <v>417</v>
      </c>
      <c r="CP210" t="s">
        <v>417</v>
      </c>
      <c r="CQ210" t="s">
        <v>417</v>
      </c>
      <c r="CR210">
        <f>$B$11*DQ210+$C$11*DR210+$F$11*EC210*(1-EF210)</f>
        <v>0</v>
      </c>
      <c r="CS210">
        <f>CR210*CT210</f>
        <v>0</v>
      </c>
      <c r="CT210">
        <f>($B$11*$D$9+$C$11*$D$9+$F$11*((EP210+EH210)/MAX(EP210+EH210+EQ210, 0.1)*$I$9+EQ210/MAX(EP210+EH210+EQ210, 0.1)*$J$9))/($B$11+$C$11+$F$11)</f>
        <v>0</v>
      </c>
      <c r="CU210">
        <f>($B$11*$K$9+$C$11*$K$9+$F$11*((EP210+EH210)/MAX(EP210+EH210+EQ210, 0.1)*$P$9+EQ210/MAX(EP210+EH210+EQ210, 0.1)*$Q$9))/($B$11+$C$11+$F$11)</f>
        <v>0</v>
      </c>
      <c r="CV210">
        <v>6</v>
      </c>
      <c r="CW210">
        <v>0.5</v>
      </c>
      <c r="CX210" t="s">
        <v>418</v>
      </c>
      <c r="CY210">
        <v>2</v>
      </c>
      <c r="CZ210" t="b">
        <v>1</v>
      </c>
      <c r="DA210">
        <v>1652372730.678571</v>
      </c>
      <c r="DB210">
        <v>1122.766785714286</v>
      </c>
      <c r="DC210">
        <v>1193.520357142857</v>
      </c>
      <c r="DD210">
        <v>24.17266785714286</v>
      </c>
      <c r="DE210">
        <v>20.94171428571428</v>
      </c>
      <c r="DF210">
        <v>1124.1675</v>
      </c>
      <c r="DG210">
        <v>24.13306428571429</v>
      </c>
      <c r="DH210">
        <v>400.0783214285714</v>
      </c>
      <c r="DI210">
        <v>90.39442142857145</v>
      </c>
      <c r="DJ210">
        <v>0.09998967857142858</v>
      </c>
      <c r="DK210">
        <v>30.70753214285714</v>
      </c>
      <c r="DL210">
        <v>30.00216071428571</v>
      </c>
      <c r="DM210">
        <v>999.9000000000002</v>
      </c>
      <c r="DN210">
        <v>0</v>
      </c>
      <c r="DO210">
        <v>0</v>
      </c>
      <c r="DP210">
        <v>10007.45357142857</v>
      </c>
      <c r="DQ210">
        <v>0</v>
      </c>
      <c r="DR210">
        <v>413.0270357142857</v>
      </c>
      <c r="DS210">
        <v>-70.75337142857141</v>
      </c>
      <c r="DT210">
        <v>1150.580714285714</v>
      </c>
      <c r="DU210">
        <v>1219.049285714286</v>
      </c>
      <c r="DV210">
        <v>3.230946785714286</v>
      </c>
      <c r="DW210">
        <v>1193.520357142857</v>
      </c>
      <c r="DX210">
        <v>20.94171428571428</v>
      </c>
      <c r="DY210">
        <v>2.185073928571429</v>
      </c>
      <c r="DZ210">
        <v>1.893015357142857</v>
      </c>
      <c r="EA210">
        <v>18.85329642857143</v>
      </c>
      <c r="EB210">
        <v>16.57671428571429</v>
      </c>
      <c r="EC210">
        <v>1500.018571428571</v>
      </c>
      <c r="ED210">
        <v>0.9730046428571429</v>
      </c>
      <c r="EE210">
        <v>0.02699508571428572</v>
      </c>
      <c r="EF210">
        <v>0</v>
      </c>
      <c r="EG210">
        <v>1638.858571428571</v>
      </c>
      <c r="EH210">
        <v>5.00097</v>
      </c>
      <c r="EI210">
        <v>25280.28571428571</v>
      </c>
      <c r="EJ210">
        <v>12491.76428571428</v>
      </c>
      <c r="EK210">
        <v>40.06199999999999</v>
      </c>
      <c r="EL210">
        <v>41.56199999999999</v>
      </c>
      <c r="EM210">
        <v>40.31199999999999</v>
      </c>
      <c r="EN210">
        <v>41.375</v>
      </c>
      <c r="EO210">
        <v>41.14714285714285</v>
      </c>
      <c r="EP210">
        <v>1454.657857142857</v>
      </c>
      <c r="EQ210">
        <v>40.36071428571428</v>
      </c>
      <c r="ER210">
        <v>0</v>
      </c>
      <c r="ES210">
        <v>1573</v>
      </c>
      <c r="ET210">
        <v>0</v>
      </c>
      <c r="EU210">
        <v>1638.850769230769</v>
      </c>
      <c r="EV210">
        <v>5.798974357715492</v>
      </c>
      <c r="EW210">
        <v>214.0068378244054</v>
      </c>
      <c r="EX210">
        <v>25282.53461538461</v>
      </c>
      <c r="EY210">
        <v>15</v>
      </c>
      <c r="EZ210">
        <v>1652371289.6</v>
      </c>
      <c r="FA210" t="s">
        <v>515</v>
      </c>
      <c r="FB210">
        <v>1652371289.6</v>
      </c>
      <c r="FC210">
        <v>1652371275.1</v>
      </c>
      <c r="FD210">
        <v>24</v>
      </c>
      <c r="FE210">
        <v>0.442</v>
      </c>
      <c r="FF210">
        <v>0.001</v>
      </c>
      <c r="FG210">
        <v>-2.63</v>
      </c>
      <c r="FH210">
        <v>0.007</v>
      </c>
      <c r="FI210">
        <v>1620</v>
      </c>
      <c r="FJ210">
        <v>22</v>
      </c>
      <c r="FK210">
        <v>0.08</v>
      </c>
      <c r="FL210">
        <v>0.04</v>
      </c>
      <c r="FM210">
        <v>-70.78115749999999</v>
      </c>
      <c r="FN210">
        <v>0.1978772983117174</v>
      </c>
      <c r="FO210">
        <v>0.08358834215218075</v>
      </c>
      <c r="FP210">
        <v>-1</v>
      </c>
      <c r="FQ210">
        <v>3.2665435</v>
      </c>
      <c r="FR210">
        <v>-0.632930881801136</v>
      </c>
      <c r="FS210">
        <v>0.06308281416320929</v>
      </c>
      <c r="FT210">
        <v>0</v>
      </c>
      <c r="FU210">
        <v>0</v>
      </c>
      <c r="FV210">
        <v>0</v>
      </c>
      <c r="FW210">
        <v>0</v>
      </c>
      <c r="FX210">
        <v>-1</v>
      </c>
      <c r="FY210">
        <v>0</v>
      </c>
      <c r="FZ210">
        <v>1</v>
      </c>
      <c r="GA210" t="s">
        <v>432</v>
      </c>
      <c r="GB210">
        <v>2.69538</v>
      </c>
      <c r="GC210">
        <v>2.7052</v>
      </c>
      <c r="GD210">
        <v>0.187027</v>
      </c>
      <c r="GE210">
        <v>0.192178</v>
      </c>
      <c r="GF210">
        <v>0.106569</v>
      </c>
      <c r="GG210">
        <v>0.095225</v>
      </c>
      <c r="GH210">
        <v>25547.5</v>
      </c>
      <c r="GI210">
        <v>25494.3</v>
      </c>
      <c r="GJ210">
        <v>29236.6</v>
      </c>
      <c r="GK210">
        <v>29208.2</v>
      </c>
      <c r="GL210">
        <v>34584.7</v>
      </c>
      <c r="GM210">
        <v>35176.3</v>
      </c>
      <c r="GN210">
        <v>41149.2</v>
      </c>
      <c r="GO210">
        <v>41674.3</v>
      </c>
      <c r="GP210">
        <v>1.7218</v>
      </c>
      <c r="GQ210">
        <v>2.03455</v>
      </c>
      <c r="GR210">
        <v>0.0673532</v>
      </c>
      <c r="GS210">
        <v>0</v>
      </c>
      <c r="GT210">
        <v>28.8814</v>
      </c>
      <c r="GU210">
        <v>999.9</v>
      </c>
      <c r="GV210">
        <v>44.1</v>
      </c>
      <c r="GW210">
        <v>33.5</v>
      </c>
      <c r="GX210">
        <v>25.3506</v>
      </c>
      <c r="GY210">
        <v>63.168</v>
      </c>
      <c r="GZ210">
        <v>29.1747</v>
      </c>
      <c r="HA210">
        <v>1</v>
      </c>
      <c r="HB210">
        <v>0.269657</v>
      </c>
      <c r="HC210">
        <v>-0.514278</v>
      </c>
      <c r="HD210">
        <v>20.3745</v>
      </c>
      <c r="HE210">
        <v>5.21789</v>
      </c>
      <c r="HF210">
        <v>12.0099</v>
      </c>
      <c r="HG210">
        <v>4.9884</v>
      </c>
      <c r="HH210">
        <v>3.28845</v>
      </c>
      <c r="HI210">
        <v>2731.5</v>
      </c>
      <c r="HJ210">
        <v>9999</v>
      </c>
      <c r="HK210">
        <v>9999</v>
      </c>
      <c r="HL210">
        <v>50.2</v>
      </c>
      <c r="HM210">
        <v>1.86722</v>
      </c>
      <c r="HN210">
        <v>1.86622</v>
      </c>
      <c r="HO210">
        <v>1.86582</v>
      </c>
      <c r="HP210">
        <v>1.86569</v>
      </c>
      <c r="HQ210">
        <v>1.86751</v>
      </c>
      <c r="HR210">
        <v>1.86999</v>
      </c>
      <c r="HS210">
        <v>1.86863</v>
      </c>
      <c r="HT210">
        <v>1.87009</v>
      </c>
      <c r="HU210">
        <v>0</v>
      </c>
      <c r="HV210">
        <v>0</v>
      </c>
      <c r="HW210">
        <v>0</v>
      </c>
      <c r="HX210">
        <v>0</v>
      </c>
      <c r="HY210" t="s">
        <v>421</v>
      </c>
      <c r="HZ210" t="s">
        <v>422</v>
      </c>
      <c r="IA210" t="s">
        <v>423</v>
      </c>
      <c r="IB210" t="s">
        <v>423</v>
      </c>
      <c r="IC210" t="s">
        <v>423</v>
      </c>
      <c r="ID210" t="s">
        <v>423</v>
      </c>
      <c r="IE210">
        <v>0</v>
      </c>
      <c r="IF210">
        <v>100</v>
      </c>
      <c r="IG210">
        <v>100</v>
      </c>
      <c r="IH210">
        <v>-1.47</v>
      </c>
      <c r="II210">
        <v>0.0397</v>
      </c>
      <c r="IJ210">
        <v>1.257309091789605</v>
      </c>
      <c r="IK210">
        <v>-0.002185601614162945</v>
      </c>
      <c r="IL210">
        <v>-2.252308143750626E-07</v>
      </c>
      <c r="IM210">
        <v>5.915558436307541E-11</v>
      </c>
      <c r="IN210">
        <v>-0.118683452207699</v>
      </c>
      <c r="IO210">
        <v>-0.007570214193104963</v>
      </c>
      <c r="IP210">
        <v>0.0009214429922928372</v>
      </c>
      <c r="IQ210">
        <v>-1.392260276065805E-05</v>
      </c>
      <c r="IR210">
        <v>17</v>
      </c>
      <c r="IS210">
        <v>2272</v>
      </c>
      <c r="IT210">
        <v>1</v>
      </c>
      <c r="IU210">
        <v>31</v>
      </c>
      <c r="IV210">
        <v>24.1</v>
      </c>
      <c r="IW210">
        <v>24.4</v>
      </c>
      <c r="IX210">
        <v>2.47925</v>
      </c>
      <c r="IY210">
        <v>2.20703</v>
      </c>
      <c r="IZ210">
        <v>1.39648</v>
      </c>
      <c r="JA210">
        <v>2.35352</v>
      </c>
      <c r="JB210">
        <v>1.49536</v>
      </c>
      <c r="JC210">
        <v>2.2876</v>
      </c>
      <c r="JD210">
        <v>37.0747</v>
      </c>
      <c r="JE210">
        <v>15.2178</v>
      </c>
      <c r="JF210">
        <v>18</v>
      </c>
      <c r="JG210">
        <v>387.839</v>
      </c>
      <c r="JH210">
        <v>571.5170000000001</v>
      </c>
      <c r="JI210">
        <v>28.1872</v>
      </c>
      <c r="JJ210">
        <v>30.8672</v>
      </c>
      <c r="JK210">
        <v>30</v>
      </c>
      <c r="JL210">
        <v>30.7803</v>
      </c>
      <c r="JM210">
        <v>30.6826</v>
      </c>
      <c r="JN210">
        <v>49.6168</v>
      </c>
      <c r="JO210">
        <v>18.8827</v>
      </c>
      <c r="JP210">
        <v>0</v>
      </c>
      <c r="JQ210">
        <v>28.6945</v>
      </c>
      <c r="JR210">
        <v>1242.64</v>
      </c>
      <c r="JS210">
        <v>21.1731</v>
      </c>
      <c r="JT210">
        <v>99.9331</v>
      </c>
      <c r="JU210">
        <v>100.036</v>
      </c>
    </row>
    <row r="211" spans="1:281">
      <c r="A211">
        <v>195</v>
      </c>
      <c r="B211">
        <v>1652372744</v>
      </c>
      <c r="C211">
        <v>4650.400000095367</v>
      </c>
      <c r="D211" t="s">
        <v>858</v>
      </c>
      <c r="E211" t="s">
        <v>859</v>
      </c>
      <c r="F211">
        <v>5</v>
      </c>
      <c r="G211" t="s">
        <v>711</v>
      </c>
      <c r="H211" t="s">
        <v>414</v>
      </c>
      <c r="I211">
        <v>1652372736.25</v>
      </c>
      <c r="J211">
        <f>(K211)/1000</f>
        <v>0</v>
      </c>
      <c r="K211">
        <f>IF(CZ211, AN211, AH211)</f>
        <v>0</v>
      </c>
      <c r="L211">
        <f>IF(CZ211, AI211, AG211)</f>
        <v>0</v>
      </c>
      <c r="M211">
        <f>DB211 - IF(AU211&gt;1, L211*CV211*100.0/(AW211*DP211), 0)</f>
        <v>0</v>
      </c>
      <c r="N211">
        <f>((T211-J211/2)*M211-L211)/(T211+J211/2)</f>
        <v>0</v>
      </c>
      <c r="O211">
        <f>N211*(DI211+DJ211)/1000.0</f>
        <v>0</v>
      </c>
      <c r="P211">
        <f>(DB211 - IF(AU211&gt;1, L211*CV211*100.0/(AW211*DP211), 0))*(DI211+DJ211)/1000.0</f>
        <v>0</v>
      </c>
      <c r="Q211">
        <f>2.0/((1/S211-1/R211)+SIGN(S211)*SQRT((1/S211-1/R211)*(1/S211-1/R211) + 4*CW211/((CW211+1)*(CW211+1))*(2*1/S211*1/R211-1/R211*1/R211)))</f>
        <v>0</v>
      </c>
      <c r="R211">
        <f>IF(LEFT(CX211,1)&lt;&gt;"0",IF(LEFT(CX211,1)="1",3.0,CY211),$D$5+$E$5*(DP211*DI211/($K$5*1000))+$F$5*(DP211*DI211/($K$5*1000))*MAX(MIN(CV211,$J$5),$I$5)*MAX(MIN(CV211,$J$5),$I$5)+$G$5*MAX(MIN(CV211,$J$5),$I$5)*(DP211*DI211/($K$5*1000))+$H$5*(DP211*DI211/($K$5*1000))*(DP211*DI211/($K$5*1000)))</f>
        <v>0</v>
      </c>
      <c r="S211">
        <f>J211*(1000-(1000*0.61365*exp(17.502*W211/(240.97+W211))/(DI211+DJ211)+DD211)/2)/(1000*0.61365*exp(17.502*W211/(240.97+W211))/(DI211+DJ211)-DD211)</f>
        <v>0</v>
      </c>
      <c r="T211">
        <f>1/((CW211+1)/(Q211/1.6)+1/(R211/1.37)) + CW211/((CW211+1)/(Q211/1.6) + CW211/(R211/1.37))</f>
        <v>0</v>
      </c>
      <c r="U211">
        <f>(CR211*CU211)</f>
        <v>0</v>
      </c>
      <c r="V211">
        <f>(DK211+(U211+2*0.95*5.67E-8*(((DK211+$B$7)+273)^4-(DK211+273)^4)-44100*J211)/(1.84*29.3*R211+8*0.95*5.67E-8*(DK211+273)^3))</f>
        <v>0</v>
      </c>
      <c r="W211">
        <f>($C$7*DL211+$D$7*DM211+$E$7*V211)</f>
        <v>0</v>
      </c>
      <c r="X211">
        <f>0.61365*exp(17.502*W211/(240.97+W211))</f>
        <v>0</v>
      </c>
      <c r="Y211">
        <f>(Z211/AA211*100)</f>
        <v>0</v>
      </c>
      <c r="Z211">
        <f>DD211*(DI211+DJ211)/1000</f>
        <v>0</v>
      </c>
      <c r="AA211">
        <f>0.61365*exp(17.502*DK211/(240.97+DK211))</f>
        <v>0</v>
      </c>
      <c r="AB211">
        <f>(X211-DD211*(DI211+DJ211)/1000)</f>
        <v>0</v>
      </c>
      <c r="AC211">
        <f>(-J211*44100)</f>
        <v>0</v>
      </c>
      <c r="AD211">
        <f>2*29.3*R211*0.92*(DK211-W211)</f>
        <v>0</v>
      </c>
      <c r="AE211">
        <f>2*0.95*5.67E-8*(((DK211+$B$7)+273)^4-(W211+273)^4)</f>
        <v>0</v>
      </c>
      <c r="AF211">
        <f>U211+AE211+AC211+AD211</f>
        <v>0</v>
      </c>
      <c r="AG211">
        <f>DH211*AU211*(DC211-DB211*(1000-AU211*DE211)/(1000-AU211*DD211))/(100*CV211)</f>
        <v>0</v>
      </c>
      <c r="AH211">
        <f>1000*DH211*AU211*(DD211-DE211)/(100*CV211*(1000-AU211*DD211))</f>
        <v>0</v>
      </c>
      <c r="AI211">
        <f>(AJ211 - AK211 - DI211*1E3/(8.314*(DK211+273.15)) * AM211/DH211 * AL211) * DH211/(100*CV211) * (1000 - DE211)/1000</f>
        <v>0</v>
      </c>
      <c r="AJ211">
        <v>1251.507780649541</v>
      </c>
      <c r="AK211">
        <v>1194.611818181818</v>
      </c>
      <c r="AL211">
        <v>3.423075912733506</v>
      </c>
      <c r="AM211">
        <v>65.96288611109561</v>
      </c>
      <c r="AN211">
        <f>(AP211 - AO211 + DI211*1E3/(8.314*(DK211+273.15)) * AR211/DH211 * AQ211) * DH211/(100*CV211) * 1000/(1000 - AP211)</f>
        <v>0</v>
      </c>
      <c r="AO211">
        <v>21.05900246079398</v>
      </c>
      <c r="AP211">
        <v>24.18735034965036</v>
      </c>
      <c r="AQ211">
        <v>-0.0001470060173910668</v>
      </c>
      <c r="AR211">
        <v>81.18387902069509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MAX(0,($B$13+$C$13*DP211)/(1+$D$13*DP211)*DI211/(DK211+273)*$E$13)</f>
        <v>0</v>
      </c>
      <c r="AX211" t="s">
        <v>417</v>
      </c>
      <c r="AY211" t="s">
        <v>417</v>
      </c>
      <c r="AZ211">
        <v>0</v>
      </c>
      <c r="BA211">
        <v>0</v>
      </c>
      <c r="BB211">
        <f>1-AZ211/BA211</f>
        <v>0</v>
      </c>
      <c r="BC211">
        <v>0</v>
      </c>
      <c r="BD211" t="s">
        <v>417</v>
      </c>
      <c r="BE211" t="s">
        <v>417</v>
      </c>
      <c r="BF211">
        <v>0</v>
      </c>
      <c r="BG211">
        <v>0</v>
      </c>
      <c r="BH211">
        <f>1-BF211/BG211</f>
        <v>0</v>
      </c>
      <c r="BI211">
        <v>0.5</v>
      </c>
      <c r="BJ211">
        <f>CS211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417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1393</v>
      </c>
      <c r="CA211">
        <v>300</v>
      </c>
      <c r="CB211">
        <v>300</v>
      </c>
      <c r="CC211">
        <v>300</v>
      </c>
      <c r="CD211">
        <v>10378</v>
      </c>
      <c r="CE211">
        <v>2050</v>
      </c>
      <c r="CF211">
        <v>-0.00730649</v>
      </c>
      <c r="CG211">
        <v>-4.53</v>
      </c>
      <c r="CH211" t="s">
        <v>417</v>
      </c>
      <c r="CI211" t="s">
        <v>417</v>
      </c>
      <c r="CJ211" t="s">
        <v>417</v>
      </c>
      <c r="CK211" t="s">
        <v>417</v>
      </c>
      <c r="CL211" t="s">
        <v>417</v>
      </c>
      <c r="CM211" t="s">
        <v>417</v>
      </c>
      <c r="CN211" t="s">
        <v>417</v>
      </c>
      <c r="CO211" t="s">
        <v>417</v>
      </c>
      <c r="CP211" t="s">
        <v>417</v>
      </c>
      <c r="CQ211" t="s">
        <v>417</v>
      </c>
      <c r="CR211">
        <f>$B$11*DQ211+$C$11*DR211+$F$11*EC211*(1-EF211)</f>
        <v>0</v>
      </c>
      <c r="CS211">
        <f>CR211*CT211</f>
        <v>0</v>
      </c>
      <c r="CT211">
        <f>($B$11*$D$9+$C$11*$D$9+$F$11*((EP211+EH211)/MAX(EP211+EH211+EQ211, 0.1)*$I$9+EQ211/MAX(EP211+EH211+EQ211, 0.1)*$J$9))/($B$11+$C$11+$F$11)</f>
        <v>0</v>
      </c>
      <c r="CU211">
        <f>($B$11*$K$9+$C$11*$K$9+$F$11*((EP211+EH211)/MAX(EP211+EH211+EQ211, 0.1)*$P$9+EQ211/MAX(EP211+EH211+EQ211, 0.1)*$Q$9))/($B$11+$C$11+$F$11)</f>
        <v>0</v>
      </c>
      <c r="CV211">
        <v>6</v>
      </c>
      <c r="CW211">
        <v>0.5</v>
      </c>
      <c r="CX211" t="s">
        <v>418</v>
      </c>
      <c r="CY211">
        <v>2</v>
      </c>
      <c r="CZ211" t="b">
        <v>1</v>
      </c>
      <c r="DA211">
        <v>1652372736.25</v>
      </c>
      <c r="DB211">
        <v>1141.457142857143</v>
      </c>
      <c r="DC211">
        <v>1212.221071428571</v>
      </c>
      <c r="DD211">
        <v>24.18333214285714</v>
      </c>
      <c r="DE211">
        <v>21.01374285714286</v>
      </c>
      <c r="DF211">
        <v>1142.904285714286</v>
      </c>
      <c r="DG211">
        <v>24.14361071428572</v>
      </c>
      <c r="DH211">
        <v>400.07825</v>
      </c>
      <c r="DI211">
        <v>90.39403214285713</v>
      </c>
      <c r="DJ211">
        <v>0.09998910000000001</v>
      </c>
      <c r="DK211">
        <v>30.68790714285715</v>
      </c>
      <c r="DL211">
        <v>29.98569285714285</v>
      </c>
      <c r="DM211">
        <v>999.9000000000002</v>
      </c>
      <c r="DN211">
        <v>0</v>
      </c>
      <c r="DO211">
        <v>0</v>
      </c>
      <c r="DP211">
        <v>10005.73678571429</v>
      </c>
      <c r="DQ211">
        <v>0</v>
      </c>
      <c r="DR211">
        <v>421.5476785714285</v>
      </c>
      <c r="DS211">
        <v>-70.76371071428572</v>
      </c>
      <c r="DT211">
        <v>1169.746785714286</v>
      </c>
      <c r="DU211">
        <v>1238.241785714286</v>
      </c>
      <c r="DV211">
        <v>3.169591785714286</v>
      </c>
      <c r="DW211">
        <v>1212.221071428571</v>
      </c>
      <c r="DX211">
        <v>21.01374285714286</v>
      </c>
      <c r="DY211">
        <v>2.186028571428571</v>
      </c>
      <c r="DZ211">
        <v>1.899517142857143</v>
      </c>
      <c r="EA211">
        <v>18.86028571428572</v>
      </c>
      <c r="EB211">
        <v>16.63066071428571</v>
      </c>
      <c r="EC211">
        <v>1500.0125</v>
      </c>
      <c r="ED211">
        <v>0.9730042857142857</v>
      </c>
      <c r="EE211">
        <v>0.02699547142857143</v>
      </c>
      <c r="EF211">
        <v>0</v>
      </c>
      <c r="EG211">
        <v>1639.538571428571</v>
      </c>
      <c r="EH211">
        <v>5.00097</v>
      </c>
      <c r="EI211">
        <v>25306.93928571429</v>
      </c>
      <c r="EJ211">
        <v>12491.71428571429</v>
      </c>
      <c r="EK211">
        <v>40.06199999999999</v>
      </c>
      <c r="EL211">
        <v>41.56199999999999</v>
      </c>
      <c r="EM211">
        <v>40.31199999999999</v>
      </c>
      <c r="EN211">
        <v>41.375</v>
      </c>
      <c r="EO211">
        <v>41.13828571428571</v>
      </c>
      <c r="EP211">
        <v>1454.651428571429</v>
      </c>
      <c r="EQ211">
        <v>40.36107142857141</v>
      </c>
      <c r="ER211">
        <v>0</v>
      </c>
      <c r="ES211">
        <v>1577.799999952316</v>
      </c>
      <c r="ET211">
        <v>0</v>
      </c>
      <c r="EU211">
        <v>1639.505</v>
      </c>
      <c r="EV211">
        <v>9.689914528646629</v>
      </c>
      <c r="EW211">
        <v>392.4444447117319</v>
      </c>
      <c r="EX211">
        <v>25306.52307692308</v>
      </c>
      <c r="EY211">
        <v>15</v>
      </c>
      <c r="EZ211">
        <v>1652371289.6</v>
      </c>
      <c r="FA211" t="s">
        <v>515</v>
      </c>
      <c r="FB211">
        <v>1652371289.6</v>
      </c>
      <c r="FC211">
        <v>1652371275.1</v>
      </c>
      <c r="FD211">
        <v>24</v>
      </c>
      <c r="FE211">
        <v>0.442</v>
      </c>
      <c r="FF211">
        <v>0.001</v>
      </c>
      <c r="FG211">
        <v>-2.63</v>
      </c>
      <c r="FH211">
        <v>0.007</v>
      </c>
      <c r="FI211">
        <v>1620</v>
      </c>
      <c r="FJ211">
        <v>22</v>
      </c>
      <c r="FK211">
        <v>0.08</v>
      </c>
      <c r="FL211">
        <v>0.04</v>
      </c>
      <c r="FM211">
        <v>-70.74645000000001</v>
      </c>
      <c r="FN211">
        <v>-0.1165913696057394</v>
      </c>
      <c r="FO211">
        <v>0.07230966048876224</v>
      </c>
      <c r="FP211">
        <v>-1</v>
      </c>
      <c r="FQ211">
        <v>3.204726</v>
      </c>
      <c r="FR211">
        <v>-0.6338881801125763</v>
      </c>
      <c r="FS211">
        <v>0.06330215805168099</v>
      </c>
      <c r="FT211">
        <v>0</v>
      </c>
      <c r="FU211">
        <v>0</v>
      </c>
      <c r="FV211">
        <v>0</v>
      </c>
      <c r="FW211">
        <v>0</v>
      </c>
      <c r="FX211">
        <v>-1</v>
      </c>
      <c r="FY211">
        <v>0</v>
      </c>
      <c r="FZ211">
        <v>1</v>
      </c>
      <c r="GA211" t="s">
        <v>432</v>
      </c>
      <c r="GB211">
        <v>2.6957</v>
      </c>
      <c r="GC211">
        <v>2.70527</v>
      </c>
      <c r="GD211">
        <v>0.188905</v>
      </c>
      <c r="GE211">
        <v>0.193996</v>
      </c>
      <c r="GF211">
        <v>0.106585</v>
      </c>
      <c r="GG211">
        <v>0.0954416</v>
      </c>
      <c r="GH211">
        <v>25488.4</v>
      </c>
      <c r="GI211">
        <v>25437.1</v>
      </c>
      <c r="GJ211">
        <v>29236.6</v>
      </c>
      <c r="GK211">
        <v>29208.5</v>
      </c>
      <c r="GL211">
        <v>34584.3</v>
      </c>
      <c r="GM211">
        <v>35168.3</v>
      </c>
      <c r="GN211">
        <v>41149.4</v>
      </c>
      <c r="GO211">
        <v>41674.7</v>
      </c>
      <c r="GP211">
        <v>1.72225</v>
      </c>
      <c r="GQ211">
        <v>2.03452</v>
      </c>
      <c r="GR211">
        <v>0.0677034</v>
      </c>
      <c r="GS211">
        <v>0</v>
      </c>
      <c r="GT211">
        <v>28.8711</v>
      </c>
      <c r="GU211">
        <v>999.9</v>
      </c>
      <c r="GV211">
        <v>44.1</v>
      </c>
      <c r="GW211">
        <v>33.5</v>
      </c>
      <c r="GX211">
        <v>25.3478</v>
      </c>
      <c r="GY211">
        <v>63.468</v>
      </c>
      <c r="GZ211">
        <v>29.355</v>
      </c>
      <c r="HA211">
        <v>1</v>
      </c>
      <c r="HB211">
        <v>0.268227</v>
      </c>
      <c r="HC211">
        <v>-0.209455</v>
      </c>
      <c r="HD211">
        <v>20.3812</v>
      </c>
      <c r="HE211">
        <v>5.21729</v>
      </c>
      <c r="HF211">
        <v>12.0099</v>
      </c>
      <c r="HG211">
        <v>4.98815</v>
      </c>
      <c r="HH211">
        <v>3.2885</v>
      </c>
      <c r="HI211">
        <v>2731.5</v>
      </c>
      <c r="HJ211">
        <v>9999</v>
      </c>
      <c r="HK211">
        <v>9999</v>
      </c>
      <c r="HL211">
        <v>50.2</v>
      </c>
      <c r="HM211">
        <v>1.86722</v>
      </c>
      <c r="HN211">
        <v>1.86623</v>
      </c>
      <c r="HO211">
        <v>1.86584</v>
      </c>
      <c r="HP211">
        <v>1.86569</v>
      </c>
      <c r="HQ211">
        <v>1.86752</v>
      </c>
      <c r="HR211">
        <v>1.87003</v>
      </c>
      <c r="HS211">
        <v>1.86862</v>
      </c>
      <c r="HT211">
        <v>1.87006</v>
      </c>
      <c r="HU211">
        <v>0</v>
      </c>
      <c r="HV211">
        <v>0</v>
      </c>
      <c r="HW211">
        <v>0</v>
      </c>
      <c r="HX211">
        <v>0</v>
      </c>
      <c r="HY211" t="s">
        <v>421</v>
      </c>
      <c r="HZ211" t="s">
        <v>422</v>
      </c>
      <c r="IA211" t="s">
        <v>423</v>
      </c>
      <c r="IB211" t="s">
        <v>423</v>
      </c>
      <c r="IC211" t="s">
        <v>423</v>
      </c>
      <c r="ID211" t="s">
        <v>423</v>
      </c>
      <c r="IE211">
        <v>0</v>
      </c>
      <c r="IF211">
        <v>100</v>
      </c>
      <c r="IG211">
        <v>100</v>
      </c>
      <c r="IH211">
        <v>-1.51</v>
      </c>
      <c r="II211">
        <v>0.0398</v>
      </c>
      <c r="IJ211">
        <v>1.257309091789605</v>
      </c>
      <c r="IK211">
        <v>-0.002185601614162945</v>
      </c>
      <c r="IL211">
        <v>-2.252308143750626E-07</v>
      </c>
      <c r="IM211">
        <v>5.915558436307541E-11</v>
      </c>
      <c r="IN211">
        <v>-0.118683452207699</v>
      </c>
      <c r="IO211">
        <v>-0.007570214193104963</v>
      </c>
      <c r="IP211">
        <v>0.0009214429922928372</v>
      </c>
      <c r="IQ211">
        <v>-1.392260276065805E-05</v>
      </c>
      <c r="IR211">
        <v>17</v>
      </c>
      <c r="IS211">
        <v>2272</v>
      </c>
      <c r="IT211">
        <v>1</v>
      </c>
      <c r="IU211">
        <v>31</v>
      </c>
      <c r="IV211">
        <v>24.2</v>
      </c>
      <c r="IW211">
        <v>24.5</v>
      </c>
      <c r="IX211">
        <v>2.50977</v>
      </c>
      <c r="IY211">
        <v>2.20093</v>
      </c>
      <c r="IZ211">
        <v>1.39648</v>
      </c>
      <c r="JA211">
        <v>2.35474</v>
      </c>
      <c r="JB211">
        <v>1.49536</v>
      </c>
      <c r="JC211">
        <v>2.36938</v>
      </c>
      <c r="JD211">
        <v>37.0747</v>
      </c>
      <c r="JE211">
        <v>15.2265</v>
      </c>
      <c r="JF211">
        <v>18</v>
      </c>
      <c r="JG211">
        <v>388.093</v>
      </c>
      <c r="JH211">
        <v>571.518</v>
      </c>
      <c r="JI211">
        <v>28.692</v>
      </c>
      <c r="JJ211">
        <v>30.8682</v>
      </c>
      <c r="JK211">
        <v>29.9991</v>
      </c>
      <c r="JL211">
        <v>30.7825</v>
      </c>
      <c r="JM211">
        <v>30.6847</v>
      </c>
      <c r="JN211">
        <v>50.2292</v>
      </c>
      <c r="JO211">
        <v>18.5891</v>
      </c>
      <c r="JP211">
        <v>0</v>
      </c>
      <c r="JQ211">
        <v>28.7106</v>
      </c>
      <c r="JR211">
        <v>1256</v>
      </c>
      <c r="JS211">
        <v>21.2578</v>
      </c>
      <c r="JT211">
        <v>99.93340000000001</v>
      </c>
      <c r="JU211">
        <v>100.037</v>
      </c>
    </row>
    <row r="212" spans="1:281">
      <c r="A212">
        <v>196</v>
      </c>
      <c r="B212">
        <v>1652372749</v>
      </c>
      <c r="C212">
        <v>4655.400000095367</v>
      </c>
      <c r="D212" t="s">
        <v>860</v>
      </c>
      <c r="E212" t="s">
        <v>861</v>
      </c>
      <c r="F212">
        <v>5</v>
      </c>
      <c r="G212" t="s">
        <v>711</v>
      </c>
      <c r="H212" t="s">
        <v>414</v>
      </c>
      <c r="I212">
        <v>1652372741.518518</v>
      </c>
      <c r="J212">
        <f>(K212)/1000</f>
        <v>0</v>
      </c>
      <c r="K212">
        <f>IF(CZ212, AN212, AH212)</f>
        <v>0</v>
      </c>
      <c r="L212">
        <f>IF(CZ212, AI212, AG212)</f>
        <v>0</v>
      </c>
      <c r="M212">
        <f>DB212 - IF(AU212&gt;1, L212*CV212*100.0/(AW212*DP212), 0)</f>
        <v>0</v>
      </c>
      <c r="N212">
        <f>((T212-J212/2)*M212-L212)/(T212+J212/2)</f>
        <v>0</v>
      </c>
      <c r="O212">
        <f>N212*(DI212+DJ212)/1000.0</f>
        <v>0</v>
      </c>
      <c r="P212">
        <f>(DB212 - IF(AU212&gt;1, L212*CV212*100.0/(AW212*DP212), 0))*(DI212+DJ212)/1000.0</f>
        <v>0</v>
      </c>
      <c r="Q212">
        <f>2.0/((1/S212-1/R212)+SIGN(S212)*SQRT((1/S212-1/R212)*(1/S212-1/R212) + 4*CW212/((CW212+1)*(CW212+1))*(2*1/S212*1/R212-1/R212*1/R212)))</f>
        <v>0</v>
      </c>
      <c r="R212">
        <f>IF(LEFT(CX212,1)&lt;&gt;"0",IF(LEFT(CX212,1)="1",3.0,CY212),$D$5+$E$5*(DP212*DI212/($K$5*1000))+$F$5*(DP212*DI212/($K$5*1000))*MAX(MIN(CV212,$J$5),$I$5)*MAX(MIN(CV212,$J$5),$I$5)+$G$5*MAX(MIN(CV212,$J$5),$I$5)*(DP212*DI212/($K$5*1000))+$H$5*(DP212*DI212/($K$5*1000))*(DP212*DI212/($K$5*1000)))</f>
        <v>0</v>
      </c>
      <c r="S212">
        <f>J212*(1000-(1000*0.61365*exp(17.502*W212/(240.97+W212))/(DI212+DJ212)+DD212)/2)/(1000*0.61365*exp(17.502*W212/(240.97+W212))/(DI212+DJ212)-DD212)</f>
        <v>0</v>
      </c>
      <c r="T212">
        <f>1/((CW212+1)/(Q212/1.6)+1/(R212/1.37)) + CW212/((CW212+1)/(Q212/1.6) + CW212/(R212/1.37))</f>
        <v>0</v>
      </c>
      <c r="U212">
        <f>(CR212*CU212)</f>
        <v>0</v>
      </c>
      <c r="V212">
        <f>(DK212+(U212+2*0.95*5.67E-8*(((DK212+$B$7)+273)^4-(DK212+273)^4)-44100*J212)/(1.84*29.3*R212+8*0.95*5.67E-8*(DK212+273)^3))</f>
        <v>0</v>
      </c>
      <c r="W212">
        <f>($C$7*DL212+$D$7*DM212+$E$7*V212)</f>
        <v>0</v>
      </c>
      <c r="X212">
        <f>0.61365*exp(17.502*W212/(240.97+W212))</f>
        <v>0</v>
      </c>
      <c r="Y212">
        <f>(Z212/AA212*100)</f>
        <v>0</v>
      </c>
      <c r="Z212">
        <f>DD212*(DI212+DJ212)/1000</f>
        <v>0</v>
      </c>
      <c r="AA212">
        <f>0.61365*exp(17.502*DK212/(240.97+DK212))</f>
        <v>0</v>
      </c>
      <c r="AB212">
        <f>(X212-DD212*(DI212+DJ212)/1000)</f>
        <v>0</v>
      </c>
      <c r="AC212">
        <f>(-J212*44100)</f>
        <v>0</v>
      </c>
      <c r="AD212">
        <f>2*29.3*R212*0.92*(DK212-W212)</f>
        <v>0</v>
      </c>
      <c r="AE212">
        <f>2*0.95*5.67E-8*(((DK212+$B$7)+273)^4-(W212+273)^4)</f>
        <v>0</v>
      </c>
      <c r="AF212">
        <f>U212+AE212+AC212+AD212</f>
        <v>0</v>
      </c>
      <c r="AG212">
        <f>DH212*AU212*(DC212-DB212*(1000-AU212*DE212)/(1000-AU212*DD212))/(100*CV212)</f>
        <v>0</v>
      </c>
      <c r="AH212">
        <f>1000*DH212*AU212*(DD212-DE212)/(100*CV212*(1000-AU212*DD212))</f>
        <v>0</v>
      </c>
      <c r="AI212">
        <f>(AJ212 - AK212 - DI212*1E3/(8.314*(DK212+273.15)) * AM212/DH212 * AL212) * DH212/(100*CV212) * (1000 - DE212)/1000</f>
        <v>0</v>
      </c>
      <c r="AJ212">
        <v>1268.76318884381</v>
      </c>
      <c r="AK212">
        <v>1211.679575757575</v>
      </c>
      <c r="AL212">
        <v>3.404591639174759</v>
      </c>
      <c r="AM212">
        <v>65.96288611109561</v>
      </c>
      <c r="AN212">
        <f>(AP212 - AO212 + DI212*1E3/(8.314*(DK212+273.15)) * AR212/DH212 * AQ212) * DH212/(100*CV212) * 1000/(1000 - AP212)</f>
        <v>0</v>
      </c>
      <c r="AO212">
        <v>21.1129417991807</v>
      </c>
      <c r="AP212">
        <v>24.18894825174825</v>
      </c>
      <c r="AQ212">
        <v>-6.566729467881295E-05</v>
      </c>
      <c r="AR212">
        <v>81.18387902069509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MAX(0,($B$13+$C$13*DP212)/(1+$D$13*DP212)*DI212/(DK212+273)*$E$13)</f>
        <v>0</v>
      </c>
      <c r="AX212" t="s">
        <v>417</v>
      </c>
      <c r="AY212" t="s">
        <v>417</v>
      </c>
      <c r="AZ212">
        <v>0</v>
      </c>
      <c r="BA212">
        <v>0</v>
      </c>
      <c r="BB212">
        <f>1-AZ212/BA212</f>
        <v>0</v>
      </c>
      <c r="BC212">
        <v>0</v>
      </c>
      <c r="BD212" t="s">
        <v>417</v>
      </c>
      <c r="BE212" t="s">
        <v>417</v>
      </c>
      <c r="BF212">
        <v>0</v>
      </c>
      <c r="BG212">
        <v>0</v>
      </c>
      <c r="BH212">
        <f>1-BF212/BG212</f>
        <v>0</v>
      </c>
      <c r="BI212">
        <v>0.5</v>
      </c>
      <c r="BJ212">
        <f>CS212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417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1393</v>
      </c>
      <c r="CA212">
        <v>300</v>
      </c>
      <c r="CB212">
        <v>300</v>
      </c>
      <c r="CC212">
        <v>300</v>
      </c>
      <c r="CD212">
        <v>10378</v>
      </c>
      <c r="CE212">
        <v>2050</v>
      </c>
      <c r="CF212">
        <v>-0.00730649</v>
      </c>
      <c r="CG212">
        <v>-4.53</v>
      </c>
      <c r="CH212" t="s">
        <v>417</v>
      </c>
      <c r="CI212" t="s">
        <v>417</v>
      </c>
      <c r="CJ212" t="s">
        <v>417</v>
      </c>
      <c r="CK212" t="s">
        <v>417</v>
      </c>
      <c r="CL212" t="s">
        <v>417</v>
      </c>
      <c r="CM212" t="s">
        <v>417</v>
      </c>
      <c r="CN212" t="s">
        <v>417</v>
      </c>
      <c r="CO212" t="s">
        <v>417</v>
      </c>
      <c r="CP212" t="s">
        <v>417</v>
      </c>
      <c r="CQ212" t="s">
        <v>417</v>
      </c>
      <c r="CR212">
        <f>$B$11*DQ212+$C$11*DR212+$F$11*EC212*(1-EF212)</f>
        <v>0</v>
      </c>
      <c r="CS212">
        <f>CR212*CT212</f>
        <v>0</v>
      </c>
      <c r="CT212">
        <f>($B$11*$D$9+$C$11*$D$9+$F$11*((EP212+EH212)/MAX(EP212+EH212+EQ212, 0.1)*$I$9+EQ212/MAX(EP212+EH212+EQ212, 0.1)*$J$9))/($B$11+$C$11+$F$11)</f>
        <v>0</v>
      </c>
      <c r="CU212">
        <f>($B$11*$K$9+$C$11*$K$9+$F$11*((EP212+EH212)/MAX(EP212+EH212+EQ212, 0.1)*$P$9+EQ212/MAX(EP212+EH212+EQ212, 0.1)*$Q$9))/($B$11+$C$11+$F$11)</f>
        <v>0</v>
      </c>
      <c r="CV212">
        <v>6</v>
      </c>
      <c r="CW212">
        <v>0.5</v>
      </c>
      <c r="CX212" t="s">
        <v>418</v>
      </c>
      <c r="CY212">
        <v>2</v>
      </c>
      <c r="CZ212" t="b">
        <v>1</v>
      </c>
      <c r="DA212">
        <v>1652372741.518518</v>
      </c>
      <c r="DB212">
        <v>1159.104814814815</v>
      </c>
      <c r="DC212">
        <v>1229.838518518518</v>
      </c>
      <c r="DD212">
        <v>24.18486296296296</v>
      </c>
      <c r="DE212">
        <v>21.07748148148148</v>
      </c>
      <c r="DF212">
        <v>1160.595925925926</v>
      </c>
      <c r="DG212">
        <v>24.14512962962963</v>
      </c>
      <c r="DH212">
        <v>400.0851481481481</v>
      </c>
      <c r="DI212">
        <v>90.39492222222219</v>
      </c>
      <c r="DJ212">
        <v>0.09998268518518519</v>
      </c>
      <c r="DK212">
        <v>30.67978518518519</v>
      </c>
      <c r="DL212">
        <v>29.97804074074074</v>
      </c>
      <c r="DM212">
        <v>999.9000000000001</v>
      </c>
      <c r="DN212">
        <v>0</v>
      </c>
      <c r="DO212">
        <v>0</v>
      </c>
      <c r="DP212">
        <v>10001.42814814815</v>
      </c>
      <c r="DQ212">
        <v>0</v>
      </c>
      <c r="DR212">
        <v>433.1201111111111</v>
      </c>
      <c r="DS212">
        <v>-70.73358888888889</v>
      </c>
      <c r="DT212">
        <v>1187.833333333333</v>
      </c>
      <c r="DU212">
        <v>1256.32</v>
      </c>
      <c r="DV212">
        <v>3.107389259259259</v>
      </c>
      <c r="DW212">
        <v>1229.838518518518</v>
      </c>
      <c r="DX212">
        <v>21.07748148148148</v>
      </c>
      <c r="DY212">
        <v>2.186188518518518</v>
      </c>
      <c r="DZ212">
        <v>1.905297037037037</v>
      </c>
      <c r="EA212">
        <v>18.86145925925926</v>
      </c>
      <c r="EB212">
        <v>16.67845185185186</v>
      </c>
      <c r="EC212">
        <v>1500.019259259259</v>
      </c>
      <c r="ED212">
        <v>0.9730046296296296</v>
      </c>
      <c r="EE212">
        <v>0.0269951</v>
      </c>
      <c r="EF212">
        <v>0</v>
      </c>
      <c r="EG212">
        <v>1640.437407407407</v>
      </c>
      <c r="EH212">
        <v>5.00097</v>
      </c>
      <c r="EI212">
        <v>25339.61111111112</v>
      </c>
      <c r="EJ212">
        <v>12491.77037037037</v>
      </c>
      <c r="EK212">
        <v>40.06199999999999</v>
      </c>
      <c r="EL212">
        <v>41.56199999999999</v>
      </c>
      <c r="EM212">
        <v>40.31199999999999</v>
      </c>
      <c r="EN212">
        <v>41.375</v>
      </c>
      <c r="EO212">
        <v>41.13188888888889</v>
      </c>
      <c r="EP212">
        <v>1454.658888888889</v>
      </c>
      <c r="EQ212">
        <v>40.36037037037036</v>
      </c>
      <c r="ER212">
        <v>0</v>
      </c>
      <c r="ES212">
        <v>1583.199999809265</v>
      </c>
      <c r="ET212">
        <v>0</v>
      </c>
      <c r="EU212">
        <v>1640.5532</v>
      </c>
      <c r="EV212">
        <v>12.55461539358352</v>
      </c>
      <c r="EW212">
        <v>379.5461545245664</v>
      </c>
      <c r="EX212">
        <v>25341.568</v>
      </c>
      <c r="EY212">
        <v>15</v>
      </c>
      <c r="EZ212">
        <v>1652371289.6</v>
      </c>
      <c r="FA212" t="s">
        <v>515</v>
      </c>
      <c r="FB212">
        <v>1652371289.6</v>
      </c>
      <c r="FC212">
        <v>1652371275.1</v>
      </c>
      <c r="FD212">
        <v>24</v>
      </c>
      <c r="FE212">
        <v>0.442</v>
      </c>
      <c r="FF212">
        <v>0.001</v>
      </c>
      <c r="FG212">
        <v>-2.63</v>
      </c>
      <c r="FH212">
        <v>0.007</v>
      </c>
      <c r="FI212">
        <v>1620</v>
      </c>
      <c r="FJ212">
        <v>22</v>
      </c>
      <c r="FK212">
        <v>0.08</v>
      </c>
      <c r="FL212">
        <v>0.04</v>
      </c>
      <c r="FM212">
        <v>-70.75250731707317</v>
      </c>
      <c r="FN212">
        <v>0.2149484320556826</v>
      </c>
      <c r="FO212">
        <v>0.06522832091123834</v>
      </c>
      <c r="FP212">
        <v>-1</v>
      </c>
      <c r="FQ212">
        <v>3.146814146341464</v>
      </c>
      <c r="FR212">
        <v>-0.7102626480836191</v>
      </c>
      <c r="FS212">
        <v>0.07162539268953298</v>
      </c>
      <c r="FT212">
        <v>0</v>
      </c>
      <c r="FU212">
        <v>0</v>
      </c>
      <c r="FV212">
        <v>0</v>
      </c>
      <c r="FW212">
        <v>0</v>
      </c>
      <c r="FX212">
        <v>-1</v>
      </c>
      <c r="FY212">
        <v>0</v>
      </c>
      <c r="FZ212">
        <v>1</v>
      </c>
      <c r="GA212" t="s">
        <v>432</v>
      </c>
      <c r="GB212">
        <v>2.69551</v>
      </c>
      <c r="GC212">
        <v>2.70525</v>
      </c>
      <c r="GD212">
        <v>0.190606</v>
      </c>
      <c r="GE212">
        <v>0.195622</v>
      </c>
      <c r="GF212">
        <v>0.106601</v>
      </c>
      <c r="GG212">
        <v>0.0957221</v>
      </c>
      <c r="GH212">
        <v>25434.9</v>
      </c>
      <c r="GI212">
        <v>25385.5</v>
      </c>
      <c r="GJ212">
        <v>29236.7</v>
      </c>
      <c r="GK212">
        <v>29208.3</v>
      </c>
      <c r="GL212">
        <v>34583.9</v>
      </c>
      <c r="GM212">
        <v>35157.1</v>
      </c>
      <c r="GN212">
        <v>41149.7</v>
      </c>
      <c r="GO212">
        <v>41674.5</v>
      </c>
      <c r="GP212">
        <v>1.72195</v>
      </c>
      <c r="GQ212">
        <v>2.03492</v>
      </c>
      <c r="GR212">
        <v>0.0691488</v>
      </c>
      <c r="GS212">
        <v>0</v>
      </c>
      <c r="GT212">
        <v>28.8607</v>
      </c>
      <c r="GU212">
        <v>999.9</v>
      </c>
      <c r="GV212">
        <v>44.1</v>
      </c>
      <c r="GW212">
        <v>33.5</v>
      </c>
      <c r="GX212">
        <v>25.3463</v>
      </c>
      <c r="GY212">
        <v>63.298</v>
      </c>
      <c r="GZ212">
        <v>29.2147</v>
      </c>
      <c r="HA212">
        <v>1</v>
      </c>
      <c r="HB212">
        <v>0.268171</v>
      </c>
      <c r="HC212">
        <v>0.240733</v>
      </c>
      <c r="HD212">
        <v>20.3816</v>
      </c>
      <c r="HE212">
        <v>5.21804</v>
      </c>
      <c r="HF212">
        <v>12.0099</v>
      </c>
      <c r="HG212">
        <v>4.98845</v>
      </c>
      <c r="HH212">
        <v>3.28863</v>
      </c>
      <c r="HI212">
        <v>2731.8</v>
      </c>
      <c r="HJ212">
        <v>9999</v>
      </c>
      <c r="HK212">
        <v>9999</v>
      </c>
      <c r="HL212">
        <v>50.2</v>
      </c>
      <c r="HM212">
        <v>1.86722</v>
      </c>
      <c r="HN212">
        <v>1.86624</v>
      </c>
      <c r="HO212">
        <v>1.86583</v>
      </c>
      <c r="HP212">
        <v>1.86569</v>
      </c>
      <c r="HQ212">
        <v>1.86749</v>
      </c>
      <c r="HR212">
        <v>1.87</v>
      </c>
      <c r="HS212">
        <v>1.86862</v>
      </c>
      <c r="HT212">
        <v>1.87002</v>
      </c>
      <c r="HU212">
        <v>0</v>
      </c>
      <c r="HV212">
        <v>0</v>
      </c>
      <c r="HW212">
        <v>0</v>
      </c>
      <c r="HX212">
        <v>0</v>
      </c>
      <c r="HY212" t="s">
        <v>421</v>
      </c>
      <c r="HZ212" t="s">
        <v>422</v>
      </c>
      <c r="IA212" t="s">
        <v>423</v>
      </c>
      <c r="IB212" t="s">
        <v>423</v>
      </c>
      <c r="IC212" t="s">
        <v>423</v>
      </c>
      <c r="ID212" t="s">
        <v>423</v>
      </c>
      <c r="IE212">
        <v>0</v>
      </c>
      <c r="IF212">
        <v>100</v>
      </c>
      <c r="IG212">
        <v>100</v>
      </c>
      <c r="IH212">
        <v>-1.55</v>
      </c>
      <c r="II212">
        <v>0.0398</v>
      </c>
      <c r="IJ212">
        <v>1.257309091789605</v>
      </c>
      <c r="IK212">
        <v>-0.002185601614162945</v>
      </c>
      <c r="IL212">
        <v>-2.252308143750626E-07</v>
      </c>
      <c r="IM212">
        <v>5.915558436307541E-11</v>
      </c>
      <c r="IN212">
        <v>-0.118683452207699</v>
      </c>
      <c r="IO212">
        <v>-0.007570214193104963</v>
      </c>
      <c r="IP212">
        <v>0.0009214429922928372</v>
      </c>
      <c r="IQ212">
        <v>-1.392260276065805E-05</v>
      </c>
      <c r="IR212">
        <v>17</v>
      </c>
      <c r="IS212">
        <v>2272</v>
      </c>
      <c r="IT212">
        <v>1</v>
      </c>
      <c r="IU212">
        <v>31</v>
      </c>
      <c r="IV212">
        <v>24.3</v>
      </c>
      <c r="IW212">
        <v>24.6</v>
      </c>
      <c r="IX212">
        <v>2.53418</v>
      </c>
      <c r="IY212">
        <v>2.19849</v>
      </c>
      <c r="IZ212">
        <v>1.39648</v>
      </c>
      <c r="JA212">
        <v>2.35352</v>
      </c>
      <c r="JB212">
        <v>1.49536</v>
      </c>
      <c r="JC212">
        <v>2.39136</v>
      </c>
      <c r="JD212">
        <v>37.0986</v>
      </c>
      <c r="JE212">
        <v>15.2265</v>
      </c>
      <c r="JF212">
        <v>18</v>
      </c>
      <c r="JG212">
        <v>387.94</v>
      </c>
      <c r="JH212">
        <v>571.841</v>
      </c>
      <c r="JI212">
        <v>28.7775</v>
      </c>
      <c r="JJ212">
        <v>30.87</v>
      </c>
      <c r="JK212">
        <v>29.9998</v>
      </c>
      <c r="JL212">
        <v>30.7838</v>
      </c>
      <c r="JM212">
        <v>30.6867</v>
      </c>
      <c r="JN212">
        <v>50.8011</v>
      </c>
      <c r="JO212">
        <v>18.3123</v>
      </c>
      <c r="JP212">
        <v>0</v>
      </c>
      <c r="JQ212">
        <v>28.7287</v>
      </c>
      <c r="JR212">
        <v>1276.03</v>
      </c>
      <c r="JS212">
        <v>21.335</v>
      </c>
      <c r="JT212">
        <v>99.93380000000001</v>
      </c>
      <c r="JU212">
        <v>100.036</v>
      </c>
    </row>
    <row r="213" spans="1:281">
      <c r="A213">
        <v>197</v>
      </c>
      <c r="B213">
        <v>1652372754</v>
      </c>
      <c r="C213">
        <v>4660.400000095367</v>
      </c>
      <c r="D213" t="s">
        <v>862</v>
      </c>
      <c r="E213" t="s">
        <v>863</v>
      </c>
      <c r="F213">
        <v>5</v>
      </c>
      <c r="G213" t="s">
        <v>711</v>
      </c>
      <c r="H213" t="s">
        <v>414</v>
      </c>
      <c r="I213">
        <v>1652372746.232143</v>
      </c>
      <c r="J213">
        <f>(K213)/1000</f>
        <v>0</v>
      </c>
      <c r="K213">
        <f>IF(CZ213, AN213, AH213)</f>
        <v>0</v>
      </c>
      <c r="L213">
        <f>IF(CZ213, AI213, AG213)</f>
        <v>0</v>
      </c>
      <c r="M213">
        <f>DB213 - IF(AU213&gt;1, L213*CV213*100.0/(AW213*DP213), 0)</f>
        <v>0</v>
      </c>
      <c r="N213">
        <f>((T213-J213/2)*M213-L213)/(T213+J213/2)</f>
        <v>0</v>
      </c>
      <c r="O213">
        <f>N213*(DI213+DJ213)/1000.0</f>
        <v>0</v>
      </c>
      <c r="P213">
        <f>(DB213 - IF(AU213&gt;1, L213*CV213*100.0/(AW213*DP213), 0))*(DI213+DJ213)/1000.0</f>
        <v>0</v>
      </c>
      <c r="Q213">
        <f>2.0/((1/S213-1/R213)+SIGN(S213)*SQRT((1/S213-1/R213)*(1/S213-1/R213) + 4*CW213/((CW213+1)*(CW213+1))*(2*1/S213*1/R213-1/R213*1/R213)))</f>
        <v>0</v>
      </c>
      <c r="R213">
        <f>IF(LEFT(CX213,1)&lt;&gt;"0",IF(LEFT(CX213,1)="1",3.0,CY213),$D$5+$E$5*(DP213*DI213/($K$5*1000))+$F$5*(DP213*DI213/($K$5*1000))*MAX(MIN(CV213,$J$5),$I$5)*MAX(MIN(CV213,$J$5),$I$5)+$G$5*MAX(MIN(CV213,$J$5),$I$5)*(DP213*DI213/($K$5*1000))+$H$5*(DP213*DI213/($K$5*1000))*(DP213*DI213/($K$5*1000)))</f>
        <v>0</v>
      </c>
      <c r="S213">
        <f>J213*(1000-(1000*0.61365*exp(17.502*W213/(240.97+W213))/(DI213+DJ213)+DD213)/2)/(1000*0.61365*exp(17.502*W213/(240.97+W213))/(DI213+DJ213)-DD213)</f>
        <v>0</v>
      </c>
      <c r="T213">
        <f>1/((CW213+1)/(Q213/1.6)+1/(R213/1.37)) + CW213/((CW213+1)/(Q213/1.6) + CW213/(R213/1.37))</f>
        <v>0</v>
      </c>
      <c r="U213">
        <f>(CR213*CU213)</f>
        <v>0</v>
      </c>
      <c r="V213">
        <f>(DK213+(U213+2*0.95*5.67E-8*(((DK213+$B$7)+273)^4-(DK213+273)^4)-44100*J213)/(1.84*29.3*R213+8*0.95*5.67E-8*(DK213+273)^3))</f>
        <v>0</v>
      </c>
      <c r="W213">
        <f>($C$7*DL213+$D$7*DM213+$E$7*V213)</f>
        <v>0</v>
      </c>
      <c r="X213">
        <f>0.61365*exp(17.502*W213/(240.97+W213))</f>
        <v>0</v>
      </c>
      <c r="Y213">
        <f>(Z213/AA213*100)</f>
        <v>0</v>
      </c>
      <c r="Z213">
        <f>DD213*(DI213+DJ213)/1000</f>
        <v>0</v>
      </c>
      <c r="AA213">
        <f>0.61365*exp(17.502*DK213/(240.97+DK213))</f>
        <v>0</v>
      </c>
      <c r="AB213">
        <f>(X213-DD213*(DI213+DJ213)/1000)</f>
        <v>0</v>
      </c>
      <c r="AC213">
        <f>(-J213*44100)</f>
        <v>0</v>
      </c>
      <c r="AD213">
        <f>2*29.3*R213*0.92*(DK213-W213)</f>
        <v>0</v>
      </c>
      <c r="AE213">
        <f>2*0.95*5.67E-8*(((DK213+$B$7)+273)^4-(W213+273)^4)</f>
        <v>0</v>
      </c>
      <c r="AF213">
        <f>U213+AE213+AC213+AD213</f>
        <v>0</v>
      </c>
      <c r="AG213">
        <f>DH213*AU213*(DC213-DB213*(1000-AU213*DE213)/(1000-AU213*DD213))/(100*CV213)</f>
        <v>0</v>
      </c>
      <c r="AH213">
        <f>1000*DH213*AU213*(DD213-DE213)/(100*CV213*(1000-AU213*DD213))</f>
        <v>0</v>
      </c>
      <c r="AI213">
        <f>(AJ213 - AK213 - DI213*1E3/(8.314*(DK213+273.15)) * AM213/DH213 * AL213) * DH213/(100*CV213) * (1000 - DE213)/1000</f>
        <v>0</v>
      </c>
      <c r="AJ213">
        <v>1285.870891165775</v>
      </c>
      <c r="AK213">
        <v>1228.761636363636</v>
      </c>
      <c r="AL213">
        <v>3.426106715086866</v>
      </c>
      <c r="AM213">
        <v>65.96288611109561</v>
      </c>
      <c r="AN213">
        <f>(AP213 - AO213 + DI213*1E3/(8.314*(DK213+273.15)) * AR213/DH213 * AQ213) * DH213/(100*CV213) * 1000/(1000 - AP213)</f>
        <v>0</v>
      </c>
      <c r="AO213">
        <v>21.20524874355551</v>
      </c>
      <c r="AP213">
        <v>24.20484965034965</v>
      </c>
      <c r="AQ213">
        <v>0.0001833588386629254</v>
      </c>
      <c r="AR213">
        <v>81.18387902069509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MAX(0,($B$13+$C$13*DP213)/(1+$D$13*DP213)*DI213/(DK213+273)*$E$13)</f>
        <v>0</v>
      </c>
      <c r="AX213" t="s">
        <v>417</v>
      </c>
      <c r="AY213" t="s">
        <v>417</v>
      </c>
      <c r="AZ213">
        <v>0</v>
      </c>
      <c r="BA213">
        <v>0</v>
      </c>
      <c r="BB213">
        <f>1-AZ213/BA213</f>
        <v>0</v>
      </c>
      <c r="BC213">
        <v>0</v>
      </c>
      <c r="BD213" t="s">
        <v>417</v>
      </c>
      <c r="BE213" t="s">
        <v>417</v>
      </c>
      <c r="BF213">
        <v>0</v>
      </c>
      <c r="BG213">
        <v>0</v>
      </c>
      <c r="BH213">
        <f>1-BF213/BG213</f>
        <v>0</v>
      </c>
      <c r="BI213">
        <v>0.5</v>
      </c>
      <c r="BJ213">
        <f>CS213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417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1393</v>
      </c>
      <c r="CA213">
        <v>300</v>
      </c>
      <c r="CB213">
        <v>300</v>
      </c>
      <c r="CC213">
        <v>300</v>
      </c>
      <c r="CD213">
        <v>10378</v>
      </c>
      <c r="CE213">
        <v>2050</v>
      </c>
      <c r="CF213">
        <v>-0.00730649</v>
      </c>
      <c r="CG213">
        <v>-4.53</v>
      </c>
      <c r="CH213" t="s">
        <v>417</v>
      </c>
      <c r="CI213" t="s">
        <v>417</v>
      </c>
      <c r="CJ213" t="s">
        <v>417</v>
      </c>
      <c r="CK213" t="s">
        <v>417</v>
      </c>
      <c r="CL213" t="s">
        <v>417</v>
      </c>
      <c r="CM213" t="s">
        <v>417</v>
      </c>
      <c r="CN213" t="s">
        <v>417</v>
      </c>
      <c r="CO213" t="s">
        <v>417</v>
      </c>
      <c r="CP213" t="s">
        <v>417</v>
      </c>
      <c r="CQ213" t="s">
        <v>417</v>
      </c>
      <c r="CR213">
        <f>$B$11*DQ213+$C$11*DR213+$F$11*EC213*(1-EF213)</f>
        <v>0</v>
      </c>
      <c r="CS213">
        <f>CR213*CT213</f>
        <v>0</v>
      </c>
      <c r="CT213">
        <f>($B$11*$D$9+$C$11*$D$9+$F$11*((EP213+EH213)/MAX(EP213+EH213+EQ213, 0.1)*$I$9+EQ213/MAX(EP213+EH213+EQ213, 0.1)*$J$9))/($B$11+$C$11+$F$11)</f>
        <v>0</v>
      </c>
      <c r="CU213">
        <f>($B$11*$K$9+$C$11*$K$9+$F$11*((EP213+EH213)/MAX(EP213+EH213+EQ213, 0.1)*$P$9+EQ213/MAX(EP213+EH213+EQ213, 0.1)*$Q$9))/($B$11+$C$11+$F$11)</f>
        <v>0</v>
      </c>
      <c r="CV213">
        <v>6</v>
      </c>
      <c r="CW213">
        <v>0.5</v>
      </c>
      <c r="CX213" t="s">
        <v>418</v>
      </c>
      <c r="CY213">
        <v>2</v>
      </c>
      <c r="CZ213" t="b">
        <v>1</v>
      </c>
      <c r="DA213">
        <v>1652372746.232143</v>
      </c>
      <c r="DB213">
        <v>1174.815714285714</v>
      </c>
      <c r="DC213">
        <v>1245.606428571429</v>
      </c>
      <c r="DD213">
        <v>24.18862499999999</v>
      </c>
      <c r="DE213">
        <v>21.154575</v>
      </c>
      <c r="DF213">
        <v>1176.345357142857</v>
      </c>
      <c r="DG213">
        <v>24.14884285714285</v>
      </c>
      <c r="DH213">
        <v>400.0723214285715</v>
      </c>
      <c r="DI213">
        <v>90.39625357142857</v>
      </c>
      <c r="DJ213">
        <v>0.09998159285714285</v>
      </c>
      <c r="DK213">
        <v>30.68236071428572</v>
      </c>
      <c r="DL213">
        <v>29.98457857142857</v>
      </c>
      <c r="DM213">
        <v>999.9000000000002</v>
      </c>
      <c r="DN213">
        <v>0</v>
      </c>
      <c r="DO213">
        <v>0</v>
      </c>
      <c r="DP213">
        <v>10003.275</v>
      </c>
      <c r="DQ213">
        <v>0</v>
      </c>
      <c r="DR213">
        <v>439.6638571428571</v>
      </c>
      <c r="DS213">
        <v>-70.79116428571429</v>
      </c>
      <c r="DT213">
        <v>1203.937857142857</v>
      </c>
      <c r="DU213">
        <v>1272.528214285714</v>
      </c>
      <c r="DV213">
        <v>3.034060714285714</v>
      </c>
      <c r="DW213">
        <v>1245.606428571429</v>
      </c>
      <c r="DX213">
        <v>21.154575</v>
      </c>
      <c r="DY213">
        <v>2.186561428571429</v>
      </c>
      <c r="DZ213">
        <v>1.912293571428571</v>
      </c>
      <c r="EA213">
        <v>18.86418928571428</v>
      </c>
      <c r="EB213">
        <v>16.73615357142857</v>
      </c>
      <c r="EC213">
        <v>1500.020357142857</v>
      </c>
      <c r="ED213">
        <v>0.9730042857142858</v>
      </c>
      <c r="EE213">
        <v>0.02699547142857143</v>
      </c>
      <c r="EF213">
        <v>0</v>
      </c>
      <c r="EG213">
        <v>1641.485357142857</v>
      </c>
      <c r="EH213">
        <v>5.00097</v>
      </c>
      <c r="EI213">
        <v>25364.03928571428</v>
      </c>
      <c r="EJ213">
        <v>12491.78571428571</v>
      </c>
      <c r="EK213">
        <v>40.06199999999999</v>
      </c>
      <c r="EL213">
        <v>41.56199999999999</v>
      </c>
      <c r="EM213">
        <v>40.31199999999999</v>
      </c>
      <c r="EN213">
        <v>41.375</v>
      </c>
      <c r="EO213">
        <v>41.12721428571428</v>
      </c>
      <c r="EP213">
        <v>1454.659285714286</v>
      </c>
      <c r="EQ213">
        <v>40.36107142857143</v>
      </c>
      <c r="ER213">
        <v>0</v>
      </c>
      <c r="ES213">
        <v>1588</v>
      </c>
      <c r="ET213">
        <v>0</v>
      </c>
      <c r="EU213">
        <v>1641.6544</v>
      </c>
      <c r="EV213">
        <v>13.85384612929302</v>
      </c>
      <c r="EW213">
        <v>221.261538195485</v>
      </c>
      <c r="EX213">
        <v>25366.056</v>
      </c>
      <c r="EY213">
        <v>15</v>
      </c>
      <c r="EZ213">
        <v>1652371289.6</v>
      </c>
      <c r="FA213" t="s">
        <v>515</v>
      </c>
      <c r="FB213">
        <v>1652371289.6</v>
      </c>
      <c r="FC213">
        <v>1652371275.1</v>
      </c>
      <c r="FD213">
        <v>24</v>
      </c>
      <c r="FE213">
        <v>0.442</v>
      </c>
      <c r="FF213">
        <v>0.001</v>
      </c>
      <c r="FG213">
        <v>-2.63</v>
      </c>
      <c r="FH213">
        <v>0.007</v>
      </c>
      <c r="FI213">
        <v>1620</v>
      </c>
      <c r="FJ213">
        <v>22</v>
      </c>
      <c r="FK213">
        <v>0.08</v>
      </c>
      <c r="FL213">
        <v>0.04</v>
      </c>
      <c r="FM213">
        <v>-70.776055</v>
      </c>
      <c r="FN213">
        <v>-0.515284052532448</v>
      </c>
      <c r="FO213">
        <v>0.1073240069835259</v>
      </c>
      <c r="FP213">
        <v>-1</v>
      </c>
      <c r="FQ213">
        <v>3.072724</v>
      </c>
      <c r="FR213">
        <v>-0.886563377110702</v>
      </c>
      <c r="FS213">
        <v>0.08604973601935106</v>
      </c>
      <c r="FT213">
        <v>0</v>
      </c>
      <c r="FU213">
        <v>0</v>
      </c>
      <c r="FV213">
        <v>0</v>
      </c>
      <c r="FW213">
        <v>0</v>
      </c>
      <c r="FX213">
        <v>-1</v>
      </c>
      <c r="FY213">
        <v>0</v>
      </c>
      <c r="FZ213">
        <v>1</v>
      </c>
      <c r="GA213" t="s">
        <v>432</v>
      </c>
      <c r="GB213">
        <v>2.69554</v>
      </c>
      <c r="GC213">
        <v>2.70521</v>
      </c>
      <c r="GD213">
        <v>0.192284</v>
      </c>
      <c r="GE213">
        <v>0.197263</v>
      </c>
      <c r="GF213">
        <v>0.106645</v>
      </c>
      <c r="GG213">
        <v>0.0959391</v>
      </c>
      <c r="GH213">
        <v>25381.9</v>
      </c>
      <c r="GI213">
        <v>25333.5</v>
      </c>
      <c r="GJ213">
        <v>29236.5</v>
      </c>
      <c r="GK213">
        <v>29208.2</v>
      </c>
      <c r="GL213">
        <v>34582</v>
      </c>
      <c r="GM213">
        <v>35148.4</v>
      </c>
      <c r="GN213">
        <v>41149.5</v>
      </c>
      <c r="GO213">
        <v>41674.3</v>
      </c>
      <c r="GP213">
        <v>1.72162</v>
      </c>
      <c r="GQ213">
        <v>2.0349</v>
      </c>
      <c r="GR213">
        <v>0.07157769999999999</v>
      </c>
      <c r="GS213">
        <v>0</v>
      </c>
      <c r="GT213">
        <v>28.8528</v>
      </c>
      <c r="GU213">
        <v>999.9</v>
      </c>
      <c r="GV213">
        <v>44.1</v>
      </c>
      <c r="GW213">
        <v>33.5</v>
      </c>
      <c r="GX213">
        <v>25.3471</v>
      </c>
      <c r="GY213">
        <v>63.518</v>
      </c>
      <c r="GZ213">
        <v>28.8061</v>
      </c>
      <c r="HA213">
        <v>1</v>
      </c>
      <c r="HB213">
        <v>0.268803</v>
      </c>
      <c r="HC213">
        <v>0.5088780000000001</v>
      </c>
      <c r="HD213">
        <v>20.381</v>
      </c>
      <c r="HE213">
        <v>5.21699</v>
      </c>
      <c r="HF213">
        <v>12.0099</v>
      </c>
      <c r="HG213">
        <v>4.98795</v>
      </c>
      <c r="HH213">
        <v>3.2884</v>
      </c>
      <c r="HI213">
        <v>2731.8</v>
      </c>
      <c r="HJ213">
        <v>9999</v>
      </c>
      <c r="HK213">
        <v>9999</v>
      </c>
      <c r="HL213">
        <v>50.2</v>
      </c>
      <c r="HM213">
        <v>1.86722</v>
      </c>
      <c r="HN213">
        <v>1.86626</v>
      </c>
      <c r="HO213">
        <v>1.86583</v>
      </c>
      <c r="HP213">
        <v>1.86569</v>
      </c>
      <c r="HQ213">
        <v>1.8675</v>
      </c>
      <c r="HR213">
        <v>1.87002</v>
      </c>
      <c r="HS213">
        <v>1.86861</v>
      </c>
      <c r="HT213">
        <v>1.87005</v>
      </c>
      <c r="HU213">
        <v>0</v>
      </c>
      <c r="HV213">
        <v>0</v>
      </c>
      <c r="HW213">
        <v>0</v>
      </c>
      <c r="HX213">
        <v>0</v>
      </c>
      <c r="HY213" t="s">
        <v>421</v>
      </c>
      <c r="HZ213" t="s">
        <v>422</v>
      </c>
      <c r="IA213" t="s">
        <v>423</v>
      </c>
      <c r="IB213" t="s">
        <v>423</v>
      </c>
      <c r="IC213" t="s">
        <v>423</v>
      </c>
      <c r="ID213" t="s">
        <v>423</v>
      </c>
      <c r="IE213">
        <v>0</v>
      </c>
      <c r="IF213">
        <v>100</v>
      </c>
      <c r="IG213">
        <v>100</v>
      </c>
      <c r="IH213">
        <v>-1.59</v>
      </c>
      <c r="II213">
        <v>0.04</v>
      </c>
      <c r="IJ213">
        <v>1.257309091789605</v>
      </c>
      <c r="IK213">
        <v>-0.002185601614162945</v>
      </c>
      <c r="IL213">
        <v>-2.252308143750626E-07</v>
      </c>
      <c r="IM213">
        <v>5.915558436307541E-11</v>
      </c>
      <c r="IN213">
        <v>-0.118683452207699</v>
      </c>
      <c r="IO213">
        <v>-0.007570214193104963</v>
      </c>
      <c r="IP213">
        <v>0.0009214429922928372</v>
      </c>
      <c r="IQ213">
        <v>-1.392260276065805E-05</v>
      </c>
      <c r="IR213">
        <v>17</v>
      </c>
      <c r="IS213">
        <v>2272</v>
      </c>
      <c r="IT213">
        <v>1</v>
      </c>
      <c r="IU213">
        <v>31</v>
      </c>
      <c r="IV213">
        <v>24.4</v>
      </c>
      <c r="IW213">
        <v>24.6</v>
      </c>
      <c r="IX213">
        <v>2.5647</v>
      </c>
      <c r="IY213">
        <v>2.20459</v>
      </c>
      <c r="IZ213">
        <v>1.39648</v>
      </c>
      <c r="JA213">
        <v>2.35474</v>
      </c>
      <c r="JB213">
        <v>1.49536</v>
      </c>
      <c r="JC213">
        <v>2.32422</v>
      </c>
      <c r="JD213">
        <v>37.0747</v>
      </c>
      <c r="JE213">
        <v>15.2178</v>
      </c>
      <c r="JF213">
        <v>18</v>
      </c>
      <c r="JG213">
        <v>387.776</v>
      </c>
      <c r="JH213">
        <v>571.8339999999999</v>
      </c>
      <c r="JI213">
        <v>28.7902</v>
      </c>
      <c r="JJ213">
        <v>30.8716</v>
      </c>
      <c r="JK213">
        <v>30.0003</v>
      </c>
      <c r="JL213">
        <v>30.7856</v>
      </c>
      <c r="JM213">
        <v>30.6878</v>
      </c>
      <c r="JN213">
        <v>51.3074</v>
      </c>
      <c r="JO213">
        <v>18.0335</v>
      </c>
      <c r="JP213">
        <v>0</v>
      </c>
      <c r="JQ213">
        <v>28.7381</v>
      </c>
      <c r="JR213">
        <v>1289.39</v>
      </c>
      <c r="JS213">
        <v>21.4028</v>
      </c>
      <c r="JT213">
        <v>99.9332</v>
      </c>
      <c r="JU213">
        <v>100.036</v>
      </c>
    </row>
    <row r="214" spans="1:281">
      <c r="A214">
        <v>198</v>
      </c>
      <c r="B214">
        <v>1652372759</v>
      </c>
      <c r="C214">
        <v>4665.400000095367</v>
      </c>
      <c r="D214" t="s">
        <v>864</v>
      </c>
      <c r="E214" t="s">
        <v>865</v>
      </c>
      <c r="F214">
        <v>5</v>
      </c>
      <c r="G214" t="s">
        <v>711</v>
      </c>
      <c r="H214" t="s">
        <v>414</v>
      </c>
      <c r="I214">
        <v>1652372751.5</v>
      </c>
      <c r="J214">
        <f>(K214)/1000</f>
        <v>0</v>
      </c>
      <c r="K214">
        <f>IF(CZ214, AN214, AH214)</f>
        <v>0</v>
      </c>
      <c r="L214">
        <f>IF(CZ214, AI214, AG214)</f>
        <v>0</v>
      </c>
      <c r="M214">
        <f>DB214 - IF(AU214&gt;1, L214*CV214*100.0/(AW214*DP214), 0)</f>
        <v>0</v>
      </c>
      <c r="N214">
        <f>((T214-J214/2)*M214-L214)/(T214+J214/2)</f>
        <v>0</v>
      </c>
      <c r="O214">
        <f>N214*(DI214+DJ214)/1000.0</f>
        <v>0</v>
      </c>
      <c r="P214">
        <f>(DB214 - IF(AU214&gt;1, L214*CV214*100.0/(AW214*DP214), 0))*(DI214+DJ214)/1000.0</f>
        <v>0</v>
      </c>
      <c r="Q214">
        <f>2.0/((1/S214-1/R214)+SIGN(S214)*SQRT((1/S214-1/R214)*(1/S214-1/R214) + 4*CW214/((CW214+1)*(CW214+1))*(2*1/S214*1/R214-1/R214*1/R214)))</f>
        <v>0</v>
      </c>
      <c r="R214">
        <f>IF(LEFT(CX214,1)&lt;&gt;"0",IF(LEFT(CX214,1)="1",3.0,CY214),$D$5+$E$5*(DP214*DI214/($K$5*1000))+$F$5*(DP214*DI214/($K$5*1000))*MAX(MIN(CV214,$J$5),$I$5)*MAX(MIN(CV214,$J$5),$I$5)+$G$5*MAX(MIN(CV214,$J$5),$I$5)*(DP214*DI214/($K$5*1000))+$H$5*(DP214*DI214/($K$5*1000))*(DP214*DI214/($K$5*1000)))</f>
        <v>0</v>
      </c>
      <c r="S214">
        <f>J214*(1000-(1000*0.61365*exp(17.502*W214/(240.97+W214))/(DI214+DJ214)+DD214)/2)/(1000*0.61365*exp(17.502*W214/(240.97+W214))/(DI214+DJ214)-DD214)</f>
        <v>0</v>
      </c>
      <c r="T214">
        <f>1/((CW214+1)/(Q214/1.6)+1/(R214/1.37)) + CW214/((CW214+1)/(Q214/1.6) + CW214/(R214/1.37))</f>
        <v>0</v>
      </c>
      <c r="U214">
        <f>(CR214*CU214)</f>
        <v>0</v>
      </c>
      <c r="V214">
        <f>(DK214+(U214+2*0.95*5.67E-8*(((DK214+$B$7)+273)^4-(DK214+273)^4)-44100*J214)/(1.84*29.3*R214+8*0.95*5.67E-8*(DK214+273)^3))</f>
        <v>0</v>
      </c>
      <c r="W214">
        <f>($C$7*DL214+$D$7*DM214+$E$7*V214)</f>
        <v>0</v>
      </c>
      <c r="X214">
        <f>0.61365*exp(17.502*W214/(240.97+W214))</f>
        <v>0</v>
      </c>
      <c r="Y214">
        <f>(Z214/AA214*100)</f>
        <v>0</v>
      </c>
      <c r="Z214">
        <f>DD214*(DI214+DJ214)/1000</f>
        <v>0</v>
      </c>
      <c r="AA214">
        <f>0.61365*exp(17.502*DK214/(240.97+DK214))</f>
        <v>0</v>
      </c>
      <c r="AB214">
        <f>(X214-DD214*(DI214+DJ214)/1000)</f>
        <v>0</v>
      </c>
      <c r="AC214">
        <f>(-J214*44100)</f>
        <v>0</v>
      </c>
      <c r="AD214">
        <f>2*29.3*R214*0.92*(DK214-W214)</f>
        <v>0</v>
      </c>
      <c r="AE214">
        <f>2*0.95*5.67E-8*(((DK214+$B$7)+273)^4-(W214+273)^4)</f>
        <v>0</v>
      </c>
      <c r="AF214">
        <f>U214+AE214+AC214+AD214</f>
        <v>0</v>
      </c>
      <c r="AG214">
        <f>DH214*AU214*(DC214-DB214*(1000-AU214*DE214)/(1000-AU214*DD214))/(100*CV214)</f>
        <v>0</v>
      </c>
      <c r="AH214">
        <f>1000*DH214*AU214*(DD214-DE214)/(100*CV214*(1000-AU214*DD214))</f>
        <v>0</v>
      </c>
      <c r="AI214">
        <f>(AJ214 - AK214 - DI214*1E3/(8.314*(DK214+273.15)) * AM214/DH214 * AL214) * DH214/(100*CV214) * (1000 - DE214)/1000</f>
        <v>0</v>
      </c>
      <c r="AJ214">
        <v>1303.129304115147</v>
      </c>
      <c r="AK214">
        <v>1245.997212121212</v>
      </c>
      <c r="AL214">
        <v>3.451798312680112</v>
      </c>
      <c r="AM214">
        <v>65.96288611109561</v>
      </c>
      <c r="AN214">
        <f>(AP214 - AO214 + DI214*1E3/(8.314*(DK214+273.15)) * AR214/DH214 * AQ214) * DH214/(100*CV214) * 1000/(1000 - AP214)</f>
        <v>0</v>
      </c>
      <c r="AO214">
        <v>21.26929737941046</v>
      </c>
      <c r="AP214">
        <v>24.20999020979021</v>
      </c>
      <c r="AQ214">
        <v>2.102702941360235E-05</v>
      </c>
      <c r="AR214">
        <v>81.18387902069509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MAX(0,($B$13+$C$13*DP214)/(1+$D$13*DP214)*DI214/(DK214+273)*$E$13)</f>
        <v>0</v>
      </c>
      <c r="AX214" t="s">
        <v>417</v>
      </c>
      <c r="AY214" t="s">
        <v>417</v>
      </c>
      <c r="AZ214">
        <v>0</v>
      </c>
      <c r="BA214">
        <v>0</v>
      </c>
      <c r="BB214">
        <f>1-AZ214/BA214</f>
        <v>0</v>
      </c>
      <c r="BC214">
        <v>0</v>
      </c>
      <c r="BD214" t="s">
        <v>417</v>
      </c>
      <c r="BE214" t="s">
        <v>417</v>
      </c>
      <c r="BF214">
        <v>0</v>
      </c>
      <c r="BG214">
        <v>0</v>
      </c>
      <c r="BH214">
        <f>1-BF214/BG214</f>
        <v>0</v>
      </c>
      <c r="BI214">
        <v>0.5</v>
      </c>
      <c r="BJ214">
        <f>CS214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417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1393</v>
      </c>
      <c r="CA214">
        <v>300</v>
      </c>
      <c r="CB214">
        <v>300</v>
      </c>
      <c r="CC214">
        <v>300</v>
      </c>
      <c r="CD214">
        <v>10378</v>
      </c>
      <c r="CE214">
        <v>2050</v>
      </c>
      <c r="CF214">
        <v>-0.00730649</v>
      </c>
      <c r="CG214">
        <v>-4.53</v>
      </c>
      <c r="CH214" t="s">
        <v>417</v>
      </c>
      <c r="CI214" t="s">
        <v>417</v>
      </c>
      <c r="CJ214" t="s">
        <v>417</v>
      </c>
      <c r="CK214" t="s">
        <v>417</v>
      </c>
      <c r="CL214" t="s">
        <v>417</v>
      </c>
      <c r="CM214" t="s">
        <v>417</v>
      </c>
      <c r="CN214" t="s">
        <v>417</v>
      </c>
      <c r="CO214" t="s">
        <v>417</v>
      </c>
      <c r="CP214" t="s">
        <v>417</v>
      </c>
      <c r="CQ214" t="s">
        <v>417</v>
      </c>
      <c r="CR214">
        <f>$B$11*DQ214+$C$11*DR214+$F$11*EC214*(1-EF214)</f>
        <v>0</v>
      </c>
      <c r="CS214">
        <f>CR214*CT214</f>
        <v>0</v>
      </c>
      <c r="CT214">
        <f>($B$11*$D$9+$C$11*$D$9+$F$11*((EP214+EH214)/MAX(EP214+EH214+EQ214, 0.1)*$I$9+EQ214/MAX(EP214+EH214+EQ214, 0.1)*$J$9))/($B$11+$C$11+$F$11)</f>
        <v>0</v>
      </c>
      <c r="CU214">
        <f>($B$11*$K$9+$C$11*$K$9+$F$11*((EP214+EH214)/MAX(EP214+EH214+EQ214, 0.1)*$P$9+EQ214/MAX(EP214+EH214+EQ214, 0.1)*$Q$9))/($B$11+$C$11+$F$11)</f>
        <v>0</v>
      </c>
      <c r="CV214">
        <v>6</v>
      </c>
      <c r="CW214">
        <v>0.5</v>
      </c>
      <c r="CX214" t="s">
        <v>418</v>
      </c>
      <c r="CY214">
        <v>2</v>
      </c>
      <c r="CZ214" t="b">
        <v>1</v>
      </c>
      <c r="DA214">
        <v>1652372751.5</v>
      </c>
      <c r="DB214">
        <v>1192.412962962963</v>
      </c>
      <c r="DC214">
        <v>1263.246666666666</v>
      </c>
      <c r="DD214">
        <v>24.19738518518519</v>
      </c>
      <c r="DE214">
        <v>21.22896666666666</v>
      </c>
      <c r="DF214">
        <v>1193.985555555555</v>
      </c>
      <c r="DG214">
        <v>24.15748888888889</v>
      </c>
      <c r="DH214">
        <v>400.0836296296297</v>
      </c>
      <c r="DI214">
        <v>90.39746666666667</v>
      </c>
      <c r="DJ214">
        <v>0.09999032962962964</v>
      </c>
      <c r="DK214">
        <v>30.69144074074074</v>
      </c>
      <c r="DL214">
        <v>30.00289259259259</v>
      </c>
      <c r="DM214">
        <v>999.9000000000001</v>
      </c>
      <c r="DN214">
        <v>0</v>
      </c>
      <c r="DO214">
        <v>0</v>
      </c>
      <c r="DP214">
        <v>9997.213333333333</v>
      </c>
      <c r="DQ214">
        <v>0</v>
      </c>
      <c r="DR214">
        <v>440.6007777777778</v>
      </c>
      <c r="DS214">
        <v>-70.83443703703703</v>
      </c>
      <c r="DT214">
        <v>1221.981481481482</v>
      </c>
      <c r="DU214">
        <v>1290.646666666666</v>
      </c>
      <c r="DV214">
        <v>2.968424074074074</v>
      </c>
      <c r="DW214">
        <v>1263.246666666666</v>
      </c>
      <c r="DX214">
        <v>21.22896666666666</v>
      </c>
      <c r="DY214">
        <v>2.187382222222222</v>
      </c>
      <c r="DZ214">
        <v>1.919044814814815</v>
      </c>
      <c r="EA214">
        <v>18.8702</v>
      </c>
      <c r="EB214">
        <v>16.79167037037037</v>
      </c>
      <c r="EC214">
        <v>1500.026666666667</v>
      </c>
      <c r="ED214">
        <v>0.9730046296296296</v>
      </c>
      <c r="EE214">
        <v>0.0269951</v>
      </c>
      <c r="EF214">
        <v>0</v>
      </c>
      <c r="EG214">
        <v>1642.770740740741</v>
      </c>
      <c r="EH214">
        <v>5.00097</v>
      </c>
      <c r="EI214">
        <v>25379.80370370371</v>
      </c>
      <c r="EJ214">
        <v>12491.83703703704</v>
      </c>
      <c r="EK214">
        <v>40.06199999999999</v>
      </c>
      <c r="EL214">
        <v>41.56199999999999</v>
      </c>
      <c r="EM214">
        <v>40.31199999999999</v>
      </c>
      <c r="EN214">
        <v>41.375</v>
      </c>
      <c r="EO214">
        <v>41.12959259259259</v>
      </c>
      <c r="EP214">
        <v>1454.665925925926</v>
      </c>
      <c r="EQ214">
        <v>40.36074074074073</v>
      </c>
      <c r="ER214">
        <v>0</v>
      </c>
      <c r="ES214">
        <v>1592.799999952316</v>
      </c>
      <c r="ET214">
        <v>0</v>
      </c>
      <c r="EU214">
        <v>1642.798</v>
      </c>
      <c r="EV214">
        <v>14.62923077436346</v>
      </c>
      <c r="EW214">
        <v>106.6461539849366</v>
      </c>
      <c r="EX214">
        <v>25379.576</v>
      </c>
      <c r="EY214">
        <v>15</v>
      </c>
      <c r="EZ214">
        <v>1652371289.6</v>
      </c>
      <c r="FA214" t="s">
        <v>515</v>
      </c>
      <c r="FB214">
        <v>1652371289.6</v>
      </c>
      <c r="FC214">
        <v>1652371275.1</v>
      </c>
      <c r="FD214">
        <v>24</v>
      </c>
      <c r="FE214">
        <v>0.442</v>
      </c>
      <c r="FF214">
        <v>0.001</v>
      </c>
      <c r="FG214">
        <v>-2.63</v>
      </c>
      <c r="FH214">
        <v>0.007</v>
      </c>
      <c r="FI214">
        <v>1620</v>
      </c>
      <c r="FJ214">
        <v>22</v>
      </c>
      <c r="FK214">
        <v>0.08</v>
      </c>
      <c r="FL214">
        <v>0.04</v>
      </c>
      <c r="FM214">
        <v>-70.80323902439025</v>
      </c>
      <c r="FN214">
        <v>-0.7803303135887942</v>
      </c>
      <c r="FO214">
        <v>0.1131642727341028</v>
      </c>
      <c r="FP214">
        <v>-1</v>
      </c>
      <c r="FQ214">
        <v>3.013706585365854</v>
      </c>
      <c r="FR214">
        <v>-0.780510731707315</v>
      </c>
      <c r="FS214">
        <v>0.07770464243938682</v>
      </c>
      <c r="FT214">
        <v>0</v>
      </c>
      <c r="FU214">
        <v>0</v>
      </c>
      <c r="FV214">
        <v>0</v>
      </c>
      <c r="FW214">
        <v>0</v>
      </c>
      <c r="FX214">
        <v>-1</v>
      </c>
      <c r="FY214">
        <v>0</v>
      </c>
      <c r="FZ214">
        <v>1</v>
      </c>
      <c r="GA214" t="s">
        <v>432</v>
      </c>
      <c r="GB214">
        <v>2.69526</v>
      </c>
      <c r="GC214">
        <v>2.70496</v>
      </c>
      <c r="GD214">
        <v>0.193967</v>
      </c>
      <c r="GE214">
        <v>0.198873</v>
      </c>
      <c r="GF214">
        <v>0.106661</v>
      </c>
      <c r="GG214">
        <v>0.09612660000000001</v>
      </c>
      <c r="GH214">
        <v>25328.9</v>
      </c>
      <c r="GI214">
        <v>25282.3</v>
      </c>
      <c r="GJ214">
        <v>29236.5</v>
      </c>
      <c r="GK214">
        <v>29207.9</v>
      </c>
      <c r="GL214">
        <v>34581.4</v>
      </c>
      <c r="GM214">
        <v>35140.6</v>
      </c>
      <c r="GN214">
        <v>41149.5</v>
      </c>
      <c r="GO214">
        <v>41673.7</v>
      </c>
      <c r="GP214">
        <v>1.72145</v>
      </c>
      <c r="GQ214">
        <v>2.03515</v>
      </c>
      <c r="GR214">
        <v>0.0727922</v>
      </c>
      <c r="GS214">
        <v>0</v>
      </c>
      <c r="GT214">
        <v>28.8466</v>
      </c>
      <c r="GU214">
        <v>999.9</v>
      </c>
      <c r="GV214">
        <v>44</v>
      </c>
      <c r="GW214">
        <v>33.5</v>
      </c>
      <c r="GX214">
        <v>25.2876</v>
      </c>
      <c r="GY214">
        <v>63.588</v>
      </c>
      <c r="GZ214">
        <v>28.738</v>
      </c>
      <c r="HA214">
        <v>1</v>
      </c>
      <c r="HB214">
        <v>0.268765</v>
      </c>
      <c r="HC214">
        <v>0.636912</v>
      </c>
      <c r="HD214">
        <v>20.3805</v>
      </c>
      <c r="HE214">
        <v>5.21654</v>
      </c>
      <c r="HF214">
        <v>12.0099</v>
      </c>
      <c r="HG214">
        <v>4.98785</v>
      </c>
      <c r="HH214">
        <v>3.28835</v>
      </c>
      <c r="HI214">
        <v>2732</v>
      </c>
      <c r="HJ214">
        <v>9999</v>
      </c>
      <c r="HK214">
        <v>9999</v>
      </c>
      <c r="HL214">
        <v>50.2</v>
      </c>
      <c r="HM214">
        <v>1.86722</v>
      </c>
      <c r="HN214">
        <v>1.86627</v>
      </c>
      <c r="HO214">
        <v>1.86584</v>
      </c>
      <c r="HP214">
        <v>1.86569</v>
      </c>
      <c r="HQ214">
        <v>1.86751</v>
      </c>
      <c r="HR214">
        <v>1.87001</v>
      </c>
      <c r="HS214">
        <v>1.86862</v>
      </c>
      <c r="HT214">
        <v>1.87008</v>
      </c>
      <c r="HU214">
        <v>0</v>
      </c>
      <c r="HV214">
        <v>0</v>
      </c>
      <c r="HW214">
        <v>0</v>
      </c>
      <c r="HX214">
        <v>0</v>
      </c>
      <c r="HY214" t="s">
        <v>421</v>
      </c>
      <c r="HZ214" t="s">
        <v>422</v>
      </c>
      <c r="IA214" t="s">
        <v>423</v>
      </c>
      <c r="IB214" t="s">
        <v>423</v>
      </c>
      <c r="IC214" t="s">
        <v>423</v>
      </c>
      <c r="ID214" t="s">
        <v>423</v>
      </c>
      <c r="IE214">
        <v>0</v>
      </c>
      <c r="IF214">
        <v>100</v>
      </c>
      <c r="IG214">
        <v>100</v>
      </c>
      <c r="IH214">
        <v>-1.63</v>
      </c>
      <c r="II214">
        <v>0.0401</v>
      </c>
      <c r="IJ214">
        <v>1.257309091789605</v>
      </c>
      <c r="IK214">
        <v>-0.002185601614162945</v>
      </c>
      <c r="IL214">
        <v>-2.252308143750626E-07</v>
      </c>
      <c r="IM214">
        <v>5.915558436307541E-11</v>
      </c>
      <c r="IN214">
        <v>-0.118683452207699</v>
      </c>
      <c r="IO214">
        <v>-0.007570214193104963</v>
      </c>
      <c r="IP214">
        <v>0.0009214429922928372</v>
      </c>
      <c r="IQ214">
        <v>-1.392260276065805E-05</v>
      </c>
      <c r="IR214">
        <v>17</v>
      </c>
      <c r="IS214">
        <v>2272</v>
      </c>
      <c r="IT214">
        <v>1</v>
      </c>
      <c r="IU214">
        <v>31</v>
      </c>
      <c r="IV214">
        <v>24.5</v>
      </c>
      <c r="IW214">
        <v>24.7</v>
      </c>
      <c r="IX214">
        <v>2.59155</v>
      </c>
      <c r="IY214">
        <v>2.20703</v>
      </c>
      <c r="IZ214">
        <v>1.39648</v>
      </c>
      <c r="JA214">
        <v>2.35352</v>
      </c>
      <c r="JB214">
        <v>1.49536</v>
      </c>
      <c r="JC214">
        <v>2.25708</v>
      </c>
      <c r="JD214">
        <v>37.0986</v>
      </c>
      <c r="JE214">
        <v>15.2178</v>
      </c>
      <c r="JF214">
        <v>18</v>
      </c>
      <c r="JG214">
        <v>387.696</v>
      </c>
      <c r="JH214">
        <v>572.044</v>
      </c>
      <c r="JI214">
        <v>28.7763</v>
      </c>
      <c r="JJ214">
        <v>30.8727</v>
      </c>
      <c r="JK214">
        <v>30.0003</v>
      </c>
      <c r="JL214">
        <v>30.7878</v>
      </c>
      <c r="JM214">
        <v>30.69</v>
      </c>
      <c r="JN214">
        <v>51.8729</v>
      </c>
      <c r="JO214">
        <v>17.7632</v>
      </c>
      <c r="JP214">
        <v>0</v>
      </c>
      <c r="JQ214">
        <v>28.7404</v>
      </c>
      <c r="JR214">
        <v>1309.43</v>
      </c>
      <c r="JS214">
        <v>21.4768</v>
      </c>
      <c r="JT214">
        <v>99.9333</v>
      </c>
      <c r="JU214">
        <v>100.035</v>
      </c>
    </row>
    <row r="215" spans="1:281">
      <c r="A215">
        <v>199</v>
      </c>
      <c r="B215">
        <v>1652372764</v>
      </c>
      <c r="C215">
        <v>4670.400000095367</v>
      </c>
      <c r="D215" t="s">
        <v>866</v>
      </c>
      <c r="E215" t="s">
        <v>867</v>
      </c>
      <c r="F215">
        <v>5</v>
      </c>
      <c r="G215" t="s">
        <v>711</v>
      </c>
      <c r="H215" t="s">
        <v>414</v>
      </c>
      <c r="I215">
        <v>1652372756.214286</v>
      </c>
      <c r="J215">
        <f>(K215)/1000</f>
        <v>0</v>
      </c>
      <c r="K215">
        <f>IF(CZ215, AN215, AH215)</f>
        <v>0</v>
      </c>
      <c r="L215">
        <f>IF(CZ215, AI215, AG215)</f>
        <v>0</v>
      </c>
      <c r="M215">
        <f>DB215 - IF(AU215&gt;1, L215*CV215*100.0/(AW215*DP215), 0)</f>
        <v>0</v>
      </c>
      <c r="N215">
        <f>((T215-J215/2)*M215-L215)/(T215+J215/2)</f>
        <v>0</v>
      </c>
      <c r="O215">
        <f>N215*(DI215+DJ215)/1000.0</f>
        <v>0</v>
      </c>
      <c r="P215">
        <f>(DB215 - IF(AU215&gt;1, L215*CV215*100.0/(AW215*DP215), 0))*(DI215+DJ215)/1000.0</f>
        <v>0</v>
      </c>
      <c r="Q215">
        <f>2.0/((1/S215-1/R215)+SIGN(S215)*SQRT((1/S215-1/R215)*(1/S215-1/R215) + 4*CW215/((CW215+1)*(CW215+1))*(2*1/S215*1/R215-1/R215*1/R215)))</f>
        <v>0</v>
      </c>
      <c r="R215">
        <f>IF(LEFT(CX215,1)&lt;&gt;"0",IF(LEFT(CX215,1)="1",3.0,CY215),$D$5+$E$5*(DP215*DI215/($K$5*1000))+$F$5*(DP215*DI215/($K$5*1000))*MAX(MIN(CV215,$J$5),$I$5)*MAX(MIN(CV215,$J$5),$I$5)+$G$5*MAX(MIN(CV215,$J$5),$I$5)*(DP215*DI215/($K$5*1000))+$H$5*(DP215*DI215/($K$5*1000))*(DP215*DI215/($K$5*1000)))</f>
        <v>0</v>
      </c>
      <c r="S215">
        <f>J215*(1000-(1000*0.61365*exp(17.502*W215/(240.97+W215))/(DI215+DJ215)+DD215)/2)/(1000*0.61365*exp(17.502*W215/(240.97+W215))/(DI215+DJ215)-DD215)</f>
        <v>0</v>
      </c>
      <c r="T215">
        <f>1/((CW215+1)/(Q215/1.6)+1/(R215/1.37)) + CW215/((CW215+1)/(Q215/1.6) + CW215/(R215/1.37))</f>
        <v>0</v>
      </c>
      <c r="U215">
        <f>(CR215*CU215)</f>
        <v>0</v>
      </c>
      <c r="V215">
        <f>(DK215+(U215+2*0.95*5.67E-8*(((DK215+$B$7)+273)^4-(DK215+273)^4)-44100*J215)/(1.84*29.3*R215+8*0.95*5.67E-8*(DK215+273)^3))</f>
        <v>0</v>
      </c>
      <c r="W215">
        <f>($C$7*DL215+$D$7*DM215+$E$7*V215)</f>
        <v>0</v>
      </c>
      <c r="X215">
        <f>0.61365*exp(17.502*W215/(240.97+W215))</f>
        <v>0</v>
      </c>
      <c r="Y215">
        <f>(Z215/AA215*100)</f>
        <v>0</v>
      </c>
      <c r="Z215">
        <f>DD215*(DI215+DJ215)/1000</f>
        <v>0</v>
      </c>
      <c r="AA215">
        <f>0.61365*exp(17.502*DK215/(240.97+DK215))</f>
        <v>0</v>
      </c>
      <c r="AB215">
        <f>(X215-DD215*(DI215+DJ215)/1000)</f>
        <v>0</v>
      </c>
      <c r="AC215">
        <f>(-J215*44100)</f>
        <v>0</v>
      </c>
      <c r="AD215">
        <f>2*29.3*R215*0.92*(DK215-W215)</f>
        <v>0</v>
      </c>
      <c r="AE215">
        <f>2*0.95*5.67E-8*(((DK215+$B$7)+273)^4-(W215+273)^4)</f>
        <v>0</v>
      </c>
      <c r="AF215">
        <f>U215+AE215+AC215+AD215</f>
        <v>0</v>
      </c>
      <c r="AG215">
        <f>DH215*AU215*(DC215-DB215*(1000-AU215*DE215)/(1000-AU215*DD215))/(100*CV215)</f>
        <v>0</v>
      </c>
      <c r="AH215">
        <f>1000*DH215*AU215*(DD215-DE215)/(100*CV215*(1000-AU215*DD215))</f>
        <v>0</v>
      </c>
      <c r="AI215">
        <f>(AJ215 - AK215 - DI215*1E3/(8.314*(DK215+273.15)) * AM215/DH215 * AL215) * DH215/(100*CV215) * (1000 - DE215)/1000</f>
        <v>0</v>
      </c>
      <c r="AJ215">
        <v>1320.301814689461</v>
      </c>
      <c r="AK215">
        <v>1263.144121212122</v>
      </c>
      <c r="AL215">
        <v>3.437806514567604</v>
      </c>
      <c r="AM215">
        <v>65.96288611109561</v>
      </c>
      <c r="AN215">
        <f>(AP215 - AO215 + DI215*1E3/(8.314*(DK215+273.15)) * AR215/DH215 * AQ215) * DH215/(100*CV215) * 1000/(1000 - AP215)</f>
        <v>0</v>
      </c>
      <c r="AO215">
        <v>21.32785488914169</v>
      </c>
      <c r="AP215">
        <v>24.21869650349651</v>
      </c>
      <c r="AQ215">
        <v>1.478382654714816E-05</v>
      </c>
      <c r="AR215">
        <v>81.18387902069509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MAX(0,($B$13+$C$13*DP215)/(1+$D$13*DP215)*DI215/(DK215+273)*$E$13)</f>
        <v>0</v>
      </c>
      <c r="AX215" t="s">
        <v>417</v>
      </c>
      <c r="AY215" t="s">
        <v>417</v>
      </c>
      <c r="AZ215">
        <v>0</v>
      </c>
      <c r="BA215">
        <v>0</v>
      </c>
      <c r="BB215">
        <f>1-AZ215/BA215</f>
        <v>0</v>
      </c>
      <c r="BC215">
        <v>0</v>
      </c>
      <c r="BD215" t="s">
        <v>417</v>
      </c>
      <c r="BE215" t="s">
        <v>417</v>
      </c>
      <c r="BF215">
        <v>0</v>
      </c>
      <c r="BG215">
        <v>0</v>
      </c>
      <c r="BH215">
        <f>1-BF215/BG215</f>
        <v>0</v>
      </c>
      <c r="BI215">
        <v>0.5</v>
      </c>
      <c r="BJ215">
        <f>CS215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417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1393</v>
      </c>
      <c r="CA215">
        <v>300</v>
      </c>
      <c r="CB215">
        <v>300</v>
      </c>
      <c r="CC215">
        <v>300</v>
      </c>
      <c r="CD215">
        <v>10378</v>
      </c>
      <c r="CE215">
        <v>2050</v>
      </c>
      <c r="CF215">
        <v>-0.00730649</v>
      </c>
      <c r="CG215">
        <v>-4.53</v>
      </c>
      <c r="CH215" t="s">
        <v>417</v>
      </c>
      <c r="CI215" t="s">
        <v>417</v>
      </c>
      <c r="CJ215" t="s">
        <v>417</v>
      </c>
      <c r="CK215" t="s">
        <v>417</v>
      </c>
      <c r="CL215" t="s">
        <v>417</v>
      </c>
      <c r="CM215" t="s">
        <v>417</v>
      </c>
      <c r="CN215" t="s">
        <v>417</v>
      </c>
      <c r="CO215" t="s">
        <v>417</v>
      </c>
      <c r="CP215" t="s">
        <v>417</v>
      </c>
      <c r="CQ215" t="s">
        <v>417</v>
      </c>
      <c r="CR215">
        <f>$B$11*DQ215+$C$11*DR215+$F$11*EC215*(1-EF215)</f>
        <v>0</v>
      </c>
      <c r="CS215">
        <f>CR215*CT215</f>
        <v>0</v>
      </c>
      <c r="CT215">
        <f>($B$11*$D$9+$C$11*$D$9+$F$11*((EP215+EH215)/MAX(EP215+EH215+EQ215, 0.1)*$I$9+EQ215/MAX(EP215+EH215+EQ215, 0.1)*$J$9))/($B$11+$C$11+$F$11)</f>
        <v>0</v>
      </c>
      <c r="CU215">
        <f>($B$11*$K$9+$C$11*$K$9+$F$11*((EP215+EH215)/MAX(EP215+EH215+EQ215, 0.1)*$P$9+EQ215/MAX(EP215+EH215+EQ215, 0.1)*$Q$9))/($B$11+$C$11+$F$11)</f>
        <v>0</v>
      </c>
      <c r="CV215">
        <v>6</v>
      </c>
      <c r="CW215">
        <v>0.5</v>
      </c>
      <c r="CX215" t="s">
        <v>418</v>
      </c>
      <c r="CY215">
        <v>2</v>
      </c>
      <c r="CZ215" t="b">
        <v>1</v>
      </c>
      <c r="DA215">
        <v>1652372756.214286</v>
      </c>
      <c r="DB215">
        <v>1208.155714285714</v>
      </c>
      <c r="DC215">
        <v>1279.038214285714</v>
      </c>
      <c r="DD215">
        <v>24.20576071428571</v>
      </c>
      <c r="DE215">
        <v>21.29473214285715</v>
      </c>
      <c r="DF215">
        <v>1209.766071428571</v>
      </c>
      <c r="DG215">
        <v>24.16576071428572</v>
      </c>
      <c r="DH215">
        <v>400.076</v>
      </c>
      <c r="DI215">
        <v>90.39815357142858</v>
      </c>
      <c r="DJ215">
        <v>0.1000253107142857</v>
      </c>
      <c r="DK215">
        <v>30.69621785714286</v>
      </c>
      <c r="DL215">
        <v>30.01894642857144</v>
      </c>
      <c r="DM215">
        <v>999.9000000000002</v>
      </c>
      <c r="DN215">
        <v>0</v>
      </c>
      <c r="DO215">
        <v>0</v>
      </c>
      <c r="DP215">
        <v>9992.185357142855</v>
      </c>
      <c r="DQ215">
        <v>0</v>
      </c>
      <c r="DR215">
        <v>435.7846785714286</v>
      </c>
      <c r="DS215">
        <v>-70.88322142857142</v>
      </c>
      <c r="DT215">
        <v>1238.124642857143</v>
      </c>
      <c r="DU215">
        <v>1306.8675</v>
      </c>
      <c r="DV215">
        <v>2.911034285714286</v>
      </c>
      <c r="DW215">
        <v>1279.038214285714</v>
      </c>
      <c r="DX215">
        <v>21.29473214285715</v>
      </c>
      <c r="DY215">
        <v>2.188156785714285</v>
      </c>
      <c r="DZ215">
        <v>1.925004285714286</v>
      </c>
      <c r="EA215">
        <v>18.87586428571428</v>
      </c>
      <c r="EB215">
        <v>16.84055357142857</v>
      </c>
      <c r="EC215">
        <v>1500</v>
      </c>
      <c r="ED215">
        <v>0.9730042857142858</v>
      </c>
      <c r="EE215">
        <v>0.02699547142857143</v>
      </c>
      <c r="EF215">
        <v>0</v>
      </c>
      <c r="EG215">
        <v>1644.03</v>
      </c>
      <c r="EH215">
        <v>5.00097</v>
      </c>
      <c r="EI215">
        <v>25386.89999999999</v>
      </c>
      <c r="EJ215">
        <v>12491.61428571428</v>
      </c>
      <c r="EK215">
        <v>40.06199999999999</v>
      </c>
      <c r="EL215">
        <v>41.5597857142857</v>
      </c>
      <c r="EM215">
        <v>40.31199999999999</v>
      </c>
      <c r="EN215">
        <v>41.375</v>
      </c>
      <c r="EO215">
        <v>41.12942857142857</v>
      </c>
      <c r="EP215">
        <v>1454.639285714286</v>
      </c>
      <c r="EQ215">
        <v>40.36071428571427</v>
      </c>
      <c r="ER215">
        <v>0</v>
      </c>
      <c r="ES215">
        <v>1598.199999809265</v>
      </c>
      <c r="ET215">
        <v>0</v>
      </c>
      <c r="EU215">
        <v>1644.116153846154</v>
      </c>
      <c r="EV215">
        <v>15.0912820522182</v>
      </c>
      <c r="EW215">
        <v>82.19829056360867</v>
      </c>
      <c r="EX215">
        <v>25387.41153846154</v>
      </c>
      <c r="EY215">
        <v>15</v>
      </c>
      <c r="EZ215">
        <v>1652371289.6</v>
      </c>
      <c r="FA215" t="s">
        <v>515</v>
      </c>
      <c r="FB215">
        <v>1652371289.6</v>
      </c>
      <c r="FC215">
        <v>1652371275.1</v>
      </c>
      <c r="FD215">
        <v>24</v>
      </c>
      <c r="FE215">
        <v>0.442</v>
      </c>
      <c r="FF215">
        <v>0.001</v>
      </c>
      <c r="FG215">
        <v>-2.63</v>
      </c>
      <c r="FH215">
        <v>0.007</v>
      </c>
      <c r="FI215">
        <v>1620</v>
      </c>
      <c r="FJ215">
        <v>22</v>
      </c>
      <c r="FK215">
        <v>0.08</v>
      </c>
      <c r="FL215">
        <v>0.04</v>
      </c>
      <c r="FM215">
        <v>-70.84245000000001</v>
      </c>
      <c r="FN215">
        <v>-0.5682821763601607</v>
      </c>
      <c r="FO215">
        <v>0.1024486969170421</v>
      </c>
      <c r="FP215">
        <v>-1</v>
      </c>
      <c r="FQ215">
        <v>2.94415825</v>
      </c>
      <c r="FR215">
        <v>-0.7150801125703623</v>
      </c>
      <c r="FS215">
        <v>0.06970135661834356</v>
      </c>
      <c r="FT215">
        <v>0</v>
      </c>
      <c r="FU215">
        <v>0</v>
      </c>
      <c r="FV215">
        <v>0</v>
      </c>
      <c r="FW215">
        <v>0</v>
      </c>
      <c r="FX215">
        <v>-1</v>
      </c>
      <c r="FY215">
        <v>0</v>
      </c>
      <c r="FZ215">
        <v>1</v>
      </c>
      <c r="GA215" t="s">
        <v>432</v>
      </c>
      <c r="GB215">
        <v>2.69566</v>
      </c>
      <c r="GC215">
        <v>2.70511</v>
      </c>
      <c r="GD215">
        <v>0.195628</v>
      </c>
      <c r="GE215">
        <v>0.20048</v>
      </c>
      <c r="GF215">
        <v>0.106689</v>
      </c>
      <c r="GG215">
        <v>0.0963614</v>
      </c>
      <c r="GH215">
        <v>25276.4</v>
      </c>
      <c r="GI215">
        <v>25231.8</v>
      </c>
      <c r="GJ215">
        <v>29236.2</v>
      </c>
      <c r="GK215">
        <v>29208.2</v>
      </c>
      <c r="GL215">
        <v>34579.7</v>
      </c>
      <c r="GM215">
        <v>35131.9</v>
      </c>
      <c r="GN215">
        <v>41148.7</v>
      </c>
      <c r="GO215">
        <v>41674.2</v>
      </c>
      <c r="GP215">
        <v>1.72175</v>
      </c>
      <c r="GQ215">
        <v>2.03513</v>
      </c>
      <c r="GR215">
        <v>0.0728294</v>
      </c>
      <c r="GS215">
        <v>0</v>
      </c>
      <c r="GT215">
        <v>28.8411</v>
      </c>
      <c r="GU215">
        <v>999.9</v>
      </c>
      <c r="GV215">
        <v>44</v>
      </c>
      <c r="GW215">
        <v>33.5</v>
      </c>
      <c r="GX215">
        <v>25.2893</v>
      </c>
      <c r="GY215">
        <v>63.508</v>
      </c>
      <c r="GZ215">
        <v>28.9824</v>
      </c>
      <c r="HA215">
        <v>1</v>
      </c>
      <c r="HB215">
        <v>0.269281</v>
      </c>
      <c r="HC215">
        <v>0.7763640000000001</v>
      </c>
      <c r="HD215">
        <v>20.3799</v>
      </c>
      <c r="HE215">
        <v>5.21729</v>
      </c>
      <c r="HF215">
        <v>12.0099</v>
      </c>
      <c r="HG215">
        <v>4.98825</v>
      </c>
      <c r="HH215">
        <v>3.28833</v>
      </c>
      <c r="HI215">
        <v>2732</v>
      </c>
      <c r="HJ215">
        <v>9999</v>
      </c>
      <c r="HK215">
        <v>9999</v>
      </c>
      <c r="HL215">
        <v>50.2</v>
      </c>
      <c r="HM215">
        <v>1.86722</v>
      </c>
      <c r="HN215">
        <v>1.86627</v>
      </c>
      <c r="HO215">
        <v>1.86581</v>
      </c>
      <c r="HP215">
        <v>1.86569</v>
      </c>
      <c r="HQ215">
        <v>1.8675</v>
      </c>
      <c r="HR215">
        <v>1.87002</v>
      </c>
      <c r="HS215">
        <v>1.86861</v>
      </c>
      <c r="HT215">
        <v>1.87006</v>
      </c>
      <c r="HU215">
        <v>0</v>
      </c>
      <c r="HV215">
        <v>0</v>
      </c>
      <c r="HW215">
        <v>0</v>
      </c>
      <c r="HX215">
        <v>0</v>
      </c>
      <c r="HY215" t="s">
        <v>421</v>
      </c>
      <c r="HZ215" t="s">
        <v>422</v>
      </c>
      <c r="IA215" t="s">
        <v>423</v>
      </c>
      <c r="IB215" t="s">
        <v>423</v>
      </c>
      <c r="IC215" t="s">
        <v>423</v>
      </c>
      <c r="ID215" t="s">
        <v>423</v>
      </c>
      <c r="IE215">
        <v>0</v>
      </c>
      <c r="IF215">
        <v>100</v>
      </c>
      <c r="IG215">
        <v>100</v>
      </c>
      <c r="IH215">
        <v>-1.68</v>
      </c>
      <c r="II215">
        <v>0.0402</v>
      </c>
      <c r="IJ215">
        <v>1.257309091789605</v>
      </c>
      <c r="IK215">
        <v>-0.002185601614162945</v>
      </c>
      <c r="IL215">
        <v>-2.252308143750626E-07</v>
      </c>
      <c r="IM215">
        <v>5.915558436307541E-11</v>
      </c>
      <c r="IN215">
        <v>-0.118683452207699</v>
      </c>
      <c r="IO215">
        <v>-0.007570214193104963</v>
      </c>
      <c r="IP215">
        <v>0.0009214429922928372</v>
      </c>
      <c r="IQ215">
        <v>-1.392260276065805E-05</v>
      </c>
      <c r="IR215">
        <v>17</v>
      </c>
      <c r="IS215">
        <v>2272</v>
      </c>
      <c r="IT215">
        <v>1</v>
      </c>
      <c r="IU215">
        <v>31</v>
      </c>
      <c r="IV215">
        <v>24.6</v>
      </c>
      <c r="IW215">
        <v>24.8</v>
      </c>
      <c r="IX215">
        <v>2.61475</v>
      </c>
      <c r="IY215">
        <v>2.20581</v>
      </c>
      <c r="IZ215">
        <v>1.39648</v>
      </c>
      <c r="JA215">
        <v>2.35474</v>
      </c>
      <c r="JB215">
        <v>1.49536</v>
      </c>
      <c r="JC215">
        <v>2.28638</v>
      </c>
      <c r="JD215">
        <v>37.0986</v>
      </c>
      <c r="JE215">
        <v>15.2178</v>
      </c>
      <c r="JF215">
        <v>18</v>
      </c>
      <c r="JG215">
        <v>387.861</v>
      </c>
      <c r="JH215">
        <v>572.037</v>
      </c>
      <c r="JI215">
        <v>28.7513</v>
      </c>
      <c r="JJ215">
        <v>30.8736</v>
      </c>
      <c r="JK215">
        <v>30.0004</v>
      </c>
      <c r="JL215">
        <v>30.7885</v>
      </c>
      <c r="JM215">
        <v>30.6913</v>
      </c>
      <c r="JN215">
        <v>52.3772</v>
      </c>
      <c r="JO215">
        <v>17.4593</v>
      </c>
      <c r="JP215">
        <v>0.373865</v>
      </c>
      <c r="JQ215">
        <v>28.7083</v>
      </c>
      <c r="JR215">
        <v>1322.79</v>
      </c>
      <c r="JS215">
        <v>21.5431</v>
      </c>
      <c r="JT215">
        <v>99.93170000000001</v>
      </c>
      <c r="JU215">
        <v>100.036</v>
      </c>
    </row>
    <row r="216" spans="1:281">
      <c r="A216">
        <v>200</v>
      </c>
      <c r="B216">
        <v>1652372769</v>
      </c>
      <c r="C216">
        <v>4675.400000095367</v>
      </c>
      <c r="D216" t="s">
        <v>868</v>
      </c>
      <c r="E216" t="s">
        <v>869</v>
      </c>
      <c r="F216">
        <v>5</v>
      </c>
      <c r="G216" t="s">
        <v>711</v>
      </c>
      <c r="H216" t="s">
        <v>414</v>
      </c>
      <c r="I216">
        <v>1652372761.5</v>
      </c>
      <c r="J216">
        <f>(K216)/1000</f>
        <v>0</v>
      </c>
      <c r="K216">
        <f>IF(CZ216, AN216, AH216)</f>
        <v>0</v>
      </c>
      <c r="L216">
        <f>IF(CZ216, AI216, AG216)</f>
        <v>0</v>
      </c>
      <c r="M216">
        <f>DB216 - IF(AU216&gt;1, L216*CV216*100.0/(AW216*DP216), 0)</f>
        <v>0</v>
      </c>
      <c r="N216">
        <f>((T216-J216/2)*M216-L216)/(T216+J216/2)</f>
        <v>0</v>
      </c>
      <c r="O216">
        <f>N216*(DI216+DJ216)/1000.0</f>
        <v>0</v>
      </c>
      <c r="P216">
        <f>(DB216 - IF(AU216&gt;1, L216*CV216*100.0/(AW216*DP216), 0))*(DI216+DJ216)/1000.0</f>
        <v>0</v>
      </c>
      <c r="Q216">
        <f>2.0/((1/S216-1/R216)+SIGN(S216)*SQRT((1/S216-1/R216)*(1/S216-1/R216) + 4*CW216/((CW216+1)*(CW216+1))*(2*1/S216*1/R216-1/R216*1/R216)))</f>
        <v>0</v>
      </c>
      <c r="R216">
        <f>IF(LEFT(CX216,1)&lt;&gt;"0",IF(LEFT(CX216,1)="1",3.0,CY216),$D$5+$E$5*(DP216*DI216/($K$5*1000))+$F$5*(DP216*DI216/($K$5*1000))*MAX(MIN(CV216,$J$5),$I$5)*MAX(MIN(CV216,$J$5),$I$5)+$G$5*MAX(MIN(CV216,$J$5),$I$5)*(DP216*DI216/($K$5*1000))+$H$5*(DP216*DI216/($K$5*1000))*(DP216*DI216/($K$5*1000)))</f>
        <v>0</v>
      </c>
      <c r="S216">
        <f>J216*(1000-(1000*0.61365*exp(17.502*W216/(240.97+W216))/(DI216+DJ216)+DD216)/2)/(1000*0.61365*exp(17.502*W216/(240.97+W216))/(DI216+DJ216)-DD216)</f>
        <v>0</v>
      </c>
      <c r="T216">
        <f>1/((CW216+1)/(Q216/1.6)+1/(R216/1.37)) + CW216/((CW216+1)/(Q216/1.6) + CW216/(R216/1.37))</f>
        <v>0</v>
      </c>
      <c r="U216">
        <f>(CR216*CU216)</f>
        <v>0</v>
      </c>
      <c r="V216">
        <f>(DK216+(U216+2*0.95*5.67E-8*(((DK216+$B$7)+273)^4-(DK216+273)^4)-44100*J216)/(1.84*29.3*R216+8*0.95*5.67E-8*(DK216+273)^3))</f>
        <v>0</v>
      </c>
      <c r="W216">
        <f>($C$7*DL216+$D$7*DM216+$E$7*V216)</f>
        <v>0</v>
      </c>
      <c r="X216">
        <f>0.61365*exp(17.502*W216/(240.97+W216))</f>
        <v>0</v>
      </c>
      <c r="Y216">
        <f>(Z216/AA216*100)</f>
        <v>0</v>
      </c>
      <c r="Z216">
        <f>DD216*(DI216+DJ216)/1000</f>
        <v>0</v>
      </c>
      <c r="AA216">
        <f>0.61365*exp(17.502*DK216/(240.97+DK216))</f>
        <v>0</v>
      </c>
      <c r="AB216">
        <f>(X216-DD216*(DI216+DJ216)/1000)</f>
        <v>0</v>
      </c>
      <c r="AC216">
        <f>(-J216*44100)</f>
        <v>0</v>
      </c>
      <c r="AD216">
        <f>2*29.3*R216*0.92*(DK216-W216)</f>
        <v>0</v>
      </c>
      <c r="AE216">
        <f>2*0.95*5.67E-8*(((DK216+$B$7)+273)^4-(W216+273)^4)</f>
        <v>0</v>
      </c>
      <c r="AF216">
        <f>U216+AE216+AC216+AD216</f>
        <v>0</v>
      </c>
      <c r="AG216">
        <f>DH216*AU216*(DC216-DB216*(1000-AU216*DE216)/(1000-AU216*DD216))/(100*CV216)</f>
        <v>0</v>
      </c>
      <c r="AH216">
        <f>1000*DH216*AU216*(DD216-DE216)/(100*CV216*(1000-AU216*DD216))</f>
        <v>0</v>
      </c>
      <c r="AI216">
        <f>(AJ216 - AK216 - DI216*1E3/(8.314*(DK216+273.15)) * AM216/DH216 * AL216) * DH216/(100*CV216) * (1000 - DE216)/1000</f>
        <v>0</v>
      </c>
      <c r="AJ216">
        <v>1337.544223384351</v>
      </c>
      <c r="AK216">
        <v>1280.233393939393</v>
      </c>
      <c r="AL216">
        <v>3.441512745451864</v>
      </c>
      <c r="AM216">
        <v>65.96288611109561</v>
      </c>
      <c r="AN216">
        <f>(AP216 - AO216 + DI216*1E3/(8.314*(DK216+273.15)) * AR216/DH216 * AQ216) * DH216/(100*CV216) * 1000/(1000 - AP216)</f>
        <v>0</v>
      </c>
      <c r="AO216">
        <v>21.40715628710661</v>
      </c>
      <c r="AP216">
        <v>24.23826363636366</v>
      </c>
      <c r="AQ216">
        <v>0.0001268084326772408</v>
      </c>
      <c r="AR216">
        <v>81.18387902069509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MAX(0,($B$13+$C$13*DP216)/(1+$D$13*DP216)*DI216/(DK216+273)*$E$13)</f>
        <v>0</v>
      </c>
      <c r="AX216" t="s">
        <v>417</v>
      </c>
      <c r="AY216" t="s">
        <v>417</v>
      </c>
      <c r="AZ216">
        <v>0</v>
      </c>
      <c r="BA216">
        <v>0</v>
      </c>
      <c r="BB216">
        <f>1-AZ216/BA216</f>
        <v>0</v>
      </c>
      <c r="BC216">
        <v>0</v>
      </c>
      <c r="BD216" t="s">
        <v>417</v>
      </c>
      <c r="BE216" t="s">
        <v>417</v>
      </c>
      <c r="BF216">
        <v>0</v>
      </c>
      <c r="BG216">
        <v>0</v>
      </c>
      <c r="BH216">
        <f>1-BF216/BG216</f>
        <v>0</v>
      </c>
      <c r="BI216">
        <v>0.5</v>
      </c>
      <c r="BJ216">
        <f>CS216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417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1393</v>
      </c>
      <c r="CA216">
        <v>300</v>
      </c>
      <c r="CB216">
        <v>300</v>
      </c>
      <c r="CC216">
        <v>300</v>
      </c>
      <c r="CD216">
        <v>10378</v>
      </c>
      <c r="CE216">
        <v>2050</v>
      </c>
      <c r="CF216">
        <v>-0.00730649</v>
      </c>
      <c r="CG216">
        <v>-4.53</v>
      </c>
      <c r="CH216" t="s">
        <v>417</v>
      </c>
      <c r="CI216" t="s">
        <v>417</v>
      </c>
      <c r="CJ216" t="s">
        <v>417</v>
      </c>
      <c r="CK216" t="s">
        <v>417</v>
      </c>
      <c r="CL216" t="s">
        <v>417</v>
      </c>
      <c r="CM216" t="s">
        <v>417</v>
      </c>
      <c r="CN216" t="s">
        <v>417</v>
      </c>
      <c r="CO216" t="s">
        <v>417</v>
      </c>
      <c r="CP216" t="s">
        <v>417</v>
      </c>
      <c r="CQ216" t="s">
        <v>417</v>
      </c>
      <c r="CR216">
        <f>$B$11*DQ216+$C$11*DR216+$F$11*EC216*(1-EF216)</f>
        <v>0</v>
      </c>
      <c r="CS216">
        <f>CR216*CT216</f>
        <v>0</v>
      </c>
      <c r="CT216">
        <f>($B$11*$D$9+$C$11*$D$9+$F$11*((EP216+EH216)/MAX(EP216+EH216+EQ216, 0.1)*$I$9+EQ216/MAX(EP216+EH216+EQ216, 0.1)*$J$9))/($B$11+$C$11+$F$11)</f>
        <v>0</v>
      </c>
      <c r="CU216">
        <f>($B$11*$K$9+$C$11*$K$9+$F$11*((EP216+EH216)/MAX(EP216+EH216+EQ216, 0.1)*$P$9+EQ216/MAX(EP216+EH216+EQ216, 0.1)*$Q$9))/($B$11+$C$11+$F$11)</f>
        <v>0</v>
      </c>
      <c r="CV216">
        <v>6</v>
      </c>
      <c r="CW216">
        <v>0.5</v>
      </c>
      <c r="CX216" t="s">
        <v>418</v>
      </c>
      <c r="CY216">
        <v>2</v>
      </c>
      <c r="CZ216" t="b">
        <v>1</v>
      </c>
      <c r="DA216">
        <v>1652372761.5</v>
      </c>
      <c r="DB216">
        <v>1225.822962962963</v>
      </c>
      <c r="DC216">
        <v>1296.742592592592</v>
      </c>
      <c r="DD216">
        <v>24.21697037037037</v>
      </c>
      <c r="DE216">
        <v>21.36696666666667</v>
      </c>
      <c r="DF216">
        <v>1227.477407407407</v>
      </c>
      <c r="DG216">
        <v>24.17682962962963</v>
      </c>
      <c r="DH216">
        <v>400.0705185185184</v>
      </c>
      <c r="DI216">
        <v>90.39840000000001</v>
      </c>
      <c r="DJ216">
        <v>0.09999568148148147</v>
      </c>
      <c r="DK216">
        <v>30.69627407407408</v>
      </c>
      <c r="DL216">
        <v>30.02883333333333</v>
      </c>
      <c r="DM216">
        <v>999.9000000000001</v>
      </c>
      <c r="DN216">
        <v>0</v>
      </c>
      <c r="DO216">
        <v>0</v>
      </c>
      <c r="DP216">
        <v>9996.732222222223</v>
      </c>
      <c r="DQ216">
        <v>0</v>
      </c>
      <c r="DR216">
        <v>430.8692222222223</v>
      </c>
      <c r="DS216">
        <v>-70.91929999999999</v>
      </c>
      <c r="DT216">
        <v>1256.244814814815</v>
      </c>
      <c r="DU216">
        <v>1325.054074074074</v>
      </c>
      <c r="DV216">
        <v>2.849995555555556</v>
      </c>
      <c r="DW216">
        <v>1296.742592592592</v>
      </c>
      <c r="DX216">
        <v>21.36696666666667</v>
      </c>
      <c r="DY216">
        <v>2.189175555555555</v>
      </c>
      <c r="DZ216">
        <v>1.93154074074074</v>
      </c>
      <c r="EA216">
        <v>18.88331481481481</v>
      </c>
      <c r="EB216">
        <v>16.89397407407407</v>
      </c>
      <c r="EC216">
        <v>1500.000740740741</v>
      </c>
      <c r="ED216">
        <v>0.9730046296296296</v>
      </c>
      <c r="EE216">
        <v>0.0269951</v>
      </c>
      <c r="EF216">
        <v>0</v>
      </c>
      <c r="EG216">
        <v>1645.404814814815</v>
      </c>
      <c r="EH216">
        <v>5.00097</v>
      </c>
      <c r="EI216">
        <v>25398.07407407408</v>
      </c>
      <c r="EJ216">
        <v>12491.61481481482</v>
      </c>
      <c r="EK216">
        <v>40.06199999999999</v>
      </c>
      <c r="EL216">
        <v>41.5551111111111</v>
      </c>
      <c r="EM216">
        <v>40.31199999999999</v>
      </c>
      <c r="EN216">
        <v>41.375</v>
      </c>
      <c r="EO216">
        <v>41.12959259259259</v>
      </c>
      <c r="EP216">
        <v>1454.640740740741</v>
      </c>
      <c r="EQ216">
        <v>40.35999999999999</v>
      </c>
      <c r="ER216">
        <v>0</v>
      </c>
      <c r="ES216">
        <v>1603</v>
      </c>
      <c r="ET216">
        <v>0</v>
      </c>
      <c r="EU216">
        <v>1645.374615384615</v>
      </c>
      <c r="EV216">
        <v>16.62153845774157</v>
      </c>
      <c r="EW216">
        <v>149.8017094169909</v>
      </c>
      <c r="EX216">
        <v>25398.05</v>
      </c>
      <c r="EY216">
        <v>15</v>
      </c>
      <c r="EZ216">
        <v>1652371289.6</v>
      </c>
      <c r="FA216" t="s">
        <v>515</v>
      </c>
      <c r="FB216">
        <v>1652371289.6</v>
      </c>
      <c r="FC216">
        <v>1652371275.1</v>
      </c>
      <c r="FD216">
        <v>24</v>
      </c>
      <c r="FE216">
        <v>0.442</v>
      </c>
      <c r="FF216">
        <v>0.001</v>
      </c>
      <c r="FG216">
        <v>-2.63</v>
      </c>
      <c r="FH216">
        <v>0.007</v>
      </c>
      <c r="FI216">
        <v>1620</v>
      </c>
      <c r="FJ216">
        <v>22</v>
      </c>
      <c r="FK216">
        <v>0.08</v>
      </c>
      <c r="FL216">
        <v>0.04</v>
      </c>
      <c r="FM216">
        <v>-70.8980325</v>
      </c>
      <c r="FN216">
        <v>-0.5388146341462332</v>
      </c>
      <c r="FO216">
        <v>0.09784016401125858</v>
      </c>
      <c r="FP216">
        <v>-1</v>
      </c>
      <c r="FQ216">
        <v>2.8914615</v>
      </c>
      <c r="FR216">
        <v>-0.6932413508442792</v>
      </c>
      <c r="FS216">
        <v>0.06739752119143552</v>
      </c>
      <c r="FT216">
        <v>0</v>
      </c>
      <c r="FU216">
        <v>0</v>
      </c>
      <c r="FV216">
        <v>0</v>
      </c>
      <c r="FW216">
        <v>0</v>
      </c>
      <c r="FX216">
        <v>-1</v>
      </c>
      <c r="FY216">
        <v>0</v>
      </c>
      <c r="FZ216">
        <v>1</v>
      </c>
      <c r="GA216" t="s">
        <v>432</v>
      </c>
      <c r="GB216">
        <v>2.69563</v>
      </c>
      <c r="GC216">
        <v>2.70526</v>
      </c>
      <c r="GD216">
        <v>0.197279</v>
      </c>
      <c r="GE216">
        <v>0.202071</v>
      </c>
      <c r="GF216">
        <v>0.106754</v>
      </c>
      <c r="GG216">
        <v>0.0965958</v>
      </c>
      <c r="GH216">
        <v>25223.6</v>
      </c>
      <c r="GI216">
        <v>25181.3</v>
      </c>
      <c r="GJ216">
        <v>29235.3</v>
      </c>
      <c r="GK216">
        <v>29208</v>
      </c>
      <c r="GL216">
        <v>34576.2</v>
      </c>
      <c r="GM216">
        <v>35122.6</v>
      </c>
      <c r="GN216">
        <v>41147.5</v>
      </c>
      <c r="GO216">
        <v>41674</v>
      </c>
      <c r="GP216">
        <v>1.72167</v>
      </c>
      <c r="GQ216">
        <v>2.0353</v>
      </c>
      <c r="GR216">
        <v>0.07310510000000001</v>
      </c>
      <c r="GS216">
        <v>0</v>
      </c>
      <c r="GT216">
        <v>28.8367</v>
      </c>
      <c r="GU216">
        <v>999.9</v>
      </c>
      <c r="GV216">
        <v>44</v>
      </c>
      <c r="GW216">
        <v>33.5</v>
      </c>
      <c r="GX216">
        <v>25.287</v>
      </c>
      <c r="GY216">
        <v>63.638</v>
      </c>
      <c r="GZ216">
        <v>29.4311</v>
      </c>
      <c r="HA216">
        <v>1</v>
      </c>
      <c r="HB216">
        <v>0.269759</v>
      </c>
      <c r="HC216">
        <v>0.8344200000000001</v>
      </c>
      <c r="HD216">
        <v>20.3794</v>
      </c>
      <c r="HE216">
        <v>5.21699</v>
      </c>
      <c r="HF216">
        <v>12.0099</v>
      </c>
      <c r="HG216">
        <v>4.9878</v>
      </c>
      <c r="HH216">
        <v>3.2884</v>
      </c>
      <c r="HI216">
        <v>2732.2</v>
      </c>
      <c r="HJ216">
        <v>9999</v>
      </c>
      <c r="HK216">
        <v>9999</v>
      </c>
      <c r="HL216">
        <v>50.2</v>
      </c>
      <c r="HM216">
        <v>1.86722</v>
      </c>
      <c r="HN216">
        <v>1.86626</v>
      </c>
      <c r="HO216">
        <v>1.86583</v>
      </c>
      <c r="HP216">
        <v>1.86569</v>
      </c>
      <c r="HQ216">
        <v>1.8675</v>
      </c>
      <c r="HR216">
        <v>1.87</v>
      </c>
      <c r="HS216">
        <v>1.86862</v>
      </c>
      <c r="HT216">
        <v>1.87006</v>
      </c>
      <c r="HU216">
        <v>0</v>
      </c>
      <c r="HV216">
        <v>0</v>
      </c>
      <c r="HW216">
        <v>0</v>
      </c>
      <c r="HX216">
        <v>0</v>
      </c>
      <c r="HY216" t="s">
        <v>421</v>
      </c>
      <c r="HZ216" t="s">
        <v>422</v>
      </c>
      <c r="IA216" t="s">
        <v>423</v>
      </c>
      <c r="IB216" t="s">
        <v>423</v>
      </c>
      <c r="IC216" t="s">
        <v>423</v>
      </c>
      <c r="ID216" t="s">
        <v>423</v>
      </c>
      <c r="IE216">
        <v>0</v>
      </c>
      <c r="IF216">
        <v>100</v>
      </c>
      <c r="IG216">
        <v>100</v>
      </c>
      <c r="IH216">
        <v>-1.72</v>
      </c>
      <c r="II216">
        <v>0.0404</v>
      </c>
      <c r="IJ216">
        <v>1.257309091789605</v>
      </c>
      <c r="IK216">
        <v>-0.002185601614162945</v>
      </c>
      <c r="IL216">
        <v>-2.252308143750626E-07</v>
      </c>
      <c r="IM216">
        <v>5.915558436307541E-11</v>
      </c>
      <c r="IN216">
        <v>-0.118683452207699</v>
      </c>
      <c r="IO216">
        <v>-0.007570214193104963</v>
      </c>
      <c r="IP216">
        <v>0.0009214429922928372</v>
      </c>
      <c r="IQ216">
        <v>-1.392260276065805E-05</v>
      </c>
      <c r="IR216">
        <v>17</v>
      </c>
      <c r="IS216">
        <v>2272</v>
      </c>
      <c r="IT216">
        <v>1</v>
      </c>
      <c r="IU216">
        <v>31</v>
      </c>
      <c r="IV216">
        <v>24.7</v>
      </c>
      <c r="IW216">
        <v>24.9</v>
      </c>
      <c r="IX216">
        <v>2.64526</v>
      </c>
      <c r="IY216">
        <v>2.19971</v>
      </c>
      <c r="IZ216">
        <v>1.39648</v>
      </c>
      <c r="JA216">
        <v>2.35474</v>
      </c>
      <c r="JB216">
        <v>1.49536</v>
      </c>
      <c r="JC216">
        <v>2.37671</v>
      </c>
      <c r="JD216">
        <v>37.0986</v>
      </c>
      <c r="JE216">
        <v>15.2265</v>
      </c>
      <c r="JF216">
        <v>18</v>
      </c>
      <c r="JG216">
        <v>387.835</v>
      </c>
      <c r="JH216">
        <v>572.189</v>
      </c>
      <c r="JI216">
        <v>28.708</v>
      </c>
      <c r="JJ216">
        <v>30.8753</v>
      </c>
      <c r="JK216">
        <v>30.0005</v>
      </c>
      <c r="JL216">
        <v>30.7909</v>
      </c>
      <c r="JM216">
        <v>30.6932</v>
      </c>
      <c r="JN216">
        <v>52.9393</v>
      </c>
      <c r="JO216">
        <v>17.1669</v>
      </c>
      <c r="JP216">
        <v>0.373865</v>
      </c>
      <c r="JQ216">
        <v>28.6796</v>
      </c>
      <c r="JR216">
        <v>1342.83</v>
      </c>
      <c r="JS216">
        <v>21.5952</v>
      </c>
      <c r="JT216">
        <v>99.9288</v>
      </c>
      <c r="JU216">
        <v>100.035</v>
      </c>
    </row>
    <row r="217" spans="1:281">
      <c r="A217">
        <v>201</v>
      </c>
      <c r="B217">
        <v>1652372774</v>
      </c>
      <c r="C217">
        <v>4680.400000095367</v>
      </c>
      <c r="D217" t="s">
        <v>870</v>
      </c>
      <c r="E217" t="s">
        <v>871</v>
      </c>
      <c r="F217">
        <v>5</v>
      </c>
      <c r="G217" t="s">
        <v>711</v>
      </c>
      <c r="H217" t="s">
        <v>414</v>
      </c>
      <c r="I217">
        <v>1652372766.214286</v>
      </c>
      <c r="J217">
        <f>(K217)/1000</f>
        <v>0</v>
      </c>
      <c r="K217">
        <f>IF(CZ217, AN217, AH217)</f>
        <v>0</v>
      </c>
      <c r="L217">
        <f>IF(CZ217, AI217, AG217)</f>
        <v>0</v>
      </c>
      <c r="M217">
        <f>DB217 - IF(AU217&gt;1, L217*CV217*100.0/(AW217*DP217), 0)</f>
        <v>0</v>
      </c>
      <c r="N217">
        <f>((T217-J217/2)*M217-L217)/(T217+J217/2)</f>
        <v>0</v>
      </c>
      <c r="O217">
        <f>N217*(DI217+DJ217)/1000.0</f>
        <v>0</v>
      </c>
      <c r="P217">
        <f>(DB217 - IF(AU217&gt;1, L217*CV217*100.0/(AW217*DP217), 0))*(DI217+DJ217)/1000.0</f>
        <v>0</v>
      </c>
      <c r="Q217">
        <f>2.0/((1/S217-1/R217)+SIGN(S217)*SQRT((1/S217-1/R217)*(1/S217-1/R217) + 4*CW217/((CW217+1)*(CW217+1))*(2*1/S217*1/R217-1/R217*1/R217)))</f>
        <v>0</v>
      </c>
      <c r="R217">
        <f>IF(LEFT(CX217,1)&lt;&gt;"0",IF(LEFT(CX217,1)="1",3.0,CY217),$D$5+$E$5*(DP217*DI217/($K$5*1000))+$F$5*(DP217*DI217/($K$5*1000))*MAX(MIN(CV217,$J$5),$I$5)*MAX(MIN(CV217,$J$5),$I$5)+$G$5*MAX(MIN(CV217,$J$5),$I$5)*(DP217*DI217/($K$5*1000))+$H$5*(DP217*DI217/($K$5*1000))*(DP217*DI217/($K$5*1000)))</f>
        <v>0</v>
      </c>
      <c r="S217">
        <f>J217*(1000-(1000*0.61365*exp(17.502*W217/(240.97+W217))/(DI217+DJ217)+DD217)/2)/(1000*0.61365*exp(17.502*W217/(240.97+W217))/(DI217+DJ217)-DD217)</f>
        <v>0</v>
      </c>
      <c r="T217">
        <f>1/((CW217+1)/(Q217/1.6)+1/(R217/1.37)) + CW217/((CW217+1)/(Q217/1.6) + CW217/(R217/1.37))</f>
        <v>0</v>
      </c>
      <c r="U217">
        <f>(CR217*CU217)</f>
        <v>0</v>
      </c>
      <c r="V217">
        <f>(DK217+(U217+2*0.95*5.67E-8*(((DK217+$B$7)+273)^4-(DK217+273)^4)-44100*J217)/(1.84*29.3*R217+8*0.95*5.67E-8*(DK217+273)^3))</f>
        <v>0</v>
      </c>
      <c r="W217">
        <f>($C$7*DL217+$D$7*DM217+$E$7*V217)</f>
        <v>0</v>
      </c>
      <c r="X217">
        <f>0.61365*exp(17.502*W217/(240.97+W217))</f>
        <v>0</v>
      </c>
      <c r="Y217">
        <f>(Z217/AA217*100)</f>
        <v>0</v>
      </c>
      <c r="Z217">
        <f>DD217*(DI217+DJ217)/1000</f>
        <v>0</v>
      </c>
      <c r="AA217">
        <f>0.61365*exp(17.502*DK217/(240.97+DK217))</f>
        <v>0</v>
      </c>
      <c r="AB217">
        <f>(X217-DD217*(DI217+DJ217)/1000)</f>
        <v>0</v>
      </c>
      <c r="AC217">
        <f>(-J217*44100)</f>
        <v>0</v>
      </c>
      <c r="AD217">
        <f>2*29.3*R217*0.92*(DK217-W217)</f>
        <v>0</v>
      </c>
      <c r="AE217">
        <f>2*0.95*5.67E-8*(((DK217+$B$7)+273)^4-(W217+273)^4)</f>
        <v>0</v>
      </c>
      <c r="AF217">
        <f>U217+AE217+AC217+AD217</f>
        <v>0</v>
      </c>
      <c r="AG217">
        <f>DH217*AU217*(DC217-DB217*(1000-AU217*DE217)/(1000-AU217*DD217))/(100*CV217)</f>
        <v>0</v>
      </c>
      <c r="AH217">
        <f>1000*DH217*AU217*(DD217-DE217)/(100*CV217*(1000-AU217*DD217))</f>
        <v>0</v>
      </c>
      <c r="AI217">
        <f>(AJ217 - AK217 - DI217*1E3/(8.314*(DK217+273.15)) * AM217/DH217 * AL217) * DH217/(100*CV217) * (1000 - DE217)/1000</f>
        <v>0</v>
      </c>
      <c r="AJ217">
        <v>1354.634028206461</v>
      </c>
      <c r="AK217">
        <v>1297.273333333333</v>
      </c>
      <c r="AL217">
        <v>3.395064169879501</v>
      </c>
      <c r="AM217">
        <v>65.96288611109561</v>
      </c>
      <c r="AN217">
        <f>(AP217 - AO217 + DI217*1E3/(8.314*(DK217+273.15)) * AR217/DH217 * AQ217) * DH217/(100*CV217) * 1000/(1000 - AP217)</f>
        <v>0</v>
      </c>
      <c r="AO217">
        <v>21.47898406957551</v>
      </c>
      <c r="AP217">
        <v>24.25848951048953</v>
      </c>
      <c r="AQ217">
        <v>0.002778948264277217</v>
      </c>
      <c r="AR217">
        <v>81.18387902069509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MAX(0,($B$13+$C$13*DP217)/(1+$D$13*DP217)*DI217/(DK217+273)*$E$13)</f>
        <v>0</v>
      </c>
      <c r="AX217" t="s">
        <v>417</v>
      </c>
      <c r="AY217" t="s">
        <v>417</v>
      </c>
      <c r="AZ217">
        <v>0</v>
      </c>
      <c r="BA217">
        <v>0</v>
      </c>
      <c r="BB217">
        <f>1-AZ217/BA217</f>
        <v>0</v>
      </c>
      <c r="BC217">
        <v>0</v>
      </c>
      <c r="BD217" t="s">
        <v>417</v>
      </c>
      <c r="BE217" t="s">
        <v>417</v>
      </c>
      <c r="BF217">
        <v>0</v>
      </c>
      <c r="BG217">
        <v>0</v>
      </c>
      <c r="BH217">
        <f>1-BF217/BG217</f>
        <v>0</v>
      </c>
      <c r="BI217">
        <v>0.5</v>
      </c>
      <c r="BJ217">
        <f>CS217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417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1393</v>
      </c>
      <c r="CA217">
        <v>300</v>
      </c>
      <c r="CB217">
        <v>300</v>
      </c>
      <c r="CC217">
        <v>300</v>
      </c>
      <c r="CD217">
        <v>10378</v>
      </c>
      <c r="CE217">
        <v>2050</v>
      </c>
      <c r="CF217">
        <v>-0.00730649</v>
      </c>
      <c r="CG217">
        <v>-4.53</v>
      </c>
      <c r="CH217" t="s">
        <v>417</v>
      </c>
      <c r="CI217" t="s">
        <v>417</v>
      </c>
      <c r="CJ217" t="s">
        <v>417</v>
      </c>
      <c r="CK217" t="s">
        <v>417</v>
      </c>
      <c r="CL217" t="s">
        <v>417</v>
      </c>
      <c r="CM217" t="s">
        <v>417</v>
      </c>
      <c r="CN217" t="s">
        <v>417</v>
      </c>
      <c r="CO217" t="s">
        <v>417</v>
      </c>
      <c r="CP217" t="s">
        <v>417</v>
      </c>
      <c r="CQ217" t="s">
        <v>417</v>
      </c>
      <c r="CR217">
        <f>$B$11*DQ217+$C$11*DR217+$F$11*EC217*(1-EF217)</f>
        <v>0</v>
      </c>
      <c r="CS217">
        <f>CR217*CT217</f>
        <v>0</v>
      </c>
      <c r="CT217">
        <f>($B$11*$D$9+$C$11*$D$9+$F$11*((EP217+EH217)/MAX(EP217+EH217+EQ217, 0.1)*$I$9+EQ217/MAX(EP217+EH217+EQ217, 0.1)*$J$9))/($B$11+$C$11+$F$11)</f>
        <v>0</v>
      </c>
      <c r="CU217">
        <f>($B$11*$K$9+$C$11*$K$9+$F$11*((EP217+EH217)/MAX(EP217+EH217+EQ217, 0.1)*$P$9+EQ217/MAX(EP217+EH217+EQ217, 0.1)*$Q$9))/($B$11+$C$11+$F$11)</f>
        <v>0</v>
      </c>
      <c r="CV217">
        <v>6</v>
      </c>
      <c r="CW217">
        <v>0.5</v>
      </c>
      <c r="CX217" t="s">
        <v>418</v>
      </c>
      <c r="CY217">
        <v>2</v>
      </c>
      <c r="CZ217" t="b">
        <v>1</v>
      </c>
      <c r="DA217">
        <v>1652372766.214286</v>
      </c>
      <c r="DB217">
        <v>1241.538571428571</v>
      </c>
      <c r="DC217">
        <v>1312.510357142857</v>
      </c>
      <c r="DD217">
        <v>24.23060357142857</v>
      </c>
      <c r="DE217">
        <v>21.43669642857143</v>
      </c>
      <c r="DF217">
        <v>1243.232142857143</v>
      </c>
      <c r="DG217">
        <v>24.1903</v>
      </c>
      <c r="DH217">
        <v>400.0726071428571</v>
      </c>
      <c r="DI217">
        <v>90.39931428571428</v>
      </c>
      <c r="DJ217">
        <v>0.100001275</v>
      </c>
      <c r="DK217">
        <v>30.69174285714286</v>
      </c>
      <c r="DL217">
        <v>30.02851428571429</v>
      </c>
      <c r="DM217">
        <v>999.9000000000002</v>
      </c>
      <c r="DN217">
        <v>0</v>
      </c>
      <c r="DO217">
        <v>0</v>
      </c>
      <c r="DP217">
        <v>10003.90857142857</v>
      </c>
      <c r="DQ217">
        <v>0</v>
      </c>
      <c r="DR217">
        <v>428.24475</v>
      </c>
      <c r="DS217">
        <v>-70.97170000000001</v>
      </c>
      <c r="DT217">
        <v>1272.368571428571</v>
      </c>
      <c r="DU217">
        <v>1341.2625</v>
      </c>
      <c r="DV217">
        <v>2.793903214285714</v>
      </c>
      <c r="DW217">
        <v>1312.510357142857</v>
      </c>
      <c r="DX217">
        <v>21.43669642857143</v>
      </c>
      <c r="DY217">
        <v>2.190430357142857</v>
      </c>
      <c r="DZ217">
        <v>1.937863214285714</v>
      </c>
      <c r="EA217">
        <v>18.89248928571428</v>
      </c>
      <c r="EB217">
        <v>16.94548928571428</v>
      </c>
      <c r="EC217">
        <v>1499.993571428571</v>
      </c>
      <c r="ED217">
        <v>0.9730044642857144</v>
      </c>
      <c r="EE217">
        <v>0.02699527857142858</v>
      </c>
      <c r="EF217">
        <v>0</v>
      </c>
      <c r="EG217">
        <v>1646.747142857143</v>
      </c>
      <c r="EH217">
        <v>5.00097</v>
      </c>
      <c r="EI217">
        <v>25413.14642857143</v>
      </c>
      <c r="EJ217">
        <v>12491.56071428572</v>
      </c>
      <c r="EK217">
        <v>40.06199999999999</v>
      </c>
      <c r="EL217">
        <v>41.55092857142856</v>
      </c>
      <c r="EM217">
        <v>40.31199999999999</v>
      </c>
      <c r="EN217">
        <v>41.375</v>
      </c>
      <c r="EO217">
        <v>41.125</v>
      </c>
      <c r="EP217">
        <v>1454.633571428571</v>
      </c>
      <c r="EQ217">
        <v>40.35999999999999</v>
      </c>
      <c r="ER217">
        <v>0</v>
      </c>
      <c r="ES217">
        <v>1607.799999952316</v>
      </c>
      <c r="ET217">
        <v>0</v>
      </c>
      <c r="EU217">
        <v>1646.751153846154</v>
      </c>
      <c r="EV217">
        <v>18.416752142146</v>
      </c>
      <c r="EW217">
        <v>255.6410257384917</v>
      </c>
      <c r="EX217">
        <v>25412.98076923077</v>
      </c>
      <c r="EY217">
        <v>15</v>
      </c>
      <c r="EZ217">
        <v>1652371289.6</v>
      </c>
      <c r="FA217" t="s">
        <v>515</v>
      </c>
      <c r="FB217">
        <v>1652371289.6</v>
      </c>
      <c r="FC217">
        <v>1652371275.1</v>
      </c>
      <c r="FD217">
        <v>24</v>
      </c>
      <c r="FE217">
        <v>0.442</v>
      </c>
      <c r="FF217">
        <v>0.001</v>
      </c>
      <c r="FG217">
        <v>-2.63</v>
      </c>
      <c r="FH217">
        <v>0.007</v>
      </c>
      <c r="FI217">
        <v>1620</v>
      </c>
      <c r="FJ217">
        <v>22</v>
      </c>
      <c r="FK217">
        <v>0.08</v>
      </c>
      <c r="FL217">
        <v>0.04</v>
      </c>
      <c r="FM217">
        <v>-70.950125</v>
      </c>
      <c r="FN217">
        <v>-0.7108030018759929</v>
      </c>
      <c r="FO217">
        <v>0.09454282825788493</v>
      </c>
      <c r="FP217">
        <v>-1</v>
      </c>
      <c r="FQ217">
        <v>2.823638250000001</v>
      </c>
      <c r="FR217">
        <v>-0.733279136960616</v>
      </c>
      <c r="FS217">
        <v>0.07086127309354173</v>
      </c>
      <c r="FT217">
        <v>0</v>
      </c>
      <c r="FU217">
        <v>0</v>
      </c>
      <c r="FV217">
        <v>0</v>
      </c>
      <c r="FW217">
        <v>0</v>
      </c>
      <c r="FX217">
        <v>-1</v>
      </c>
      <c r="FY217">
        <v>0</v>
      </c>
      <c r="FZ217">
        <v>1</v>
      </c>
      <c r="GA217" t="s">
        <v>432</v>
      </c>
      <c r="GB217">
        <v>2.69548</v>
      </c>
      <c r="GC217">
        <v>2.70507</v>
      </c>
      <c r="GD217">
        <v>0.198909</v>
      </c>
      <c r="GE217">
        <v>0.203672</v>
      </c>
      <c r="GF217">
        <v>0.106816</v>
      </c>
      <c r="GG217">
        <v>0.0968548</v>
      </c>
      <c r="GH217">
        <v>25173.3</v>
      </c>
      <c r="GI217">
        <v>25130.9</v>
      </c>
      <c r="GJ217">
        <v>29236.5</v>
      </c>
      <c r="GK217">
        <v>29208.2</v>
      </c>
      <c r="GL217">
        <v>34575.3</v>
      </c>
      <c r="GM217">
        <v>35112.2</v>
      </c>
      <c r="GN217">
        <v>41149.2</v>
      </c>
      <c r="GO217">
        <v>41673.8</v>
      </c>
      <c r="GP217">
        <v>1.72183</v>
      </c>
      <c r="GQ217">
        <v>2.0354</v>
      </c>
      <c r="GR217">
        <v>0.0730306</v>
      </c>
      <c r="GS217">
        <v>0</v>
      </c>
      <c r="GT217">
        <v>28.8311</v>
      </c>
      <c r="GU217">
        <v>999.9</v>
      </c>
      <c r="GV217">
        <v>44</v>
      </c>
      <c r="GW217">
        <v>33.5</v>
      </c>
      <c r="GX217">
        <v>25.2906</v>
      </c>
      <c r="GY217">
        <v>63.468</v>
      </c>
      <c r="GZ217">
        <v>29.2468</v>
      </c>
      <c r="HA217">
        <v>1</v>
      </c>
      <c r="HB217">
        <v>0.269972</v>
      </c>
      <c r="HC217">
        <v>0.849227</v>
      </c>
      <c r="HD217">
        <v>20.3789</v>
      </c>
      <c r="HE217">
        <v>5.21639</v>
      </c>
      <c r="HF217">
        <v>12.0099</v>
      </c>
      <c r="HG217">
        <v>4.9879</v>
      </c>
      <c r="HH217">
        <v>3.28835</v>
      </c>
      <c r="HI217">
        <v>2732.2</v>
      </c>
      <c r="HJ217">
        <v>9999</v>
      </c>
      <c r="HK217">
        <v>9999</v>
      </c>
      <c r="HL217">
        <v>50.2</v>
      </c>
      <c r="HM217">
        <v>1.86722</v>
      </c>
      <c r="HN217">
        <v>1.86627</v>
      </c>
      <c r="HO217">
        <v>1.86581</v>
      </c>
      <c r="HP217">
        <v>1.86569</v>
      </c>
      <c r="HQ217">
        <v>1.86752</v>
      </c>
      <c r="HR217">
        <v>1.87004</v>
      </c>
      <c r="HS217">
        <v>1.8686</v>
      </c>
      <c r="HT217">
        <v>1.87006</v>
      </c>
      <c r="HU217">
        <v>0</v>
      </c>
      <c r="HV217">
        <v>0</v>
      </c>
      <c r="HW217">
        <v>0</v>
      </c>
      <c r="HX217">
        <v>0</v>
      </c>
      <c r="HY217" t="s">
        <v>421</v>
      </c>
      <c r="HZ217" t="s">
        <v>422</v>
      </c>
      <c r="IA217" t="s">
        <v>423</v>
      </c>
      <c r="IB217" t="s">
        <v>423</v>
      </c>
      <c r="IC217" t="s">
        <v>423</v>
      </c>
      <c r="ID217" t="s">
        <v>423</v>
      </c>
      <c r="IE217">
        <v>0</v>
      </c>
      <c r="IF217">
        <v>100</v>
      </c>
      <c r="IG217">
        <v>100</v>
      </c>
      <c r="IH217">
        <v>-1.76</v>
      </c>
      <c r="II217">
        <v>0.0406</v>
      </c>
      <c r="IJ217">
        <v>1.257309091789605</v>
      </c>
      <c r="IK217">
        <v>-0.002185601614162945</v>
      </c>
      <c r="IL217">
        <v>-2.252308143750626E-07</v>
      </c>
      <c r="IM217">
        <v>5.915558436307541E-11</v>
      </c>
      <c r="IN217">
        <v>-0.118683452207699</v>
      </c>
      <c r="IO217">
        <v>-0.007570214193104963</v>
      </c>
      <c r="IP217">
        <v>0.0009214429922928372</v>
      </c>
      <c r="IQ217">
        <v>-1.392260276065805E-05</v>
      </c>
      <c r="IR217">
        <v>17</v>
      </c>
      <c r="IS217">
        <v>2272</v>
      </c>
      <c r="IT217">
        <v>1</v>
      </c>
      <c r="IU217">
        <v>31</v>
      </c>
      <c r="IV217">
        <v>24.7</v>
      </c>
      <c r="IW217">
        <v>25</v>
      </c>
      <c r="IX217">
        <v>2.66968</v>
      </c>
      <c r="IY217">
        <v>2.19971</v>
      </c>
      <c r="IZ217">
        <v>1.39648</v>
      </c>
      <c r="JA217">
        <v>2.35352</v>
      </c>
      <c r="JB217">
        <v>1.49536</v>
      </c>
      <c r="JC217">
        <v>2.37915</v>
      </c>
      <c r="JD217">
        <v>37.0986</v>
      </c>
      <c r="JE217">
        <v>15.2265</v>
      </c>
      <c r="JF217">
        <v>18</v>
      </c>
      <c r="JG217">
        <v>387.924</v>
      </c>
      <c r="JH217">
        <v>572.285</v>
      </c>
      <c r="JI217">
        <v>28.6699</v>
      </c>
      <c r="JJ217">
        <v>30.8753</v>
      </c>
      <c r="JK217">
        <v>30.0003</v>
      </c>
      <c r="JL217">
        <v>30.7925</v>
      </c>
      <c r="JM217">
        <v>30.6953</v>
      </c>
      <c r="JN217">
        <v>53.4329</v>
      </c>
      <c r="JO217">
        <v>17.1669</v>
      </c>
      <c r="JP217">
        <v>0.754892</v>
      </c>
      <c r="JQ217">
        <v>28.6523</v>
      </c>
      <c r="JR217">
        <v>1356.2</v>
      </c>
      <c r="JS217">
        <v>21.6423</v>
      </c>
      <c r="JT217">
        <v>99.9328</v>
      </c>
      <c r="JU217">
        <v>100.035</v>
      </c>
    </row>
    <row r="218" spans="1:281">
      <c r="A218">
        <v>202</v>
      </c>
      <c r="B218">
        <v>1652372779</v>
      </c>
      <c r="C218">
        <v>4685.400000095367</v>
      </c>
      <c r="D218" t="s">
        <v>872</v>
      </c>
      <c r="E218" t="s">
        <v>873</v>
      </c>
      <c r="F218">
        <v>5</v>
      </c>
      <c r="G218" t="s">
        <v>711</v>
      </c>
      <c r="H218" t="s">
        <v>414</v>
      </c>
      <c r="I218">
        <v>1652372771.5</v>
      </c>
      <c r="J218">
        <f>(K218)/1000</f>
        <v>0</v>
      </c>
      <c r="K218">
        <f>IF(CZ218, AN218, AH218)</f>
        <v>0</v>
      </c>
      <c r="L218">
        <f>IF(CZ218, AI218, AG218)</f>
        <v>0</v>
      </c>
      <c r="M218">
        <f>DB218 - IF(AU218&gt;1, L218*CV218*100.0/(AW218*DP218), 0)</f>
        <v>0</v>
      </c>
      <c r="N218">
        <f>((T218-J218/2)*M218-L218)/(T218+J218/2)</f>
        <v>0</v>
      </c>
      <c r="O218">
        <f>N218*(DI218+DJ218)/1000.0</f>
        <v>0</v>
      </c>
      <c r="P218">
        <f>(DB218 - IF(AU218&gt;1, L218*CV218*100.0/(AW218*DP218), 0))*(DI218+DJ218)/1000.0</f>
        <v>0</v>
      </c>
      <c r="Q218">
        <f>2.0/((1/S218-1/R218)+SIGN(S218)*SQRT((1/S218-1/R218)*(1/S218-1/R218) + 4*CW218/((CW218+1)*(CW218+1))*(2*1/S218*1/R218-1/R218*1/R218)))</f>
        <v>0</v>
      </c>
      <c r="R218">
        <f>IF(LEFT(CX218,1)&lt;&gt;"0",IF(LEFT(CX218,1)="1",3.0,CY218),$D$5+$E$5*(DP218*DI218/($K$5*1000))+$F$5*(DP218*DI218/($K$5*1000))*MAX(MIN(CV218,$J$5),$I$5)*MAX(MIN(CV218,$J$5),$I$5)+$G$5*MAX(MIN(CV218,$J$5),$I$5)*(DP218*DI218/($K$5*1000))+$H$5*(DP218*DI218/($K$5*1000))*(DP218*DI218/($K$5*1000)))</f>
        <v>0</v>
      </c>
      <c r="S218">
        <f>J218*(1000-(1000*0.61365*exp(17.502*W218/(240.97+W218))/(DI218+DJ218)+DD218)/2)/(1000*0.61365*exp(17.502*W218/(240.97+W218))/(DI218+DJ218)-DD218)</f>
        <v>0</v>
      </c>
      <c r="T218">
        <f>1/((CW218+1)/(Q218/1.6)+1/(R218/1.37)) + CW218/((CW218+1)/(Q218/1.6) + CW218/(R218/1.37))</f>
        <v>0</v>
      </c>
      <c r="U218">
        <f>(CR218*CU218)</f>
        <v>0</v>
      </c>
      <c r="V218">
        <f>(DK218+(U218+2*0.95*5.67E-8*(((DK218+$B$7)+273)^4-(DK218+273)^4)-44100*J218)/(1.84*29.3*R218+8*0.95*5.67E-8*(DK218+273)^3))</f>
        <v>0</v>
      </c>
      <c r="W218">
        <f>($C$7*DL218+$D$7*DM218+$E$7*V218)</f>
        <v>0</v>
      </c>
      <c r="X218">
        <f>0.61365*exp(17.502*W218/(240.97+W218))</f>
        <v>0</v>
      </c>
      <c r="Y218">
        <f>(Z218/AA218*100)</f>
        <v>0</v>
      </c>
      <c r="Z218">
        <f>DD218*(DI218+DJ218)/1000</f>
        <v>0</v>
      </c>
      <c r="AA218">
        <f>0.61365*exp(17.502*DK218/(240.97+DK218))</f>
        <v>0</v>
      </c>
      <c r="AB218">
        <f>(X218-DD218*(DI218+DJ218)/1000)</f>
        <v>0</v>
      </c>
      <c r="AC218">
        <f>(-J218*44100)</f>
        <v>0</v>
      </c>
      <c r="AD218">
        <f>2*29.3*R218*0.92*(DK218-W218)</f>
        <v>0</v>
      </c>
      <c r="AE218">
        <f>2*0.95*5.67E-8*(((DK218+$B$7)+273)^4-(W218+273)^4)</f>
        <v>0</v>
      </c>
      <c r="AF218">
        <f>U218+AE218+AC218+AD218</f>
        <v>0</v>
      </c>
      <c r="AG218">
        <f>DH218*AU218*(DC218-DB218*(1000-AU218*DE218)/(1000-AU218*DD218))/(100*CV218)</f>
        <v>0</v>
      </c>
      <c r="AH218">
        <f>1000*DH218*AU218*(DD218-DE218)/(100*CV218*(1000-AU218*DD218))</f>
        <v>0</v>
      </c>
      <c r="AI218">
        <f>(AJ218 - AK218 - DI218*1E3/(8.314*(DK218+273.15)) * AM218/DH218 * AL218) * DH218/(100*CV218) * (1000 - DE218)/1000</f>
        <v>0</v>
      </c>
      <c r="AJ218">
        <v>1372.222159517314</v>
      </c>
      <c r="AK218">
        <v>1314.348909090909</v>
      </c>
      <c r="AL218">
        <v>3.412867794009535</v>
      </c>
      <c r="AM218">
        <v>65.96288611109561</v>
      </c>
      <c r="AN218">
        <f>(AP218 - AO218 + DI218*1E3/(8.314*(DK218+273.15)) * AR218/DH218 * AQ218) * DH218/(100*CV218) * 1000/(1000 - AP218)</f>
        <v>0</v>
      </c>
      <c r="AO218">
        <v>21.55588806205051</v>
      </c>
      <c r="AP218">
        <v>24.28420489510491</v>
      </c>
      <c r="AQ218">
        <v>0.006481581550521535</v>
      </c>
      <c r="AR218">
        <v>81.18387902069509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MAX(0,($B$13+$C$13*DP218)/(1+$D$13*DP218)*DI218/(DK218+273)*$E$13)</f>
        <v>0</v>
      </c>
      <c r="AX218" t="s">
        <v>417</v>
      </c>
      <c r="AY218" t="s">
        <v>417</v>
      </c>
      <c r="AZ218">
        <v>0</v>
      </c>
      <c r="BA218">
        <v>0</v>
      </c>
      <c r="BB218">
        <f>1-AZ218/BA218</f>
        <v>0</v>
      </c>
      <c r="BC218">
        <v>0</v>
      </c>
      <c r="BD218" t="s">
        <v>417</v>
      </c>
      <c r="BE218" t="s">
        <v>417</v>
      </c>
      <c r="BF218">
        <v>0</v>
      </c>
      <c r="BG218">
        <v>0</v>
      </c>
      <c r="BH218">
        <f>1-BF218/BG218</f>
        <v>0</v>
      </c>
      <c r="BI218">
        <v>0.5</v>
      </c>
      <c r="BJ218">
        <f>CS218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417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1393</v>
      </c>
      <c r="CA218">
        <v>300</v>
      </c>
      <c r="CB218">
        <v>300</v>
      </c>
      <c r="CC218">
        <v>300</v>
      </c>
      <c r="CD218">
        <v>10378</v>
      </c>
      <c r="CE218">
        <v>2050</v>
      </c>
      <c r="CF218">
        <v>-0.00730649</v>
      </c>
      <c r="CG218">
        <v>-4.53</v>
      </c>
      <c r="CH218" t="s">
        <v>417</v>
      </c>
      <c r="CI218" t="s">
        <v>417</v>
      </c>
      <c r="CJ218" t="s">
        <v>417</v>
      </c>
      <c r="CK218" t="s">
        <v>417</v>
      </c>
      <c r="CL218" t="s">
        <v>417</v>
      </c>
      <c r="CM218" t="s">
        <v>417</v>
      </c>
      <c r="CN218" t="s">
        <v>417</v>
      </c>
      <c r="CO218" t="s">
        <v>417</v>
      </c>
      <c r="CP218" t="s">
        <v>417</v>
      </c>
      <c r="CQ218" t="s">
        <v>417</v>
      </c>
      <c r="CR218">
        <f>$B$11*DQ218+$C$11*DR218+$F$11*EC218*(1-EF218)</f>
        <v>0</v>
      </c>
      <c r="CS218">
        <f>CR218*CT218</f>
        <v>0</v>
      </c>
      <c r="CT218">
        <f>($B$11*$D$9+$C$11*$D$9+$F$11*((EP218+EH218)/MAX(EP218+EH218+EQ218, 0.1)*$I$9+EQ218/MAX(EP218+EH218+EQ218, 0.1)*$J$9))/($B$11+$C$11+$F$11)</f>
        <v>0</v>
      </c>
      <c r="CU218">
        <f>($B$11*$K$9+$C$11*$K$9+$F$11*((EP218+EH218)/MAX(EP218+EH218+EQ218, 0.1)*$P$9+EQ218/MAX(EP218+EH218+EQ218, 0.1)*$Q$9))/($B$11+$C$11+$F$11)</f>
        <v>0</v>
      </c>
      <c r="CV218">
        <v>6</v>
      </c>
      <c r="CW218">
        <v>0.5</v>
      </c>
      <c r="CX218" t="s">
        <v>418</v>
      </c>
      <c r="CY218">
        <v>2</v>
      </c>
      <c r="CZ218" t="b">
        <v>1</v>
      </c>
      <c r="DA218">
        <v>1652372771.5</v>
      </c>
      <c r="DB218">
        <v>1259.139259259259</v>
      </c>
      <c r="DC218">
        <v>1330.222962962963</v>
      </c>
      <c r="DD218">
        <v>24.25162592592592</v>
      </c>
      <c r="DE218">
        <v>21.51702222222222</v>
      </c>
      <c r="DF218">
        <v>1260.877037037037</v>
      </c>
      <c r="DG218">
        <v>24.21105925925927</v>
      </c>
      <c r="DH218">
        <v>400.0716666666667</v>
      </c>
      <c r="DI218">
        <v>90.40033333333332</v>
      </c>
      <c r="DJ218">
        <v>0.09997145555555556</v>
      </c>
      <c r="DK218">
        <v>30.68491851851852</v>
      </c>
      <c r="DL218">
        <v>30.02537037037037</v>
      </c>
      <c r="DM218">
        <v>999.9000000000001</v>
      </c>
      <c r="DN218">
        <v>0</v>
      </c>
      <c r="DO218">
        <v>0</v>
      </c>
      <c r="DP218">
        <v>10007.17592592593</v>
      </c>
      <c r="DQ218">
        <v>0</v>
      </c>
      <c r="DR218">
        <v>428.545037037037</v>
      </c>
      <c r="DS218">
        <v>-71.08330370370371</v>
      </c>
      <c r="DT218">
        <v>1290.434814814815</v>
      </c>
      <c r="DU218">
        <v>1359.474444444444</v>
      </c>
      <c r="DV218">
        <v>2.734591481481481</v>
      </c>
      <c r="DW218">
        <v>1330.222962962963</v>
      </c>
      <c r="DX218">
        <v>21.51702222222222</v>
      </c>
      <c r="DY218">
        <v>2.192354444444445</v>
      </c>
      <c r="DZ218">
        <v>1.945146666666667</v>
      </c>
      <c r="EA218">
        <v>18.90655925925926</v>
      </c>
      <c r="EB218">
        <v>17.0046962962963</v>
      </c>
      <c r="EC218">
        <v>1500.007407407407</v>
      </c>
      <c r="ED218">
        <v>0.9730044444444443</v>
      </c>
      <c r="EE218">
        <v>0.0269953</v>
      </c>
      <c r="EF218">
        <v>0</v>
      </c>
      <c r="EG218">
        <v>1648.216666666667</v>
      </c>
      <c r="EH218">
        <v>5.00097</v>
      </c>
      <c r="EI218">
        <v>25436.75555555556</v>
      </c>
      <c r="EJ218">
        <v>12491.67037037037</v>
      </c>
      <c r="EK218">
        <v>40.06199999999999</v>
      </c>
      <c r="EL218">
        <v>41.54133333333333</v>
      </c>
      <c r="EM218">
        <v>40.31199999999999</v>
      </c>
      <c r="EN218">
        <v>41.375</v>
      </c>
      <c r="EO218">
        <v>41.125</v>
      </c>
      <c r="EP218">
        <v>1454.647037037037</v>
      </c>
      <c r="EQ218">
        <v>40.36037037037036</v>
      </c>
      <c r="ER218">
        <v>0</v>
      </c>
      <c r="ES218">
        <v>1613.199999809265</v>
      </c>
      <c r="ET218">
        <v>0</v>
      </c>
      <c r="EU218">
        <v>1648.3476</v>
      </c>
      <c r="EV218">
        <v>16.54230772073656</v>
      </c>
      <c r="EW218">
        <v>272.6230772745959</v>
      </c>
      <c r="EX218">
        <v>25438.248</v>
      </c>
      <c r="EY218">
        <v>15</v>
      </c>
      <c r="EZ218">
        <v>1652371289.6</v>
      </c>
      <c r="FA218" t="s">
        <v>515</v>
      </c>
      <c r="FB218">
        <v>1652371289.6</v>
      </c>
      <c r="FC218">
        <v>1652371275.1</v>
      </c>
      <c r="FD218">
        <v>24</v>
      </c>
      <c r="FE218">
        <v>0.442</v>
      </c>
      <c r="FF218">
        <v>0.001</v>
      </c>
      <c r="FG218">
        <v>-2.63</v>
      </c>
      <c r="FH218">
        <v>0.007</v>
      </c>
      <c r="FI218">
        <v>1620</v>
      </c>
      <c r="FJ218">
        <v>22</v>
      </c>
      <c r="FK218">
        <v>0.08</v>
      </c>
      <c r="FL218">
        <v>0.04</v>
      </c>
      <c r="FM218">
        <v>-71.02784390243902</v>
      </c>
      <c r="FN218">
        <v>-1.288105923345009</v>
      </c>
      <c r="FO218">
        <v>0.1621514423854981</v>
      </c>
      <c r="FP218">
        <v>-1</v>
      </c>
      <c r="FQ218">
        <v>2.776921951219512</v>
      </c>
      <c r="FR218">
        <v>-0.6783451567944273</v>
      </c>
      <c r="FS218">
        <v>0.06759004087482882</v>
      </c>
      <c r="FT218">
        <v>0</v>
      </c>
      <c r="FU218">
        <v>0</v>
      </c>
      <c r="FV218">
        <v>0</v>
      </c>
      <c r="FW218">
        <v>0</v>
      </c>
      <c r="FX218">
        <v>-1</v>
      </c>
      <c r="FY218">
        <v>0</v>
      </c>
      <c r="FZ218">
        <v>1</v>
      </c>
      <c r="GA218" t="s">
        <v>432</v>
      </c>
      <c r="GB218">
        <v>2.6955</v>
      </c>
      <c r="GC218">
        <v>2.70505</v>
      </c>
      <c r="GD218">
        <v>0.200529</v>
      </c>
      <c r="GE218">
        <v>0.205181</v>
      </c>
      <c r="GF218">
        <v>0.106896</v>
      </c>
      <c r="GG218">
        <v>0.097084</v>
      </c>
      <c r="GH218">
        <v>25121.7</v>
      </c>
      <c r="GI218">
        <v>25082.2</v>
      </c>
      <c r="GJ218">
        <v>29235.8</v>
      </c>
      <c r="GK218">
        <v>29207.1</v>
      </c>
      <c r="GL218">
        <v>34571.3</v>
      </c>
      <c r="GM218">
        <v>35103.3</v>
      </c>
      <c r="GN218">
        <v>41148.1</v>
      </c>
      <c r="GO218">
        <v>41673.8</v>
      </c>
      <c r="GP218">
        <v>1.7217</v>
      </c>
      <c r="GQ218">
        <v>2.0353</v>
      </c>
      <c r="GR218">
        <v>0.0732839</v>
      </c>
      <c r="GS218">
        <v>0</v>
      </c>
      <c r="GT218">
        <v>28.8256</v>
      </c>
      <c r="GU218">
        <v>999.9</v>
      </c>
      <c r="GV218">
        <v>44</v>
      </c>
      <c r="GW218">
        <v>33.5</v>
      </c>
      <c r="GX218">
        <v>25.2882</v>
      </c>
      <c r="GY218">
        <v>63.268</v>
      </c>
      <c r="GZ218">
        <v>28.8341</v>
      </c>
      <c r="HA218">
        <v>1</v>
      </c>
      <c r="HB218">
        <v>0.270185</v>
      </c>
      <c r="HC218">
        <v>0.8438020000000001</v>
      </c>
      <c r="HD218">
        <v>20.3791</v>
      </c>
      <c r="HE218">
        <v>5.21654</v>
      </c>
      <c r="HF218">
        <v>12.0099</v>
      </c>
      <c r="HG218">
        <v>4.98775</v>
      </c>
      <c r="HH218">
        <v>3.28842</v>
      </c>
      <c r="HI218">
        <v>2732.2</v>
      </c>
      <c r="HJ218">
        <v>9999</v>
      </c>
      <c r="HK218">
        <v>9999</v>
      </c>
      <c r="HL218">
        <v>50.2</v>
      </c>
      <c r="HM218">
        <v>1.86722</v>
      </c>
      <c r="HN218">
        <v>1.86626</v>
      </c>
      <c r="HO218">
        <v>1.8658</v>
      </c>
      <c r="HP218">
        <v>1.86569</v>
      </c>
      <c r="HQ218">
        <v>1.86752</v>
      </c>
      <c r="HR218">
        <v>1.87002</v>
      </c>
      <c r="HS218">
        <v>1.86861</v>
      </c>
      <c r="HT218">
        <v>1.87006</v>
      </c>
      <c r="HU218">
        <v>0</v>
      </c>
      <c r="HV218">
        <v>0</v>
      </c>
      <c r="HW218">
        <v>0</v>
      </c>
      <c r="HX218">
        <v>0</v>
      </c>
      <c r="HY218" t="s">
        <v>421</v>
      </c>
      <c r="HZ218" t="s">
        <v>422</v>
      </c>
      <c r="IA218" t="s">
        <v>423</v>
      </c>
      <c r="IB218" t="s">
        <v>423</v>
      </c>
      <c r="IC218" t="s">
        <v>423</v>
      </c>
      <c r="ID218" t="s">
        <v>423</v>
      </c>
      <c r="IE218">
        <v>0</v>
      </c>
      <c r="IF218">
        <v>100</v>
      </c>
      <c r="IG218">
        <v>100</v>
      </c>
      <c r="IH218">
        <v>-1.79</v>
      </c>
      <c r="II218">
        <v>0.041</v>
      </c>
      <c r="IJ218">
        <v>1.257309091789605</v>
      </c>
      <c r="IK218">
        <v>-0.002185601614162945</v>
      </c>
      <c r="IL218">
        <v>-2.252308143750626E-07</v>
      </c>
      <c r="IM218">
        <v>5.915558436307541E-11</v>
      </c>
      <c r="IN218">
        <v>-0.118683452207699</v>
      </c>
      <c r="IO218">
        <v>-0.007570214193104963</v>
      </c>
      <c r="IP218">
        <v>0.0009214429922928372</v>
      </c>
      <c r="IQ218">
        <v>-1.392260276065805E-05</v>
      </c>
      <c r="IR218">
        <v>17</v>
      </c>
      <c r="IS218">
        <v>2272</v>
      </c>
      <c r="IT218">
        <v>1</v>
      </c>
      <c r="IU218">
        <v>31</v>
      </c>
      <c r="IV218">
        <v>24.8</v>
      </c>
      <c r="IW218">
        <v>25.1</v>
      </c>
      <c r="IX218">
        <v>2.69409</v>
      </c>
      <c r="IY218">
        <v>2.20093</v>
      </c>
      <c r="IZ218">
        <v>1.39648</v>
      </c>
      <c r="JA218">
        <v>2.35352</v>
      </c>
      <c r="JB218">
        <v>1.49536</v>
      </c>
      <c r="JC218">
        <v>2.35107</v>
      </c>
      <c r="JD218">
        <v>37.0986</v>
      </c>
      <c r="JE218">
        <v>15.2178</v>
      </c>
      <c r="JF218">
        <v>18</v>
      </c>
      <c r="JG218">
        <v>387.864</v>
      </c>
      <c r="JH218">
        <v>572.227</v>
      </c>
      <c r="JI218">
        <v>28.6388</v>
      </c>
      <c r="JJ218">
        <v>30.8776</v>
      </c>
      <c r="JK218">
        <v>30.0003</v>
      </c>
      <c r="JL218">
        <v>30.7936</v>
      </c>
      <c r="JM218">
        <v>30.6973</v>
      </c>
      <c r="JN218">
        <v>54.0174</v>
      </c>
      <c r="JO218">
        <v>17.1669</v>
      </c>
      <c r="JP218">
        <v>0.754892</v>
      </c>
      <c r="JQ218">
        <v>28.6289</v>
      </c>
      <c r="JR218">
        <v>1376.36</v>
      </c>
      <c r="JS218">
        <v>21.6837</v>
      </c>
      <c r="JT218">
        <v>99.9303</v>
      </c>
      <c r="JU218">
        <v>100.034</v>
      </c>
    </row>
    <row r="219" spans="1:281">
      <c r="A219">
        <v>203</v>
      </c>
      <c r="B219">
        <v>1652372783.5</v>
      </c>
      <c r="C219">
        <v>4689.900000095367</v>
      </c>
      <c r="D219" t="s">
        <v>874</v>
      </c>
      <c r="E219" t="s">
        <v>875</v>
      </c>
      <c r="F219">
        <v>5</v>
      </c>
      <c r="G219" t="s">
        <v>711</v>
      </c>
      <c r="H219" t="s">
        <v>414</v>
      </c>
      <c r="I219">
        <v>1652372775.944444</v>
      </c>
      <c r="J219">
        <f>(K219)/1000</f>
        <v>0</v>
      </c>
      <c r="K219">
        <f>IF(CZ219, AN219, AH219)</f>
        <v>0</v>
      </c>
      <c r="L219">
        <f>IF(CZ219, AI219, AG219)</f>
        <v>0</v>
      </c>
      <c r="M219">
        <f>DB219 - IF(AU219&gt;1, L219*CV219*100.0/(AW219*DP219), 0)</f>
        <v>0</v>
      </c>
      <c r="N219">
        <f>((T219-J219/2)*M219-L219)/(T219+J219/2)</f>
        <v>0</v>
      </c>
      <c r="O219">
        <f>N219*(DI219+DJ219)/1000.0</f>
        <v>0</v>
      </c>
      <c r="P219">
        <f>(DB219 - IF(AU219&gt;1, L219*CV219*100.0/(AW219*DP219), 0))*(DI219+DJ219)/1000.0</f>
        <v>0</v>
      </c>
      <c r="Q219">
        <f>2.0/((1/S219-1/R219)+SIGN(S219)*SQRT((1/S219-1/R219)*(1/S219-1/R219) + 4*CW219/((CW219+1)*(CW219+1))*(2*1/S219*1/R219-1/R219*1/R219)))</f>
        <v>0</v>
      </c>
      <c r="R219">
        <f>IF(LEFT(CX219,1)&lt;&gt;"0",IF(LEFT(CX219,1)="1",3.0,CY219),$D$5+$E$5*(DP219*DI219/($K$5*1000))+$F$5*(DP219*DI219/($K$5*1000))*MAX(MIN(CV219,$J$5),$I$5)*MAX(MIN(CV219,$J$5),$I$5)+$G$5*MAX(MIN(CV219,$J$5),$I$5)*(DP219*DI219/($K$5*1000))+$H$5*(DP219*DI219/($K$5*1000))*(DP219*DI219/($K$5*1000)))</f>
        <v>0</v>
      </c>
      <c r="S219">
        <f>J219*(1000-(1000*0.61365*exp(17.502*W219/(240.97+W219))/(DI219+DJ219)+DD219)/2)/(1000*0.61365*exp(17.502*W219/(240.97+W219))/(DI219+DJ219)-DD219)</f>
        <v>0</v>
      </c>
      <c r="T219">
        <f>1/((CW219+1)/(Q219/1.6)+1/(R219/1.37)) + CW219/((CW219+1)/(Q219/1.6) + CW219/(R219/1.37))</f>
        <v>0</v>
      </c>
      <c r="U219">
        <f>(CR219*CU219)</f>
        <v>0</v>
      </c>
      <c r="V219">
        <f>(DK219+(U219+2*0.95*5.67E-8*(((DK219+$B$7)+273)^4-(DK219+273)^4)-44100*J219)/(1.84*29.3*R219+8*0.95*5.67E-8*(DK219+273)^3))</f>
        <v>0</v>
      </c>
      <c r="W219">
        <f>($C$7*DL219+$D$7*DM219+$E$7*V219)</f>
        <v>0</v>
      </c>
      <c r="X219">
        <f>0.61365*exp(17.502*W219/(240.97+W219))</f>
        <v>0</v>
      </c>
      <c r="Y219">
        <f>(Z219/AA219*100)</f>
        <v>0</v>
      </c>
      <c r="Z219">
        <f>DD219*(DI219+DJ219)/1000</f>
        <v>0</v>
      </c>
      <c r="AA219">
        <f>0.61365*exp(17.502*DK219/(240.97+DK219))</f>
        <v>0</v>
      </c>
      <c r="AB219">
        <f>(X219-DD219*(DI219+DJ219)/1000)</f>
        <v>0</v>
      </c>
      <c r="AC219">
        <f>(-J219*44100)</f>
        <v>0</v>
      </c>
      <c r="AD219">
        <f>2*29.3*R219*0.92*(DK219-W219)</f>
        <v>0</v>
      </c>
      <c r="AE219">
        <f>2*0.95*5.67E-8*(((DK219+$B$7)+273)^4-(W219+273)^4)</f>
        <v>0</v>
      </c>
      <c r="AF219">
        <f>U219+AE219+AC219+AD219</f>
        <v>0</v>
      </c>
      <c r="AG219">
        <f>DH219*AU219*(DC219-DB219*(1000-AU219*DE219)/(1000-AU219*DD219))/(100*CV219)</f>
        <v>0</v>
      </c>
      <c r="AH219">
        <f>1000*DH219*AU219*(DD219-DE219)/(100*CV219*(1000-AU219*DD219))</f>
        <v>0</v>
      </c>
      <c r="AI219">
        <f>(AJ219 - AK219 - DI219*1E3/(8.314*(DK219+273.15)) * AM219/DH219 * AL219) * DH219/(100*CV219) * (1000 - DE219)/1000</f>
        <v>0</v>
      </c>
      <c r="AJ219">
        <v>1387.046790649076</v>
      </c>
      <c r="AK219">
        <v>1329.803454545454</v>
      </c>
      <c r="AL219">
        <v>3.440318374777632</v>
      </c>
      <c r="AM219">
        <v>65.96288611109561</v>
      </c>
      <c r="AN219">
        <f>(AP219 - AO219 + DI219*1E3/(8.314*(DK219+273.15)) * AR219/DH219 * AQ219) * DH219/(100*CV219) * 1000/(1000 - AP219)</f>
        <v>0</v>
      </c>
      <c r="AO219">
        <v>21.62392385291952</v>
      </c>
      <c r="AP219">
        <v>24.30746013986016</v>
      </c>
      <c r="AQ219">
        <v>0.006184730066418519</v>
      </c>
      <c r="AR219">
        <v>81.18387902069509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MAX(0,($B$13+$C$13*DP219)/(1+$D$13*DP219)*DI219/(DK219+273)*$E$13)</f>
        <v>0</v>
      </c>
      <c r="AX219" t="s">
        <v>417</v>
      </c>
      <c r="AY219" t="s">
        <v>417</v>
      </c>
      <c r="AZ219">
        <v>0</v>
      </c>
      <c r="BA219">
        <v>0</v>
      </c>
      <c r="BB219">
        <f>1-AZ219/BA219</f>
        <v>0</v>
      </c>
      <c r="BC219">
        <v>0</v>
      </c>
      <c r="BD219" t="s">
        <v>417</v>
      </c>
      <c r="BE219" t="s">
        <v>417</v>
      </c>
      <c r="BF219">
        <v>0</v>
      </c>
      <c r="BG219">
        <v>0</v>
      </c>
      <c r="BH219">
        <f>1-BF219/BG219</f>
        <v>0</v>
      </c>
      <c r="BI219">
        <v>0.5</v>
      </c>
      <c r="BJ219">
        <f>CS219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417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1393</v>
      </c>
      <c r="CA219">
        <v>300</v>
      </c>
      <c r="CB219">
        <v>300</v>
      </c>
      <c r="CC219">
        <v>300</v>
      </c>
      <c r="CD219">
        <v>10378</v>
      </c>
      <c r="CE219">
        <v>2050</v>
      </c>
      <c r="CF219">
        <v>-0.00730649</v>
      </c>
      <c r="CG219">
        <v>-4.53</v>
      </c>
      <c r="CH219" t="s">
        <v>417</v>
      </c>
      <c r="CI219" t="s">
        <v>417</v>
      </c>
      <c r="CJ219" t="s">
        <v>417</v>
      </c>
      <c r="CK219" t="s">
        <v>417</v>
      </c>
      <c r="CL219" t="s">
        <v>417</v>
      </c>
      <c r="CM219" t="s">
        <v>417</v>
      </c>
      <c r="CN219" t="s">
        <v>417</v>
      </c>
      <c r="CO219" t="s">
        <v>417</v>
      </c>
      <c r="CP219" t="s">
        <v>417</v>
      </c>
      <c r="CQ219" t="s">
        <v>417</v>
      </c>
      <c r="CR219">
        <f>$B$11*DQ219+$C$11*DR219+$F$11*EC219*(1-EF219)</f>
        <v>0</v>
      </c>
      <c r="CS219">
        <f>CR219*CT219</f>
        <v>0</v>
      </c>
      <c r="CT219">
        <f>($B$11*$D$9+$C$11*$D$9+$F$11*((EP219+EH219)/MAX(EP219+EH219+EQ219, 0.1)*$I$9+EQ219/MAX(EP219+EH219+EQ219, 0.1)*$J$9))/($B$11+$C$11+$F$11)</f>
        <v>0</v>
      </c>
      <c r="CU219">
        <f>($B$11*$K$9+$C$11*$K$9+$F$11*((EP219+EH219)/MAX(EP219+EH219+EQ219, 0.1)*$P$9+EQ219/MAX(EP219+EH219+EQ219, 0.1)*$Q$9))/($B$11+$C$11+$F$11)</f>
        <v>0</v>
      </c>
      <c r="CV219">
        <v>6</v>
      </c>
      <c r="CW219">
        <v>0.5</v>
      </c>
      <c r="CX219" t="s">
        <v>418</v>
      </c>
      <c r="CY219">
        <v>2</v>
      </c>
      <c r="CZ219" t="b">
        <v>1</v>
      </c>
      <c r="DA219">
        <v>1652372775.944444</v>
      </c>
      <c r="DB219">
        <v>1273.941111111111</v>
      </c>
      <c r="DC219">
        <v>1345.113703703704</v>
      </c>
      <c r="DD219">
        <v>24.27274074074075</v>
      </c>
      <c r="DE219">
        <v>21.57491481481482</v>
      </c>
      <c r="DF219">
        <v>1275.716296296296</v>
      </c>
      <c r="DG219">
        <v>24.23191851851852</v>
      </c>
      <c r="DH219">
        <v>400.0825185185185</v>
      </c>
      <c r="DI219">
        <v>90.40037407407408</v>
      </c>
      <c r="DJ219">
        <v>0.1000006814814815</v>
      </c>
      <c r="DK219">
        <v>30.67848518518519</v>
      </c>
      <c r="DL219">
        <v>30.02141111111111</v>
      </c>
      <c r="DM219">
        <v>999.9000000000001</v>
      </c>
      <c r="DN219">
        <v>0</v>
      </c>
      <c r="DO219">
        <v>0</v>
      </c>
      <c r="DP219">
        <v>10002.6662962963</v>
      </c>
      <c r="DQ219">
        <v>0</v>
      </c>
      <c r="DR219">
        <v>428.6352962962963</v>
      </c>
      <c r="DS219">
        <v>-71.1730037037037</v>
      </c>
      <c r="DT219">
        <v>1305.632592592593</v>
      </c>
      <c r="DU219">
        <v>1374.774814814815</v>
      </c>
      <c r="DV219">
        <v>2.697827407407408</v>
      </c>
      <c r="DW219">
        <v>1345.113703703704</v>
      </c>
      <c r="DX219">
        <v>21.57491481481482</v>
      </c>
      <c r="DY219">
        <v>2.194265185185185</v>
      </c>
      <c r="DZ219">
        <v>1.95038037037037</v>
      </c>
      <c r="EA219">
        <v>18.92050740740741</v>
      </c>
      <c r="EB219">
        <v>17.0471037037037</v>
      </c>
      <c r="EC219">
        <v>1500.006296296296</v>
      </c>
      <c r="ED219">
        <v>0.9730044444444446</v>
      </c>
      <c r="EE219">
        <v>0.0269953</v>
      </c>
      <c r="EF219">
        <v>0</v>
      </c>
      <c r="EG219">
        <v>1649.430740740741</v>
      </c>
      <c r="EH219">
        <v>5.00097</v>
      </c>
      <c r="EI219">
        <v>25453.92222222223</v>
      </c>
      <c r="EJ219">
        <v>12491.67037037037</v>
      </c>
      <c r="EK219">
        <v>40.06199999999999</v>
      </c>
      <c r="EL219">
        <v>41.52755555555555</v>
      </c>
      <c r="EM219">
        <v>40.31199999999999</v>
      </c>
      <c r="EN219">
        <v>41.375</v>
      </c>
      <c r="EO219">
        <v>41.125</v>
      </c>
      <c r="EP219">
        <v>1454.645925925926</v>
      </c>
      <c r="EQ219">
        <v>40.36037037037037</v>
      </c>
      <c r="ER219">
        <v>0</v>
      </c>
      <c r="ES219">
        <v>1617.399999856949</v>
      </c>
      <c r="ET219">
        <v>0</v>
      </c>
      <c r="EU219">
        <v>1649.402692307692</v>
      </c>
      <c r="EV219">
        <v>14.4536752385366</v>
      </c>
      <c r="EW219">
        <v>227.7230770198589</v>
      </c>
      <c r="EX219">
        <v>25452.88846153846</v>
      </c>
      <c r="EY219">
        <v>15</v>
      </c>
      <c r="EZ219">
        <v>1652371289.6</v>
      </c>
      <c r="FA219" t="s">
        <v>515</v>
      </c>
      <c r="FB219">
        <v>1652371289.6</v>
      </c>
      <c r="FC219">
        <v>1652371275.1</v>
      </c>
      <c r="FD219">
        <v>24</v>
      </c>
      <c r="FE219">
        <v>0.442</v>
      </c>
      <c r="FF219">
        <v>0.001</v>
      </c>
      <c r="FG219">
        <v>-2.63</v>
      </c>
      <c r="FH219">
        <v>0.007</v>
      </c>
      <c r="FI219">
        <v>1620</v>
      </c>
      <c r="FJ219">
        <v>22</v>
      </c>
      <c r="FK219">
        <v>0.08</v>
      </c>
      <c r="FL219">
        <v>0.04</v>
      </c>
      <c r="FM219">
        <v>-71.06784390243904</v>
      </c>
      <c r="FN219">
        <v>-0.81400975609765</v>
      </c>
      <c r="FO219">
        <v>0.1833419530034309</v>
      </c>
      <c r="FP219">
        <v>-1</v>
      </c>
      <c r="FQ219">
        <v>2.734203170731707</v>
      </c>
      <c r="FR219">
        <v>-0.5891546341463409</v>
      </c>
      <c r="FS219">
        <v>0.05907820255200497</v>
      </c>
      <c r="FT219">
        <v>0</v>
      </c>
      <c r="FU219">
        <v>0</v>
      </c>
      <c r="FV219">
        <v>0</v>
      </c>
      <c r="FW219">
        <v>0</v>
      </c>
      <c r="FX219">
        <v>-1</v>
      </c>
      <c r="FY219">
        <v>0</v>
      </c>
      <c r="FZ219">
        <v>1</v>
      </c>
      <c r="GA219" t="s">
        <v>432</v>
      </c>
      <c r="GB219">
        <v>2.69538</v>
      </c>
      <c r="GC219">
        <v>2.70533</v>
      </c>
      <c r="GD219">
        <v>0.201987</v>
      </c>
      <c r="GE219">
        <v>0.206671</v>
      </c>
      <c r="GF219">
        <v>0.10696</v>
      </c>
      <c r="GG219">
        <v>0.0971196</v>
      </c>
      <c r="GH219">
        <v>25075.7</v>
      </c>
      <c r="GI219">
        <v>25035.9</v>
      </c>
      <c r="GJ219">
        <v>29235.7</v>
      </c>
      <c r="GK219">
        <v>29208</v>
      </c>
      <c r="GL219">
        <v>34568.2</v>
      </c>
      <c r="GM219">
        <v>35101.9</v>
      </c>
      <c r="GN219">
        <v>41147.4</v>
      </c>
      <c r="GO219">
        <v>41673.8</v>
      </c>
      <c r="GP219">
        <v>1.72145</v>
      </c>
      <c r="GQ219">
        <v>2.03545</v>
      </c>
      <c r="GR219">
        <v>0.07306410000000001</v>
      </c>
      <c r="GS219">
        <v>0</v>
      </c>
      <c r="GT219">
        <v>28.8217</v>
      </c>
      <c r="GU219">
        <v>999.9</v>
      </c>
      <c r="GV219">
        <v>44.1</v>
      </c>
      <c r="GW219">
        <v>33.5</v>
      </c>
      <c r="GX219">
        <v>25.3482</v>
      </c>
      <c r="GY219">
        <v>63.348</v>
      </c>
      <c r="GZ219">
        <v>28.762</v>
      </c>
      <c r="HA219">
        <v>1</v>
      </c>
      <c r="HB219">
        <v>0.27029</v>
      </c>
      <c r="HC219">
        <v>0.823736</v>
      </c>
      <c r="HD219">
        <v>20.3792</v>
      </c>
      <c r="HE219">
        <v>5.21759</v>
      </c>
      <c r="HF219">
        <v>12.0099</v>
      </c>
      <c r="HG219">
        <v>4.9881</v>
      </c>
      <c r="HH219">
        <v>3.2883</v>
      </c>
      <c r="HI219">
        <v>2732.4</v>
      </c>
      <c r="HJ219">
        <v>9999</v>
      </c>
      <c r="HK219">
        <v>9999</v>
      </c>
      <c r="HL219">
        <v>50.2</v>
      </c>
      <c r="HM219">
        <v>1.86722</v>
      </c>
      <c r="HN219">
        <v>1.86623</v>
      </c>
      <c r="HO219">
        <v>1.86583</v>
      </c>
      <c r="HP219">
        <v>1.86569</v>
      </c>
      <c r="HQ219">
        <v>1.86752</v>
      </c>
      <c r="HR219">
        <v>1.87006</v>
      </c>
      <c r="HS219">
        <v>1.86864</v>
      </c>
      <c r="HT219">
        <v>1.87005</v>
      </c>
      <c r="HU219">
        <v>0</v>
      </c>
      <c r="HV219">
        <v>0</v>
      </c>
      <c r="HW219">
        <v>0</v>
      </c>
      <c r="HX219">
        <v>0</v>
      </c>
      <c r="HY219" t="s">
        <v>421</v>
      </c>
      <c r="HZ219" t="s">
        <v>422</v>
      </c>
      <c r="IA219" t="s">
        <v>423</v>
      </c>
      <c r="IB219" t="s">
        <v>423</v>
      </c>
      <c r="IC219" t="s">
        <v>423</v>
      </c>
      <c r="ID219" t="s">
        <v>423</v>
      </c>
      <c r="IE219">
        <v>0</v>
      </c>
      <c r="IF219">
        <v>100</v>
      </c>
      <c r="IG219">
        <v>100</v>
      </c>
      <c r="IH219">
        <v>-1.84</v>
      </c>
      <c r="II219">
        <v>0.0413</v>
      </c>
      <c r="IJ219">
        <v>1.257309091789605</v>
      </c>
      <c r="IK219">
        <v>-0.002185601614162945</v>
      </c>
      <c r="IL219">
        <v>-2.252308143750626E-07</v>
      </c>
      <c r="IM219">
        <v>5.915558436307541E-11</v>
      </c>
      <c r="IN219">
        <v>-0.118683452207699</v>
      </c>
      <c r="IO219">
        <v>-0.007570214193104963</v>
      </c>
      <c r="IP219">
        <v>0.0009214429922928372</v>
      </c>
      <c r="IQ219">
        <v>-1.392260276065805E-05</v>
      </c>
      <c r="IR219">
        <v>17</v>
      </c>
      <c r="IS219">
        <v>2272</v>
      </c>
      <c r="IT219">
        <v>1</v>
      </c>
      <c r="IU219">
        <v>31</v>
      </c>
      <c r="IV219">
        <v>24.9</v>
      </c>
      <c r="IW219">
        <v>25.1</v>
      </c>
      <c r="IX219">
        <v>2.71973</v>
      </c>
      <c r="IY219">
        <v>2.20215</v>
      </c>
      <c r="IZ219">
        <v>1.39648</v>
      </c>
      <c r="JA219">
        <v>2.35352</v>
      </c>
      <c r="JB219">
        <v>1.49536</v>
      </c>
      <c r="JC219">
        <v>2.33154</v>
      </c>
      <c r="JD219">
        <v>37.0986</v>
      </c>
      <c r="JE219">
        <v>15.2178</v>
      </c>
      <c r="JF219">
        <v>18</v>
      </c>
      <c r="JG219">
        <v>387.745</v>
      </c>
      <c r="JH219">
        <v>572.354</v>
      </c>
      <c r="JI219">
        <v>28.6159</v>
      </c>
      <c r="JJ219">
        <v>30.8781</v>
      </c>
      <c r="JK219">
        <v>30.0001</v>
      </c>
      <c r="JL219">
        <v>30.7962</v>
      </c>
      <c r="JM219">
        <v>30.6985</v>
      </c>
      <c r="JN219">
        <v>54.467</v>
      </c>
      <c r="JO219">
        <v>17.1669</v>
      </c>
      <c r="JP219">
        <v>0.754892</v>
      </c>
      <c r="JQ219">
        <v>28.609</v>
      </c>
      <c r="JR219">
        <v>1389.91</v>
      </c>
      <c r="JS219">
        <v>21.7175</v>
      </c>
      <c r="JT219">
        <v>99.92919999999999</v>
      </c>
      <c r="JU219">
        <v>100.035</v>
      </c>
    </row>
    <row r="220" spans="1:281">
      <c r="A220">
        <v>204</v>
      </c>
      <c r="B220">
        <v>1652372789</v>
      </c>
      <c r="C220">
        <v>4695.400000095367</v>
      </c>
      <c r="D220" t="s">
        <v>876</v>
      </c>
      <c r="E220" t="s">
        <v>877</v>
      </c>
      <c r="F220">
        <v>5</v>
      </c>
      <c r="G220" t="s">
        <v>711</v>
      </c>
      <c r="H220" t="s">
        <v>414</v>
      </c>
      <c r="I220">
        <v>1652372781.232143</v>
      </c>
      <c r="J220">
        <f>(K220)/1000</f>
        <v>0</v>
      </c>
      <c r="K220">
        <f>IF(CZ220, AN220, AH220)</f>
        <v>0</v>
      </c>
      <c r="L220">
        <f>IF(CZ220, AI220, AG220)</f>
        <v>0</v>
      </c>
      <c r="M220">
        <f>DB220 - IF(AU220&gt;1, L220*CV220*100.0/(AW220*DP220), 0)</f>
        <v>0</v>
      </c>
      <c r="N220">
        <f>((T220-J220/2)*M220-L220)/(T220+J220/2)</f>
        <v>0</v>
      </c>
      <c r="O220">
        <f>N220*(DI220+DJ220)/1000.0</f>
        <v>0</v>
      </c>
      <c r="P220">
        <f>(DB220 - IF(AU220&gt;1, L220*CV220*100.0/(AW220*DP220), 0))*(DI220+DJ220)/1000.0</f>
        <v>0</v>
      </c>
      <c r="Q220">
        <f>2.0/((1/S220-1/R220)+SIGN(S220)*SQRT((1/S220-1/R220)*(1/S220-1/R220) + 4*CW220/((CW220+1)*(CW220+1))*(2*1/S220*1/R220-1/R220*1/R220)))</f>
        <v>0</v>
      </c>
      <c r="R220">
        <f>IF(LEFT(CX220,1)&lt;&gt;"0",IF(LEFT(CX220,1)="1",3.0,CY220),$D$5+$E$5*(DP220*DI220/($K$5*1000))+$F$5*(DP220*DI220/($K$5*1000))*MAX(MIN(CV220,$J$5),$I$5)*MAX(MIN(CV220,$J$5),$I$5)+$G$5*MAX(MIN(CV220,$J$5),$I$5)*(DP220*DI220/($K$5*1000))+$H$5*(DP220*DI220/($K$5*1000))*(DP220*DI220/($K$5*1000)))</f>
        <v>0</v>
      </c>
      <c r="S220">
        <f>J220*(1000-(1000*0.61365*exp(17.502*W220/(240.97+W220))/(DI220+DJ220)+DD220)/2)/(1000*0.61365*exp(17.502*W220/(240.97+W220))/(DI220+DJ220)-DD220)</f>
        <v>0</v>
      </c>
      <c r="T220">
        <f>1/((CW220+1)/(Q220/1.6)+1/(R220/1.37)) + CW220/((CW220+1)/(Q220/1.6) + CW220/(R220/1.37))</f>
        <v>0</v>
      </c>
      <c r="U220">
        <f>(CR220*CU220)</f>
        <v>0</v>
      </c>
      <c r="V220">
        <f>(DK220+(U220+2*0.95*5.67E-8*(((DK220+$B$7)+273)^4-(DK220+273)^4)-44100*J220)/(1.84*29.3*R220+8*0.95*5.67E-8*(DK220+273)^3))</f>
        <v>0</v>
      </c>
      <c r="W220">
        <f>($C$7*DL220+$D$7*DM220+$E$7*V220)</f>
        <v>0</v>
      </c>
      <c r="X220">
        <f>0.61365*exp(17.502*W220/(240.97+W220))</f>
        <v>0</v>
      </c>
      <c r="Y220">
        <f>(Z220/AA220*100)</f>
        <v>0</v>
      </c>
      <c r="Z220">
        <f>DD220*(DI220+DJ220)/1000</f>
        <v>0</v>
      </c>
      <c r="AA220">
        <f>0.61365*exp(17.502*DK220/(240.97+DK220))</f>
        <v>0</v>
      </c>
      <c r="AB220">
        <f>(X220-DD220*(DI220+DJ220)/1000)</f>
        <v>0</v>
      </c>
      <c r="AC220">
        <f>(-J220*44100)</f>
        <v>0</v>
      </c>
      <c r="AD220">
        <f>2*29.3*R220*0.92*(DK220-W220)</f>
        <v>0</v>
      </c>
      <c r="AE220">
        <f>2*0.95*5.67E-8*(((DK220+$B$7)+273)^4-(W220+273)^4)</f>
        <v>0</v>
      </c>
      <c r="AF220">
        <f>U220+AE220+AC220+AD220</f>
        <v>0</v>
      </c>
      <c r="AG220">
        <f>DH220*AU220*(DC220-DB220*(1000-AU220*DE220)/(1000-AU220*DD220))/(100*CV220)</f>
        <v>0</v>
      </c>
      <c r="AH220">
        <f>1000*DH220*AU220*(DD220-DE220)/(100*CV220*(1000-AU220*DD220))</f>
        <v>0</v>
      </c>
      <c r="AI220">
        <f>(AJ220 - AK220 - DI220*1E3/(8.314*(DK220+273.15)) * AM220/DH220 * AL220) * DH220/(100*CV220) * (1000 - DE220)/1000</f>
        <v>0</v>
      </c>
      <c r="AJ220">
        <v>1406.64037585616</v>
      </c>
      <c r="AK220">
        <v>1348.725575757576</v>
      </c>
      <c r="AL220">
        <v>3.431732047052436</v>
      </c>
      <c r="AM220">
        <v>65.96288611109561</v>
      </c>
      <c r="AN220">
        <f>(AP220 - AO220 + DI220*1E3/(8.314*(DK220+273.15)) * AR220/DH220 * AQ220) * DH220/(100*CV220) * 1000/(1000 - AP220)</f>
        <v>0</v>
      </c>
      <c r="AO220">
        <v>21.64073566795636</v>
      </c>
      <c r="AP220">
        <v>24.31607482517484</v>
      </c>
      <c r="AQ220">
        <v>0.0007891086703169095</v>
      </c>
      <c r="AR220">
        <v>81.18387902069509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MAX(0,($B$13+$C$13*DP220)/(1+$D$13*DP220)*DI220/(DK220+273)*$E$13)</f>
        <v>0</v>
      </c>
      <c r="AX220" t="s">
        <v>417</v>
      </c>
      <c r="AY220" t="s">
        <v>417</v>
      </c>
      <c r="AZ220">
        <v>0</v>
      </c>
      <c r="BA220">
        <v>0</v>
      </c>
      <c r="BB220">
        <f>1-AZ220/BA220</f>
        <v>0</v>
      </c>
      <c r="BC220">
        <v>0</v>
      </c>
      <c r="BD220" t="s">
        <v>417</v>
      </c>
      <c r="BE220" t="s">
        <v>417</v>
      </c>
      <c r="BF220">
        <v>0</v>
      </c>
      <c r="BG220">
        <v>0</v>
      </c>
      <c r="BH220">
        <f>1-BF220/BG220</f>
        <v>0</v>
      </c>
      <c r="BI220">
        <v>0.5</v>
      </c>
      <c r="BJ220">
        <f>CS220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417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1393</v>
      </c>
      <c r="CA220">
        <v>300</v>
      </c>
      <c r="CB220">
        <v>300</v>
      </c>
      <c r="CC220">
        <v>300</v>
      </c>
      <c r="CD220">
        <v>10378</v>
      </c>
      <c r="CE220">
        <v>2050</v>
      </c>
      <c r="CF220">
        <v>-0.00730649</v>
      </c>
      <c r="CG220">
        <v>-4.53</v>
      </c>
      <c r="CH220" t="s">
        <v>417</v>
      </c>
      <c r="CI220" t="s">
        <v>417</v>
      </c>
      <c r="CJ220" t="s">
        <v>417</v>
      </c>
      <c r="CK220" t="s">
        <v>417</v>
      </c>
      <c r="CL220" t="s">
        <v>417</v>
      </c>
      <c r="CM220" t="s">
        <v>417</v>
      </c>
      <c r="CN220" t="s">
        <v>417</v>
      </c>
      <c r="CO220" t="s">
        <v>417</v>
      </c>
      <c r="CP220" t="s">
        <v>417</v>
      </c>
      <c r="CQ220" t="s">
        <v>417</v>
      </c>
      <c r="CR220">
        <f>$B$11*DQ220+$C$11*DR220+$F$11*EC220*(1-EF220)</f>
        <v>0</v>
      </c>
      <c r="CS220">
        <f>CR220*CT220</f>
        <v>0</v>
      </c>
      <c r="CT220">
        <f>($B$11*$D$9+$C$11*$D$9+$F$11*((EP220+EH220)/MAX(EP220+EH220+EQ220, 0.1)*$I$9+EQ220/MAX(EP220+EH220+EQ220, 0.1)*$J$9))/($B$11+$C$11+$F$11)</f>
        <v>0</v>
      </c>
      <c r="CU220">
        <f>($B$11*$K$9+$C$11*$K$9+$F$11*((EP220+EH220)/MAX(EP220+EH220+EQ220, 0.1)*$P$9+EQ220/MAX(EP220+EH220+EQ220, 0.1)*$Q$9))/($B$11+$C$11+$F$11)</f>
        <v>0</v>
      </c>
      <c r="CV220">
        <v>6</v>
      </c>
      <c r="CW220">
        <v>0.5</v>
      </c>
      <c r="CX220" t="s">
        <v>418</v>
      </c>
      <c r="CY220">
        <v>2</v>
      </c>
      <c r="CZ220" t="b">
        <v>1</v>
      </c>
      <c r="DA220">
        <v>1652372781.232143</v>
      </c>
      <c r="DB220">
        <v>1291.605714285715</v>
      </c>
      <c r="DC220">
        <v>1362.936785714286</v>
      </c>
      <c r="DD220">
        <v>24.29496428571429</v>
      </c>
      <c r="DE220">
        <v>21.62197142857143</v>
      </c>
      <c r="DF220">
        <v>1293.425</v>
      </c>
      <c r="DG220">
        <v>24.25386071428571</v>
      </c>
      <c r="DH220">
        <v>400.0849642857142</v>
      </c>
      <c r="DI220">
        <v>90.39994642857141</v>
      </c>
      <c r="DJ220">
        <v>0.1000139285714286</v>
      </c>
      <c r="DK220">
        <v>30.67148571428571</v>
      </c>
      <c r="DL220">
        <v>30.01505</v>
      </c>
      <c r="DM220">
        <v>999.9000000000002</v>
      </c>
      <c r="DN220">
        <v>0</v>
      </c>
      <c r="DO220">
        <v>0</v>
      </c>
      <c r="DP220">
        <v>9999.378928571428</v>
      </c>
      <c r="DQ220">
        <v>0</v>
      </c>
      <c r="DR220">
        <v>425.7234285714285</v>
      </c>
      <c r="DS220">
        <v>-71.33070714285712</v>
      </c>
      <c r="DT220">
        <v>1323.766785714286</v>
      </c>
      <c r="DU220">
        <v>1393.0575</v>
      </c>
      <c r="DV220">
        <v>2.672994285714286</v>
      </c>
      <c r="DW220">
        <v>1362.936785714286</v>
      </c>
      <c r="DX220">
        <v>21.62197142857143</v>
      </c>
      <c r="DY220">
        <v>2.196264285714286</v>
      </c>
      <c r="DZ220">
        <v>1.954625</v>
      </c>
      <c r="EA220">
        <v>18.93508928571429</v>
      </c>
      <c r="EB220">
        <v>17.08145357142858</v>
      </c>
      <c r="EC220">
        <v>1500.0075</v>
      </c>
      <c r="ED220">
        <v>0.9730041071428571</v>
      </c>
      <c r="EE220">
        <v>0.02699566428571429</v>
      </c>
      <c r="EF220">
        <v>0</v>
      </c>
      <c r="EG220">
        <v>1650.628214285714</v>
      </c>
      <c r="EH220">
        <v>5.00097</v>
      </c>
      <c r="EI220">
        <v>25468.31071428571</v>
      </c>
      <c r="EJ220">
        <v>12491.66071428571</v>
      </c>
      <c r="EK220">
        <v>40.06199999999999</v>
      </c>
      <c r="EL220">
        <v>41.51107142857143</v>
      </c>
      <c r="EM220">
        <v>40.31199999999999</v>
      </c>
      <c r="EN220">
        <v>41.36599999999999</v>
      </c>
      <c r="EO220">
        <v>41.125</v>
      </c>
      <c r="EP220">
        <v>1454.646428571428</v>
      </c>
      <c r="EQ220">
        <v>40.36107142857143</v>
      </c>
      <c r="ER220">
        <v>0</v>
      </c>
      <c r="ES220">
        <v>1622.799999952316</v>
      </c>
      <c r="ET220">
        <v>0</v>
      </c>
      <c r="EU220">
        <v>1650.6972</v>
      </c>
      <c r="EV220">
        <v>13.3084615551485</v>
      </c>
      <c r="EW220">
        <v>95.46153847990969</v>
      </c>
      <c r="EX220">
        <v>25468.948</v>
      </c>
      <c r="EY220">
        <v>15</v>
      </c>
      <c r="EZ220">
        <v>1652371289.6</v>
      </c>
      <c r="FA220" t="s">
        <v>515</v>
      </c>
      <c r="FB220">
        <v>1652371289.6</v>
      </c>
      <c r="FC220">
        <v>1652371275.1</v>
      </c>
      <c r="FD220">
        <v>24</v>
      </c>
      <c r="FE220">
        <v>0.442</v>
      </c>
      <c r="FF220">
        <v>0.001</v>
      </c>
      <c r="FG220">
        <v>-2.63</v>
      </c>
      <c r="FH220">
        <v>0.007</v>
      </c>
      <c r="FI220">
        <v>1620</v>
      </c>
      <c r="FJ220">
        <v>22</v>
      </c>
      <c r="FK220">
        <v>0.08</v>
      </c>
      <c r="FL220">
        <v>0.04</v>
      </c>
      <c r="FM220">
        <v>-71.23883414634146</v>
      </c>
      <c r="FN220">
        <v>-1.722010452961658</v>
      </c>
      <c r="FO220">
        <v>0.273975649273805</v>
      </c>
      <c r="FP220">
        <v>-1</v>
      </c>
      <c r="FQ220">
        <v>2.692830731707317</v>
      </c>
      <c r="FR220">
        <v>-0.3261972125435529</v>
      </c>
      <c r="FS220">
        <v>0.03626391362183515</v>
      </c>
      <c r="FT220">
        <v>1</v>
      </c>
      <c r="FU220">
        <v>0</v>
      </c>
      <c r="FV220">
        <v>0</v>
      </c>
      <c r="FW220">
        <v>0</v>
      </c>
      <c r="FX220">
        <v>-1</v>
      </c>
      <c r="FY220">
        <v>1</v>
      </c>
      <c r="FZ220">
        <v>1</v>
      </c>
      <c r="GA220" t="s">
        <v>420</v>
      </c>
      <c r="GB220">
        <v>2.69545</v>
      </c>
      <c r="GC220">
        <v>2.70503</v>
      </c>
      <c r="GD220">
        <v>0.203759</v>
      </c>
      <c r="GE220">
        <v>0.20835</v>
      </c>
      <c r="GF220">
        <v>0.106985</v>
      </c>
      <c r="GG220">
        <v>0.0972084</v>
      </c>
      <c r="GH220">
        <v>25019.3</v>
      </c>
      <c r="GI220">
        <v>24982.9</v>
      </c>
      <c r="GJ220">
        <v>29235</v>
      </c>
      <c r="GK220">
        <v>29208.2</v>
      </c>
      <c r="GL220">
        <v>34566.9</v>
      </c>
      <c r="GM220">
        <v>35098.6</v>
      </c>
      <c r="GN220">
        <v>41147</v>
      </c>
      <c r="GO220">
        <v>41674</v>
      </c>
      <c r="GP220">
        <v>1.72165</v>
      </c>
      <c r="GQ220">
        <v>2.03562</v>
      </c>
      <c r="GR220">
        <v>0.0736043</v>
      </c>
      <c r="GS220">
        <v>0</v>
      </c>
      <c r="GT220">
        <v>28.8177</v>
      </c>
      <c r="GU220">
        <v>999.9</v>
      </c>
      <c r="GV220">
        <v>44.1</v>
      </c>
      <c r="GW220">
        <v>33.5</v>
      </c>
      <c r="GX220">
        <v>25.3481</v>
      </c>
      <c r="GY220">
        <v>63.588</v>
      </c>
      <c r="GZ220">
        <v>28.9303</v>
      </c>
      <c r="HA220">
        <v>1</v>
      </c>
      <c r="HB220">
        <v>0.270285</v>
      </c>
      <c r="HC220">
        <v>0.786285</v>
      </c>
      <c r="HD220">
        <v>20.3795</v>
      </c>
      <c r="HE220">
        <v>5.21699</v>
      </c>
      <c r="HF220">
        <v>12.0099</v>
      </c>
      <c r="HG220">
        <v>4.98775</v>
      </c>
      <c r="HH220">
        <v>3.28842</v>
      </c>
      <c r="HI220">
        <v>2732.4</v>
      </c>
      <c r="HJ220">
        <v>9999</v>
      </c>
      <c r="HK220">
        <v>9999</v>
      </c>
      <c r="HL220">
        <v>50.2</v>
      </c>
      <c r="HM220">
        <v>1.86722</v>
      </c>
      <c r="HN220">
        <v>1.86623</v>
      </c>
      <c r="HO220">
        <v>1.86581</v>
      </c>
      <c r="HP220">
        <v>1.86569</v>
      </c>
      <c r="HQ220">
        <v>1.86752</v>
      </c>
      <c r="HR220">
        <v>1.87002</v>
      </c>
      <c r="HS220">
        <v>1.86861</v>
      </c>
      <c r="HT220">
        <v>1.87004</v>
      </c>
      <c r="HU220">
        <v>0</v>
      </c>
      <c r="HV220">
        <v>0</v>
      </c>
      <c r="HW220">
        <v>0</v>
      </c>
      <c r="HX220">
        <v>0</v>
      </c>
      <c r="HY220" t="s">
        <v>421</v>
      </c>
      <c r="HZ220" t="s">
        <v>422</v>
      </c>
      <c r="IA220" t="s">
        <v>423</v>
      </c>
      <c r="IB220" t="s">
        <v>423</v>
      </c>
      <c r="IC220" t="s">
        <v>423</v>
      </c>
      <c r="ID220" t="s">
        <v>423</v>
      </c>
      <c r="IE220">
        <v>0</v>
      </c>
      <c r="IF220">
        <v>100</v>
      </c>
      <c r="IG220">
        <v>100</v>
      </c>
      <c r="IH220">
        <v>-1.88</v>
      </c>
      <c r="II220">
        <v>0.0414</v>
      </c>
      <c r="IJ220">
        <v>1.257309091789605</v>
      </c>
      <c r="IK220">
        <v>-0.002185601614162945</v>
      </c>
      <c r="IL220">
        <v>-2.252308143750626E-07</v>
      </c>
      <c r="IM220">
        <v>5.915558436307541E-11</v>
      </c>
      <c r="IN220">
        <v>-0.118683452207699</v>
      </c>
      <c r="IO220">
        <v>-0.007570214193104963</v>
      </c>
      <c r="IP220">
        <v>0.0009214429922928372</v>
      </c>
      <c r="IQ220">
        <v>-1.392260276065805E-05</v>
      </c>
      <c r="IR220">
        <v>17</v>
      </c>
      <c r="IS220">
        <v>2272</v>
      </c>
      <c r="IT220">
        <v>1</v>
      </c>
      <c r="IU220">
        <v>31</v>
      </c>
      <c r="IV220">
        <v>25</v>
      </c>
      <c r="IW220">
        <v>25.2</v>
      </c>
      <c r="IX220">
        <v>2.75146</v>
      </c>
      <c r="IY220">
        <v>2.23145</v>
      </c>
      <c r="IZ220">
        <v>1.39648</v>
      </c>
      <c r="JA220">
        <v>2.35352</v>
      </c>
      <c r="JB220">
        <v>1.49536</v>
      </c>
      <c r="JC220">
        <v>2.35474</v>
      </c>
      <c r="JD220">
        <v>37.0986</v>
      </c>
      <c r="JE220">
        <v>15.209</v>
      </c>
      <c r="JF220">
        <v>18</v>
      </c>
      <c r="JG220">
        <v>387.854</v>
      </c>
      <c r="JH220">
        <v>572.5</v>
      </c>
      <c r="JI220">
        <v>28.5968</v>
      </c>
      <c r="JJ220">
        <v>30.8781</v>
      </c>
      <c r="JK220">
        <v>30.0001</v>
      </c>
      <c r="JL220">
        <v>30.7965</v>
      </c>
      <c r="JM220">
        <v>30.6999</v>
      </c>
      <c r="JN220">
        <v>55.0588</v>
      </c>
      <c r="JO220">
        <v>16.8903</v>
      </c>
      <c r="JP220">
        <v>1.13429</v>
      </c>
      <c r="JQ220">
        <v>28.5997</v>
      </c>
      <c r="JR220">
        <v>1410.01</v>
      </c>
      <c r="JS220">
        <v>21.7648</v>
      </c>
      <c r="JT220">
        <v>99.92749999999999</v>
      </c>
      <c r="JU220">
        <v>100.035</v>
      </c>
    </row>
    <row r="221" spans="1:281">
      <c r="A221">
        <v>205</v>
      </c>
      <c r="B221">
        <v>1652372794</v>
      </c>
      <c r="C221">
        <v>4700.400000095367</v>
      </c>
      <c r="D221" t="s">
        <v>878</v>
      </c>
      <c r="E221" t="s">
        <v>879</v>
      </c>
      <c r="F221">
        <v>5</v>
      </c>
      <c r="G221" t="s">
        <v>711</v>
      </c>
      <c r="H221" t="s">
        <v>414</v>
      </c>
      <c r="I221">
        <v>1652372786.518518</v>
      </c>
      <c r="J221">
        <f>(K221)/1000</f>
        <v>0</v>
      </c>
      <c r="K221">
        <f>IF(CZ221, AN221, AH221)</f>
        <v>0</v>
      </c>
      <c r="L221">
        <f>IF(CZ221, AI221, AG221)</f>
        <v>0</v>
      </c>
      <c r="M221">
        <f>DB221 - IF(AU221&gt;1, L221*CV221*100.0/(AW221*DP221), 0)</f>
        <v>0</v>
      </c>
      <c r="N221">
        <f>((T221-J221/2)*M221-L221)/(T221+J221/2)</f>
        <v>0</v>
      </c>
      <c r="O221">
        <f>N221*(DI221+DJ221)/1000.0</f>
        <v>0</v>
      </c>
      <c r="P221">
        <f>(DB221 - IF(AU221&gt;1, L221*CV221*100.0/(AW221*DP221), 0))*(DI221+DJ221)/1000.0</f>
        <v>0</v>
      </c>
      <c r="Q221">
        <f>2.0/((1/S221-1/R221)+SIGN(S221)*SQRT((1/S221-1/R221)*(1/S221-1/R221) + 4*CW221/((CW221+1)*(CW221+1))*(2*1/S221*1/R221-1/R221*1/R221)))</f>
        <v>0</v>
      </c>
      <c r="R221">
        <f>IF(LEFT(CX221,1)&lt;&gt;"0",IF(LEFT(CX221,1)="1",3.0,CY221),$D$5+$E$5*(DP221*DI221/($K$5*1000))+$F$5*(DP221*DI221/($K$5*1000))*MAX(MIN(CV221,$J$5),$I$5)*MAX(MIN(CV221,$J$5),$I$5)+$G$5*MAX(MIN(CV221,$J$5),$I$5)*(DP221*DI221/($K$5*1000))+$H$5*(DP221*DI221/($K$5*1000))*(DP221*DI221/($K$5*1000)))</f>
        <v>0</v>
      </c>
      <c r="S221">
        <f>J221*(1000-(1000*0.61365*exp(17.502*W221/(240.97+W221))/(DI221+DJ221)+DD221)/2)/(1000*0.61365*exp(17.502*W221/(240.97+W221))/(DI221+DJ221)-DD221)</f>
        <v>0</v>
      </c>
      <c r="T221">
        <f>1/((CW221+1)/(Q221/1.6)+1/(R221/1.37)) + CW221/((CW221+1)/(Q221/1.6) + CW221/(R221/1.37))</f>
        <v>0</v>
      </c>
      <c r="U221">
        <f>(CR221*CU221)</f>
        <v>0</v>
      </c>
      <c r="V221">
        <f>(DK221+(U221+2*0.95*5.67E-8*(((DK221+$B$7)+273)^4-(DK221+273)^4)-44100*J221)/(1.84*29.3*R221+8*0.95*5.67E-8*(DK221+273)^3))</f>
        <v>0</v>
      </c>
      <c r="W221">
        <f>($C$7*DL221+$D$7*DM221+$E$7*V221)</f>
        <v>0</v>
      </c>
      <c r="X221">
        <f>0.61365*exp(17.502*W221/(240.97+W221))</f>
        <v>0</v>
      </c>
      <c r="Y221">
        <f>(Z221/AA221*100)</f>
        <v>0</v>
      </c>
      <c r="Z221">
        <f>DD221*(DI221+DJ221)/1000</f>
        <v>0</v>
      </c>
      <c r="AA221">
        <f>0.61365*exp(17.502*DK221/(240.97+DK221))</f>
        <v>0</v>
      </c>
      <c r="AB221">
        <f>(X221-DD221*(DI221+DJ221)/1000)</f>
        <v>0</v>
      </c>
      <c r="AC221">
        <f>(-J221*44100)</f>
        <v>0</v>
      </c>
      <c r="AD221">
        <f>2*29.3*R221*0.92*(DK221-W221)</f>
        <v>0</v>
      </c>
      <c r="AE221">
        <f>2*0.95*5.67E-8*(((DK221+$B$7)+273)^4-(W221+273)^4)</f>
        <v>0</v>
      </c>
      <c r="AF221">
        <f>U221+AE221+AC221+AD221</f>
        <v>0</v>
      </c>
      <c r="AG221">
        <f>DH221*AU221*(DC221-DB221*(1000-AU221*DE221)/(1000-AU221*DD221))/(100*CV221)</f>
        <v>0</v>
      </c>
      <c r="AH221">
        <f>1000*DH221*AU221*(DD221-DE221)/(100*CV221*(1000-AU221*DD221))</f>
        <v>0</v>
      </c>
      <c r="AI221">
        <f>(AJ221 - AK221 - DI221*1E3/(8.314*(DK221+273.15)) * AM221/DH221 * AL221) * DH221/(100*CV221) * (1000 - DE221)/1000</f>
        <v>0</v>
      </c>
      <c r="AJ221">
        <v>1423.805225830517</v>
      </c>
      <c r="AK221">
        <v>1365.894303030303</v>
      </c>
      <c r="AL221">
        <v>3.427599515797429</v>
      </c>
      <c r="AM221">
        <v>65.96288611109561</v>
      </c>
      <c r="AN221">
        <f>(AP221 - AO221 + DI221*1E3/(8.314*(DK221+273.15)) * AR221/DH221 * AQ221) * DH221/(100*CV221) * 1000/(1000 - AP221)</f>
        <v>0</v>
      </c>
      <c r="AO221">
        <v>21.67298653977365</v>
      </c>
      <c r="AP221">
        <v>24.31754685314687</v>
      </c>
      <c r="AQ221">
        <v>0.0002438947647548974</v>
      </c>
      <c r="AR221">
        <v>81.18387902069509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MAX(0,($B$13+$C$13*DP221)/(1+$D$13*DP221)*DI221/(DK221+273)*$E$13)</f>
        <v>0</v>
      </c>
      <c r="AX221" t="s">
        <v>417</v>
      </c>
      <c r="AY221" t="s">
        <v>417</v>
      </c>
      <c r="AZ221">
        <v>0</v>
      </c>
      <c r="BA221">
        <v>0</v>
      </c>
      <c r="BB221">
        <f>1-AZ221/BA221</f>
        <v>0</v>
      </c>
      <c r="BC221">
        <v>0</v>
      </c>
      <c r="BD221" t="s">
        <v>417</v>
      </c>
      <c r="BE221" t="s">
        <v>417</v>
      </c>
      <c r="BF221">
        <v>0</v>
      </c>
      <c r="BG221">
        <v>0</v>
      </c>
      <c r="BH221">
        <f>1-BF221/BG221</f>
        <v>0</v>
      </c>
      <c r="BI221">
        <v>0.5</v>
      </c>
      <c r="BJ221">
        <f>CS221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417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1393</v>
      </c>
      <c r="CA221">
        <v>300</v>
      </c>
      <c r="CB221">
        <v>300</v>
      </c>
      <c r="CC221">
        <v>300</v>
      </c>
      <c r="CD221">
        <v>10378</v>
      </c>
      <c r="CE221">
        <v>2050</v>
      </c>
      <c r="CF221">
        <v>-0.00730649</v>
      </c>
      <c r="CG221">
        <v>-4.53</v>
      </c>
      <c r="CH221" t="s">
        <v>417</v>
      </c>
      <c r="CI221" t="s">
        <v>417</v>
      </c>
      <c r="CJ221" t="s">
        <v>417</v>
      </c>
      <c r="CK221" t="s">
        <v>417</v>
      </c>
      <c r="CL221" t="s">
        <v>417</v>
      </c>
      <c r="CM221" t="s">
        <v>417</v>
      </c>
      <c r="CN221" t="s">
        <v>417</v>
      </c>
      <c r="CO221" t="s">
        <v>417</v>
      </c>
      <c r="CP221" t="s">
        <v>417</v>
      </c>
      <c r="CQ221" t="s">
        <v>417</v>
      </c>
      <c r="CR221">
        <f>$B$11*DQ221+$C$11*DR221+$F$11*EC221*(1-EF221)</f>
        <v>0</v>
      </c>
      <c r="CS221">
        <f>CR221*CT221</f>
        <v>0</v>
      </c>
      <c r="CT221">
        <f>($B$11*$D$9+$C$11*$D$9+$F$11*((EP221+EH221)/MAX(EP221+EH221+EQ221, 0.1)*$I$9+EQ221/MAX(EP221+EH221+EQ221, 0.1)*$J$9))/($B$11+$C$11+$F$11)</f>
        <v>0</v>
      </c>
      <c r="CU221">
        <f>($B$11*$K$9+$C$11*$K$9+$F$11*((EP221+EH221)/MAX(EP221+EH221+EQ221, 0.1)*$P$9+EQ221/MAX(EP221+EH221+EQ221, 0.1)*$Q$9))/($B$11+$C$11+$F$11)</f>
        <v>0</v>
      </c>
      <c r="CV221">
        <v>6</v>
      </c>
      <c r="CW221">
        <v>0.5</v>
      </c>
      <c r="CX221" t="s">
        <v>418</v>
      </c>
      <c r="CY221">
        <v>2</v>
      </c>
      <c r="CZ221" t="b">
        <v>1</v>
      </c>
      <c r="DA221">
        <v>1652372786.518518</v>
      </c>
      <c r="DB221">
        <v>1309.28037037037</v>
      </c>
      <c r="DC221">
        <v>1380.747407407408</v>
      </c>
      <c r="DD221">
        <v>24.31059629629629</v>
      </c>
      <c r="DE221">
        <v>21.66078518518518</v>
      </c>
      <c r="DF221">
        <v>1311.142962962963</v>
      </c>
      <c r="DG221">
        <v>24.2692962962963</v>
      </c>
      <c r="DH221">
        <v>400.0838148148148</v>
      </c>
      <c r="DI221">
        <v>90.39922962962963</v>
      </c>
      <c r="DJ221">
        <v>0.1000220962962963</v>
      </c>
      <c r="DK221">
        <v>30.66633703703704</v>
      </c>
      <c r="DL221">
        <v>30.01582592592593</v>
      </c>
      <c r="DM221">
        <v>999.9000000000001</v>
      </c>
      <c r="DN221">
        <v>0</v>
      </c>
      <c r="DO221">
        <v>0</v>
      </c>
      <c r="DP221">
        <v>9996.324814814814</v>
      </c>
      <c r="DQ221">
        <v>0</v>
      </c>
      <c r="DR221">
        <v>422.2568518518519</v>
      </c>
      <c r="DS221">
        <v>-71.46712592592591</v>
      </c>
      <c r="DT221">
        <v>1341.902592592593</v>
      </c>
      <c r="DU221">
        <v>1411.317407407407</v>
      </c>
      <c r="DV221">
        <v>2.649817407407408</v>
      </c>
      <c r="DW221">
        <v>1380.747407407408</v>
      </c>
      <c r="DX221">
        <v>21.66078518518518</v>
      </c>
      <c r="DY221">
        <v>2.197661111111111</v>
      </c>
      <c r="DZ221">
        <v>1.958117777777778</v>
      </c>
      <c r="EA221">
        <v>18.94526296296296</v>
      </c>
      <c r="EB221">
        <v>17.10965925925926</v>
      </c>
      <c r="EC221">
        <v>1500.015555555555</v>
      </c>
      <c r="ED221">
        <v>0.9730044444444446</v>
      </c>
      <c r="EE221">
        <v>0.0269953</v>
      </c>
      <c r="EF221">
        <v>0</v>
      </c>
      <c r="EG221">
        <v>1651.601481481482</v>
      </c>
      <c r="EH221">
        <v>5.00097</v>
      </c>
      <c r="EI221">
        <v>25479.32222222222</v>
      </c>
      <c r="EJ221">
        <v>12491.73333333333</v>
      </c>
      <c r="EK221">
        <v>40.06199999999999</v>
      </c>
      <c r="EL221">
        <v>41.50459259259259</v>
      </c>
      <c r="EM221">
        <v>40.31199999999999</v>
      </c>
      <c r="EN221">
        <v>41.35633333333333</v>
      </c>
      <c r="EO221">
        <v>41.125</v>
      </c>
      <c r="EP221">
        <v>1454.654814814815</v>
      </c>
      <c r="EQ221">
        <v>40.36074074074073</v>
      </c>
      <c r="ER221">
        <v>0</v>
      </c>
      <c r="ES221">
        <v>1628.199999809265</v>
      </c>
      <c r="ET221">
        <v>0</v>
      </c>
      <c r="EU221">
        <v>1651.629230769231</v>
      </c>
      <c r="EV221">
        <v>9.932991467111856</v>
      </c>
      <c r="EW221">
        <v>125.0290598272572</v>
      </c>
      <c r="EX221">
        <v>25479.73461538461</v>
      </c>
      <c r="EY221">
        <v>15</v>
      </c>
      <c r="EZ221">
        <v>1652371289.6</v>
      </c>
      <c r="FA221" t="s">
        <v>515</v>
      </c>
      <c r="FB221">
        <v>1652371289.6</v>
      </c>
      <c r="FC221">
        <v>1652371275.1</v>
      </c>
      <c r="FD221">
        <v>24</v>
      </c>
      <c r="FE221">
        <v>0.442</v>
      </c>
      <c r="FF221">
        <v>0.001</v>
      </c>
      <c r="FG221">
        <v>-2.63</v>
      </c>
      <c r="FH221">
        <v>0.007</v>
      </c>
      <c r="FI221">
        <v>1620</v>
      </c>
      <c r="FJ221">
        <v>22</v>
      </c>
      <c r="FK221">
        <v>0.08</v>
      </c>
      <c r="FL221">
        <v>0.04</v>
      </c>
      <c r="FM221">
        <v>-71.37752682926829</v>
      </c>
      <c r="FN221">
        <v>-1.481565156794435</v>
      </c>
      <c r="FO221">
        <v>0.2607591805781722</v>
      </c>
      <c r="FP221">
        <v>-1</v>
      </c>
      <c r="FQ221">
        <v>2.664431707317073</v>
      </c>
      <c r="FR221">
        <v>-0.2310390940766564</v>
      </c>
      <c r="FS221">
        <v>0.02567116821597476</v>
      </c>
      <c r="FT221">
        <v>1</v>
      </c>
      <c r="FU221">
        <v>0</v>
      </c>
      <c r="FV221">
        <v>0</v>
      </c>
      <c r="FW221">
        <v>0</v>
      </c>
      <c r="FX221">
        <v>-1</v>
      </c>
      <c r="FY221">
        <v>1</v>
      </c>
      <c r="FZ221">
        <v>1</v>
      </c>
      <c r="GA221" t="s">
        <v>420</v>
      </c>
      <c r="GB221">
        <v>2.69554</v>
      </c>
      <c r="GC221">
        <v>2.70504</v>
      </c>
      <c r="GD221">
        <v>0.205352</v>
      </c>
      <c r="GE221">
        <v>0.209896</v>
      </c>
      <c r="GF221">
        <v>0.106987</v>
      </c>
      <c r="GG221">
        <v>0.0973202</v>
      </c>
      <c r="GH221">
        <v>24969.4</v>
      </c>
      <c r="GI221">
        <v>24933.8</v>
      </c>
      <c r="GJ221">
        <v>29235.2</v>
      </c>
      <c r="GK221">
        <v>29207.9</v>
      </c>
      <c r="GL221">
        <v>34567.1</v>
      </c>
      <c r="GM221">
        <v>35094</v>
      </c>
      <c r="GN221">
        <v>41147.2</v>
      </c>
      <c r="GO221">
        <v>41673.7</v>
      </c>
      <c r="GP221">
        <v>1.72152</v>
      </c>
      <c r="GQ221">
        <v>2.03552</v>
      </c>
      <c r="GR221">
        <v>0.07412580000000001</v>
      </c>
      <c r="GS221">
        <v>0</v>
      </c>
      <c r="GT221">
        <v>28.8152</v>
      </c>
      <c r="GU221">
        <v>999.9</v>
      </c>
      <c r="GV221">
        <v>44.1</v>
      </c>
      <c r="GW221">
        <v>33.5</v>
      </c>
      <c r="GX221">
        <v>25.3464</v>
      </c>
      <c r="GY221">
        <v>63.628</v>
      </c>
      <c r="GZ221">
        <v>29.2588</v>
      </c>
      <c r="HA221">
        <v>1</v>
      </c>
      <c r="HB221">
        <v>0.270244</v>
      </c>
      <c r="HC221">
        <v>0.791133</v>
      </c>
      <c r="HD221">
        <v>20.3796</v>
      </c>
      <c r="HE221">
        <v>5.21714</v>
      </c>
      <c r="HF221">
        <v>12.0099</v>
      </c>
      <c r="HG221">
        <v>4.98795</v>
      </c>
      <c r="HH221">
        <v>3.2885</v>
      </c>
      <c r="HI221">
        <v>2732.7</v>
      </c>
      <c r="HJ221">
        <v>9999</v>
      </c>
      <c r="HK221">
        <v>9999</v>
      </c>
      <c r="HL221">
        <v>50.2</v>
      </c>
      <c r="HM221">
        <v>1.86722</v>
      </c>
      <c r="HN221">
        <v>1.86621</v>
      </c>
      <c r="HO221">
        <v>1.86584</v>
      </c>
      <c r="HP221">
        <v>1.86569</v>
      </c>
      <c r="HQ221">
        <v>1.86752</v>
      </c>
      <c r="HR221">
        <v>1.87004</v>
      </c>
      <c r="HS221">
        <v>1.86861</v>
      </c>
      <c r="HT221">
        <v>1.87004</v>
      </c>
      <c r="HU221">
        <v>0</v>
      </c>
      <c r="HV221">
        <v>0</v>
      </c>
      <c r="HW221">
        <v>0</v>
      </c>
      <c r="HX221">
        <v>0</v>
      </c>
      <c r="HY221" t="s">
        <v>421</v>
      </c>
      <c r="HZ221" t="s">
        <v>422</v>
      </c>
      <c r="IA221" t="s">
        <v>423</v>
      </c>
      <c r="IB221" t="s">
        <v>423</v>
      </c>
      <c r="IC221" t="s">
        <v>423</v>
      </c>
      <c r="ID221" t="s">
        <v>423</v>
      </c>
      <c r="IE221">
        <v>0</v>
      </c>
      <c r="IF221">
        <v>100</v>
      </c>
      <c r="IG221">
        <v>100</v>
      </c>
      <c r="IH221">
        <v>-1.93</v>
      </c>
      <c r="II221">
        <v>0.0415</v>
      </c>
      <c r="IJ221">
        <v>1.257309091789605</v>
      </c>
      <c r="IK221">
        <v>-0.002185601614162945</v>
      </c>
      <c r="IL221">
        <v>-2.252308143750626E-07</v>
      </c>
      <c r="IM221">
        <v>5.915558436307541E-11</v>
      </c>
      <c r="IN221">
        <v>-0.118683452207699</v>
      </c>
      <c r="IO221">
        <v>-0.007570214193104963</v>
      </c>
      <c r="IP221">
        <v>0.0009214429922928372</v>
      </c>
      <c r="IQ221">
        <v>-1.392260276065805E-05</v>
      </c>
      <c r="IR221">
        <v>17</v>
      </c>
      <c r="IS221">
        <v>2272</v>
      </c>
      <c r="IT221">
        <v>1</v>
      </c>
      <c r="IU221">
        <v>31</v>
      </c>
      <c r="IV221">
        <v>25.1</v>
      </c>
      <c r="IW221">
        <v>25.3</v>
      </c>
      <c r="IX221">
        <v>2.77466</v>
      </c>
      <c r="IY221">
        <v>2.19971</v>
      </c>
      <c r="IZ221">
        <v>1.39648</v>
      </c>
      <c r="JA221">
        <v>2.35352</v>
      </c>
      <c r="JB221">
        <v>1.49536</v>
      </c>
      <c r="JC221">
        <v>2.30591</v>
      </c>
      <c r="JD221">
        <v>37.0986</v>
      </c>
      <c r="JE221">
        <v>15.2178</v>
      </c>
      <c r="JF221">
        <v>18</v>
      </c>
      <c r="JG221">
        <v>387.802</v>
      </c>
      <c r="JH221">
        <v>572.436</v>
      </c>
      <c r="JI221">
        <v>28.5876</v>
      </c>
      <c r="JJ221">
        <v>30.879</v>
      </c>
      <c r="JK221">
        <v>30.0001</v>
      </c>
      <c r="JL221">
        <v>30.7989</v>
      </c>
      <c r="JM221">
        <v>30.7011</v>
      </c>
      <c r="JN221">
        <v>55.5517</v>
      </c>
      <c r="JO221">
        <v>16.6078</v>
      </c>
      <c r="JP221">
        <v>1.13429</v>
      </c>
      <c r="JQ221">
        <v>28.5838</v>
      </c>
      <c r="JR221">
        <v>1423.39</v>
      </c>
      <c r="JS221">
        <v>21.812</v>
      </c>
      <c r="JT221">
        <v>99.92829999999999</v>
      </c>
      <c r="JU221">
        <v>100.035</v>
      </c>
    </row>
    <row r="222" spans="1:281">
      <c r="A222">
        <v>206</v>
      </c>
      <c r="B222">
        <v>1652372798.5</v>
      </c>
      <c r="C222">
        <v>4704.900000095367</v>
      </c>
      <c r="D222" t="s">
        <v>880</v>
      </c>
      <c r="E222" t="s">
        <v>881</v>
      </c>
      <c r="F222">
        <v>5</v>
      </c>
      <c r="G222" t="s">
        <v>711</v>
      </c>
      <c r="H222" t="s">
        <v>414</v>
      </c>
      <c r="I222">
        <v>1652372790.962963</v>
      </c>
      <c r="J222">
        <f>(K222)/1000</f>
        <v>0</v>
      </c>
      <c r="K222">
        <f>IF(CZ222, AN222, AH222)</f>
        <v>0</v>
      </c>
      <c r="L222">
        <f>IF(CZ222, AI222, AG222)</f>
        <v>0</v>
      </c>
      <c r="M222">
        <f>DB222 - IF(AU222&gt;1, L222*CV222*100.0/(AW222*DP222), 0)</f>
        <v>0</v>
      </c>
      <c r="N222">
        <f>((T222-J222/2)*M222-L222)/(T222+J222/2)</f>
        <v>0</v>
      </c>
      <c r="O222">
        <f>N222*(DI222+DJ222)/1000.0</f>
        <v>0</v>
      </c>
      <c r="P222">
        <f>(DB222 - IF(AU222&gt;1, L222*CV222*100.0/(AW222*DP222), 0))*(DI222+DJ222)/1000.0</f>
        <v>0</v>
      </c>
      <c r="Q222">
        <f>2.0/((1/S222-1/R222)+SIGN(S222)*SQRT((1/S222-1/R222)*(1/S222-1/R222) + 4*CW222/((CW222+1)*(CW222+1))*(2*1/S222*1/R222-1/R222*1/R222)))</f>
        <v>0</v>
      </c>
      <c r="R222">
        <f>IF(LEFT(CX222,1)&lt;&gt;"0",IF(LEFT(CX222,1)="1",3.0,CY222),$D$5+$E$5*(DP222*DI222/($K$5*1000))+$F$5*(DP222*DI222/($K$5*1000))*MAX(MIN(CV222,$J$5),$I$5)*MAX(MIN(CV222,$J$5),$I$5)+$G$5*MAX(MIN(CV222,$J$5),$I$5)*(DP222*DI222/($K$5*1000))+$H$5*(DP222*DI222/($K$5*1000))*(DP222*DI222/($K$5*1000)))</f>
        <v>0</v>
      </c>
      <c r="S222">
        <f>J222*(1000-(1000*0.61365*exp(17.502*W222/(240.97+W222))/(DI222+DJ222)+DD222)/2)/(1000*0.61365*exp(17.502*W222/(240.97+W222))/(DI222+DJ222)-DD222)</f>
        <v>0</v>
      </c>
      <c r="T222">
        <f>1/((CW222+1)/(Q222/1.6)+1/(R222/1.37)) + CW222/((CW222+1)/(Q222/1.6) + CW222/(R222/1.37))</f>
        <v>0</v>
      </c>
      <c r="U222">
        <f>(CR222*CU222)</f>
        <v>0</v>
      </c>
      <c r="V222">
        <f>(DK222+(U222+2*0.95*5.67E-8*(((DK222+$B$7)+273)^4-(DK222+273)^4)-44100*J222)/(1.84*29.3*R222+8*0.95*5.67E-8*(DK222+273)^3))</f>
        <v>0</v>
      </c>
      <c r="W222">
        <f>($C$7*DL222+$D$7*DM222+$E$7*V222)</f>
        <v>0</v>
      </c>
      <c r="X222">
        <f>0.61365*exp(17.502*W222/(240.97+W222))</f>
        <v>0</v>
      </c>
      <c r="Y222">
        <f>(Z222/AA222*100)</f>
        <v>0</v>
      </c>
      <c r="Z222">
        <f>DD222*(DI222+DJ222)/1000</f>
        <v>0</v>
      </c>
      <c r="AA222">
        <f>0.61365*exp(17.502*DK222/(240.97+DK222))</f>
        <v>0</v>
      </c>
      <c r="AB222">
        <f>(X222-DD222*(DI222+DJ222)/1000)</f>
        <v>0</v>
      </c>
      <c r="AC222">
        <f>(-J222*44100)</f>
        <v>0</v>
      </c>
      <c r="AD222">
        <f>2*29.3*R222*0.92*(DK222-W222)</f>
        <v>0</v>
      </c>
      <c r="AE222">
        <f>2*0.95*5.67E-8*(((DK222+$B$7)+273)^4-(W222+273)^4)</f>
        <v>0</v>
      </c>
      <c r="AF222">
        <f>U222+AE222+AC222+AD222</f>
        <v>0</v>
      </c>
      <c r="AG222">
        <f>DH222*AU222*(DC222-DB222*(1000-AU222*DE222)/(1000-AU222*DD222))/(100*CV222)</f>
        <v>0</v>
      </c>
      <c r="AH222">
        <f>1000*DH222*AU222*(DD222-DE222)/(100*CV222*(1000-AU222*DD222))</f>
        <v>0</v>
      </c>
      <c r="AI222">
        <f>(AJ222 - AK222 - DI222*1E3/(8.314*(DK222+273.15)) * AM222/DH222 * AL222) * DH222/(100*CV222) * (1000 - DE222)/1000</f>
        <v>0</v>
      </c>
      <c r="AJ222">
        <v>1439.248220982679</v>
      </c>
      <c r="AK222">
        <v>1381.326484848485</v>
      </c>
      <c r="AL222">
        <v>3.426247448229448</v>
      </c>
      <c r="AM222">
        <v>65.96288611109561</v>
      </c>
      <c r="AN222">
        <f>(AP222 - AO222 + DI222*1E3/(8.314*(DK222+273.15)) * AR222/DH222 * AQ222) * DH222/(100*CV222) * 1000/(1000 - AP222)</f>
        <v>0</v>
      </c>
      <c r="AO222">
        <v>21.70308234820669</v>
      </c>
      <c r="AP222">
        <v>24.32863986013988</v>
      </c>
      <c r="AQ222">
        <v>0.0002090783452411478</v>
      </c>
      <c r="AR222">
        <v>81.18387902069509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MAX(0,($B$13+$C$13*DP222)/(1+$D$13*DP222)*DI222/(DK222+273)*$E$13)</f>
        <v>0</v>
      </c>
      <c r="AX222" t="s">
        <v>417</v>
      </c>
      <c r="AY222" t="s">
        <v>417</v>
      </c>
      <c r="AZ222">
        <v>0</v>
      </c>
      <c r="BA222">
        <v>0</v>
      </c>
      <c r="BB222">
        <f>1-AZ222/BA222</f>
        <v>0</v>
      </c>
      <c r="BC222">
        <v>0</v>
      </c>
      <c r="BD222" t="s">
        <v>417</v>
      </c>
      <c r="BE222" t="s">
        <v>417</v>
      </c>
      <c r="BF222">
        <v>0</v>
      </c>
      <c r="BG222">
        <v>0</v>
      </c>
      <c r="BH222">
        <f>1-BF222/BG222</f>
        <v>0</v>
      </c>
      <c r="BI222">
        <v>0.5</v>
      </c>
      <c r="BJ222">
        <f>CS222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417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1393</v>
      </c>
      <c r="CA222">
        <v>300</v>
      </c>
      <c r="CB222">
        <v>300</v>
      </c>
      <c r="CC222">
        <v>300</v>
      </c>
      <c r="CD222">
        <v>10378</v>
      </c>
      <c r="CE222">
        <v>2050</v>
      </c>
      <c r="CF222">
        <v>-0.00730649</v>
      </c>
      <c r="CG222">
        <v>-4.53</v>
      </c>
      <c r="CH222" t="s">
        <v>417</v>
      </c>
      <c r="CI222" t="s">
        <v>417</v>
      </c>
      <c r="CJ222" t="s">
        <v>417</v>
      </c>
      <c r="CK222" t="s">
        <v>417</v>
      </c>
      <c r="CL222" t="s">
        <v>417</v>
      </c>
      <c r="CM222" t="s">
        <v>417</v>
      </c>
      <c r="CN222" t="s">
        <v>417</v>
      </c>
      <c r="CO222" t="s">
        <v>417</v>
      </c>
      <c r="CP222" t="s">
        <v>417</v>
      </c>
      <c r="CQ222" t="s">
        <v>417</v>
      </c>
      <c r="CR222">
        <f>$B$11*DQ222+$C$11*DR222+$F$11*EC222*(1-EF222)</f>
        <v>0</v>
      </c>
      <c r="CS222">
        <f>CR222*CT222</f>
        <v>0</v>
      </c>
      <c r="CT222">
        <f>($B$11*$D$9+$C$11*$D$9+$F$11*((EP222+EH222)/MAX(EP222+EH222+EQ222, 0.1)*$I$9+EQ222/MAX(EP222+EH222+EQ222, 0.1)*$J$9))/($B$11+$C$11+$F$11)</f>
        <v>0</v>
      </c>
      <c r="CU222">
        <f>($B$11*$K$9+$C$11*$K$9+$F$11*((EP222+EH222)/MAX(EP222+EH222+EQ222, 0.1)*$P$9+EQ222/MAX(EP222+EH222+EQ222, 0.1)*$Q$9))/($B$11+$C$11+$F$11)</f>
        <v>0</v>
      </c>
      <c r="CV222">
        <v>6</v>
      </c>
      <c r="CW222">
        <v>0.5</v>
      </c>
      <c r="CX222" t="s">
        <v>418</v>
      </c>
      <c r="CY222">
        <v>2</v>
      </c>
      <c r="CZ222" t="b">
        <v>1</v>
      </c>
      <c r="DA222">
        <v>1652372790.962963</v>
      </c>
      <c r="DB222">
        <v>1324.184444444445</v>
      </c>
      <c r="DC222">
        <v>1395.738148148148</v>
      </c>
      <c r="DD222">
        <v>24.31791111111111</v>
      </c>
      <c r="DE222">
        <v>21.68451481481481</v>
      </c>
      <c r="DF222">
        <v>1326.084074074074</v>
      </c>
      <c r="DG222">
        <v>24.27651481481482</v>
      </c>
      <c r="DH222">
        <v>400.0768888888889</v>
      </c>
      <c r="DI222">
        <v>90.39848888888891</v>
      </c>
      <c r="DJ222">
        <v>0.1000091333333333</v>
      </c>
      <c r="DK222">
        <v>30.66307037037037</v>
      </c>
      <c r="DL222">
        <v>30.01640740740741</v>
      </c>
      <c r="DM222">
        <v>999.9000000000001</v>
      </c>
      <c r="DN222">
        <v>0</v>
      </c>
      <c r="DO222">
        <v>0</v>
      </c>
      <c r="DP222">
        <v>9995.120740740742</v>
      </c>
      <c r="DQ222">
        <v>0</v>
      </c>
      <c r="DR222">
        <v>421.6184074074074</v>
      </c>
      <c r="DS222">
        <v>-71.55341481481481</v>
      </c>
      <c r="DT222">
        <v>1357.188518518519</v>
      </c>
      <c r="DU222">
        <v>1426.674444444445</v>
      </c>
      <c r="DV222">
        <v>2.633403333333333</v>
      </c>
      <c r="DW222">
        <v>1395.738148148148</v>
      </c>
      <c r="DX222">
        <v>21.68451481481481</v>
      </c>
      <c r="DY222">
        <v>2.198303703703704</v>
      </c>
      <c r="DZ222">
        <v>1.960247037037037</v>
      </c>
      <c r="EA222">
        <v>18.94994814814815</v>
      </c>
      <c r="EB222">
        <v>17.12682222222222</v>
      </c>
      <c r="EC222">
        <v>1499.992592592592</v>
      </c>
      <c r="ED222">
        <v>0.973003888888889</v>
      </c>
      <c r="EE222">
        <v>0.0269959</v>
      </c>
      <c r="EF222">
        <v>0</v>
      </c>
      <c r="EG222">
        <v>1652.306296296296</v>
      </c>
      <c r="EH222">
        <v>5.00097</v>
      </c>
      <c r="EI222">
        <v>25488.8</v>
      </c>
      <c r="EJ222">
        <v>12491.53703703704</v>
      </c>
      <c r="EK222">
        <v>40.06199999999999</v>
      </c>
      <c r="EL222">
        <v>41.50459259259259</v>
      </c>
      <c r="EM222">
        <v>40.3074074074074</v>
      </c>
      <c r="EN222">
        <v>41.34233333333333</v>
      </c>
      <c r="EO222">
        <v>41.125</v>
      </c>
      <c r="EP222">
        <v>1454.631481481482</v>
      </c>
      <c r="EQ222">
        <v>40.36111111111111</v>
      </c>
      <c r="ER222">
        <v>0</v>
      </c>
      <c r="ES222">
        <v>1632.399999856949</v>
      </c>
      <c r="ET222">
        <v>0</v>
      </c>
      <c r="EU222">
        <v>1652.3724</v>
      </c>
      <c r="EV222">
        <v>8.440769244465987</v>
      </c>
      <c r="EW222">
        <v>171.7461541803682</v>
      </c>
      <c r="EX222">
        <v>25489.476</v>
      </c>
      <c r="EY222">
        <v>15</v>
      </c>
      <c r="EZ222">
        <v>1652371289.6</v>
      </c>
      <c r="FA222" t="s">
        <v>515</v>
      </c>
      <c r="FB222">
        <v>1652371289.6</v>
      </c>
      <c r="FC222">
        <v>1652371275.1</v>
      </c>
      <c r="FD222">
        <v>24</v>
      </c>
      <c r="FE222">
        <v>0.442</v>
      </c>
      <c r="FF222">
        <v>0.001</v>
      </c>
      <c r="FG222">
        <v>-2.63</v>
      </c>
      <c r="FH222">
        <v>0.007</v>
      </c>
      <c r="FI222">
        <v>1620</v>
      </c>
      <c r="FJ222">
        <v>22</v>
      </c>
      <c r="FK222">
        <v>0.08</v>
      </c>
      <c r="FL222">
        <v>0.04</v>
      </c>
      <c r="FM222">
        <v>-71.42705121951219</v>
      </c>
      <c r="FN222">
        <v>-1.761393031358837</v>
      </c>
      <c r="FO222">
        <v>0.2683376568956888</v>
      </c>
      <c r="FP222">
        <v>-1</v>
      </c>
      <c r="FQ222">
        <v>2.645918780487805</v>
      </c>
      <c r="FR222">
        <v>-0.2208100348432018</v>
      </c>
      <c r="FS222">
        <v>0.02455451487917882</v>
      </c>
      <c r="FT222">
        <v>1</v>
      </c>
      <c r="FU222">
        <v>0</v>
      </c>
      <c r="FV222">
        <v>0</v>
      </c>
      <c r="FW222">
        <v>0</v>
      </c>
      <c r="FX222">
        <v>-1</v>
      </c>
      <c r="FY222">
        <v>1</v>
      </c>
      <c r="FZ222">
        <v>1</v>
      </c>
      <c r="GA222" t="s">
        <v>420</v>
      </c>
      <c r="GB222">
        <v>2.69543</v>
      </c>
      <c r="GC222">
        <v>2.70523</v>
      </c>
      <c r="GD222">
        <v>0.206774</v>
      </c>
      <c r="GE222">
        <v>0.211278</v>
      </c>
      <c r="GF222">
        <v>0.107016</v>
      </c>
      <c r="GG222">
        <v>0.0974457</v>
      </c>
      <c r="GH222">
        <v>24924.1</v>
      </c>
      <c r="GI222">
        <v>24890.2</v>
      </c>
      <c r="GJ222">
        <v>29234.6</v>
      </c>
      <c r="GK222">
        <v>29208</v>
      </c>
      <c r="GL222">
        <v>34565.5</v>
      </c>
      <c r="GM222">
        <v>35089.2</v>
      </c>
      <c r="GN222">
        <v>41146.7</v>
      </c>
      <c r="GO222">
        <v>41673.8</v>
      </c>
      <c r="GP222">
        <v>1.7212</v>
      </c>
      <c r="GQ222">
        <v>2.03568</v>
      </c>
      <c r="GR222">
        <v>0.0738427</v>
      </c>
      <c r="GS222">
        <v>0</v>
      </c>
      <c r="GT222">
        <v>28.8135</v>
      </c>
      <c r="GU222">
        <v>999.9</v>
      </c>
      <c r="GV222">
        <v>44.1</v>
      </c>
      <c r="GW222">
        <v>33.5</v>
      </c>
      <c r="GX222">
        <v>25.3467</v>
      </c>
      <c r="GY222">
        <v>63.408</v>
      </c>
      <c r="GZ222">
        <v>29.2949</v>
      </c>
      <c r="HA222">
        <v>1</v>
      </c>
      <c r="HB222">
        <v>0.270188</v>
      </c>
      <c r="HC222">
        <v>0.821784</v>
      </c>
      <c r="HD222">
        <v>20.3794</v>
      </c>
      <c r="HE222">
        <v>5.21774</v>
      </c>
      <c r="HF222">
        <v>12.0099</v>
      </c>
      <c r="HG222">
        <v>4.98825</v>
      </c>
      <c r="HH222">
        <v>3.28845</v>
      </c>
      <c r="HI222">
        <v>2732.7</v>
      </c>
      <c r="HJ222">
        <v>9999</v>
      </c>
      <c r="HK222">
        <v>9999</v>
      </c>
      <c r="HL222">
        <v>50.2</v>
      </c>
      <c r="HM222">
        <v>1.86722</v>
      </c>
      <c r="HN222">
        <v>1.86624</v>
      </c>
      <c r="HO222">
        <v>1.86583</v>
      </c>
      <c r="HP222">
        <v>1.86569</v>
      </c>
      <c r="HQ222">
        <v>1.86751</v>
      </c>
      <c r="HR222">
        <v>1.87004</v>
      </c>
      <c r="HS222">
        <v>1.86862</v>
      </c>
      <c r="HT222">
        <v>1.87006</v>
      </c>
      <c r="HU222">
        <v>0</v>
      </c>
      <c r="HV222">
        <v>0</v>
      </c>
      <c r="HW222">
        <v>0</v>
      </c>
      <c r="HX222">
        <v>0</v>
      </c>
      <c r="HY222" t="s">
        <v>421</v>
      </c>
      <c r="HZ222" t="s">
        <v>422</v>
      </c>
      <c r="IA222" t="s">
        <v>423</v>
      </c>
      <c r="IB222" t="s">
        <v>423</v>
      </c>
      <c r="IC222" t="s">
        <v>423</v>
      </c>
      <c r="ID222" t="s">
        <v>423</v>
      </c>
      <c r="IE222">
        <v>0</v>
      </c>
      <c r="IF222">
        <v>100</v>
      </c>
      <c r="IG222">
        <v>100</v>
      </c>
      <c r="IH222">
        <v>-1.97</v>
      </c>
      <c r="II222">
        <v>0.0415</v>
      </c>
      <c r="IJ222">
        <v>1.257309091789605</v>
      </c>
      <c r="IK222">
        <v>-0.002185601614162945</v>
      </c>
      <c r="IL222">
        <v>-2.252308143750626E-07</v>
      </c>
      <c r="IM222">
        <v>5.915558436307541E-11</v>
      </c>
      <c r="IN222">
        <v>-0.118683452207699</v>
      </c>
      <c r="IO222">
        <v>-0.007570214193104963</v>
      </c>
      <c r="IP222">
        <v>0.0009214429922928372</v>
      </c>
      <c r="IQ222">
        <v>-1.392260276065805E-05</v>
      </c>
      <c r="IR222">
        <v>17</v>
      </c>
      <c r="IS222">
        <v>2272</v>
      </c>
      <c r="IT222">
        <v>1</v>
      </c>
      <c r="IU222">
        <v>31</v>
      </c>
      <c r="IV222">
        <v>25.1</v>
      </c>
      <c r="IW222">
        <v>25.4</v>
      </c>
      <c r="IX222">
        <v>2.79663</v>
      </c>
      <c r="IY222">
        <v>2.19604</v>
      </c>
      <c r="IZ222">
        <v>1.39648</v>
      </c>
      <c r="JA222">
        <v>2.35352</v>
      </c>
      <c r="JB222">
        <v>1.49536</v>
      </c>
      <c r="JC222">
        <v>2.3645</v>
      </c>
      <c r="JD222">
        <v>37.0986</v>
      </c>
      <c r="JE222">
        <v>15.2178</v>
      </c>
      <c r="JF222">
        <v>18</v>
      </c>
      <c r="JG222">
        <v>387.628</v>
      </c>
      <c r="JH222">
        <v>572.55</v>
      </c>
      <c r="JI222">
        <v>28.5748</v>
      </c>
      <c r="JJ222">
        <v>30.8807</v>
      </c>
      <c r="JK222">
        <v>30</v>
      </c>
      <c r="JL222">
        <v>30.7989</v>
      </c>
      <c r="JM222">
        <v>30.7011</v>
      </c>
      <c r="JN222">
        <v>55.9999</v>
      </c>
      <c r="JO222">
        <v>16.6078</v>
      </c>
      <c r="JP222">
        <v>1.51981</v>
      </c>
      <c r="JQ222">
        <v>28.5603</v>
      </c>
      <c r="JR222">
        <v>1436.74</v>
      </c>
      <c r="JS222">
        <v>21.8479</v>
      </c>
      <c r="JT222">
        <v>99.9267</v>
      </c>
      <c r="JU222">
        <v>100.035</v>
      </c>
    </row>
    <row r="223" spans="1:281">
      <c r="A223">
        <v>207</v>
      </c>
      <c r="B223">
        <v>1652372803.5</v>
      </c>
      <c r="C223">
        <v>4709.900000095367</v>
      </c>
      <c r="D223" t="s">
        <v>882</v>
      </c>
      <c r="E223" t="s">
        <v>883</v>
      </c>
      <c r="F223">
        <v>5</v>
      </c>
      <c r="G223" t="s">
        <v>711</v>
      </c>
      <c r="H223" t="s">
        <v>414</v>
      </c>
      <c r="I223">
        <v>1652372795.678571</v>
      </c>
      <c r="J223">
        <f>(K223)/1000</f>
        <v>0</v>
      </c>
      <c r="K223">
        <f>IF(CZ223, AN223, AH223)</f>
        <v>0</v>
      </c>
      <c r="L223">
        <f>IF(CZ223, AI223, AG223)</f>
        <v>0</v>
      </c>
      <c r="M223">
        <f>DB223 - IF(AU223&gt;1, L223*CV223*100.0/(AW223*DP223), 0)</f>
        <v>0</v>
      </c>
      <c r="N223">
        <f>((T223-J223/2)*M223-L223)/(T223+J223/2)</f>
        <v>0</v>
      </c>
      <c r="O223">
        <f>N223*(DI223+DJ223)/1000.0</f>
        <v>0</v>
      </c>
      <c r="P223">
        <f>(DB223 - IF(AU223&gt;1, L223*CV223*100.0/(AW223*DP223), 0))*(DI223+DJ223)/1000.0</f>
        <v>0</v>
      </c>
      <c r="Q223">
        <f>2.0/((1/S223-1/R223)+SIGN(S223)*SQRT((1/S223-1/R223)*(1/S223-1/R223) + 4*CW223/((CW223+1)*(CW223+1))*(2*1/S223*1/R223-1/R223*1/R223)))</f>
        <v>0</v>
      </c>
      <c r="R223">
        <f>IF(LEFT(CX223,1)&lt;&gt;"0",IF(LEFT(CX223,1)="1",3.0,CY223),$D$5+$E$5*(DP223*DI223/($K$5*1000))+$F$5*(DP223*DI223/($K$5*1000))*MAX(MIN(CV223,$J$5),$I$5)*MAX(MIN(CV223,$J$5),$I$5)+$G$5*MAX(MIN(CV223,$J$5),$I$5)*(DP223*DI223/($K$5*1000))+$H$5*(DP223*DI223/($K$5*1000))*(DP223*DI223/($K$5*1000)))</f>
        <v>0</v>
      </c>
      <c r="S223">
        <f>J223*(1000-(1000*0.61365*exp(17.502*W223/(240.97+W223))/(DI223+DJ223)+DD223)/2)/(1000*0.61365*exp(17.502*W223/(240.97+W223))/(DI223+DJ223)-DD223)</f>
        <v>0</v>
      </c>
      <c r="T223">
        <f>1/((CW223+1)/(Q223/1.6)+1/(R223/1.37)) + CW223/((CW223+1)/(Q223/1.6) + CW223/(R223/1.37))</f>
        <v>0</v>
      </c>
      <c r="U223">
        <f>(CR223*CU223)</f>
        <v>0</v>
      </c>
      <c r="V223">
        <f>(DK223+(U223+2*0.95*5.67E-8*(((DK223+$B$7)+273)^4-(DK223+273)^4)-44100*J223)/(1.84*29.3*R223+8*0.95*5.67E-8*(DK223+273)^3))</f>
        <v>0</v>
      </c>
      <c r="W223">
        <f>($C$7*DL223+$D$7*DM223+$E$7*V223)</f>
        <v>0</v>
      </c>
      <c r="X223">
        <f>0.61365*exp(17.502*W223/(240.97+W223))</f>
        <v>0</v>
      </c>
      <c r="Y223">
        <f>(Z223/AA223*100)</f>
        <v>0</v>
      </c>
      <c r="Z223">
        <f>DD223*(DI223+DJ223)/1000</f>
        <v>0</v>
      </c>
      <c r="AA223">
        <f>0.61365*exp(17.502*DK223/(240.97+DK223))</f>
        <v>0</v>
      </c>
      <c r="AB223">
        <f>(X223-DD223*(DI223+DJ223)/1000)</f>
        <v>0</v>
      </c>
      <c r="AC223">
        <f>(-J223*44100)</f>
        <v>0</v>
      </c>
      <c r="AD223">
        <f>2*29.3*R223*0.92*(DK223-W223)</f>
        <v>0</v>
      </c>
      <c r="AE223">
        <f>2*0.95*5.67E-8*(((DK223+$B$7)+273)^4-(W223+273)^4)</f>
        <v>0</v>
      </c>
      <c r="AF223">
        <f>U223+AE223+AC223+AD223</f>
        <v>0</v>
      </c>
      <c r="AG223">
        <f>DH223*AU223*(DC223-DB223*(1000-AU223*DE223)/(1000-AU223*DD223))/(100*CV223)</f>
        <v>0</v>
      </c>
      <c r="AH223">
        <f>1000*DH223*AU223*(DD223-DE223)/(100*CV223*(1000-AU223*DD223))</f>
        <v>0</v>
      </c>
      <c r="AI223">
        <f>(AJ223 - AK223 - DI223*1E3/(8.314*(DK223+273.15)) * AM223/DH223 * AL223) * DH223/(100*CV223) * (1000 - DE223)/1000</f>
        <v>0</v>
      </c>
      <c r="AJ223">
        <v>1456.461055962016</v>
      </c>
      <c r="AK223">
        <v>1398.330242424242</v>
      </c>
      <c r="AL223">
        <v>3.413258305841614</v>
      </c>
      <c r="AM223">
        <v>65.96288611109561</v>
      </c>
      <c r="AN223">
        <f>(AP223 - AO223 + DI223*1E3/(8.314*(DK223+273.15)) * AR223/DH223 * AQ223) * DH223/(100*CV223) * 1000/(1000 - AP223)</f>
        <v>0</v>
      </c>
      <c r="AO223">
        <v>21.74668126037243</v>
      </c>
      <c r="AP223">
        <v>24.33107412587415</v>
      </c>
      <c r="AQ223">
        <v>-3.586982629052824E-06</v>
      </c>
      <c r="AR223">
        <v>81.18387902069509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MAX(0,($B$13+$C$13*DP223)/(1+$D$13*DP223)*DI223/(DK223+273)*$E$13)</f>
        <v>0</v>
      </c>
      <c r="AX223" t="s">
        <v>417</v>
      </c>
      <c r="AY223" t="s">
        <v>417</v>
      </c>
      <c r="AZ223">
        <v>0</v>
      </c>
      <c r="BA223">
        <v>0</v>
      </c>
      <c r="BB223">
        <f>1-AZ223/BA223</f>
        <v>0</v>
      </c>
      <c r="BC223">
        <v>0</v>
      </c>
      <c r="BD223" t="s">
        <v>417</v>
      </c>
      <c r="BE223" t="s">
        <v>417</v>
      </c>
      <c r="BF223">
        <v>0</v>
      </c>
      <c r="BG223">
        <v>0</v>
      </c>
      <c r="BH223">
        <f>1-BF223/BG223</f>
        <v>0</v>
      </c>
      <c r="BI223">
        <v>0.5</v>
      </c>
      <c r="BJ223">
        <f>CS223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417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1393</v>
      </c>
      <c r="CA223">
        <v>300</v>
      </c>
      <c r="CB223">
        <v>300</v>
      </c>
      <c r="CC223">
        <v>300</v>
      </c>
      <c r="CD223">
        <v>10378</v>
      </c>
      <c r="CE223">
        <v>2050</v>
      </c>
      <c r="CF223">
        <v>-0.00730649</v>
      </c>
      <c r="CG223">
        <v>-4.53</v>
      </c>
      <c r="CH223" t="s">
        <v>417</v>
      </c>
      <c r="CI223" t="s">
        <v>417</v>
      </c>
      <c r="CJ223" t="s">
        <v>417</v>
      </c>
      <c r="CK223" t="s">
        <v>417</v>
      </c>
      <c r="CL223" t="s">
        <v>417</v>
      </c>
      <c r="CM223" t="s">
        <v>417</v>
      </c>
      <c r="CN223" t="s">
        <v>417</v>
      </c>
      <c r="CO223" t="s">
        <v>417</v>
      </c>
      <c r="CP223" t="s">
        <v>417</v>
      </c>
      <c r="CQ223" t="s">
        <v>417</v>
      </c>
      <c r="CR223">
        <f>$B$11*DQ223+$C$11*DR223+$F$11*EC223*(1-EF223)</f>
        <v>0</v>
      </c>
      <c r="CS223">
        <f>CR223*CT223</f>
        <v>0</v>
      </c>
      <c r="CT223">
        <f>($B$11*$D$9+$C$11*$D$9+$F$11*((EP223+EH223)/MAX(EP223+EH223+EQ223, 0.1)*$I$9+EQ223/MAX(EP223+EH223+EQ223, 0.1)*$J$9))/($B$11+$C$11+$F$11)</f>
        <v>0</v>
      </c>
      <c r="CU223">
        <f>($B$11*$K$9+$C$11*$K$9+$F$11*((EP223+EH223)/MAX(EP223+EH223+EQ223, 0.1)*$P$9+EQ223/MAX(EP223+EH223+EQ223, 0.1)*$Q$9))/($B$11+$C$11+$F$11)</f>
        <v>0</v>
      </c>
      <c r="CV223">
        <v>6</v>
      </c>
      <c r="CW223">
        <v>0.5</v>
      </c>
      <c r="CX223" t="s">
        <v>418</v>
      </c>
      <c r="CY223">
        <v>2</v>
      </c>
      <c r="CZ223" t="b">
        <v>1</v>
      </c>
      <c r="DA223">
        <v>1652372795.678571</v>
      </c>
      <c r="DB223">
        <v>1339.938928571429</v>
      </c>
      <c r="DC223">
        <v>1411.493928571429</v>
      </c>
      <c r="DD223">
        <v>24.32323214285714</v>
      </c>
      <c r="DE223">
        <v>21.7204</v>
      </c>
      <c r="DF223">
        <v>1341.878214285714</v>
      </c>
      <c r="DG223">
        <v>24.28177142857143</v>
      </c>
      <c r="DH223">
        <v>400.0604285714285</v>
      </c>
      <c r="DI223">
        <v>90.39777857142857</v>
      </c>
      <c r="DJ223">
        <v>0.09994153571428573</v>
      </c>
      <c r="DK223">
        <v>30.66084999999999</v>
      </c>
      <c r="DL223">
        <v>30.01842142857143</v>
      </c>
      <c r="DM223">
        <v>999.9000000000002</v>
      </c>
      <c r="DN223">
        <v>0</v>
      </c>
      <c r="DO223">
        <v>0</v>
      </c>
      <c r="DP223">
        <v>10001.20785714286</v>
      </c>
      <c r="DQ223">
        <v>0</v>
      </c>
      <c r="DR223">
        <v>423.5326785714286</v>
      </c>
      <c r="DS223">
        <v>-71.55453214285714</v>
      </c>
      <c r="DT223">
        <v>1373.343928571429</v>
      </c>
      <c r="DU223">
        <v>1442.8325</v>
      </c>
      <c r="DV223">
        <v>2.602835</v>
      </c>
      <c r="DW223">
        <v>1411.493928571429</v>
      </c>
      <c r="DX223">
        <v>21.7204</v>
      </c>
      <c r="DY223">
        <v>2.198766785714286</v>
      </c>
      <c r="DZ223">
        <v>1.963476071428572</v>
      </c>
      <c r="EA223">
        <v>18.95332857142857</v>
      </c>
      <c r="EB223">
        <v>17.15281785714286</v>
      </c>
      <c r="EC223">
        <v>1499.999642857143</v>
      </c>
      <c r="ED223">
        <v>0.9730044642857144</v>
      </c>
      <c r="EE223">
        <v>0.02699527857142858</v>
      </c>
      <c r="EF223">
        <v>0</v>
      </c>
      <c r="EG223">
        <v>1652.857142857143</v>
      </c>
      <c r="EH223">
        <v>5.00097</v>
      </c>
      <c r="EI223">
        <v>25500.48214285714</v>
      </c>
      <c r="EJ223">
        <v>12491.6</v>
      </c>
      <c r="EK223">
        <v>40.06199999999999</v>
      </c>
      <c r="EL223">
        <v>41.51107142857143</v>
      </c>
      <c r="EM223">
        <v>40.29207142857143</v>
      </c>
      <c r="EN223">
        <v>41.32999999999998</v>
      </c>
      <c r="EO223">
        <v>41.125</v>
      </c>
      <c r="EP223">
        <v>1454.639285714286</v>
      </c>
      <c r="EQ223">
        <v>40.36035714285713</v>
      </c>
      <c r="ER223">
        <v>0</v>
      </c>
      <c r="ES223">
        <v>1637.799999952316</v>
      </c>
      <c r="ET223">
        <v>0</v>
      </c>
      <c r="EU223">
        <v>1652.945384615385</v>
      </c>
      <c r="EV223">
        <v>6.719999997579349</v>
      </c>
      <c r="EW223">
        <v>139.3777778204492</v>
      </c>
      <c r="EX223">
        <v>25502.19230769231</v>
      </c>
      <c r="EY223">
        <v>15</v>
      </c>
      <c r="EZ223">
        <v>1652371289.6</v>
      </c>
      <c r="FA223" t="s">
        <v>515</v>
      </c>
      <c r="FB223">
        <v>1652371289.6</v>
      </c>
      <c r="FC223">
        <v>1652371275.1</v>
      </c>
      <c r="FD223">
        <v>24</v>
      </c>
      <c r="FE223">
        <v>0.442</v>
      </c>
      <c r="FF223">
        <v>0.001</v>
      </c>
      <c r="FG223">
        <v>-2.63</v>
      </c>
      <c r="FH223">
        <v>0.007</v>
      </c>
      <c r="FI223">
        <v>1620</v>
      </c>
      <c r="FJ223">
        <v>22</v>
      </c>
      <c r="FK223">
        <v>0.08</v>
      </c>
      <c r="FL223">
        <v>0.04</v>
      </c>
      <c r="FM223">
        <v>-71.55178048780488</v>
      </c>
      <c r="FN223">
        <v>0.09027595818797818</v>
      </c>
      <c r="FO223">
        <v>0.1251906336002233</v>
      </c>
      <c r="FP223">
        <v>-1</v>
      </c>
      <c r="FQ223">
        <v>2.619415365853659</v>
      </c>
      <c r="FR223">
        <v>-0.3679756097560981</v>
      </c>
      <c r="FS223">
        <v>0.0366961684115067</v>
      </c>
      <c r="FT223">
        <v>1</v>
      </c>
      <c r="FU223">
        <v>0</v>
      </c>
      <c r="FV223">
        <v>0</v>
      </c>
      <c r="FW223">
        <v>0</v>
      </c>
      <c r="FX223">
        <v>-1</v>
      </c>
      <c r="FY223">
        <v>1</v>
      </c>
      <c r="FZ223">
        <v>1</v>
      </c>
      <c r="GA223" t="s">
        <v>420</v>
      </c>
      <c r="GB223">
        <v>2.69567</v>
      </c>
      <c r="GC223">
        <v>2.70549</v>
      </c>
      <c r="GD223">
        <v>0.20834</v>
      </c>
      <c r="GE223">
        <v>0.212748</v>
      </c>
      <c r="GF223">
        <v>0.107029</v>
      </c>
      <c r="GG223">
        <v>0.09755519999999999</v>
      </c>
      <c r="GH223">
        <v>24875.6</v>
      </c>
      <c r="GI223">
        <v>24843.6</v>
      </c>
      <c r="GJ223">
        <v>29235.6</v>
      </c>
      <c r="GK223">
        <v>29207.9</v>
      </c>
      <c r="GL223">
        <v>34566.1</v>
      </c>
      <c r="GM223">
        <v>35084.7</v>
      </c>
      <c r="GN223">
        <v>41148</v>
      </c>
      <c r="GO223">
        <v>41673.5</v>
      </c>
      <c r="GP223">
        <v>1.72148</v>
      </c>
      <c r="GQ223">
        <v>2.03575</v>
      </c>
      <c r="GR223">
        <v>0.0738688</v>
      </c>
      <c r="GS223">
        <v>0</v>
      </c>
      <c r="GT223">
        <v>28.816</v>
      </c>
      <c r="GU223">
        <v>999.9</v>
      </c>
      <c r="GV223">
        <v>44.1</v>
      </c>
      <c r="GW223">
        <v>33.5</v>
      </c>
      <c r="GX223">
        <v>25.3467</v>
      </c>
      <c r="GY223">
        <v>63.538</v>
      </c>
      <c r="GZ223">
        <v>29.2027</v>
      </c>
      <c r="HA223">
        <v>1</v>
      </c>
      <c r="HB223">
        <v>0.270315</v>
      </c>
      <c r="HC223">
        <v>0.827372</v>
      </c>
      <c r="HD223">
        <v>20.3793</v>
      </c>
      <c r="HE223">
        <v>5.21654</v>
      </c>
      <c r="HF223">
        <v>12.0099</v>
      </c>
      <c r="HG223">
        <v>4.98785</v>
      </c>
      <c r="HH223">
        <v>3.28825</v>
      </c>
      <c r="HI223">
        <v>2732.9</v>
      </c>
      <c r="HJ223">
        <v>9999</v>
      </c>
      <c r="HK223">
        <v>9999</v>
      </c>
      <c r="HL223">
        <v>50.2</v>
      </c>
      <c r="HM223">
        <v>1.86722</v>
      </c>
      <c r="HN223">
        <v>1.86625</v>
      </c>
      <c r="HO223">
        <v>1.86584</v>
      </c>
      <c r="HP223">
        <v>1.86569</v>
      </c>
      <c r="HQ223">
        <v>1.86752</v>
      </c>
      <c r="HR223">
        <v>1.87001</v>
      </c>
      <c r="HS223">
        <v>1.86862</v>
      </c>
      <c r="HT223">
        <v>1.87002</v>
      </c>
      <c r="HU223">
        <v>0</v>
      </c>
      <c r="HV223">
        <v>0</v>
      </c>
      <c r="HW223">
        <v>0</v>
      </c>
      <c r="HX223">
        <v>0</v>
      </c>
      <c r="HY223" t="s">
        <v>421</v>
      </c>
      <c r="HZ223" t="s">
        <v>422</v>
      </c>
      <c r="IA223" t="s">
        <v>423</v>
      </c>
      <c r="IB223" t="s">
        <v>423</v>
      </c>
      <c r="IC223" t="s">
        <v>423</v>
      </c>
      <c r="ID223" t="s">
        <v>423</v>
      </c>
      <c r="IE223">
        <v>0</v>
      </c>
      <c r="IF223">
        <v>100</v>
      </c>
      <c r="IG223">
        <v>100</v>
      </c>
      <c r="IH223">
        <v>-2.01</v>
      </c>
      <c r="II223">
        <v>0.0416</v>
      </c>
      <c r="IJ223">
        <v>1.257309091789605</v>
      </c>
      <c r="IK223">
        <v>-0.002185601614162945</v>
      </c>
      <c r="IL223">
        <v>-2.252308143750626E-07</v>
      </c>
      <c r="IM223">
        <v>5.915558436307541E-11</v>
      </c>
      <c r="IN223">
        <v>-0.118683452207699</v>
      </c>
      <c r="IO223">
        <v>-0.007570214193104963</v>
      </c>
      <c r="IP223">
        <v>0.0009214429922928372</v>
      </c>
      <c r="IQ223">
        <v>-1.392260276065805E-05</v>
      </c>
      <c r="IR223">
        <v>17</v>
      </c>
      <c r="IS223">
        <v>2272</v>
      </c>
      <c r="IT223">
        <v>1</v>
      </c>
      <c r="IU223">
        <v>31</v>
      </c>
      <c r="IV223">
        <v>25.2</v>
      </c>
      <c r="IW223">
        <v>25.5</v>
      </c>
      <c r="IX223">
        <v>2.82715</v>
      </c>
      <c r="IY223">
        <v>2.1936</v>
      </c>
      <c r="IZ223">
        <v>1.39648</v>
      </c>
      <c r="JA223">
        <v>2.35229</v>
      </c>
      <c r="JB223">
        <v>1.49536</v>
      </c>
      <c r="JC223">
        <v>2.35718</v>
      </c>
      <c r="JD223">
        <v>37.0986</v>
      </c>
      <c r="JE223">
        <v>15.2178</v>
      </c>
      <c r="JF223">
        <v>18</v>
      </c>
      <c r="JG223">
        <v>387.778</v>
      </c>
      <c r="JH223">
        <v>572.607</v>
      </c>
      <c r="JI223">
        <v>28.5543</v>
      </c>
      <c r="JJ223">
        <v>30.8807</v>
      </c>
      <c r="JK223">
        <v>30.0001</v>
      </c>
      <c r="JL223">
        <v>30.7995</v>
      </c>
      <c r="JM223">
        <v>30.7011</v>
      </c>
      <c r="JN223">
        <v>56.5558</v>
      </c>
      <c r="JO223">
        <v>16.322</v>
      </c>
      <c r="JP223">
        <v>1.51981</v>
      </c>
      <c r="JQ223">
        <v>28.5465</v>
      </c>
      <c r="JR223">
        <v>1456.81</v>
      </c>
      <c r="JS223">
        <v>21.8915</v>
      </c>
      <c r="JT223">
        <v>99.9298</v>
      </c>
      <c r="JU223">
        <v>100.035</v>
      </c>
    </row>
    <row r="224" spans="1:281">
      <c r="A224">
        <v>208</v>
      </c>
      <c r="B224">
        <v>1652372808.5</v>
      </c>
      <c r="C224">
        <v>4714.900000095367</v>
      </c>
      <c r="D224" t="s">
        <v>884</v>
      </c>
      <c r="E224" t="s">
        <v>885</v>
      </c>
      <c r="F224">
        <v>5</v>
      </c>
      <c r="G224" t="s">
        <v>711</v>
      </c>
      <c r="H224" t="s">
        <v>414</v>
      </c>
      <c r="I224">
        <v>1652372800.981482</v>
      </c>
      <c r="J224">
        <f>(K224)/1000</f>
        <v>0</v>
      </c>
      <c r="K224">
        <f>IF(CZ224, AN224, AH224)</f>
        <v>0</v>
      </c>
      <c r="L224">
        <f>IF(CZ224, AI224, AG224)</f>
        <v>0</v>
      </c>
      <c r="M224">
        <f>DB224 - IF(AU224&gt;1, L224*CV224*100.0/(AW224*DP224), 0)</f>
        <v>0</v>
      </c>
      <c r="N224">
        <f>((T224-J224/2)*M224-L224)/(T224+J224/2)</f>
        <v>0</v>
      </c>
      <c r="O224">
        <f>N224*(DI224+DJ224)/1000.0</f>
        <v>0</v>
      </c>
      <c r="P224">
        <f>(DB224 - IF(AU224&gt;1, L224*CV224*100.0/(AW224*DP224), 0))*(DI224+DJ224)/1000.0</f>
        <v>0</v>
      </c>
      <c r="Q224">
        <f>2.0/((1/S224-1/R224)+SIGN(S224)*SQRT((1/S224-1/R224)*(1/S224-1/R224) + 4*CW224/((CW224+1)*(CW224+1))*(2*1/S224*1/R224-1/R224*1/R224)))</f>
        <v>0</v>
      </c>
      <c r="R224">
        <f>IF(LEFT(CX224,1)&lt;&gt;"0",IF(LEFT(CX224,1)="1",3.0,CY224),$D$5+$E$5*(DP224*DI224/($K$5*1000))+$F$5*(DP224*DI224/($K$5*1000))*MAX(MIN(CV224,$J$5),$I$5)*MAX(MIN(CV224,$J$5),$I$5)+$G$5*MAX(MIN(CV224,$J$5),$I$5)*(DP224*DI224/($K$5*1000))+$H$5*(DP224*DI224/($K$5*1000))*(DP224*DI224/($K$5*1000)))</f>
        <v>0</v>
      </c>
      <c r="S224">
        <f>J224*(1000-(1000*0.61365*exp(17.502*W224/(240.97+W224))/(DI224+DJ224)+DD224)/2)/(1000*0.61365*exp(17.502*W224/(240.97+W224))/(DI224+DJ224)-DD224)</f>
        <v>0</v>
      </c>
      <c r="T224">
        <f>1/((CW224+1)/(Q224/1.6)+1/(R224/1.37)) + CW224/((CW224+1)/(Q224/1.6) + CW224/(R224/1.37))</f>
        <v>0</v>
      </c>
      <c r="U224">
        <f>(CR224*CU224)</f>
        <v>0</v>
      </c>
      <c r="V224">
        <f>(DK224+(U224+2*0.95*5.67E-8*(((DK224+$B$7)+273)^4-(DK224+273)^4)-44100*J224)/(1.84*29.3*R224+8*0.95*5.67E-8*(DK224+273)^3))</f>
        <v>0</v>
      </c>
      <c r="W224">
        <f>($C$7*DL224+$D$7*DM224+$E$7*V224)</f>
        <v>0</v>
      </c>
      <c r="X224">
        <f>0.61365*exp(17.502*W224/(240.97+W224))</f>
        <v>0</v>
      </c>
      <c r="Y224">
        <f>(Z224/AA224*100)</f>
        <v>0</v>
      </c>
      <c r="Z224">
        <f>DD224*(DI224+DJ224)/1000</f>
        <v>0</v>
      </c>
      <c r="AA224">
        <f>0.61365*exp(17.502*DK224/(240.97+DK224))</f>
        <v>0</v>
      </c>
      <c r="AB224">
        <f>(X224-DD224*(DI224+DJ224)/1000)</f>
        <v>0</v>
      </c>
      <c r="AC224">
        <f>(-J224*44100)</f>
        <v>0</v>
      </c>
      <c r="AD224">
        <f>2*29.3*R224*0.92*(DK224-W224)</f>
        <v>0</v>
      </c>
      <c r="AE224">
        <f>2*0.95*5.67E-8*(((DK224+$B$7)+273)^4-(W224+273)^4)</f>
        <v>0</v>
      </c>
      <c r="AF224">
        <f>U224+AE224+AC224+AD224</f>
        <v>0</v>
      </c>
      <c r="AG224">
        <f>DH224*AU224*(DC224-DB224*(1000-AU224*DE224)/(1000-AU224*DD224))/(100*CV224)</f>
        <v>0</v>
      </c>
      <c r="AH224">
        <f>1000*DH224*AU224*(DD224-DE224)/(100*CV224*(1000-AU224*DD224))</f>
        <v>0</v>
      </c>
      <c r="AI224">
        <f>(AJ224 - AK224 - DI224*1E3/(8.314*(DK224+273.15)) * AM224/DH224 * AL224) * DH224/(100*CV224) * (1000 - DE224)/1000</f>
        <v>0</v>
      </c>
      <c r="AJ224">
        <v>1473.00731826221</v>
      </c>
      <c r="AK224">
        <v>1415.126606060606</v>
      </c>
      <c r="AL224">
        <v>3.363901486800351</v>
      </c>
      <c r="AM224">
        <v>65.96288611109561</v>
      </c>
      <c r="AN224">
        <f>(AP224 - AO224 + DI224*1E3/(8.314*(DK224+273.15)) * AR224/DH224 * AQ224) * DH224/(100*CV224) * 1000/(1000 - AP224)</f>
        <v>0</v>
      </c>
      <c r="AO224">
        <v>21.78553700581194</v>
      </c>
      <c r="AP224">
        <v>24.34422587412589</v>
      </c>
      <c r="AQ224">
        <v>6.317859430657612E-05</v>
      </c>
      <c r="AR224">
        <v>81.18387902069509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MAX(0,($B$13+$C$13*DP224)/(1+$D$13*DP224)*DI224/(DK224+273)*$E$13)</f>
        <v>0</v>
      </c>
      <c r="AX224" t="s">
        <v>417</v>
      </c>
      <c r="AY224" t="s">
        <v>417</v>
      </c>
      <c r="AZ224">
        <v>0</v>
      </c>
      <c r="BA224">
        <v>0</v>
      </c>
      <c r="BB224">
        <f>1-AZ224/BA224</f>
        <v>0</v>
      </c>
      <c r="BC224">
        <v>0</v>
      </c>
      <c r="BD224" t="s">
        <v>417</v>
      </c>
      <c r="BE224" t="s">
        <v>417</v>
      </c>
      <c r="BF224">
        <v>0</v>
      </c>
      <c r="BG224">
        <v>0</v>
      </c>
      <c r="BH224">
        <f>1-BF224/BG224</f>
        <v>0</v>
      </c>
      <c r="BI224">
        <v>0.5</v>
      </c>
      <c r="BJ224">
        <f>CS224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417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1393</v>
      </c>
      <c r="CA224">
        <v>300</v>
      </c>
      <c r="CB224">
        <v>300</v>
      </c>
      <c r="CC224">
        <v>300</v>
      </c>
      <c r="CD224">
        <v>10378</v>
      </c>
      <c r="CE224">
        <v>2050</v>
      </c>
      <c r="CF224">
        <v>-0.00730649</v>
      </c>
      <c r="CG224">
        <v>-4.53</v>
      </c>
      <c r="CH224" t="s">
        <v>417</v>
      </c>
      <c r="CI224" t="s">
        <v>417</v>
      </c>
      <c r="CJ224" t="s">
        <v>417</v>
      </c>
      <c r="CK224" t="s">
        <v>417</v>
      </c>
      <c r="CL224" t="s">
        <v>417</v>
      </c>
      <c r="CM224" t="s">
        <v>417</v>
      </c>
      <c r="CN224" t="s">
        <v>417</v>
      </c>
      <c r="CO224" t="s">
        <v>417</v>
      </c>
      <c r="CP224" t="s">
        <v>417</v>
      </c>
      <c r="CQ224" t="s">
        <v>417</v>
      </c>
      <c r="CR224">
        <f>$B$11*DQ224+$C$11*DR224+$F$11*EC224*(1-EF224)</f>
        <v>0</v>
      </c>
      <c r="CS224">
        <f>CR224*CT224</f>
        <v>0</v>
      </c>
      <c r="CT224">
        <f>($B$11*$D$9+$C$11*$D$9+$F$11*((EP224+EH224)/MAX(EP224+EH224+EQ224, 0.1)*$I$9+EQ224/MAX(EP224+EH224+EQ224, 0.1)*$J$9))/($B$11+$C$11+$F$11)</f>
        <v>0</v>
      </c>
      <c r="CU224">
        <f>($B$11*$K$9+$C$11*$K$9+$F$11*((EP224+EH224)/MAX(EP224+EH224+EQ224, 0.1)*$P$9+EQ224/MAX(EP224+EH224+EQ224, 0.1)*$Q$9))/($B$11+$C$11+$F$11)</f>
        <v>0</v>
      </c>
      <c r="CV224">
        <v>6</v>
      </c>
      <c r="CW224">
        <v>0.5</v>
      </c>
      <c r="CX224" t="s">
        <v>418</v>
      </c>
      <c r="CY224">
        <v>2</v>
      </c>
      <c r="CZ224" t="b">
        <v>1</v>
      </c>
      <c r="DA224">
        <v>1652372800.981482</v>
      </c>
      <c r="DB224">
        <v>1357.558888888889</v>
      </c>
      <c r="DC224">
        <v>1429.083703703704</v>
      </c>
      <c r="DD224">
        <v>24.33008888888889</v>
      </c>
      <c r="DE224">
        <v>21.76903703703704</v>
      </c>
      <c r="DF224">
        <v>1359.542222222222</v>
      </c>
      <c r="DG224">
        <v>24.28854074074074</v>
      </c>
      <c r="DH224">
        <v>400.0695925925926</v>
      </c>
      <c r="DI224">
        <v>90.39808148148148</v>
      </c>
      <c r="DJ224">
        <v>0.0999610666666667</v>
      </c>
      <c r="DK224">
        <v>30.65782592592592</v>
      </c>
      <c r="DL224">
        <v>30.0171</v>
      </c>
      <c r="DM224">
        <v>999.9000000000001</v>
      </c>
      <c r="DN224">
        <v>0</v>
      </c>
      <c r="DO224">
        <v>0</v>
      </c>
      <c r="DP224">
        <v>10006.76111111111</v>
      </c>
      <c r="DQ224">
        <v>0</v>
      </c>
      <c r="DR224">
        <v>427.9028888888889</v>
      </c>
      <c r="DS224">
        <v>-71.52495555555555</v>
      </c>
      <c r="DT224">
        <v>1391.412592592593</v>
      </c>
      <c r="DU224">
        <v>1460.887037037037</v>
      </c>
      <c r="DV224">
        <v>2.561047407407408</v>
      </c>
      <c r="DW224">
        <v>1429.083703703704</v>
      </c>
      <c r="DX224">
        <v>21.76903703703704</v>
      </c>
      <c r="DY224">
        <v>2.199392222222222</v>
      </c>
      <c r="DZ224">
        <v>1.96788</v>
      </c>
      <c r="EA224">
        <v>18.95788888888889</v>
      </c>
      <c r="EB224">
        <v>17.1881962962963</v>
      </c>
      <c r="EC224">
        <v>1499.974444444444</v>
      </c>
      <c r="ED224">
        <v>0.9730040740740741</v>
      </c>
      <c r="EE224">
        <v>0.0269957</v>
      </c>
      <c r="EF224">
        <v>0</v>
      </c>
      <c r="EG224">
        <v>1653.317407407407</v>
      </c>
      <c r="EH224">
        <v>5.00097</v>
      </c>
      <c r="EI224">
        <v>25511.83333333334</v>
      </c>
      <c r="EJ224">
        <v>12491.39259259259</v>
      </c>
      <c r="EK224">
        <v>40.06199999999999</v>
      </c>
      <c r="EL224">
        <v>41.50688888888889</v>
      </c>
      <c r="EM224">
        <v>40.29133333333333</v>
      </c>
      <c r="EN224">
        <v>41.32366666666666</v>
      </c>
      <c r="EO224">
        <v>41.125</v>
      </c>
      <c r="EP224">
        <v>1454.614074074074</v>
      </c>
      <c r="EQ224">
        <v>40.36037037037036</v>
      </c>
      <c r="ER224">
        <v>0</v>
      </c>
      <c r="ES224">
        <v>1642.599999904633</v>
      </c>
      <c r="ET224">
        <v>0</v>
      </c>
      <c r="EU224">
        <v>1653.308076923077</v>
      </c>
      <c r="EV224">
        <v>2.609572637706514</v>
      </c>
      <c r="EW224">
        <v>97.07692286491472</v>
      </c>
      <c r="EX224">
        <v>25512.02692307693</v>
      </c>
      <c r="EY224">
        <v>15</v>
      </c>
      <c r="EZ224">
        <v>1652371289.6</v>
      </c>
      <c r="FA224" t="s">
        <v>515</v>
      </c>
      <c r="FB224">
        <v>1652371289.6</v>
      </c>
      <c r="FC224">
        <v>1652371275.1</v>
      </c>
      <c r="FD224">
        <v>24</v>
      </c>
      <c r="FE224">
        <v>0.442</v>
      </c>
      <c r="FF224">
        <v>0.001</v>
      </c>
      <c r="FG224">
        <v>-2.63</v>
      </c>
      <c r="FH224">
        <v>0.007</v>
      </c>
      <c r="FI224">
        <v>1620</v>
      </c>
      <c r="FJ224">
        <v>22</v>
      </c>
      <c r="FK224">
        <v>0.08</v>
      </c>
      <c r="FL224">
        <v>0.04</v>
      </c>
      <c r="FM224">
        <v>-71.52476249999999</v>
      </c>
      <c r="FN224">
        <v>0.334726829268361</v>
      </c>
      <c r="FO224">
        <v>0.1436753679088724</v>
      </c>
      <c r="FP224">
        <v>-1</v>
      </c>
      <c r="FQ224">
        <v>2.58460475</v>
      </c>
      <c r="FR224">
        <v>-0.4569574108818151</v>
      </c>
      <c r="FS224">
        <v>0.04502638182152215</v>
      </c>
      <c r="FT224">
        <v>1</v>
      </c>
      <c r="FU224">
        <v>0</v>
      </c>
      <c r="FV224">
        <v>0</v>
      </c>
      <c r="FW224">
        <v>0</v>
      </c>
      <c r="FX224">
        <v>-1</v>
      </c>
      <c r="FY224">
        <v>1</v>
      </c>
      <c r="FZ224">
        <v>1</v>
      </c>
      <c r="GA224" t="s">
        <v>420</v>
      </c>
      <c r="GB224">
        <v>2.69554</v>
      </c>
      <c r="GC224">
        <v>2.70517</v>
      </c>
      <c r="GD224">
        <v>0.209875</v>
      </c>
      <c r="GE224">
        <v>0.21426</v>
      </c>
      <c r="GF224">
        <v>0.107076</v>
      </c>
      <c r="GG224">
        <v>0.09783310000000001</v>
      </c>
      <c r="GH224">
        <v>24827</v>
      </c>
      <c r="GI224">
        <v>24796.2</v>
      </c>
      <c r="GJ224">
        <v>29235.3</v>
      </c>
      <c r="GK224">
        <v>29208.4</v>
      </c>
      <c r="GL224">
        <v>34563.9</v>
      </c>
      <c r="GM224">
        <v>35074.3</v>
      </c>
      <c r="GN224">
        <v>41147.5</v>
      </c>
      <c r="GO224">
        <v>41674.1</v>
      </c>
      <c r="GP224">
        <v>1.72108</v>
      </c>
      <c r="GQ224">
        <v>2.03587</v>
      </c>
      <c r="GR224">
        <v>0.0736676</v>
      </c>
      <c r="GS224">
        <v>0</v>
      </c>
      <c r="GT224">
        <v>28.8164</v>
      </c>
      <c r="GU224">
        <v>999.9</v>
      </c>
      <c r="GV224">
        <v>44.1</v>
      </c>
      <c r="GW224">
        <v>33.5</v>
      </c>
      <c r="GX224">
        <v>25.3448</v>
      </c>
      <c r="GY224">
        <v>63.338</v>
      </c>
      <c r="GZ224">
        <v>28.8421</v>
      </c>
      <c r="HA224">
        <v>1</v>
      </c>
      <c r="HB224">
        <v>0.270305</v>
      </c>
      <c r="HC224">
        <v>0.840605</v>
      </c>
      <c r="HD224">
        <v>20.3793</v>
      </c>
      <c r="HE224">
        <v>5.21774</v>
      </c>
      <c r="HF224">
        <v>12.0099</v>
      </c>
      <c r="HG224">
        <v>4.9884</v>
      </c>
      <c r="HH224">
        <v>3.28842</v>
      </c>
      <c r="HI224">
        <v>2732.9</v>
      </c>
      <c r="HJ224">
        <v>9999</v>
      </c>
      <c r="HK224">
        <v>9999</v>
      </c>
      <c r="HL224">
        <v>50.2</v>
      </c>
      <c r="HM224">
        <v>1.86722</v>
      </c>
      <c r="HN224">
        <v>1.86629</v>
      </c>
      <c r="HO224">
        <v>1.86584</v>
      </c>
      <c r="HP224">
        <v>1.86569</v>
      </c>
      <c r="HQ224">
        <v>1.86752</v>
      </c>
      <c r="HR224">
        <v>1.87004</v>
      </c>
      <c r="HS224">
        <v>1.86862</v>
      </c>
      <c r="HT224">
        <v>1.87004</v>
      </c>
      <c r="HU224">
        <v>0</v>
      </c>
      <c r="HV224">
        <v>0</v>
      </c>
      <c r="HW224">
        <v>0</v>
      </c>
      <c r="HX224">
        <v>0</v>
      </c>
      <c r="HY224" t="s">
        <v>421</v>
      </c>
      <c r="HZ224" t="s">
        <v>422</v>
      </c>
      <c r="IA224" t="s">
        <v>423</v>
      </c>
      <c r="IB224" t="s">
        <v>423</v>
      </c>
      <c r="IC224" t="s">
        <v>423</v>
      </c>
      <c r="ID224" t="s">
        <v>423</v>
      </c>
      <c r="IE224">
        <v>0</v>
      </c>
      <c r="IF224">
        <v>100</v>
      </c>
      <c r="IG224">
        <v>100</v>
      </c>
      <c r="IH224">
        <v>-2.04</v>
      </c>
      <c r="II224">
        <v>0.0418</v>
      </c>
      <c r="IJ224">
        <v>1.257309091789605</v>
      </c>
      <c r="IK224">
        <v>-0.002185601614162945</v>
      </c>
      <c r="IL224">
        <v>-2.252308143750626E-07</v>
      </c>
      <c r="IM224">
        <v>5.915558436307541E-11</v>
      </c>
      <c r="IN224">
        <v>-0.118683452207699</v>
      </c>
      <c r="IO224">
        <v>-0.007570214193104963</v>
      </c>
      <c r="IP224">
        <v>0.0009214429922928372</v>
      </c>
      <c r="IQ224">
        <v>-1.392260276065805E-05</v>
      </c>
      <c r="IR224">
        <v>17</v>
      </c>
      <c r="IS224">
        <v>2272</v>
      </c>
      <c r="IT224">
        <v>1</v>
      </c>
      <c r="IU224">
        <v>31</v>
      </c>
      <c r="IV224">
        <v>25.3</v>
      </c>
      <c r="IW224">
        <v>25.6</v>
      </c>
      <c r="IX224">
        <v>2.85156</v>
      </c>
      <c r="IY224">
        <v>2.19971</v>
      </c>
      <c r="IZ224">
        <v>1.39648</v>
      </c>
      <c r="JA224">
        <v>2.35352</v>
      </c>
      <c r="JB224">
        <v>1.49536</v>
      </c>
      <c r="JC224">
        <v>2.34497</v>
      </c>
      <c r="JD224">
        <v>37.1225</v>
      </c>
      <c r="JE224">
        <v>15.2178</v>
      </c>
      <c r="JF224">
        <v>18</v>
      </c>
      <c r="JG224">
        <v>387.576</v>
      </c>
      <c r="JH224">
        <v>572.725</v>
      </c>
      <c r="JI224">
        <v>28.5383</v>
      </c>
      <c r="JJ224">
        <v>30.8807</v>
      </c>
      <c r="JK224">
        <v>30.0001</v>
      </c>
      <c r="JL224">
        <v>30.8016</v>
      </c>
      <c r="JM224">
        <v>30.7035</v>
      </c>
      <c r="JN224">
        <v>57.039</v>
      </c>
      <c r="JO224">
        <v>16.322</v>
      </c>
      <c r="JP224">
        <v>1.51981</v>
      </c>
      <c r="JQ224">
        <v>28.5277</v>
      </c>
      <c r="JR224">
        <v>1470.21</v>
      </c>
      <c r="JS224">
        <v>21.9132</v>
      </c>
      <c r="JT224">
        <v>99.9286</v>
      </c>
      <c r="JU224">
        <v>100.036</v>
      </c>
    </row>
    <row r="225" spans="1:281">
      <c r="A225">
        <v>209</v>
      </c>
      <c r="B225">
        <v>1652372813.5</v>
      </c>
      <c r="C225">
        <v>4719.900000095367</v>
      </c>
      <c r="D225" t="s">
        <v>886</v>
      </c>
      <c r="E225" t="s">
        <v>887</v>
      </c>
      <c r="F225">
        <v>5</v>
      </c>
      <c r="G225" t="s">
        <v>711</v>
      </c>
      <c r="H225" t="s">
        <v>414</v>
      </c>
      <c r="I225">
        <v>1652372806</v>
      </c>
      <c r="J225">
        <f>(K225)/1000</f>
        <v>0</v>
      </c>
      <c r="K225">
        <f>IF(CZ225, AN225, AH225)</f>
        <v>0</v>
      </c>
      <c r="L225">
        <f>IF(CZ225, AI225, AG225)</f>
        <v>0</v>
      </c>
      <c r="M225">
        <f>DB225 - IF(AU225&gt;1, L225*CV225*100.0/(AW225*DP225), 0)</f>
        <v>0</v>
      </c>
      <c r="N225">
        <f>((T225-J225/2)*M225-L225)/(T225+J225/2)</f>
        <v>0</v>
      </c>
      <c r="O225">
        <f>N225*(DI225+DJ225)/1000.0</f>
        <v>0</v>
      </c>
      <c r="P225">
        <f>(DB225 - IF(AU225&gt;1, L225*CV225*100.0/(AW225*DP225), 0))*(DI225+DJ225)/1000.0</f>
        <v>0</v>
      </c>
      <c r="Q225">
        <f>2.0/((1/S225-1/R225)+SIGN(S225)*SQRT((1/S225-1/R225)*(1/S225-1/R225) + 4*CW225/((CW225+1)*(CW225+1))*(2*1/S225*1/R225-1/R225*1/R225)))</f>
        <v>0</v>
      </c>
      <c r="R225">
        <f>IF(LEFT(CX225,1)&lt;&gt;"0",IF(LEFT(CX225,1)="1",3.0,CY225),$D$5+$E$5*(DP225*DI225/($K$5*1000))+$F$5*(DP225*DI225/($K$5*1000))*MAX(MIN(CV225,$J$5),$I$5)*MAX(MIN(CV225,$J$5),$I$5)+$G$5*MAX(MIN(CV225,$J$5),$I$5)*(DP225*DI225/($K$5*1000))+$H$5*(DP225*DI225/($K$5*1000))*(DP225*DI225/($K$5*1000)))</f>
        <v>0</v>
      </c>
      <c r="S225">
        <f>J225*(1000-(1000*0.61365*exp(17.502*W225/(240.97+W225))/(DI225+DJ225)+DD225)/2)/(1000*0.61365*exp(17.502*W225/(240.97+W225))/(DI225+DJ225)-DD225)</f>
        <v>0</v>
      </c>
      <c r="T225">
        <f>1/((CW225+1)/(Q225/1.6)+1/(R225/1.37)) + CW225/((CW225+1)/(Q225/1.6) + CW225/(R225/1.37))</f>
        <v>0</v>
      </c>
      <c r="U225">
        <f>(CR225*CU225)</f>
        <v>0</v>
      </c>
      <c r="V225">
        <f>(DK225+(U225+2*0.95*5.67E-8*(((DK225+$B$7)+273)^4-(DK225+273)^4)-44100*J225)/(1.84*29.3*R225+8*0.95*5.67E-8*(DK225+273)^3))</f>
        <v>0</v>
      </c>
      <c r="W225">
        <f>($C$7*DL225+$D$7*DM225+$E$7*V225)</f>
        <v>0</v>
      </c>
      <c r="X225">
        <f>0.61365*exp(17.502*W225/(240.97+W225))</f>
        <v>0</v>
      </c>
      <c r="Y225">
        <f>(Z225/AA225*100)</f>
        <v>0</v>
      </c>
      <c r="Z225">
        <f>DD225*(DI225+DJ225)/1000</f>
        <v>0</v>
      </c>
      <c r="AA225">
        <f>0.61365*exp(17.502*DK225/(240.97+DK225))</f>
        <v>0</v>
      </c>
      <c r="AB225">
        <f>(X225-DD225*(DI225+DJ225)/1000)</f>
        <v>0</v>
      </c>
      <c r="AC225">
        <f>(-J225*44100)</f>
        <v>0</v>
      </c>
      <c r="AD225">
        <f>2*29.3*R225*0.92*(DK225-W225)</f>
        <v>0</v>
      </c>
      <c r="AE225">
        <f>2*0.95*5.67E-8*(((DK225+$B$7)+273)^4-(W225+273)^4)</f>
        <v>0</v>
      </c>
      <c r="AF225">
        <f>U225+AE225+AC225+AD225</f>
        <v>0</v>
      </c>
      <c r="AG225">
        <f>DH225*AU225*(DC225-DB225*(1000-AU225*DE225)/(1000-AU225*DD225))/(100*CV225)</f>
        <v>0</v>
      </c>
      <c r="AH225">
        <f>1000*DH225*AU225*(DD225-DE225)/(100*CV225*(1000-AU225*DD225))</f>
        <v>0</v>
      </c>
      <c r="AI225">
        <f>(AJ225 - AK225 - DI225*1E3/(8.314*(DK225+273.15)) * AM225/DH225 * AL225) * DH225/(100*CV225) * (1000 - DE225)/1000</f>
        <v>0</v>
      </c>
      <c r="AJ225">
        <v>1490.156678419036</v>
      </c>
      <c r="AK225">
        <v>1432.068727272728</v>
      </c>
      <c r="AL225">
        <v>3.381238921077405</v>
      </c>
      <c r="AM225">
        <v>65.96288611109561</v>
      </c>
      <c r="AN225">
        <f>(AP225 - AO225 + DI225*1E3/(8.314*(DK225+273.15)) * AR225/DH225 * AQ225) * DH225/(100*CV225) * 1000/(1000 - AP225)</f>
        <v>0</v>
      </c>
      <c r="AO225">
        <v>21.86919471745054</v>
      </c>
      <c r="AP225">
        <v>24.37038811188814</v>
      </c>
      <c r="AQ225">
        <v>0.00619603576296161</v>
      </c>
      <c r="AR225">
        <v>81.18387902069509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MAX(0,($B$13+$C$13*DP225)/(1+$D$13*DP225)*DI225/(DK225+273)*$E$13)</f>
        <v>0</v>
      </c>
      <c r="AX225" t="s">
        <v>417</v>
      </c>
      <c r="AY225" t="s">
        <v>417</v>
      </c>
      <c r="AZ225">
        <v>0</v>
      </c>
      <c r="BA225">
        <v>0</v>
      </c>
      <c r="BB225">
        <f>1-AZ225/BA225</f>
        <v>0</v>
      </c>
      <c r="BC225">
        <v>0</v>
      </c>
      <c r="BD225" t="s">
        <v>417</v>
      </c>
      <c r="BE225" t="s">
        <v>417</v>
      </c>
      <c r="BF225">
        <v>0</v>
      </c>
      <c r="BG225">
        <v>0</v>
      </c>
      <c r="BH225">
        <f>1-BF225/BG225</f>
        <v>0</v>
      </c>
      <c r="BI225">
        <v>0.5</v>
      </c>
      <c r="BJ225">
        <f>CS225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417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1393</v>
      </c>
      <c r="CA225">
        <v>300</v>
      </c>
      <c r="CB225">
        <v>300</v>
      </c>
      <c r="CC225">
        <v>300</v>
      </c>
      <c r="CD225">
        <v>10378</v>
      </c>
      <c r="CE225">
        <v>2050</v>
      </c>
      <c r="CF225">
        <v>-0.00730649</v>
      </c>
      <c r="CG225">
        <v>-4.53</v>
      </c>
      <c r="CH225" t="s">
        <v>417</v>
      </c>
      <c r="CI225" t="s">
        <v>417</v>
      </c>
      <c r="CJ225" t="s">
        <v>417</v>
      </c>
      <c r="CK225" t="s">
        <v>417</v>
      </c>
      <c r="CL225" t="s">
        <v>417</v>
      </c>
      <c r="CM225" t="s">
        <v>417</v>
      </c>
      <c r="CN225" t="s">
        <v>417</v>
      </c>
      <c r="CO225" t="s">
        <v>417</v>
      </c>
      <c r="CP225" t="s">
        <v>417</v>
      </c>
      <c r="CQ225" t="s">
        <v>417</v>
      </c>
      <c r="CR225">
        <f>$B$11*DQ225+$C$11*DR225+$F$11*EC225*(1-EF225)</f>
        <v>0</v>
      </c>
      <c r="CS225">
        <f>CR225*CT225</f>
        <v>0</v>
      </c>
      <c r="CT225">
        <f>($B$11*$D$9+$C$11*$D$9+$F$11*((EP225+EH225)/MAX(EP225+EH225+EQ225, 0.1)*$I$9+EQ225/MAX(EP225+EH225+EQ225, 0.1)*$J$9))/($B$11+$C$11+$F$11)</f>
        <v>0</v>
      </c>
      <c r="CU225">
        <f>($B$11*$K$9+$C$11*$K$9+$F$11*((EP225+EH225)/MAX(EP225+EH225+EQ225, 0.1)*$P$9+EQ225/MAX(EP225+EH225+EQ225, 0.1)*$Q$9))/($B$11+$C$11+$F$11)</f>
        <v>0</v>
      </c>
      <c r="CV225">
        <v>6</v>
      </c>
      <c r="CW225">
        <v>0.5</v>
      </c>
      <c r="CX225" t="s">
        <v>418</v>
      </c>
      <c r="CY225">
        <v>2</v>
      </c>
      <c r="CZ225" t="b">
        <v>1</v>
      </c>
      <c r="DA225">
        <v>1652372806</v>
      </c>
      <c r="DB225">
        <v>1374.121481481482</v>
      </c>
      <c r="DC225">
        <v>1445.655185185185</v>
      </c>
      <c r="DD225">
        <v>24.34262962962963</v>
      </c>
      <c r="DE225">
        <v>21.82254814814815</v>
      </c>
      <c r="DF225">
        <v>1376.144814814815</v>
      </c>
      <c r="DG225">
        <v>24.30092592592593</v>
      </c>
      <c r="DH225">
        <v>400.0666666666668</v>
      </c>
      <c r="DI225">
        <v>90.39934444444442</v>
      </c>
      <c r="DJ225">
        <v>0.0999693148148148</v>
      </c>
      <c r="DK225">
        <v>30.65392962962963</v>
      </c>
      <c r="DL225">
        <v>30.01374074074074</v>
      </c>
      <c r="DM225">
        <v>999.9000000000001</v>
      </c>
      <c r="DN225">
        <v>0</v>
      </c>
      <c r="DO225">
        <v>0</v>
      </c>
      <c r="DP225">
        <v>10006.91962962963</v>
      </c>
      <c r="DQ225">
        <v>0</v>
      </c>
      <c r="DR225">
        <v>430.7518888888889</v>
      </c>
      <c r="DS225">
        <v>-71.53422592592592</v>
      </c>
      <c r="DT225">
        <v>1408.405185185185</v>
      </c>
      <c r="DU225">
        <v>1477.908518518519</v>
      </c>
      <c r="DV225">
        <v>2.520076666666666</v>
      </c>
      <c r="DW225">
        <v>1445.655185185185</v>
      </c>
      <c r="DX225">
        <v>21.82254814814815</v>
      </c>
      <c r="DY225">
        <v>2.200557407407407</v>
      </c>
      <c r="DZ225">
        <v>1.972744444444444</v>
      </c>
      <c r="EA225">
        <v>18.96636666666667</v>
      </c>
      <c r="EB225">
        <v>17.22721111111111</v>
      </c>
      <c r="EC225">
        <v>1499.98962962963</v>
      </c>
      <c r="ED225">
        <v>0.9730046296296296</v>
      </c>
      <c r="EE225">
        <v>0.0269951</v>
      </c>
      <c r="EF225">
        <v>0</v>
      </c>
      <c r="EG225">
        <v>1653.488518518519</v>
      </c>
      <c r="EH225">
        <v>5.00097</v>
      </c>
      <c r="EI225">
        <v>25516.98888888889</v>
      </c>
      <c r="EJ225">
        <v>12491.52222222222</v>
      </c>
      <c r="EK225">
        <v>40.06199999999999</v>
      </c>
      <c r="EL225">
        <v>41.50688888888889</v>
      </c>
      <c r="EM225">
        <v>40.29592592592592</v>
      </c>
      <c r="EN225">
        <v>41.31666666666666</v>
      </c>
      <c r="EO225">
        <v>41.125</v>
      </c>
      <c r="EP225">
        <v>1454.62962962963</v>
      </c>
      <c r="EQ225">
        <v>40.35999999999999</v>
      </c>
      <c r="ER225">
        <v>0</v>
      </c>
      <c r="ES225">
        <v>1647.399999856949</v>
      </c>
      <c r="ET225">
        <v>0</v>
      </c>
      <c r="EU225">
        <v>1653.488846153846</v>
      </c>
      <c r="EV225">
        <v>1.209230751896363</v>
      </c>
      <c r="EW225">
        <v>37.98974360455259</v>
      </c>
      <c r="EX225">
        <v>25516.72307692307</v>
      </c>
      <c r="EY225">
        <v>15</v>
      </c>
      <c r="EZ225">
        <v>1652371289.6</v>
      </c>
      <c r="FA225" t="s">
        <v>515</v>
      </c>
      <c r="FB225">
        <v>1652371289.6</v>
      </c>
      <c r="FC225">
        <v>1652371275.1</v>
      </c>
      <c r="FD225">
        <v>24</v>
      </c>
      <c r="FE225">
        <v>0.442</v>
      </c>
      <c r="FF225">
        <v>0.001</v>
      </c>
      <c r="FG225">
        <v>-2.63</v>
      </c>
      <c r="FH225">
        <v>0.007</v>
      </c>
      <c r="FI225">
        <v>1620</v>
      </c>
      <c r="FJ225">
        <v>22</v>
      </c>
      <c r="FK225">
        <v>0.08</v>
      </c>
      <c r="FL225">
        <v>0.04</v>
      </c>
      <c r="FM225">
        <v>-71.54051</v>
      </c>
      <c r="FN225">
        <v>-0.01963001876144327</v>
      </c>
      <c r="FO225">
        <v>0.1434847514546405</v>
      </c>
      <c r="FP225">
        <v>-1</v>
      </c>
      <c r="FQ225">
        <v>2.54619075</v>
      </c>
      <c r="FR225">
        <v>-0.5110209005628572</v>
      </c>
      <c r="FS225">
        <v>0.05027651212979575</v>
      </c>
      <c r="FT225">
        <v>0</v>
      </c>
      <c r="FU225">
        <v>0</v>
      </c>
      <c r="FV225">
        <v>0</v>
      </c>
      <c r="FW225">
        <v>0</v>
      </c>
      <c r="FX225">
        <v>-1</v>
      </c>
      <c r="FY225">
        <v>0</v>
      </c>
      <c r="FZ225">
        <v>1</v>
      </c>
      <c r="GA225" t="s">
        <v>432</v>
      </c>
      <c r="GB225">
        <v>2.69542</v>
      </c>
      <c r="GC225">
        <v>2.70502</v>
      </c>
      <c r="GD225">
        <v>0.211409</v>
      </c>
      <c r="GE225">
        <v>0.215751</v>
      </c>
      <c r="GF225">
        <v>0.10715</v>
      </c>
      <c r="GG225">
        <v>0.09791320000000001</v>
      </c>
      <c r="GH225">
        <v>24779.1</v>
      </c>
      <c r="GI225">
        <v>24748.9</v>
      </c>
      <c r="GJ225">
        <v>29235.7</v>
      </c>
      <c r="GK225">
        <v>29208.2</v>
      </c>
      <c r="GL225">
        <v>34561.5</v>
      </c>
      <c r="GM225">
        <v>35071</v>
      </c>
      <c r="GN225">
        <v>41148</v>
      </c>
      <c r="GO225">
        <v>41673.9</v>
      </c>
      <c r="GP225">
        <v>1.72115</v>
      </c>
      <c r="GQ225">
        <v>2.03615</v>
      </c>
      <c r="GR225">
        <v>0.072889</v>
      </c>
      <c r="GS225">
        <v>0</v>
      </c>
      <c r="GT225">
        <v>28.8184</v>
      </c>
      <c r="GU225">
        <v>999.9</v>
      </c>
      <c r="GV225">
        <v>44.1</v>
      </c>
      <c r="GW225">
        <v>33.5</v>
      </c>
      <c r="GX225">
        <v>25.3448</v>
      </c>
      <c r="GY225">
        <v>63.558</v>
      </c>
      <c r="GZ225">
        <v>28.6819</v>
      </c>
      <c r="HA225">
        <v>1</v>
      </c>
      <c r="HB225">
        <v>0.270381</v>
      </c>
      <c r="HC225">
        <v>0.835381</v>
      </c>
      <c r="HD225">
        <v>20.3794</v>
      </c>
      <c r="HE225">
        <v>5.21639</v>
      </c>
      <c r="HF225">
        <v>12.0099</v>
      </c>
      <c r="HG225">
        <v>4.9878</v>
      </c>
      <c r="HH225">
        <v>3.28828</v>
      </c>
      <c r="HI225">
        <v>2733.1</v>
      </c>
      <c r="HJ225">
        <v>9999</v>
      </c>
      <c r="HK225">
        <v>9999</v>
      </c>
      <c r="HL225">
        <v>50.2</v>
      </c>
      <c r="HM225">
        <v>1.86722</v>
      </c>
      <c r="HN225">
        <v>1.86627</v>
      </c>
      <c r="HO225">
        <v>1.86583</v>
      </c>
      <c r="HP225">
        <v>1.86569</v>
      </c>
      <c r="HQ225">
        <v>1.86751</v>
      </c>
      <c r="HR225">
        <v>1.87002</v>
      </c>
      <c r="HS225">
        <v>1.86861</v>
      </c>
      <c r="HT225">
        <v>1.87002</v>
      </c>
      <c r="HU225">
        <v>0</v>
      </c>
      <c r="HV225">
        <v>0</v>
      </c>
      <c r="HW225">
        <v>0</v>
      </c>
      <c r="HX225">
        <v>0</v>
      </c>
      <c r="HY225" t="s">
        <v>421</v>
      </c>
      <c r="HZ225" t="s">
        <v>422</v>
      </c>
      <c r="IA225" t="s">
        <v>423</v>
      </c>
      <c r="IB225" t="s">
        <v>423</v>
      </c>
      <c r="IC225" t="s">
        <v>423</v>
      </c>
      <c r="ID225" t="s">
        <v>423</v>
      </c>
      <c r="IE225">
        <v>0</v>
      </c>
      <c r="IF225">
        <v>100</v>
      </c>
      <c r="IG225">
        <v>100</v>
      </c>
      <c r="IH225">
        <v>-2.09</v>
      </c>
      <c r="II225">
        <v>0.042</v>
      </c>
      <c r="IJ225">
        <v>1.257309091789605</v>
      </c>
      <c r="IK225">
        <v>-0.002185601614162945</v>
      </c>
      <c r="IL225">
        <v>-2.252308143750626E-07</v>
      </c>
      <c r="IM225">
        <v>5.915558436307541E-11</v>
      </c>
      <c r="IN225">
        <v>-0.118683452207699</v>
      </c>
      <c r="IO225">
        <v>-0.007570214193104963</v>
      </c>
      <c r="IP225">
        <v>0.0009214429922928372</v>
      </c>
      <c r="IQ225">
        <v>-1.392260276065805E-05</v>
      </c>
      <c r="IR225">
        <v>17</v>
      </c>
      <c r="IS225">
        <v>2272</v>
      </c>
      <c r="IT225">
        <v>1</v>
      </c>
      <c r="IU225">
        <v>31</v>
      </c>
      <c r="IV225">
        <v>25.4</v>
      </c>
      <c r="IW225">
        <v>25.6</v>
      </c>
      <c r="IX225">
        <v>2.87109</v>
      </c>
      <c r="IY225">
        <v>2.19849</v>
      </c>
      <c r="IZ225">
        <v>1.39648</v>
      </c>
      <c r="JA225">
        <v>2.35229</v>
      </c>
      <c r="JB225">
        <v>1.49536</v>
      </c>
      <c r="JC225">
        <v>2.323</v>
      </c>
      <c r="JD225">
        <v>37.1225</v>
      </c>
      <c r="JE225">
        <v>15.209</v>
      </c>
      <c r="JF225">
        <v>18</v>
      </c>
      <c r="JG225">
        <v>387.616</v>
      </c>
      <c r="JH225">
        <v>572.937</v>
      </c>
      <c r="JI225">
        <v>28.5202</v>
      </c>
      <c r="JJ225">
        <v>30.8807</v>
      </c>
      <c r="JK225">
        <v>30.0002</v>
      </c>
      <c r="JL225">
        <v>30.8016</v>
      </c>
      <c r="JM225">
        <v>30.7037</v>
      </c>
      <c r="JN225">
        <v>57.5991</v>
      </c>
      <c r="JO225">
        <v>16.322</v>
      </c>
      <c r="JP225">
        <v>1.90221</v>
      </c>
      <c r="JQ225">
        <v>28.5144</v>
      </c>
      <c r="JR225">
        <v>1490.25</v>
      </c>
      <c r="JS225">
        <v>21.9336</v>
      </c>
      <c r="JT225">
        <v>99.9301</v>
      </c>
      <c r="JU225">
        <v>100.035</v>
      </c>
    </row>
    <row r="226" spans="1:281">
      <c r="A226">
        <v>210</v>
      </c>
      <c r="B226">
        <v>1652372818.5</v>
      </c>
      <c r="C226">
        <v>4724.900000095367</v>
      </c>
      <c r="D226" t="s">
        <v>888</v>
      </c>
      <c r="E226" t="s">
        <v>889</v>
      </c>
      <c r="F226">
        <v>5</v>
      </c>
      <c r="G226" t="s">
        <v>711</v>
      </c>
      <c r="H226" t="s">
        <v>414</v>
      </c>
      <c r="I226">
        <v>1652372810.714286</v>
      </c>
      <c r="J226">
        <f>(K226)/1000</f>
        <v>0</v>
      </c>
      <c r="K226">
        <f>IF(CZ226, AN226, AH226)</f>
        <v>0</v>
      </c>
      <c r="L226">
        <f>IF(CZ226, AI226, AG226)</f>
        <v>0</v>
      </c>
      <c r="M226">
        <f>DB226 - IF(AU226&gt;1, L226*CV226*100.0/(AW226*DP226), 0)</f>
        <v>0</v>
      </c>
      <c r="N226">
        <f>((T226-J226/2)*M226-L226)/(T226+J226/2)</f>
        <v>0</v>
      </c>
      <c r="O226">
        <f>N226*(DI226+DJ226)/1000.0</f>
        <v>0</v>
      </c>
      <c r="P226">
        <f>(DB226 - IF(AU226&gt;1, L226*CV226*100.0/(AW226*DP226), 0))*(DI226+DJ226)/1000.0</f>
        <v>0</v>
      </c>
      <c r="Q226">
        <f>2.0/((1/S226-1/R226)+SIGN(S226)*SQRT((1/S226-1/R226)*(1/S226-1/R226) + 4*CW226/((CW226+1)*(CW226+1))*(2*1/S226*1/R226-1/R226*1/R226)))</f>
        <v>0</v>
      </c>
      <c r="R226">
        <f>IF(LEFT(CX226,1)&lt;&gt;"0",IF(LEFT(CX226,1)="1",3.0,CY226),$D$5+$E$5*(DP226*DI226/($K$5*1000))+$F$5*(DP226*DI226/($K$5*1000))*MAX(MIN(CV226,$J$5),$I$5)*MAX(MIN(CV226,$J$5),$I$5)+$G$5*MAX(MIN(CV226,$J$5),$I$5)*(DP226*DI226/($K$5*1000))+$H$5*(DP226*DI226/($K$5*1000))*(DP226*DI226/($K$5*1000)))</f>
        <v>0</v>
      </c>
      <c r="S226">
        <f>J226*(1000-(1000*0.61365*exp(17.502*W226/(240.97+W226))/(DI226+DJ226)+DD226)/2)/(1000*0.61365*exp(17.502*W226/(240.97+W226))/(DI226+DJ226)-DD226)</f>
        <v>0</v>
      </c>
      <c r="T226">
        <f>1/((CW226+1)/(Q226/1.6)+1/(R226/1.37)) + CW226/((CW226+1)/(Q226/1.6) + CW226/(R226/1.37))</f>
        <v>0</v>
      </c>
      <c r="U226">
        <f>(CR226*CU226)</f>
        <v>0</v>
      </c>
      <c r="V226">
        <f>(DK226+(U226+2*0.95*5.67E-8*(((DK226+$B$7)+273)^4-(DK226+273)^4)-44100*J226)/(1.84*29.3*R226+8*0.95*5.67E-8*(DK226+273)^3))</f>
        <v>0</v>
      </c>
      <c r="W226">
        <f>($C$7*DL226+$D$7*DM226+$E$7*V226)</f>
        <v>0</v>
      </c>
      <c r="X226">
        <f>0.61365*exp(17.502*W226/(240.97+W226))</f>
        <v>0</v>
      </c>
      <c r="Y226">
        <f>(Z226/AA226*100)</f>
        <v>0</v>
      </c>
      <c r="Z226">
        <f>DD226*(DI226+DJ226)/1000</f>
        <v>0</v>
      </c>
      <c r="AA226">
        <f>0.61365*exp(17.502*DK226/(240.97+DK226))</f>
        <v>0</v>
      </c>
      <c r="AB226">
        <f>(X226-DD226*(DI226+DJ226)/1000)</f>
        <v>0</v>
      </c>
      <c r="AC226">
        <f>(-J226*44100)</f>
        <v>0</v>
      </c>
      <c r="AD226">
        <f>2*29.3*R226*0.92*(DK226-W226)</f>
        <v>0</v>
      </c>
      <c r="AE226">
        <f>2*0.95*5.67E-8*(((DK226+$B$7)+273)^4-(W226+273)^4)</f>
        <v>0</v>
      </c>
      <c r="AF226">
        <f>U226+AE226+AC226+AD226</f>
        <v>0</v>
      </c>
      <c r="AG226">
        <f>DH226*AU226*(DC226-DB226*(1000-AU226*DE226)/(1000-AU226*DD226))/(100*CV226)</f>
        <v>0</v>
      </c>
      <c r="AH226">
        <f>1000*DH226*AU226*(DD226-DE226)/(100*CV226*(1000-AU226*DD226))</f>
        <v>0</v>
      </c>
      <c r="AI226">
        <f>(AJ226 - AK226 - DI226*1E3/(8.314*(DK226+273.15)) * AM226/DH226 * AL226) * DH226/(100*CV226) * (1000 - DE226)/1000</f>
        <v>0</v>
      </c>
      <c r="AJ226">
        <v>1507.371712800621</v>
      </c>
      <c r="AK226">
        <v>1449.153878787879</v>
      </c>
      <c r="AL226">
        <v>3.418072137054223</v>
      </c>
      <c r="AM226">
        <v>65.96288611109561</v>
      </c>
      <c r="AN226">
        <f>(AP226 - AO226 + DI226*1E3/(8.314*(DK226+273.15)) * AR226/DH226 * AQ226) * DH226/(100*CV226) * 1000/(1000 - AP226)</f>
        <v>0</v>
      </c>
      <c r="AO226">
        <v>21.89752945670773</v>
      </c>
      <c r="AP226">
        <v>24.3855034965035</v>
      </c>
      <c r="AQ226">
        <v>0.001060297185282206</v>
      </c>
      <c r="AR226">
        <v>81.18387902069509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MAX(0,($B$13+$C$13*DP226)/(1+$D$13*DP226)*DI226/(DK226+273)*$E$13)</f>
        <v>0</v>
      </c>
      <c r="AX226" t="s">
        <v>417</v>
      </c>
      <c r="AY226" t="s">
        <v>417</v>
      </c>
      <c r="AZ226">
        <v>0</v>
      </c>
      <c r="BA226">
        <v>0</v>
      </c>
      <c r="BB226">
        <f>1-AZ226/BA226</f>
        <v>0</v>
      </c>
      <c r="BC226">
        <v>0</v>
      </c>
      <c r="BD226" t="s">
        <v>417</v>
      </c>
      <c r="BE226" t="s">
        <v>417</v>
      </c>
      <c r="BF226">
        <v>0</v>
      </c>
      <c r="BG226">
        <v>0</v>
      </c>
      <c r="BH226">
        <f>1-BF226/BG226</f>
        <v>0</v>
      </c>
      <c r="BI226">
        <v>0.5</v>
      </c>
      <c r="BJ226">
        <f>CS226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417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1393</v>
      </c>
      <c r="CA226">
        <v>300</v>
      </c>
      <c r="CB226">
        <v>300</v>
      </c>
      <c r="CC226">
        <v>300</v>
      </c>
      <c r="CD226">
        <v>10378</v>
      </c>
      <c r="CE226">
        <v>2050</v>
      </c>
      <c r="CF226">
        <v>-0.00730649</v>
      </c>
      <c r="CG226">
        <v>-4.53</v>
      </c>
      <c r="CH226" t="s">
        <v>417</v>
      </c>
      <c r="CI226" t="s">
        <v>417</v>
      </c>
      <c r="CJ226" t="s">
        <v>417</v>
      </c>
      <c r="CK226" t="s">
        <v>417</v>
      </c>
      <c r="CL226" t="s">
        <v>417</v>
      </c>
      <c r="CM226" t="s">
        <v>417</v>
      </c>
      <c r="CN226" t="s">
        <v>417</v>
      </c>
      <c r="CO226" t="s">
        <v>417</v>
      </c>
      <c r="CP226" t="s">
        <v>417</v>
      </c>
      <c r="CQ226" t="s">
        <v>417</v>
      </c>
      <c r="CR226">
        <f>$B$11*DQ226+$C$11*DR226+$F$11*EC226*(1-EF226)</f>
        <v>0</v>
      </c>
      <c r="CS226">
        <f>CR226*CT226</f>
        <v>0</v>
      </c>
      <c r="CT226">
        <f>($B$11*$D$9+$C$11*$D$9+$F$11*((EP226+EH226)/MAX(EP226+EH226+EQ226, 0.1)*$I$9+EQ226/MAX(EP226+EH226+EQ226, 0.1)*$J$9))/($B$11+$C$11+$F$11)</f>
        <v>0</v>
      </c>
      <c r="CU226">
        <f>($B$11*$K$9+$C$11*$K$9+$F$11*((EP226+EH226)/MAX(EP226+EH226+EQ226, 0.1)*$P$9+EQ226/MAX(EP226+EH226+EQ226, 0.1)*$Q$9))/($B$11+$C$11+$F$11)</f>
        <v>0</v>
      </c>
      <c r="CV226">
        <v>6</v>
      </c>
      <c r="CW226">
        <v>0.5</v>
      </c>
      <c r="CX226" t="s">
        <v>418</v>
      </c>
      <c r="CY226">
        <v>2</v>
      </c>
      <c r="CZ226" t="b">
        <v>1</v>
      </c>
      <c r="DA226">
        <v>1652372810.714286</v>
      </c>
      <c r="DB226">
        <v>1389.68</v>
      </c>
      <c r="DC226">
        <v>1461.353571428572</v>
      </c>
      <c r="DD226">
        <v>24.35804642857143</v>
      </c>
      <c r="DE226">
        <v>21.86844285714286</v>
      </c>
      <c r="DF226">
        <v>1391.741071428571</v>
      </c>
      <c r="DG226">
        <v>24.31614642857143</v>
      </c>
      <c r="DH226">
        <v>400.0798571428572</v>
      </c>
      <c r="DI226">
        <v>90.39966785714284</v>
      </c>
      <c r="DJ226">
        <v>0.1000390392857143</v>
      </c>
      <c r="DK226">
        <v>30.649475</v>
      </c>
      <c r="DL226">
        <v>30.01063571428571</v>
      </c>
      <c r="DM226">
        <v>999.9000000000002</v>
      </c>
      <c r="DN226">
        <v>0</v>
      </c>
      <c r="DO226">
        <v>0</v>
      </c>
      <c r="DP226">
        <v>9995.712142857143</v>
      </c>
      <c r="DQ226">
        <v>0</v>
      </c>
      <c r="DR226">
        <v>432.8274285714286</v>
      </c>
      <c r="DS226">
        <v>-71.67500357142858</v>
      </c>
      <c r="DT226">
        <v>1424.373571428571</v>
      </c>
      <c r="DU226">
        <v>1494.028214285714</v>
      </c>
      <c r="DV226">
        <v>2.489602142857142</v>
      </c>
      <c r="DW226">
        <v>1461.353571428572</v>
      </c>
      <c r="DX226">
        <v>21.86844285714286</v>
      </c>
      <c r="DY226">
        <v>2.201959642857143</v>
      </c>
      <c r="DZ226">
        <v>1.976900357142857</v>
      </c>
      <c r="EA226">
        <v>18.97656785714286</v>
      </c>
      <c r="EB226">
        <v>17.26049285714286</v>
      </c>
      <c r="EC226">
        <v>1499.985714285714</v>
      </c>
      <c r="ED226">
        <v>0.9730046428571429</v>
      </c>
      <c r="EE226">
        <v>0.02699508571428572</v>
      </c>
      <c r="EF226">
        <v>0</v>
      </c>
      <c r="EG226">
        <v>1653.551071428572</v>
      </c>
      <c r="EH226">
        <v>5.00097</v>
      </c>
      <c r="EI226">
        <v>25517.79642857143</v>
      </c>
      <c r="EJ226">
        <v>12491.49642857142</v>
      </c>
      <c r="EK226">
        <v>40.06199999999999</v>
      </c>
      <c r="EL226">
        <v>41.5</v>
      </c>
      <c r="EM226">
        <v>40.3097857142857</v>
      </c>
      <c r="EN226">
        <v>41.31649999999998</v>
      </c>
      <c r="EO226">
        <v>41.125</v>
      </c>
      <c r="EP226">
        <v>1454.625714285714</v>
      </c>
      <c r="EQ226">
        <v>40.35999999999999</v>
      </c>
      <c r="ER226">
        <v>0</v>
      </c>
      <c r="ES226">
        <v>1652.799999952316</v>
      </c>
      <c r="ET226">
        <v>0</v>
      </c>
      <c r="EU226">
        <v>1653.5584</v>
      </c>
      <c r="EV226">
        <v>1.04307690552789</v>
      </c>
      <c r="EW226">
        <v>-45.91538464400378</v>
      </c>
      <c r="EX226">
        <v>25517.428</v>
      </c>
      <c r="EY226">
        <v>15</v>
      </c>
      <c r="EZ226">
        <v>1652371289.6</v>
      </c>
      <c r="FA226" t="s">
        <v>515</v>
      </c>
      <c r="FB226">
        <v>1652371289.6</v>
      </c>
      <c r="FC226">
        <v>1652371275.1</v>
      </c>
      <c r="FD226">
        <v>24</v>
      </c>
      <c r="FE226">
        <v>0.442</v>
      </c>
      <c r="FF226">
        <v>0.001</v>
      </c>
      <c r="FG226">
        <v>-2.63</v>
      </c>
      <c r="FH226">
        <v>0.007</v>
      </c>
      <c r="FI226">
        <v>1620</v>
      </c>
      <c r="FJ226">
        <v>22</v>
      </c>
      <c r="FK226">
        <v>0.08</v>
      </c>
      <c r="FL226">
        <v>0.04</v>
      </c>
      <c r="FM226">
        <v>-71.6146025</v>
      </c>
      <c r="FN226">
        <v>-1.451706191369551</v>
      </c>
      <c r="FO226">
        <v>0.2245372235148325</v>
      </c>
      <c r="FP226">
        <v>-1</v>
      </c>
      <c r="FQ226">
        <v>2.5119225</v>
      </c>
      <c r="FR226">
        <v>-0.4114198874296441</v>
      </c>
      <c r="FS226">
        <v>0.04216757852604298</v>
      </c>
      <c r="FT226">
        <v>1</v>
      </c>
      <c r="FU226">
        <v>0</v>
      </c>
      <c r="FV226">
        <v>0</v>
      </c>
      <c r="FW226">
        <v>0</v>
      </c>
      <c r="FX226">
        <v>-1</v>
      </c>
      <c r="FY226">
        <v>1</v>
      </c>
      <c r="FZ226">
        <v>1</v>
      </c>
      <c r="GA226" t="s">
        <v>420</v>
      </c>
      <c r="GB226">
        <v>2.69558</v>
      </c>
      <c r="GC226">
        <v>2.70499</v>
      </c>
      <c r="GD226">
        <v>0.212942</v>
      </c>
      <c r="GE226">
        <v>0.217292</v>
      </c>
      <c r="GF226">
        <v>0.107194</v>
      </c>
      <c r="GG226">
        <v>0.0979727</v>
      </c>
      <c r="GH226">
        <v>24731</v>
      </c>
      <c r="GI226">
        <v>24700.4</v>
      </c>
      <c r="GJ226">
        <v>29235.9</v>
      </c>
      <c r="GK226">
        <v>29208.5</v>
      </c>
      <c r="GL226">
        <v>34560.1</v>
      </c>
      <c r="GM226">
        <v>35068.8</v>
      </c>
      <c r="GN226">
        <v>41148.4</v>
      </c>
      <c r="GO226">
        <v>41674.1</v>
      </c>
      <c r="GP226">
        <v>1.72117</v>
      </c>
      <c r="GQ226">
        <v>2.03615</v>
      </c>
      <c r="GR226">
        <v>0.0731647</v>
      </c>
      <c r="GS226">
        <v>0</v>
      </c>
      <c r="GT226">
        <v>28.8162</v>
      </c>
      <c r="GU226">
        <v>999.9</v>
      </c>
      <c r="GV226">
        <v>44.1</v>
      </c>
      <c r="GW226">
        <v>33.5</v>
      </c>
      <c r="GX226">
        <v>25.3478</v>
      </c>
      <c r="GY226">
        <v>63.478</v>
      </c>
      <c r="GZ226">
        <v>28.6899</v>
      </c>
      <c r="HA226">
        <v>1</v>
      </c>
      <c r="HB226">
        <v>0.2703</v>
      </c>
      <c r="HC226">
        <v>0.812859</v>
      </c>
      <c r="HD226">
        <v>20.3796</v>
      </c>
      <c r="HE226">
        <v>5.21639</v>
      </c>
      <c r="HF226">
        <v>12.0099</v>
      </c>
      <c r="HG226">
        <v>4.988</v>
      </c>
      <c r="HH226">
        <v>3.2883</v>
      </c>
      <c r="HI226">
        <v>2733.1</v>
      </c>
      <c r="HJ226">
        <v>9999</v>
      </c>
      <c r="HK226">
        <v>9999</v>
      </c>
      <c r="HL226">
        <v>50.2</v>
      </c>
      <c r="HM226">
        <v>1.86722</v>
      </c>
      <c r="HN226">
        <v>1.86627</v>
      </c>
      <c r="HO226">
        <v>1.86584</v>
      </c>
      <c r="HP226">
        <v>1.86569</v>
      </c>
      <c r="HQ226">
        <v>1.86752</v>
      </c>
      <c r="HR226">
        <v>1.87002</v>
      </c>
      <c r="HS226">
        <v>1.86861</v>
      </c>
      <c r="HT226">
        <v>1.87001</v>
      </c>
      <c r="HU226">
        <v>0</v>
      </c>
      <c r="HV226">
        <v>0</v>
      </c>
      <c r="HW226">
        <v>0</v>
      </c>
      <c r="HX226">
        <v>0</v>
      </c>
      <c r="HY226" t="s">
        <v>421</v>
      </c>
      <c r="HZ226" t="s">
        <v>422</v>
      </c>
      <c r="IA226" t="s">
        <v>423</v>
      </c>
      <c r="IB226" t="s">
        <v>423</v>
      </c>
      <c r="IC226" t="s">
        <v>423</v>
      </c>
      <c r="ID226" t="s">
        <v>423</v>
      </c>
      <c r="IE226">
        <v>0</v>
      </c>
      <c r="IF226">
        <v>100</v>
      </c>
      <c r="IG226">
        <v>100</v>
      </c>
      <c r="IH226">
        <v>-2.12</v>
      </c>
      <c r="II226">
        <v>0.0423</v>
      </c>
      <c r="IJ226">
        <v>1.257309091789605</v>
      </c>
      <c r="IK226">
        <v>-0.002185601614162945</v>
      </c>
      <c r="IL226">
        <v>-2.252308143750626E-07</v>
      </c>
      <c r="IM226">
        <v>5.915558436307541E-11</v>
      </c>
      <c r="IN226">
        <v>-0.118683452207699</v>
      </c>
      <c r="IO226">
        <v>-0.007570214193104963</v>
      </c>
      <c r="IP226">
        <v>0.0009214429922928372</v>
      </c>
      <c r="IQ226">
        <v>-1.392260276065805E-05</v>
      </c>
      <c r="IR226">
        <v>17</v>
      </c>
      <c r="IS226">
        <v>2272</v>
      </c>
      <c r="IT226">
        <v>1</v>
      </c>
      <c r="IU226">
        <v>31</v>
      </c>
      <c r="IV226">
        <v>25.5</v>
      </c>
      <c r="IW226">
        <v>25.7</v>
      </c>
      <c r="IX226">
        <v>2.90283</v>
      </c>
      <c r="IY226">
        <v>2.19971</v>
      </c>
      <c r="IZ226">
        <v>1.39648</v>
      </c>
      <c r="JA226">
        <v>2.35229</v>
      </c>
      <c r="JB226">
        <v>1.49536</v>
      </c>
      <c r="JC226">
        <v>2.30591</v>
      </c>
      <c r="JD226">
        <v>37.1225</v>
      </c>
      <c r="JE226">
        <v>15.209</v>
      </c>
      <c r="JF226">
        <v>18</v>
      </c>
      <c r="JG226">
        <v>387.63</v>
      </c>
      <c r="JH226">
        <v>572.937</v>
      </c>
      <c r="JI226">
        <v>28.5082</v>
      </c>
      <c r="JJ226">
        <v>30.8807</v>
      </c>
      <c r="JK226">
        <v>30.0001</v>
      </c>
      <c r="JL226">
        <v>30.8016</v>
      </c>
      <c r="JM226">
        <v>30.7037</v>
      </c>
      <c r="JN226">
        <v>58.0747</v>
      </c>
      <c r="JO226">
        <v>16.322</v>
      </c>
      <c r="JP226">
        <v>1.90221</v>
      </c>
      <c r="JQ226">
        <v>28.5095</v>
      </c>
      <c r="JR226">
        <v>1503.61</v>
      </c>
      <c r="JS226">
        <v>21.9529</v>
      </c>
      <c r="JT226">
        <v>99.93089999999999</v>
      </c>
      <c r="JU226">
        <v>100.036</v>
      </c>
    </row>
    <row r="227" spans="1:281">
      <c r="A227">
        <v>211</v>
      </c>
      <c r="B227">
        <v>1652372823.5</v>
      </c>
      <c r="C227">
        <v>4729.900000095367</v>
      </c>
      <c r="D227" t="s">
        <v>890</v>
      </c>
      <c r="E227" t="s">
        <v>891</v>
      </c>
      <c r="F227">
        <v>5</v>
      </c>
      <c r="G227" t="s">
        <v>711</v>
      </c>
      <c r="H227" t="s">
        <v>414</v>
      </c>
      <c r="I227">
        <v>1652372816</v>
      </c>
      <c r="J227">
        <f>(K227)/1000</f>
        <v>0</v>
      </c>
      <c r="K227">
        <f>IF(CZ227, AN227, AH227)</f>
        <v>0</v>
      </c>
      <c r="L227">
        <f>IF(CZ227, AI227, AG227)</f>
        <v>0</v>
      </c>
      <c r="M227">
        <f>DB227 - IF(AU227&gt;1, L227*CV227*100.0/(AW227*DP227), 0)</f>
        <v>0</v>
      </c>
      <c r="N227">
        <f>((T227-J227/2)*M227-L227)/(T227+J227/2)</f>
        <v>0</v>
      </c>
      <c r="O227">
        <f>N227*(DI227+DJ227)/1000.0</f>
        <v>0</v>
      </c>
      <c r="P227">
        <f>(DB227 - IF(AU227&gt;1, L227*CV227*100.0/(AW227*DP227), 0))*(DI227+DJ227)/1000.0</f>
        <v>0</v>
      </c>
      <c r="Q227">
        <f>2.0/((1/S227-1/R227)+SIGN(S227)*SQRT((1/S227-1/R227)*(1/S227-1/R227) + 4*CW227/((CW227+1)*(CW227+1))*(2*1/S227*1/R227-1/R227*1/R227)))</f>
        <v>0</v>
      </c>
      <c r="R227">
        <f>IF(LEFT(CX227,1)&lt;&gt;"0",IF(LEFT(CX227,1)="1",3.0,CY227),$D$5+$E$5*(DP227*DI227/($K$5*1000))+$F$5*(DP227*DI227/($K$5*1000))*MAX(MIN(CV227,$J$5),$I$5)*MAX(MIN(CV227,$J$5),$I$5)+$G$5*MAX(MIN(CV227,$J$5),$I$5)*(DP227*DI227/($K$5*1000))+$H$5*(DP227*DI227/($K$5*1000))*(DP227*DI227/($K$5*1000)))</f>
        <v>0</v>
      </c>
      <c r="S227">
        <f>J227*(1000-(1000*0.61365*exp(17.502*W227/(240.97+W227))/(DI227+DJ227)+DD227)/2)/(1000*0.61365*exp(17.502*W227/(240.97+W227))/(DI227+DJ227)-DD227)</f>
        <v>0</v>
      </c>
      <c r="T227">
        <f>1/((CW227+1)/(Q227/1.6)+1/(R227/1.37)) + CW227/((CW227+1)/(Q227/1.6) + CW227/(R227/1.37))</f>
        <v>0</v>
      </c>
      <c r="U227">
        <f>(CR227*CU227)</f>
        <v>0</v>
      </c>
      <c r="V227">
        <f>(DK227+(U227+2*0.95*5.67E-8*(((DK227+$B$7)+273)^4-(DK227+273)^4)-44100*J227)/(1.84*29.3*R227+8*0.95*5.67E-8*(DK227+273)^3))</f>
        <v>0</v>
      </c>
      <c r="W227">
        <f>($C$7*DL227+$D$7*DM227+$E$7*V227)</f>
        <v>0</v>
      </c>
      <c r="X227">
        <f>0.61365*exp(17.502*W227/(240.97+W227))</f>
        <v>0</v>
      </c>
      <c r="Y227">
        <f>(Z227/AA227*100)</f>
        <v>0</v>
      </c>
      <c r="Z227">
        <f>DD227*(DI227+DJ227)/1000</f>
        <v>0</v>
      </c>
      <c r="AA227">
        <f>0.61365*exp(17.502*DK227/(240.97+DK227))</f>
        <v>0</v>
      </c>
      <c r="AB227">
        <f>(X227-DD227*(DI227+DJ227)/1000)</f>
        <v>0</v>
      </c>
      <c r="AC227">
        <f>(-J227*44100)</f>
        <v>0</v>
      </c>
      <c r="AD227">
        <f>2*29.3*R227*0.92*(DK227-W227)</f>
        <v>0</v>
      </c>
      <c r="AE227">
        <f>2*0.95*5.67E-8*(((DK227+$B$7)+273)^4-(W227+273)^4)</f>
        <v>0</v>
      </c>
      <c r="AF227">
        <f>U227+AE227+AC227+AD227</f>
        <v>0</v>
      </c>
      <c r="AG227">
        <f>DH227*AU227*(DC227-DB227*(1000-AU227*DE227)/(1000-AU227*DD227))/(100*CV227)</f>
        <v>0</v>
      </c>
      <c r="AH227">
        <f>1000*DH227*AU227*(DD227-DE227)/(100*CV227*(1000-AU227*DD227))</f>
        <v>0</v>
      </c>
      <c r="AI227">
        <f>(AJ227 - AK227 - DI227*1E3/(8.314*(DK227+273.15)) * AM227/DH227 * AL227) * DH227/(100*CV227) * (1000 - DE227)/1000</f>
        <v>0</v>
      </c>
      <c r="AJ227">
        <v>1525.163854857532</v>
      </c>
      <c r="AK227">
        <v>1466.280484848485</v>
      </c>
      <c r="AL227">
        <v>3.4216663414021</v>
      </c>
      <c r="AM227">
        <v>65.96288611109561</v>
      </c>
      <c r="AN227">
        <f>(AP227 - AO227 + DI227*1E3/(8.314*(DK227+273.15)) * AR227/DH227 * AQ227) * DH227/(100*CV227) * 1000/(1000 - AP227)</f>
        <v>0</v>
      </c>
      <c r="AO227">
        <v>21.91450636258204</v>
      </c>
      <c r="AP227">
        <v>24.39280349650352</v>
      </c>
      <c r="AQ227">
        <v>0.000860125529511649</v>
      </c>
      <c r="AR227">
        <v>81.18387902069509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MAX(0,($B$13+$C$13*DP227)/(1+$D$13*DP227)*DI227/(DK227+273)*$E$13)</f>
        <v>0</v>
      </c>
      <c r="AX227" t="s">
        <v>417</v>
      </c>
      <c r="AY227" t="s">
        <v>417</v>
      </c>
      <c r="AZ227">
        <v>0</v>
      </c>
      <c r="BA227">
        <v>0</v>
      </c>
      <c r="BB227">
        <f>1-AZ227/BA227</f>
        <v>0</v>
      </c>
      <c r="BC227">
        <v>0</v>
      </c>
      <c r="BD227" t="s">
        <v>417</v>
      </c>
      <c r="BE227" t="s">
        <v>417</v>
      </c>
      <c r="BF227">
        <v>0</v>
      </c>
      <c r="BG227">
        <v>0</v>
      </c>
      <c r="BH227">
        <f>1-BF227/BG227</f>
        <v>0</v>
      </c>
      <c r="BI227">
        <v>0.5</v>
      </c>
      <c r="BJ227">
        <f>CS227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417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1393</v>
      </c>
      <c r="CA227">
        <v>300</v>
      </c>
      <c r="CB227">
        <v>300</v>
      </c>
      <c r="CC227">
        <v>300</v>
      </c>
      <c r="CD227">
        <v>10378</v>
      </c>
      <c r="CE227">
        <v>2050</v>
      </c>
      <c r="CF227">
        <v>-0.00730649</v>
      </c>
      <c r="CG227">
        <v>-4.53</v>
      </c>
      <c r="CH227" t="s">
        <v>417</v>
      </c>
      <c r="CI227" t="s">
        <v>417</v>
      </c>
      <c r="CJ227" t="s">
        <v>417</v>
      </c>
      <c r="CK227" t="s">
        <v>417</v>
      </c>
      <c r="CL227" t="s">
        <v>417</v>
      </c>
      <c r="CM227" t="s">
        <v>417</v>
      </c>
      <c r="CN227" t="s">
        <v>417</v>
      </c>
      <c r="CO227" t="s">
        <v>417</v>
      </c>
      <c r="CP227" t="s">
        <v>417</v>
      </c>
      <c r="CQ227" t="s">
        <v>417</v>
      </c>
      <c r="CR227">
        <f>$B$11*DQ227+$C$11*DR227+$F$11*EC227*(1-EF227)</f>
        <v>0</v>
      </c>
      <c r="CS227">
        <f>CR227*CT227</f>
        <v>0</v>
      </c>
      <c r="CT227">
        <f>($B$11*$D$9+$C$11*$D$9+$F$11*((EP227+EH227)/MAX(EP227+EH227+EQ227, 0.1)*$I$9+EQ227/MAX(EP227+EH227+EQ227, 0.1)*$J$9))/($B$11+$C$11+$F$11)</f>
        <v>0</v>
      </c>
      <c r="CU227">
        <f>($B$11*$K$9+$C$11*$K$9+$F$11*((EP227+EH227)/MAX(EP227+EH227+EQ227, 0.1)*$P$9+EQ227/MAX(EP227+EH227+EQ227, 0.1)*$Q$9))/($B$11+$C$11+$F$11)</f>
        <v>0</v>
      </c>
      <c r="CV227">
        <v>6</v>
      </c>
      <c r="CW227">
        <v>0.5</v>
      </c>
      <c r="CX227" t="s">
        <v>418</v>
      </c>
      <c r="CY227">
        <v>2</v>
      </c>
      <c r="CZ227" t="b">
        <v>1</v>
      </c>
      <c r="DA227">
        <v>1652372816</v>
      </c>
      <c r="DB227">
        <v>1407.178888888889</v>
      </c>
      <c r="DC227">
        <v>1479.197407407407</v>
      </c>
      <c r="DD227">
        <v>24.3773074074074</v>
      </c>
      <c r="DE227">
        <v>21.90177407407407</v>
      </c>
      <c r="DF227">
        <v>1409.282962962963</v>
      </c>
      <c r="DG227">
        <v>24.33516296296296</v>
      </c>
      <c r="DH227">
        <v>400.0620740740741</v>
      </c>
      <c r="DI227">
        <v>90.39870000000001</v>
      </c>
      <c r="DJ227">
        <v>0.09999379999999999</v>
      </c>
      <c r="DK227">
        <v>30.64273703703703</v>
      </c>
      <c r="DL227">
        <v>30.00856296296296</v>
      </c>
      <c r="DM227">
        <v>999.9000000000001</v>
      </c>
      <c r="DN227">
        <v>0</v>
      </c>
      <c r="DO227">
        <v>0</v>
      </c>
      <c r="DP227">
        <v>9993.11925925926</v>
      </c>
      <c r="DQ227">
        <v>0</v>
      </c>
      <c r="DR227">
        <v>432.4006296296296</v>
      </c>
      <c r="DS227">
        <v>-72.0201148148148</v>
      </c>
      <c r="DT227">
        <v>1442.337407407407</v>
      </c>
      <c r="DU227">
        <v>1512.321481481481</v>
      </c>
      <c r="DV227">
        <v>2.475533333333333</v>
      </c>
      <c r="DW227">
        <v>1479.197407407407</v>
      </c>
      <c r="DX227">
        <v>21.90177407407407</v>
      </c>
      <c r="DY227">
        <v>2.203678148148148</v>
      </c>
      <c r="DZ227">
        <v>1.979892222222222</v>
      </c>
      <c r="EA227">
        <v>18.98907037037037</v>
      </c>
      <c r="EB227">
        <v>17.28442962962963</v>
      </c>
      <c r="EC227">
        <v>1500.00037037037</v>
      </c>
      <c r="ED227">
        <v>0.973005</v>
      </c>
      <c r="EE227">
        <v>0.02699470000000001</v>
      </c>
      <c r="EF227">
        <v>0</v>
      </c>
      <c r="EG227">
        <v>1653.558518518518</v>
      </c>
      <c r="EH227">
        <v>5.00097</v>
      </c>
      <c r="EI227">
        <v>25511.93333333333</v>
      </c>
      <c r="EJ227">
        <v>12491.62592592592</v>
      </c>
      <c r="EK227">
        <v>40.06199999999999</v>
      </c>
      <c r="EL227">
        <v>41.5</v>
      </c>
      <c r="EM227">
        <v>40.30281481481481</v>
      </c>
      <c r="EN227">
        <v>41.319</v>
      </c>
      <c r="EO227">
        <v>41.125</v>
      </c>
      <c r="EP227">
        <v>1454.64037037037</v>
      </c>
      <c r="EQ227">
        <v>40.35999999999999</v>
      </c>
      <c r="ER227">
        <v>0</v>
      </c>
      <c r="ES227">
        <v>1657.599999904633</v>
      </c>
      <c r="ET227">
        <v>0</v>
      </c>
      <c r="EU227">
        <v>1653.5508</v>
      </c>
      <c r="EV227">
        <v>-1.305384622278343</v>
      </c>
      <c r="EW227">
        <v>-99.14615369361226</v>
      </c>
      <c r="EX227">
        <v>25511.356</v>
      </c>
      <c r="EY227">
        <v>15</v>
      </c>
      <c r="EZ227">
        <v>1652371289.6</v>
      </c>
      <c r="FA227" t="s">
        <v>515</v>
      </c>
      <c r="FB227">
        <v>1652371289.6</v>
      </c>
      <c r="FC227">
        <v>1652371275.1</v>
      </c>
      <c r="FD227">
        <v>24</v>
      </c>
      <c r="FE227">
        <v>0.442</v>
      </c>
      <c r="FF227">
        <v>0.001</v>
      </c>
      <c r="FG227">
        <v>-2.63</v>
      </c>
      <c r="FH227">
        <v>0.007</v>
      </c>
      <c r="FI227">
        <v>1620</v>
      </c>
      <c r="FJ227">
        <v>22</v>
      </c>
      <c r="FK227">
        <v>0.08</v>
      </c>
      <c r="FL227">
        <v>0.04</v>
      </c>
      <c r="FM227">
        <v>-71.84484749999999</v>
      </c>
      <c r="FN227">
        <v>-4.126076172607728</v>
      </c>
      <c r="FO227">
        <v>0.4267634022426824</v>
      </c>
      <c r="FP227">
        <v>-1</v>
      </c>
      <c r="FQ227">
        <v>2.48727475</v>
      </c>
      <c r="FR227">
        <v>-0.1862479924953121</v>
      </c>
      <c r="FS227">
        <v>0.02368457588679816</v>
      </c>
      <c r="FT227">
        <v>1</v>
      </c>
      <c r="FU227">
        <v>0</v>
      </c>
      <c r="FV227">
        <v>0</v>
      </c>
      <c r="FW227">
        <v>0</v>
      </c>
      <c r="FX227">
        <v>-1</v>
      </c>
      <c r="FY227">
        <v>1</v>
      </c>
      <c r="FZ227">
        <v>1</v>
      </c>
      <c r="GA227" t="s">
        <v>420</v>
      </c>
      <c r="GB227">
        <v>2.69564</v>
      </c>
      <c r="GC227">
        <v>2.70511</v>
      </c>
      <c r="GD227">
        <v>0.214476</v>
      </c>
      <c r="GE227">
        <v>0.218748</v>
      </c>
      <c r="GF227">
        <v>0.107208</v>
      </c>
      <c r="GG227">
        <v>0.0979892</v>
      </c>
      <c r="GH227">
        <v>24682.7</v>
      </c>
      <c r="GI227">
        <v>24654.4</v>
      </c>
      <c r="GJ227">
        <v>29236</v>
      </c>
      <c r="GK227">
        <v>29208.6</v>
      </c>
      <c r="GL227">
        <v>34559.8</v>
      </c>
      <c r="GM227">
        <v>35068.6</v>
      </c>
      <c r="GN227">
        <v>41148.6</v>
      </c>
      <c r="GO227">
        <v>41674.6</v>
      </c>
      <c r="GP227">
        <v>1.72127</v>
      </c>
      <c r="GQ227">
        <v>2.03595</v>
      </c>
      <c r="GR227">
        <v>0.07327649999999999</v>
      </c>
      <c r="GS227">
        <v>0</v>
      </c>
      <c r="GT227">
        <v>28.816</v>
      </c>
      <c r="GU227">
        <v>999.9</v>
      </c>
      <c r="GV227">
        <v>44.1</v>
      </c>
      <c r="GW227">
        <v>33.5</v>
      </c>
      <c r="GX227">
        <v>25.3473</v>
      </c>
      <c r="GY227">
        <v>63.248</v>
      </c>
      <c r="GZ227">
        <v>28.8782</v>
      </c>
      <c r="HA227">
        <v>1</v>
      </c>
      <c r="HB227">
        <v>0.270213</v>
      </c>
      <c r="HC227">
        <v>0.806408</v>
      </c>
      <c r="HD227">
        <v>20.3796</v>
      </c>
      <c r="HE227">
        <v>5.21744</v>
      </c>
      <c r="HF227">
        <v>12.0099</v>
      </c>
      <c r="HG227">
        <v>4.98805</v>
      </c>
      <c r="HH227">
        <v>3.28855</v>
      </c>
      <c r="HI227">
        <v>2733.3</v>
      </c>
      <c r="HJ227">
        <v>9999</v>
      </c>
      <c r="HK227">
        <v>9999</v>
      </c>
      <c r="HL227">
        <v>50.2</v>
      </c>
      <c r="HM227">
        <v>1.86722</v>
      </c>
      <c r="HN227">
        <v>1.86625</v>
      </c>
      <c r="HO227">
        <v>1.86582</v>
      </c>
      <c r="HP227">
        <v>1.86569</v>
      </c>
      <c r="HQ227">
        <v>1.86751</v>
      </c>
      <c r="HR227">
        <v>1.87004</v>
      </c>
      <c r="HS227">
        <v>1.86862</v>
      </c>
      <c r="HT227">
        <v>1.87001</v>
      </c>
      <c r="HU227">
        <v>0</v>
      </c>
      <c r="HV227">
        <v>0</v>
      </c>
      <c r="HW227">
        <v>0</v>
      </c>
      <c r="HX227">
        <v>0</v>
      </c>
      <c r="HY227" t="s">
        <v>421</v>
      </c>
      <c r="HZ227" t="s">
        <v>422</v>
      </c>
      <c r="IA227" t="s">
        <v>423</v>
      </c>
      <c r="IB227" t="s">
        <v>423</v>
      </c>
      <c r="IC227" t="s">
        <v>423</v>
      </c>
      <c r="ID227" t="s">
        <v>423</v>
      </c>
      <c r="IE227">
        <v>0</v>
      </c>
      <c r="IF227">
        <v>100</v>
      </c>
      <c r="IG227">
        <v>100</v>
      </c>
      <c r="IH227">
        <v>-2.16</v>
      </c>
      <c r="II227">
        <v>0.0423</v>
      </c>
      <c r="IJ227">
        <v>1.257309091789605</v>
      </c>
      <c r="IK227">
        <v>-0.002185601614162945</v>
      </c>
      <c r="IL227">
        <v>-2.252308143750626E-07</v>
      </c>
      <c r="IM227">
        <v>5.915558436307541E-11</v>
      </c>
      <c r="IN227">
        <v>-0.118683452207699</v>
      </c>
      <c r="IO227">
        <v>-0.007570214193104963</v>
      </c>
      <c r="IP227">
        <v>0.0009214429922928372</v>
      </c>
      <c r="IQ227">
        <v>-1.392260276065805E-05</v>
      </c>
      <c r="IR227">
        <v>17</v>
      </c>
      <c r="IS227">
        <v>2272</v>
      </c>
      <c r="IT227">
        <v>1</v>
      </c>
      <c r="IU227">
        <v>31</v>
      </c>
      <c r="IV227">
        <v>25.6</v>
      </c>
      <c r="IW227">
        <v>25.8</v>
      </c>
      <c r="IX227">
        <v>2.92969</v>
      </c>
      <c r="IY227">
        <v>2.19604</v>
      </c>
      <c r="IZ227">
        <v>1.39648</v>
      </c>
      <c r="JA227">
        <v>2.35229</v>
      </c>
      <c r="JB227">
        <v>1.49536</v>
      </c>
      <c r="JC227">
        <v>2.30103</v>
      </c>
      <c r="JD227">
        <v>37.1225</v>
      </c>
      <c r="JE227">
        <v>15.209</v>
      </c>
      <c r="JF227">
        <v>18</v>
      </c>
      <c r="JG227">
        <v>387.694</v>
      </c>
      <c r="JH227">
        <v>572.801</v>
      </c>
      <c r="JI227">
        <v>28.5023</v>
      </c>
      <c r="JJ227">
        <v>30.8807</v>
      </c>
      <c r="JK227">
        <v>30</v>
      </c>
      <c r="JL227">
        <v>30.8035</v>
      </c>
      <c r="JM227">
        <v>30.7055</v>
      </c>
      <c r="JN227">
        <v>58.6215</v>
      </c>
      <c r="JO227">
        <v>16.322</v>
      </c>
      <c r="JP227">
        <v>2.28003</v>
      </c>
      <c r="JQ227">
        <v>28.5002</v>
      </c>
      <c r="JR227">
        <v>1523.65</v>
      </c>
      <c r="JS227">
        <v>21.9864</v>
      </c>
      <c r="JT227">
        <v>99.9312</v>
      </c>
      <c r="JU227">
        <v>100.037</v>
      </c>
    </row>
    <row r="228" spans="1:281">
      <c r="A228">
        <v>212</v>
      </c>
      <c r="B228">
        <v>1652372828.5</v>
      </c>
      <c r="C228">
        <v>4734.900000095367</v>
      </c>
      <c r="D228" t="s">
        <v>892</v>
      </c>
      <c r="E228" t="s">
        <v>893</v>
      </c>
      <c r="F228">
        <v>5</v>
      </c>
      <c r="G228" t="s">
        <v>711</v>
      </c>
      <c r="H228" t="s">
        <v>414</v>
      </c>
      <c r="I228">
        <v>1652372820.714286</v>
      </c>
      <c r="J228">
        <f>(K228)/1000</f>
        <v>0</v>
      </c>
      <c r="K228">
        <f>IF(CZ228, AN228, AH228)</f>
        <v>0</v>
      </c>
      <c r="L228">
        <f>IF(CZ228, AI228, AG228)</f>
        <v>0</v>
      </c>
      <c r="M228">
        <f>DB228 - IF(AU228&gt;1, L228*CV228*100.0/(AW228*DP228), 0)</f>
        <v>0</v>
      </c>
      <c r="N228">
        <f>((T228-J228/2)*M228-L228)/(T228+J228/2)</f>
        <v>0</v>
      </c>
      <c r="O228">
        <f>N228*(DI228+DJ228)/1000.0</f>
        <v>0</v>
      </c>
      <c r="P228">
        <f>(DB228 - IF(AU228&gt;1, L228*CV228*100.0/(AW228*DP228), 0))*(DI228+DJ228)/1000.0</f>
        <v>0</v>
      </c>
      <c r="Q228">
        <f>2.0/((1/S228-1/R228)+SIGN(S228)*SQRT((1/S228-1/R228)*(1/S228-1/R228) + 4*CW228/((CW228+1)*(CW228+1))*(2*1/S228*1/R228-1/R228*1/R228)))</f>
        <v>0</v>
      </c>
      <c r="R228">
        <f>IF(LEFT(CX228,1)&lt;&gt;"0",IF(LEFT(CX228,1)="1",3.0,CY228),$D$5+$E$5*(DP228*DI228/($K$5*1000))+$F$5*(DP228*DI228/($K$5*1000))*MAX(MIN(CV228,$J$5),$I$5)*MAX(MIN(CV228,$J$5),$I$5)+$G$5*MAX(MIN(CV228,$J$5),$I$5)*(DP228*DI228/($K$5*1000))+$H$5*(DP228*DI228/($K$5*1000))*(DP228*DI228/($K$5*1000)))</f>
        <v>0</v>
      </c>
      <c r="S228">
        <f>J228*(1000-(1000*0.61365*exp(17.502*W228/(240.97+W228))/(DI228+DJ228)+DD228)/2)/(1000*0.61365*exp(17.502*W228/(240.97+W228))/(DI228+DJ228)-DD228)</f>
        <v>0</v>
      </c>
      <c r="T228">
        <f>1/((CW228+1)/(Q228/1.6)+1/(R228/1.37)) + CW228/((CW228+1)/(Q228/1.6) + CW228/(R228/1.37))</f>
        <v>0</v>
      </c>
      <c r="U228">
        <f>(CR228*CU228)</f>
        <v>0</v>
      </c>
      <c r="V228">
        <f>(DK228+(U228+2*0.95*5.67E-8*(((DK228+$B$7)+273)^4-(DK228+273)^4)-44100*J228)/(1.84*29.3*R228+8*0.95*5.67E-8*(DK228+273)^3))</f>
        <v>0</v>
      </c>
      <c r="W228">
        <f>($C$7*DL228+$D$7*DM228+$E$7*V228)</f>
        <v>0</v>
      </c>
      <c r="X228">
        <f>0.61365*exp(17.502*W228/(240.97+W228))</f>
        <v>0</v>
      </c>
      <c r="Y228">
        <f>(Z228/AA228*100)</f>
        <v>0</v>
      </c>
      <c r="Z228">
        <f>DD228*(DI228+DJ228)/1000</f>
        <v>0</v>
      </c>
      <c r="AA228">
        <f>0.61365*exp(17.502*DK228/(240.97+DK228))</f>
        <v>0</v>
      </c>
      <c r="AB228">
        <f>(X228-DD228*(DI228+DJ228)/1000)</f>
        <v>0</v>
      </c>
      <c r="AC228">
        <f>(-J228*44100)</f>
        <v>0</v>
      </c>
      <c r="AD228">
        <f>2*29.3*R228*0.92*(DK228-W228)</f>
        <v>0</v>
      </c>
      <c r="AE228">
        <f>2*0.95*5.67E-8*(((DK228+$B$7)+273)^4-(W228+273)^4)</f>
        <v>0</v>
      </c>
      <c r="AF228">
        <f>U228+AE228+AC228+AD228</f>
        <v>0</v>
      </c>
      <c r="AG228">
        <f>DH228*AU228*(DC228-DB228*(1000-AU228*DE228)/(1000-AU228*DD228))/(100*CV228)</f>
        <v>0</v>
      </c>
      <c r="AH228">
        <f>1000*DH228*AU228*(DD228-DE228)/(100*CV228*(1000-AU228*DD228))</f>
        <v>0</v>
      </c>
      <c r="AI228">
        <f>(AJ228 - AK228 - DI228*1E3/(8.314*(DK228+273.15)) * AM228/DH228 * AL228) * DH228/(100*CV228) * (1000 - DE228)/1000</f>
        <v>0</v>
      </c>
      <c r="AJ228">
        <v>1541.870632696231</v>
      </c>
      <c r="AK228">
        <v>1483.270303030303</v>
      </c>
      <c r="AL228">
        <v>3.384771051293242</v>
      </c>
      <c r="AM228">
        <v>65.96288611109561</v>
      </c>
      <c r="AN228">
        <f>(AP228 - AO228 + DI228*1E3/(8.314*(DK228+273.15)) * AR228/DH228 * AQ228) * DH228/(100*CV228) * 1000/(1000 - AP228)</f>
        <v>0</v>
      </c>
      <c r="AO228">
        <v>21.91962297053229</v>
      </c>
      <c r="AP228">
        <v>24.38734265734267</v>
      </c>
      <c r="AQ228">
        <v>-0.0002877441312110397</v>
      </c>
      <c r="AR228">
        <v>81.18387902069509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MAX(0,($B$13+$C$13*DP228)/(1+$D$13*DP228)*DI228/(DK228+273)*$E$13)</f>
        <v>0</v>
      </c>
      <c r="AX228" t="s">
        <v>417</v>
      </c>
      <c r="AY228" t="s">
        <v>417</v>
      </c>
      <c r="AZ228">
        <v>0</v>
      </c>
      <c r="BA228">
        <v>0</v>
      </c>
      <c r="BB228">
        <f>1-AZ228/BA228</f>
        <v>0</v>
      </c>
      <c r="BC228">
        <v>0</v>
      </c>
      <c r="BD228" t="s">
        <v>417</v>
      </c>
      <c r="BE228" t="s">
        <v>417</v>
      </c>
      <c r="BF228">
        <v>0</v>
      </c>
      <c r="BG228">
        <v>0</v>
      </c>
      <c r="BH228">
        <f>1-BF228/BG228</f>
        <v>0</v>
      </c>
      <c r="BI228">
        <v>0.5</v>
      </c>
      <c r="BJ228">
        <f>CS228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417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1393</v>
      </c>
      <c r="CA228">
        <v>300</v>
      </c>
      <c r="CB228">
        <v>300</v>
      </c>
      <c r="CC228">
        <v>300</v>
      </c>
      <c r="CD228">
        <v>10378</v>
      </c>
      <c r="CE228">
        <v>2050</v>
      </c>
      <c r="CF228">
        <v>-0.00730649</v>
      </c>
      <c r="CG228">
        <v>-4.53</v>
      </c>
      <c r="CH228" t="s">
        <v>417</v>
      </c>
      <c r="CI228" t="s">
        <v>417</v>
      </c>
      <c r="CJ228" t="s">
        <v>417</v>
      </c>
      <c r="CK228" t="s">
        <v>417</v>
      </c>
      <c r="CL228" t="s">
        <v>417</v>
      </c>
      <c r="CM228" t="s">
        <v>417</v>
      </c>
      <c r="CN228" t="s">
        <v>417</v>
      </c>
      <c r="CO228" t="s">
        <v>417</v>
      </c>
      <c r="CP228" t="s">
        <v>417</v>
      </c>
      <c r="CQ228" t="s">
        <v>417</v>
      </c>
      <c r="CR228">
        <f>$B$11*DQ228+$C$11*DR228+$F$11*EC228*(1-EF228)</f>
        <v>0</v>
      </c>
      <c r="CS228">
        <f>CR228*CT228</f>
        <v>0</v>
      </c>
      <c r="CT228">
        <f>($B$11*$D$9+$C$11*$D$9+$F$11*((EP228+EH228)/MAX(EP228+EH228+EQ228, 0.1)*$I$9+EQ228/MAX(EP228+EH228+EQ228, 0.1)*$J$9))/($B$11+$C$11+$F$11)</f>
        <v>0</v>
      </c>
      <c r="CU228">
        <f>($B$11*$K$9+$C$11*$K$9+$F$11*((EP228+EH228)/MAX(EP228+EH228+EQ228, 0.1)*$P$9+EQ228/MAX(EP228+EH228+EQ228, 0.1)*$Q$9))/($B$11+$C$11+$F$11)</f>
        <v>0</v>
      </c>
      <c r="CV228">
        <v>6</v>
      </c>
      <c r="CW228">
        <v>0.5</v>
      </c>
      <c r="CX228" t="s">
        <v>418</v>
      </c>
      <c r="CY228">
        <v>2</v>
      </c>
      <c r="CZ228" t="b">
        <v>1</v>
      </c>
      <c r="DA228">
        <v>1652372820.714286</v>
      </c>
      <c r="DB228">
        <v>1422.8775</v>
      </c>
      <c r="DC228">
        <v>1495.085</v>
      </c>
      <c r="DD228">
        <v>24.38604642857143</v>
      </c>
      <c r="DE228">
        <v>21.91476785714286</v>
      </c>
      <c r="DF228">
        <v>1425.020714285715</v>
      </c>
      <c r="DG228">
        <v>24.34380357142857</v>
      </c>
      <c r="DH228">
        <v>400.0656071428571</v>
      </c>
      <c r="DI228">
        <v>90.39817500000002</v>
      </c>
      <c r="DJ228">
        <v>0.09998647500000002</v>
      </c>
      <c r="DK228">
        <v>30.63727142857143</v>
      </c>
      <c r="DL228">
        <v>30.00726071428571</v>
      </c>
      <c r="DM228">
        <v>999.9000000000002</v>
      </c>
      <c r="DN228">
        <v>0</v>
      </c>
      <c r="DO228">
        <v>0</v>
      </c>
      <c r="DP228">
        <v>9997.008214285715</v>
      </c>
      <c r="DQ228">
        <v>0</v>
      </c>
      <c r="DR228">
        <v>428.111</v>
      </c>
      <c r="DS228">
        <v>-72.20879285714285</v>
      </c>
      <c r="DT228">
        <v>1458.4425</v>
      </c>
      <c r="DU228">
        <v>1528.584285714285</v>
      </c>
      <c r="DV228">
        <v>2.47128</v>
      </c>
      <c r="DW228">
        <v>1495.085</v>
      </c>
      <c r="DX228">
        <v>21.91476785714286</v>
      </c>
      <c r="DY228">
        <v>2.204455357142857</v>
      </c>
      <c r="DZ228">
        <v>1.981056071428572</v>
      </c>
      <c r="EA228">
        <v>18.994725</v>
      </c>
      <c r="EB228">
        <v>17.29372857142857</v>
      </c>
      <c r="EC228">
        <v>1499.998214285714</v>
      </c>
      <c r="ED228">
        <v>0.973005</v>
      </c>
      <c r="EE228">
        <v>0.02699470000000001</v>
      </c>
      <c r="EF228">
        <v>0</v>
      </c>
      <c r="EG228">
        <v>1653.416428571428</v>
      </c>
      <c r="EH228">
        <v>5.00097</v>
      </c>
      <c r="EI228">
        <v>25501.94285714286</v>
      </c>
      <c r="EJ228">
        <v>12491.61785714286</v>
      </c>
      <c r="EK228">
        <v>40.06199999999999</v>
      </c>
      <c r="EL228">
        <v>41.5</v>
      </c>
      <c r="EM228">
        <v>40.29871428571429</v>
      </c>
      <c r="EN228">
        <v>41.31874999999999</v>
      </c>
      <c r="EO228">
        <v>41.125</v>
      </c>
      <c r="EP228">
        <v>1454.638214285714</v>
      </c>
      <c r="EQ228">
        <v>40.35999999999999</v>
      </c>
      <c r="ER228">
        <v>0</v>
      </c>
      <c r="ES228">
        <v>1662.399999856949</v>
      </c>
      <c r="ET228">
        <v>0</v>
      </c>
      <c r="EU228">
        <v>1653.382</v>
      </c>
      <c r="EV228">
        <v>-3.446153861881306</v>
      </c>
      <c r="EW228">
        <v>-167.1923079655899</v>
      </c>
      <c r="EX228">
        <v>25501.052</v>
      </c>
      <c r="EY228">
        <v>15</v>
      </c>
      <c r="EZ228">
        <v>1652371289.6</v>
      </c>
      <c r="FA228" t="s">
        <v>515</v>
      </c>
      <c r="FB228">
        <v>1652371289.6</v>
      </c>
      <c r="FC228">
        <v>1652371275.1</v>
      </c>
      <c r="FD228">
        <v>24</v>
      </c>
      <c r="FE228">
        <v>0.442</v>
      </c>
      <c r="FF228">
        <v>0.001</v>
      </c>
      <c r="FG228">
        <v>-2.63</v>
      </c>
      <c r="FH228">
        <v>0.007</v>
      </c>
      <c r="FI228">
        <v>1620</v>
      </c>
      <c r="FJ228">
        <v>22</v>
      </c>
      <c r="FK228">
        <v>0.08</v>
      </c>
      <c r="FL228">
        <v>0.04</v>
      </c>
      <c r="FM228">
        <v>-72.05514146341463</v>
      </c>
      <c r="FN228">
        <v>-2.878806271777135</v>
      </c>
      <c r="FO228">
        <v>0.3581666092590182</v>
      </c>
      <c r="FP228">
        <v>-1</v>
      </c>
      <c r="FQ228">
        <v>2.473954390243903</v>
      </c>
      <c r="FR228">
        <v>-0.04011783972124783</v>
      </c>
      <c r="FS228">
        <v>0.005473170503456376</v>
      </c>
      <c r="FT228">
        <v>1</v>
      </c>
      <c r="FU228">
        <v>0</v>
      </c>
      <c r="FV228">
        <v>0</v>
      </c>
      <c r="FW228">
        <v>0</v>
      </c>
      <c r="FX228">
        <v>-1</v>
      </c>
      <c r="FY228">
        <v>1</v>
      </c>
      <c r="FZ228">
        <v>1</v>
      </c>
      <c r="GA228" t="s">
        <v>420</v>
      </c>
      <c r="GB228">
        <v>2.69555</v>
      </c>
      <c r="GC228">
        <v>2.70529</v>
      </c>
      <c r="GD228">
        <v>0.215988</v>
      </c>
      <c r="GE228">
        <v>0.220237</v>
      </c>
      <c r="GF228">
        <v>0.107195</v>
      </c>
      <c r="GG228">
        <v>0.09799629999999999</v>
      </c>
      <c r="GH228">
        <v>24635.1</v>
      </c>
      <c r="GI228">
        <v>24607.4</v>
      </c>
      <c r="GJ228">
        <v>29236</v>
      </c>
      <c r="GK228">
        <v>29208.6</v>
      </c>
      <c r="GL228">
        <v>34560.1</v>
      </c>
      <c r="GM228">
        <v>35068.3</v>
      </c>
      <c r="GN228">
        <v>41148.3</v>
      </c>
      <c r="GO228">
        <v>41674.5</v>
      </c>
      <c r="GP228">
        <v>1.72117</v>
      </c>
      <c r="GQ228">
        <v>2.0362</v>
      </c>
      <c r="GR228">
        <v>0.0727028</v>
      </c>
      <c r="GS228">
        <v>0</v>
      </c>
      <c r="GT228">
        <v>28.816</v>
      </c>
      <c r="GU228">
        <v>999.9</v>
      </c>
      <c r="GV228">
        <v>44.1</v>
      </c>
      <c r="GW228">
        <v>33.5</v>
      </c>
      <c r="GX228">
        <v>25.345</v>
      </c>
      <c r="GY228">
        <v>63.168</v>
      </c>
      <c r="GZ228">
        <v>29.2107</v>
      </c>
      <c r="HA228">
        <v>1</v>
      </c>
      <c r="HB228">
        <v>0.270239</v>
      </c>
      <c r="HC228">
        <v>0.81046</v>
      </c>
      <c r="HD228">
        <v>20.3794</v>
      </c>
      <c r="HE228">
        <v>5.21774</v>
      </c>
      <c r="HF228">
        <v>12.0099</v>
      </c>
      <c r="HG228">
        <v>4.9882</v>
      </c>
      <c r="HH228">
        <v>3.28845</v>
      </c>
      <c r="HI228">
        <v>2733.3</v>
      </c>
      <c r="HJ228">
        <v>9999</v>
      </c>
      <c r="HK228">
        <v>9999</v>
      </c>
      <c r="HL228">
        <v>50.2</v>
      </c>
      <c r="HM228">
        <v>1.86722</v>
      </c>
      <c r="HN228">
        <v>1.86627</v>
      </c>
      <c r="HO228">
        <v>1.86584</v>
      </c>
      <c r="HP228">
        <v>1.86569</v>
      </c>
      <c r="HQ228">
        <v>1.8675</v>
      </c>
      <c r="HR228">
        <v>1.87001</v>
      </c>
      <c r="HS228">
        <v>1.86865</v>
      </c>
      <c r="HT228">
        <v>1.87001</v>
      </c>
      <c r="HU228">
        <v>0</v>
      </c>
      <c r="HV228">
        <v>0</v>
      </c>
      <c r="HW228">
        <v>0</v>
      </c>
      <c r="HX228">
        <v>0</v>
      </c>
      <c r="HY228" t="s">
        <v>421</v>
      </c>
      <c r="HZ228" t="s">
        <v>422</v>
      </c>
      <c r="IA228" t="s">
        <v>423</v>
      </c>
      <c r="IB228" t="s">
        <v>423</v>
      </c>
      <c r="IC228" t="s">
        <v>423</v>
      </c>
      <c r="ID228" t="s">
        <v>423</v>
      </c>
      <c r="IE228">
        <v>0</v>
      </c>
      <c r="IF228">
        <v>100</v>
      </c>
      <c r="IG228">
        <v>100</v>
      </c>
      <c r="IH228">
        <v>-2.21</v>
      </c>
      <c r="II228">
        <v>0.0423</v>
      </c>
      <c r="IJ228">
        <v>1.257309091789605</v>
      </c>
      <c r="IK228">
        <v>-0.002185601614162945</v>
      </c>
      <c r="IL228">
        <v>-2.252308143750626E-07</v>
      </c>
      <c r="IM228">
        <v>5.915558436307541E-11</v>
      </c>
      <c r="IN228">
        <v>-0.118683452207699</v>
      </c>
      <c r="IO228">
        <v>-0.007570214193104963</v>
      </c>
      <c r="IP228">
        <v>0.0009214429922928372</v>
      </c>
      <c r="IQ228">
        <v>-1.392260276065805E-05</v>
      </c>
      <c r="IR228">
        <v>17</v>
      </c>
      <c r="IS228">
        <v>2272</v>
      </c>
      <c r="IT228">
        <v>1</v>
      </c>
      <c r="IU228">
        <v>31</v>
      </c>
      <c r="IV228">
        <v>25.6</v>
      </c>
      <c r="IW228">
        <v>25.9</v>
      </c>
      <c r="IX228">
        <v>2.95166</v>
      </c>
      <c r="IY228">
        <v>2.19482</v>
      </c>
      <c r="IZ228">
        <v>1.39648</v>
      </c>
      <c r="JA228">
        <v>2.35229</v>
      </c>
      <c r="JB228">
        <v>1.49536</v>
      </c>
      <c r="JC228">
        <v>2.31201</v>
      </c>
      <c r="JD228">
        <v>37.1225</v>
      </c>
      <c r="JE228">
        <v>15.209</v>
      </c>
      <c r="JF228">
        <v>18</v>
      </c>
      <c r="JG228">
        <v>387.646</v>
      </c>
      <c r="JH228">
        <v>573</v>
      </c>
      <c r="JI228">
        <v>28.4944</v>
      </c>
      <c r="JJ228">
        <v>30.8807</v>
      </c>
      <c r="JK228">
        <v>30</v>
      </c>
      <c r="JL228">
        <v>30.8043</v>
      </c>
      <c r="JM228">
        <v>30.7064</v>
      </c>
      <c r="JN228">
        <v>59.1029</v>
      </c>
      <c r="JO228">
        <v>16.322</v>
      </c>
      <c r="JP228">
        <v>2.65308</v>
      </c>
      <c r="JQ228">
        <v>28.4903</v>
      </c>
      <c r="JR228">
        <v>1537</v>
      </c>
      <c r="JS228">
        <v>22.0156</v>
      </c>
      <c r="JT228">
        <v>99.93089999999999</v>
      </c>
      <c r="JU228">
        <v>100.037</v>
      </c>
    </row>
    <row r="229" spans="1:281">
      <c r="A229">
        <v>213</v>
      </c>
      <c r="B229">
        <v>1652372833.5</v>
      </c>
      <c r="C229">
        <v>4739.900000095367</v>
      </c>
      <c r="D229" t="s">
        <v>894</v>
      </c>
      <c r="E229" t="s">
        <v>895</v>
      </c>
      <c r="F229">
        <v>5</v>
      </c>
      <c r="G229" t="s">
        <v>711</v>
      </c>
      <c r="H229" t="s">
        <v>414</v>
      </c>
      <c r="I229">
        <v>1652372826</v>
      </c>
      <c r="J229">
        <f>(K229)/1000</f>
        <v>0</v>
      </c>
      <c r="K229">
        <f>IF(CZ229, AN229, AH229)</f>
        <v>0</v>
      </c>
      <c r="L229">
        <f>IF(CZ229, AI229, AG229)</f>
        <v>0</v>
      </c>
      <c r="M229">
        <f>DB229 - IF(AU229&gt;1, L229*CV229*100.0/(AW229*DP229), 0)</f>
        <v>0</v>
      </c>
      <c r="N229">
        <f>((T229-J229/2)*M229-L229)/(T229+J229/2)</f>
        <v>0</v>
      </c>
      <c r="O229">
        <f>N229*(DI229+DJ229)/1000.0</f>
        <v>0</v>
      </c>
      <c r="P229">
        <f>(DB229 - IF(AU229&gt;1, L229*CV229*100.0/(AW229*DP229), 0))*(DI229+DJ229)/1000.0</f>
        <v>0</v>
      </c>
      <c r="Q229">
        <f>2.0/((1/S229-1/R229)+SIGN(S229)*SQRT((1/S229-1/R229)*(1/S229-1/R229) + 4*CW229/((CW229+1)*(CW229+1))*(2*1/S229*1/R229-1/R229*1/R229)))</f>
        <v>0</v>
      </c>
      <c r="R229">
        <f>IF(LEFT(CX229,1)&lt;&gt;"0",IF(LEFT(CX229,1)="1",3.0,CY229),$D$5+$E$5*(DP229*DI229/($K$5*1000))+$F$5*(DP229*DI229/($K$5*1000))*MAX(MIN(CV229,$J$5),$I$5)*MAX(MIN(CV229,$J$5),$I$5)+$G$5*MAX(MIN(CV229,$J$5),$I$5)*(DP229*DI229/($K$5*1000))+$H$5*(DP229*DI229/($K$5*1000))*(DP229*DI229/($K$5*1000)))</f>
        <v>0</v>
      </c>
      <c r="S229">
        <f>J229*(1000-(1000*0.61365*exp(17.502*W229/(240.97+W229))/(DI229+DJ229)+DD229)/2)/(1000*0.61365*exp(17.502*W229/(240.97+W229))/(DI229+DJ229)-DD229)</f>
        <v>0</v>
      </c>
      <c r="T229">
        <f>1/((CW229+1)/(Q229/1.6)+1/(R229/1.37)) + CW229/((CW229+1)/(Q229/1.6) + CW229/(R229/1.37))</f>
        <v>0</v>
      </c>
      <c r="U229">
        <f>(CR229*CU229)</f>
        <v>0</v>
      </c>
      <c r="V229">
        <f>(DK229+(U229+2*0.95*5.67E-8*(((DK229+$B$7)+273)^4-(DK229+273)^4)-44100*J229)/(1.84*29.3*R229+8*0.95*5.67E-8*(DK229+273)^3))</f>
        <v>0</v>
      </c>
      <c r="W229">
        <f>($C$7*DL229+$D$7*DM229+$E$7*V229)</f>
        <v>0</v>
      </c>
      <c r="X229">
        <f>0.61365*exp(17.502*W229/(240.97+W229))</f>
        <v>0</v>
      </c>
      <c r="Y229">
        <f>(Z229/AA229*100)</f>
        <v>0</v>
      </c>
      <c r="Z229">
        <f>DD229*(DI229+DJ229)/1000</f>
        <v>0</v>
      </c>
      <c r="AA229">
        <f>0.61365*exp(17.502*DK229/(240.97+DK229))</f>
        <v>0</v>
      </c>
      <c r="AB229">
        <f>(X229-DD229*(DI229+DJ229)/1000)</f>
        <v>0</v>
      </c>
      <c r="AC229">
        <f>(-J229*44100)</f>
        <v>0</v>
      </c>
      <c r="AD229">
        <f>2*29.3*R229*0.92*(DK229-W229)</f>
        <v>0</v>
      </c>
      <c r="AE229">
        <f>2*0.95*5.67E-8*(((DK229+$B$7)+273)^4-(W229+273)^4)</f>
        <v>0</v>
      </c>
      <c r="AF229">
        <f>U229+AE229+AC229+AD229</f>
        <v>0</v>
      </c>
      <c r="AG229">
        <f>DH229*AU229*(DC229-DB229*(1000-AU229*DE229)/(1000-AU229*DD229))/(100*CV229)</f>
        <v>0</v>
      </c>
      <c r="AH229">
        <f>1000*DH229*AU229*(DD229-DE229)/(100*CV229*(1000-AU229*DD229))</f>
        <v>0</v>
      </c>
      <c r="AI229">
        <f>(AJ229 - AK229 - DI229*1E3/(8.314*(DK229+273.15)) * AM229/DH229 * AL229) * DH229/(100*CV229) * (1000 - DE229)/1000</f>
        <v>0</v>
      </c>
      <c r="AJ229">
        <v>1559.246993187088</v>
      </c>
      <c r="AK229">
        <v>1500.188727272727</v>
      </c>
      <c r="AL229">
        <v>3.389200802078251</v>
      </c>
      <c r="AM229">
        <v>65.96288611109561</v>
      </c>
      <c r="AN229">
        <f>(AP229 - AO229 + DI229*1E3/(8.314*(DK229+273.15)) * AR229/DH229 * AQ229) * DH229/(100*CV229) * 1000/(1000 - AP229)</f>
        <v>0</v>
      </c>
      <c r="AO229">
        <v>21.92056415665296</v>
      </c>
      <c r="AP229">
        <v>24.37343776223778</v>
      </c>
      <c r="AQ229">
        <v>-6.828518970070165E-05</v>
      </c>
      <c r="AR229">
        <v>81.18387902069509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MAX(0,($B$13+$C$13*DP229)/(1+$D$13*DP229)*DI229/(DK229+273)*$E$13)</f>
        <v>0</v>
      </c>
      <c r="AX229" t="s">
        <v>417</v>
      </c>
      <c r="AY229" t="s">
        <v>417</v>
      </c>
      <c r="AZ229">
        <v>0</v>
      </c>
      <c r="BA229">
        <v>0</v>
      </c>
      <c r="BB229">
        <f>1-AZ229/BA229</f>
        <v>0</v>
      </c>
      <c r="BC229">
        <v>0</v>
      </c>
      <c r="BD229" t="s">
        <v>417</v>
      </c>
      <c r="BE229" t="s">
        <v>417</v>
      </c>
      <c r="BF229">
        <v>0</v>
      </c>
      <c r="BG229">
        <v>0</v>
      </c>
      <c r="BH229">
        <f>1-BF229/BG229</f>
        <v>0</v>
      </c>
      <c r="BI229">
        <v>0.5</v>
      </c>
      <c r="BJ229">
        <f>CS229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417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1393</v>
      </c>
      <c r="CA229">
        <v>300</v>
      </c>
      <c r="CB229">
        <v>300</v>
      </c>
      <c r="CC229">
        <v>300</v>
      </c>
      <c r="CD229">
        <v>10378</v>
      </c>
      <c r="CE229">
        <v>2050</v>
      </c>
      <c r="CF229">
        <v>-0.00730649</v>
      </c>
      <c r="CG229">
        <v>-4.53</v>
      </c>
      <c r="CH229" t="s">
        <v>417</v>
      </c>
      <c r="CI229" t="s">
        <v>417</v>
      </c>
      <c r="CJ229" t="s">
        <v>417</v>
      </c>
      <c r="CK229" t="s">
        <v>417</v>
      </c>
      <c r="CL229" t="s">
        <v>417</v>
      </c>
      <c r="CM229" t="s">
        <v>417</v>
      </c>
      <c r="CN229" t="s">
        <v>417</v>
      </c>
      <c r="CO229" t="s">
        <v>417</v>
      </c>
      <c r="CP229" t="s">
        <v>417</v>
      </c>
      <c r="CQ229" t="s">
        <v>417</v>
      </c>
      <c r="CR229">
        <f>$B$11*DQ229+$C$11*DR229+$F$11*EC229*(1-EF229)</f>
        <v>0</v>
      </c>
      <c r="CS229">
        <f>CR229*CT229</f>
        <v>0</v>
      </c>
      <c r="CT229">
        <f>($B$11*$D$9+$C$11*$D$9+$F$11*((EP229+EH229)/MAX(EP229+EH229+EQ229, 0.1)*$I$9+EQ229/MAX(EP229+EH229+EQ229, 0.1)*$J$9))/($B$11+$C$11+$F$11)</f>
        <v>0</v>
      </c>
      <c r="CU229">
        <f>($B$11*$K$9+$C$11*$K$9+$F$11*((EP229+EH229)/MAX(EP229+EH229+EQ229, 0.1)*$P$9+EQ229/MAX(EP229+EH229+EQ229, 0.1)*$Q$9))/($B$11+$C$11+$F$11)</f>
        <v>0</v>
      </c>
      <c r="CV229">
        <v>6</v>
      </c>
      <c r="CW229">
        <v>0.5</v>
      </c>
      <c r="CX229" t="s">
        <v>418</v>
      </c>
      <c r="CY229">
        <v>2</v>
      </c>
      <c r="CZ229" t="b">
        <v>1</v>
      </c>
      <c r="DA229">
        <v>1652372826</v>
      </c>
      <c r="DB229">
        <v>1440.421481481482</v>
      </c>
      <c r="DC229">
        <v>1512.864814814815</v>
      </c>
      <c r="DD229">
        <v>24.38741851851852</v>
      </c>
      <c r="DE229">
        <v>21.92043333333334</v>
      </c>
      <c r="DF229">
        <v>1442.608518518518</v>
      </c>
      <c r="DG229">
        <v>24.34515925925926</v>
      </c>
      <c r="DH229">
        <v>400.0617777777778</v>
      </c>
      <c r="DI229">
        <v>90.39927407407407</v>
      </c>
      <c r="DJ229">
        <v>0.09998162222222223</v>
      </c>
      <c r="DK229">
        <v>30.6313</v>
      </c>
      <c r="DL229">
        <v>30.00366296296296</v>
      </c>
      <c r="DM229">
        <v>999.9000000000001</v>
      </c>
      <c r="DN229">
        <v>0</v>
      </c>
      <c r="DO229">
        <v>0</v>
      </c>
      <c r="DP229">
        <v>9996.782222222222</v>
      </c>
      <c r="DQ229">
        <v>0</v>
      </c>
      <c r="DR229">
        <v>421.6204074074074</v>
      </c>
      <c r="DS229">
        <v>-72.44314814814814</v>
      </c>
      <c r="DT229">
        <v>1476.428148148148</v>
      </c>
      <c r="DU229">
        <v>1546.77</v>
      </c>
      <c r="DV229">
        <v>2.466986296296296</v>
      </c>
      <c r="DW229">
        <v>1512.864814814815</v>
      </c>
      <c r="DX229">
        <v>21.92043333333334</v>
      </c>
      <c r="DY229">
        <v>2.204604814814815</v>
      </c>
      <c r="DZ229">
        <v>1.981591851851852</v>
      </c>
      <c r="EA229">
        <v>18.99582222222222</v>
      </c>
      <c r="EB229">
        <v>17.29800740740741</v>
      </c>
      <c r="EC229">
        <v>1499.993703703703</v>
      </c>
      <c r="ED229">
        <v>0.973005</v>
      </c>
      <c r="EE229">
        <v>0.02699470000000001</v>
      </c>
      <c r="EF229">
        <v>0</v>
      </c>
      <c r="EG229">
        <v>1653.005555555556</v>
      </c>
      <c r="EH229">
        <v>5.00097</v>
      </c>
      <c r="EI229">
        <v>25487.02222222222</v>
      </c>
      <c r="EJ229">
        <v>12491.58148148148</v>
      </c>
      <c r="EK229">
        <v>40.06199999999999</v>
      </c>
      <c r="EL229">
        <v>41.5</v>
      </c>
      <c r="EM229">
        <v>40.28903703703704</v>
      </c>
      <c r="EN229">
        <v>41.31899999999999</v>
      </c>
      <c r="EO229">
        <v>41.125</v>
      </c>
      <c r="EP229">
        <v>1454.633703703704</v>
      </c>
      <c r="EQ229">
        <v>40.35999999999999</v>
      </c>
      <c r="ER229">
        <v>0</v>
      </c>
      <c r="ES229">
        <v>1667.799999952316</v>
      </c>
      <c r="ET229">
        <v>0</v>
      </c>
      <c r="EU229">
        <v>1652.939615384616</v>
      </c>
      <c r="EV229">
        <v>-6.325811964789647</v>
      </c>
      <c r="EW229">
        <v>-192.9641027024193</v>
      </c>
      <c r="EX229">
        <v>25486.32307692308</v>
      </c>
      <c r="EY229">
        <v>15</v>
      </c>
      <c r="EZ229">
        <v>1652371289.6</v>
      </c>
      <c r="FA229" t="s">
        <v>515</v>
      </c>
      <c r="FB229">
        <v>1652371289.6</v>
      </c>
      <c r="FC229">
        <v>1652371275.1</v>
      </c>
      <c r="FD229">
        <v>24</v>
      </c>
      <c r="FE229">
        <v>0.442</v>
      </c>
      <c r="FF229">
        <v>0.001</v>
      </c>
      <c r="FG229">
        <v>-2.63</v>
      </c>
      <c r="FH229">
        <v>0.007</v>
      </c>
      <c r="FI229">
        <v>1620</v>
      </c>
      <c r="FJ229">
        <v>22</v>
      </c>
      <c r="FK229">
        <v>0.08</v>
      </c>
      <c r="FL229">
        <v>0.04</v>
      </c>
      <c r="FM229">
        <v>-72.30140243902439</v>
      </c>
      <c r="FN229">
        <v>-2.25851916376322</v>
      </c>
      <c r="FO229">
        <v>0.3078466235848421</v>
      </c>
      <c r="FP229">
        <v>-1</v>
      </c>
      <c r="FQ229">
        <v>2.468379268292683</v>
      </c>
      <c r="FR229">
        <v>-0.05553470383274962</v>
      </c>
      <c r="FS229">
        <v>0.007604926641375428</v>
      </c>
      <c r="FT229">
        <v>1</v>
      </c>
      <c r="FU229">
        <v>0</v>
      </c>
      <c r="FV229">
        <v>0</v>
      </c>
      <c r="FW229">
        <v>0</v>
      </c>
      <c r="FX229">
        <v>-1</v>
      </c>
      <c r="FY229">
        <v>1</v>
      </c>
      <c r="FZ229">
        <v>1</v>
      </c>
      <c r="GA229" t="s">
        <v>420</v>
      </c>
      <c r="GB229">
        <v>2.69516</v>
      </c>
      <c r="GC229">
        <v>2.70496</v>
      </c>
      <c r="GD229">
        <v>0.217492</v>
      </c>
      <c r="GE229">
        <v>0.221665</v>
      </c>
      <c r="GF229">
        <v>0.107155</v>
      </c>
      <c r="GG229">
        <v>0.0980543</v>
      </c>
      <c r="GH229">
        <v>24587.7</v>
      </c>
      <c r="GI229">
        <v>24562.5</v>
      </c>
      <c r="GJ229">
        <v>29235.8</v>
      </c>
      <c r="GK229">
        <v>29208.9</v>
      </c>
      <c r="GL229">
        <v>34561.4</v>
      </c>
      <c r="GM229">
        <v>35066.2</v>
      </c>
      <c r="GN229">
        <v>41148.1</v>
      </c>
      <c r="GO229">
        <v>41674.6</v>
      </c>
      <c r="GP229">
        <v>1.72097</v>
      </c>
      <c r="GQ229">
        <v>2.03647</v>
      </c>
      <c r="GR229">
        <v>0.0719093</v>
      </c>
      <c r="GS229">
        <v>0</v>
      </c>
      <c r="GT229">
        <v>28.8143</v>
      </c>
      <c r="GU229">
        <v>999.9</v>
      </c>
      <c r="GV229">
        <v>44.1</v>
      </c>
      <c r="GW229">
        <v>33.5</v>
      </c>
      <c r="GX229">
        <v>25.3456</v>
      </c>
      <c r="GY229">
        <v>63.268</v>
      </c>
      <c r="GZ229">
        <v>29.3429</v>
      </c>
      <c r="HA229">
        <v>1</v>
      </c>
      <c r="HB229">
        <v>0.270114</v>
      </c>
      <c r="HC229">
        <v>0.426773</v>
      </c>
      <c r="HD229">
        <v>20.3798</v>
      </c>
      <c r="HE229">
        <v>5.21415</v>
      </c>
      <c r="HF229">
        <v>12.0099</v>
      </c>
      <c r="HG229">
        <v>4.9871</v>
      </c>
      <c r="HH229">
        <v>3.28798</v>
      </c>
      <c r="HI229">
        <v>2733.6</v>
      </c>
      <c r="HJ229">
        <v>9999</v>
      </c>
      <c r="HK229">
        <v>9999</v>
      </c>
      <c r="HL229">
        <v>50.2</v>
      </c>
      <c r="HM229">
        <v>1.86722</v>
      </c>
      <c r="HN229">
        <v>1.86628</v>
      </c>
      <c r="HO229">
        <v>1.86583</v>
      </c>
      <c r="HP229">
        <v>1.86569</v>
      </c>
      <c r="HQ229">
        <v>1.86752</v>
      </c>
      <c r="HR229">
        <v>1.87001</v>
      </c>
      <c r="HS229">
        <v>1.86865</v>
      </c>
      <c r="HT229">
        <v>1.87006</v>
      </c>
      <c r="HU229">
        <v>0</v>
      </c>
      <c r="HV229">
        <v>0</v>
      </c>
      <c r="HW229">
        <v>0</v>
      </c>
      <c r="HX229">
        <v>0</v>
      </c>
      <c r="HY229" t="s">
        <v>421</v>
      </c>
      <c r="HZ229" t="s">
        <v>422</v>
      </c>
      <c r="IA229" t="s">
        <v>423</v>
      </c>
      <c r="IB229" t="s">
        <v>423</v>
      </c>
      <c r="IC229" t="s">
        <v>423</v>
      </c>
      <c r="ID229" t="s">
        <v>423</v>
      </c>
      <c r="IE229">
        <v>0</v>
      </c>
      <c r="IF229">
        <v>100</v>
      </c>
      <c r="IG229">
        <v>100</v>
      </c>
      <c r="IH229">
        <v>-2.25</v>
      </c>
      <c r="II229">
        <v>0.0421</v>
      </c>
      <c r="IJ229">
        <v>1.257309091789605</v>
      </c>
      <c r="IK229">
        <v>-0.002185601614162945</v>
      </c>
      <c r="IL229">
        <v>-2.252308143750626E-07</v>
      </c>
      <c r="IM229">
        <v>5.915558436307541E-11</v>
      </c>
      <c r="IN229">
        <v>-0.118683452207699</v>
      </c>
      <c r="IO229">
        <v>-0.007570214193104963</v>
      </c>
      <c r="IP229">
        <v>0.0009214429922928372</v>
      </c>
      <c r="IQ229">
        <v>-1.392260276065805E-05</v>
      </c>
      <c r="IR229">
        <v>17</v>
      </c>
      <c r="IS229">
        <v>2272</v>
      </c>
      <c r="IT229">
        <v>1</v>
      </c>
      <c r="IU229">
        <v>31</v>
      </c>
      <c r="IV229">
        <v>25.7</v>
      </c>
      <c r="IW229">
        <v>26</v>
      </c>
      <c r="IX229">
        <v>2.97852</v>
      </c>
      <c r="IY229">
        <v>2.1936</v>
      </c>
      <c r="IZ229">
        <v>1.39648</v>
      </c>
      <c r="JA229">
        <v>2.35229</v>
      </c>
      <c r="JB229">
        <v>1.49536</v>
      </c>
      <c r="JC229">
        <v>2.38037</v>
      </c>
      <c r="JD229">
        <v>37.1225</v>
      </c>
      <c r="JE229">
        <v>15.2178</v>
      </c>
      <c r="JF229">
        <v>18</v>
      </c>
      <c r="JG229">
        <v>387.542</v>
      </c>
      <c r="JH229">
        <v>573.227</v>
      </c>
      <c r="JI229">
        <v>28.5006</v>
      </c>
      <c r="JJ229">
        <v>30.8807</v>
      </c>
      <c r="JK229">
        <v>29.9999</v>
      </c>
      <c r="JL229">
        <v>30.8049</v>
      </c>
      <c r="JM229">
        <v>30.7082</v>
      </c>
      <c r="JN229">
        <v>59.6026</v>
      </c>
      <c r="JO229">
        <v>16.0417</v>
      </c>
      <c r="JP229">
        <v>2.65308</v>
      </c>
      <c r="JQ229">
        <v>28.6152</v>
      </c>
      <c r="JR229">
        <v>1557.05</v>
      </c>
      <c r="JS229">
        <v>21.9557</v>
      </c>
      <c r="JT229">
        <v>99.9303</v>
      </c>
      <c r="JU229">
        <v>100.037</v>
      </c>
    </row>
    <row r="230" spans="1:281">
      <c r="A230">
        <v>214</v>
      </c>
      <c r="B230">
        <v>1652372838.5</v>
      </c>
      <c r="C230">
        <v>4744.900000095367</v>
      </c>
      <c r="D230" t="s">
        <v>896</v>
      </c>
      <c r="E230" t="s">
        <v>897</v>
      </c>
      <c r="F230">
        <v>5</v>
      </c>
      <c r="G230" t="s">
        <v>711</v>
      </c>
      <c r="H230" t="s">
        <v>414</v>
      </c>
      <c r="I230">
        <v>1652372830.714286</v>
      </c>
      <c r="J230">
        <f>(K230)/1000</f>
        <v>0</v>
      </c>
      <c r="K230">
        <f>IF(CZ230, AN230, AH230)</f>
        <v>0</v>
      </c>
      <c r="L230">
        <f>IF(CZ230, AI230, AG230)</f>
        <v>0</v>
      </c>
      <c r="M230">
        <f>DB230 - IF(AU230&gt;1, L230*CV230*100.0/(AW230*DP230), 0)</f>
        <v>0</v>
      </c>
      <c r="N230">
        <f>((T230-J230/2)*M230-L230)/(T230+J230/2)</f>
        <v>0</v>
      </c>
      <c r="O230">
        <f>N230*(DI230+DJ230)/1000.0</f>
        <v>0</v>
      </c>
      <c r="P230">
        <f>(DB230 - IF(AU230&gt;1, L230*CV230*100.0/(AW230*DP230), 0))*(DI230+DJ230)/1000.0</f>
        <v>0</v>
      </c>
      <c r="Q230">
        <f>2.0/((1/S230-1/R230)+SIGN(S230)*SQRT((1/S230-1/R230)*(1/S230-1/R230) + 4*CW230/((CW230+1)*(CW230+1))*(2*1/S230*1/R230-1/R230*1/R230)))</f>
        <v>0</v>
      </c>
      <c r="R230">
        <f>IF(LEFT(CX230,1)&lt;&gt;"0",IF(LEFT(CX230,1)="1",3.0,CY230),$D$5+$E$5*(DP230*DI230/($K$5*1000))+$F$5*(DP230*DI230/($K$5*1000))*MAX(MIN(CV230,$J$5),$I$5)*MAX(MIN(CV230,$J$5),$I$5)+$G$5*MAX(MIN(CV230,$J$5),$I$5)*(DP230*DI230/($K$5*1000))+$H$5*(DP230*DI230/($K$5*1000))*(DP230*DI230/($K$5*1000)))</f>
        <v>0</v>
      </c>
      <c r="S230">
        <f>J230*(1000-(1000*0.61365*exp(17.502*W230/(240.97+W230))/(DI230+DJ230)+DD230)/2)/(1000*0.61365*exp(17.502*W230/(240.97+W230))/(DI230+DJ230)-DD230)</f>
        <v>0</v>
      </c>
      <c r="T230">
        <f>1/((CW230+1)/(Q230/1.6)+1/(R230/1.37)) + CW230/((CW230+1)/(Q230/1.6) + CW230/(R230/1.37))</f>
        <v>0</v>
      </c>
      <c r="U230">
        <f>(CR230*CU230)</f>
        <v>0</v>
      </c>
      <c r="V230">
        <f>(DK230+(U230+2*0.95*5.67E-8*(((DK230+$B$7)+273)^4-(DK230+273)^4)-44100*J230)/(1.84*29.3*R230+8*0.95*5.67E-8*(DK230+273)^3))</f>
        <v>0</v>
      </c>
      <c r="W230">
        <f>($C$7*DL230+$D$7*DM230+$E$7*V230)</f>
        <v>0</v>
      </c>
      <c r="X230">
        <f>0.61365*exp(17.502*W230/(240.97+W230))</f>
        <v>0</v>
      </c>
      <c r="Y230">
        <f>(Z230/AA230*100)</f>
        <v>0</v>
      </c>
      <c r="Z230">
        <f>DD230*(DI230+DJ230)/1000</f>
        <v>0</v>
      </c>
      <c r="AA230">
        <f>0.61365*exp(17.502*DK230/(240.97+DK230))</f>
        <v>0</v>
      </c>
      <c r="AB230">
        <f>(X230-DD230*(DI230+DJ230)/1000)</f>
        <v>0</v>
      </c>
      <c r="AC230">
        <f>(-J230*44100)</f>
        <v>0</v>
      </c>
      <c r="AD230">
        <f>2*29.3*R230*0.92*(DK230-W230)</f>
        <v>0</v>
      </c>
      <c r="AE230">
        <f>2*0.95*5.67E-8*(((DK230+$B$7)+273)^4-(W230+273)^4)</f>
        <v>0</v>
      </c>
      <c r="AF230">
        <f>U230+AE230+AC230+AD230</f>
        <v>0</v>
      </c>
      <c r="AG230">
        <f>DH230*AU230*(DC230-DB230*(1000-AU230*DE230)/(1000-AU230*DD230))/(100*CV230)</f>
        <v>0</v>
      </c>
      <c r="AH230">
        <f>1000*DH230*AU230*(DD230-DE230)/(100*CV230*(1000-AU230*DD230))</f>
        <v>0</v>
      </c>
      <c r="AI230">
        <f>(AJ230 - AK230 - DI230*1E3/(8.314*(DK230+273.15)) * AM230/DH230 * AL230) * DH230/(100*CV230) * (1000 - DE230)/1000</f>
        <v>0</v>
      </c>
      <c r="AJ230">
        <v>1575.626553438718</v>
      </c>
      <c r="AK230">
        <v>1516.949878787878</v>
      </c>
      <c r="AL230">
        <v>3.356698354262138</v>
      </c>
      <c r="AM230">
        <v>65.96288611109561</v>
      </c>
      <c r="AN230">
        <f>(AP230 - AO230 + DI230*1E3/(8.314*(DK230+273.15)) * AR230/DH230 * AQ230) * DH230/(100*CV230) * 1000/(1000 - AP230)</f>
        <v>0</v>
      </c>
      <c r="AO230">
        <v>21.94375319543088</v>
      </c>
      <c r="AP230">
        <v>24.37593426573428</v>
      </c>
      <c r="AQ230">
        <v>-0.0009820216495453574</v>
      </c>
      <c r="AR230">
        <v>81.18387902069509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MAX(0,($B$13+$C$13*DP230)/(1+$D$13*DP230)*DI230/(DK230+273)*$E$13)</f>
        <v>0</v>
      </c>
      <c r="AX230" t="s">
        <v>417</v>
      </c>
      <c r="AY230" t="s">
        <v>417</v>
      </c>
      <c r="AZ230">
        <v>0</v>
      </c>
      <c r="BA230">
        <v>0</v>
      </c>
      <c r="BB230">
        <f>1-AZ230/BA230</f>
        <v>0</v>
      </c>
      <c r="BC230">
        <v>0</v>
      </c>
      <c r="BD230" t="s">
        <v>417</v>
      </c>
      <c r="BE230" t="s">
        <v>417</v>
      </c>
      <c r="BF230">
        <v>0</v>
      </c>
      <c r="BG230">
        <v>0</v>
      </c>
      <c r="BH230">
        <f>1-BF230/BG230</f>
        <v>0</v>
      </c>
      <c r="BI230">
        <v>0.5</v>
      </c>
      <c r="BJ230">
        <f>CS230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417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1393</v>
      </c>
      <c r="CA230">
        <v>300</v>
      </c>
      <c r="CB230">
        <v>300</v>
      </c>
      <c r="CC230">
        <v>300</v>
      </c>
      <c r="CD230">
        <v>10378</v>
      </c>
      <c r="CE230">
        <v>2050</v>
      </c>
      <c r="CF230">
        <v>-0.00730649</v>
      </c>
      <c r="CG230">
        <v>-4.53</v>
      </c>
      <c r="CH230" t="s">
        <v>417</v>
      </c>
      <c r="CI230" t="s">
        <v>417</v>
      </c>
      <c r="CJ230" t="s">
        <v>417</v>
      </c>
      <c r="CK230" t="s">
        <v>417</v>
      </c>
      <c r="CL230" t="s">
        <v>417</v>
      </c>
      <c r="CM230" t="s">
        <v>417</v>
      </c>
      <c r="CN230" t="s">
        <v>417</v>
      </c>
      <c r="CO230" t="s">
        <v>417</v>
      </c>
      <c r="CP230" t="s">
        <v>417</v>
      </c>
      <c r="CQ230" t="s">
        <v>417</v>
      </c>
      <c r="CR230">
        <f>$B$11*DQ230+$C$11*DR230+$F$11*EC230*(1-EF230)</f>
        <v>0</v>
      </c>
      <c r="CS230">
        <f>CR230*CT230</f>
        <v>0</v>
      </c>
      <c r="CT230">
        <f>($B$11*$D$9+$C$11*$D$9+$F$11*((EP230+EH230)/MAX(EP230+EH230+EQ230, 0.1)*$I$9+EQ230/MAX(EP230+EH230+EQ230, 0.1)*$J$9))/($B$11+$C$11+$F$11)</f>
        <v>0</v>
      </c>
      <c r="CU230">
        <f>($B$11*$K$9+$C$11*$K$9+$F$11*((EP230+EH230)/MAX(EP230+EH230+EQ230, 0.1)*$P$9+EQ230/MAX(EP230+EH230+EQ230, 0.1)*$Q$9))/($B$11+$C$11+$F$11)</f>
        <v>0</v>
      </c>
      <c r="CV230">
        <v>6</v>
      </c>
      <c r="CW230">
        <v>0.5</v>
      </c>
      <c r="CX230" t="s">
        <v>418</v>
      </c>
      <c r="CY230">
        <v>2</v>
      </c>
      <c r="CZ230" t="b">
        <v>1</v>
      </c>
      <c r="DA230">
        <v>1652372830.714286</v>
      </c>
      <c r="DB230">
        <v>1456.039285714286</v>
      </c>
      <c r="DC230">
        <v>1528.311071428572</v>
      </c>
      <c r="DD230">
        <v>24.38135</v>
      </c>
      <c r="DE230">
        <v>21.93581071428572</v>
      </c>
      <c r="DF230">
        <v>1458.265</v>
      </c>
      <c r="DG230">
        <v>24.33916428571428</v>
      </c>
      <c r="DH230">
        <v>400.0743571428572</v>
      </c>
      <c r="DI230">
        <v>90.40060000000001</v>
      </c>
      <c r="DJ230">
        <v>0.09999283571428573</v>
      </c>
      <c r="DK230">
        <v>30.62591785714286</v>
      </c>
      <c r="DL230">
        <v>29.99458571428572</v>
      </c>
      <c r="DM230">
        <v>999.9000000000002</v>
      </c>
      <c r="DN230">
        <v>0</v>
      </c>
      <c r="DO230">
        <v>0</v>
      </c>
      <c r="DP230">
        <v>9998.817500000001</v>
      </c>
      <c r="DQ230">
        <v>0</v>
      </c>
      <c r="DR230">
        <v>415.69125</v>
      </c>
      <c r="DS230">
        <v>-72.27081071428572</v>
      </c>
      <c r="DT230">
        <v>1492.427142857143</v>
      </c>
      <c r="DU230">
        <v>1562.586428571429</v>
      </c>
      <c r="DV230">
        <v>2.445539285714286</v>
      </c>
      <c r="DW230">
        <v>1528.311071428572</v>
      </c>
      <c r="DX230">
        <v>21.93581071428572</v>
      </c>
      <c r="DY230">
        <v>2.204088571428571</v>
      </c>
      <c r="DZ230">
        <v>1.983011071428572</v>
      </c>
      <c r="EA230">
        <v>18.99206071428572</v>
      </c>
      <c r="EB230">
        <v>17.30932142857143</v>
      </c>
      <c r="EC230">
        <v>1499.991785714285</v>
      </c>
      <c r="ED230">
        <v>0.973005</v>
      </c>
      <c r="EE230">
        <v>0.02699470000000001</v>
      </c>
      <c r="EF230">
        <v>0</v>
      </c>
      <c r="EG230">
        <v>1652.438928571429</v>
      </c>
      <c r="EH230">
        <v>5.00097</v>
      </c>
      <c r="EI230">
        <v>25472.63214285714</v>
      </c>
      <c r="EJ230">
        <v>12491.56071428571</v>
      </c>
      <c r="EK230">
        <v>40.06199999999999</v>
      </c>
      <c r="EL230">
        <v>41.5</v>
      </c>
      <c r="EM230">
        <v>40.28764285714286</v>
      </c>
      <c r="EN230">
        <v>41.31199999999999</v>
      </c>
      <c r="EO230">
        <v>41.125</v>
      </c>
      <c r="EP230">
        <v>1454.631785714285</v>
      </c>
      <c r="EQ230">
        <v>40.35999999999999</v>
      </c>
      <c r="ER230">
        <v>0</v>
      </c>
      <c r="ES230">
        <v>1672.599999904633</v>
      </c>
      <c r="ET230">
        <v>0</v>
      </c>
      <c r="EU230">
        <v>1652.395</v>
      </c>
      <c r="EV230">
        <v>-7.438290580139231</v>
      </c>
      <c r="EW230">
        <v>-175.0324783893741</v>
      </c>
      <c r="EX230">
        <v>25471.6576923077</v>
      </c>
      <c r="EY230">
        <v>15</v>
      </c>
      <c r="EZ230">
        <v>1652371289.6</v>
      </c>
      <c r="FA230" t="s">
        <v>515</v>
      </c>
      <c r="FB230">
        <v>1652371289.6</v>
      </c>
      <c r="FC230">
        <v>1652371275.1</v>
      </c>
      <c r="FD230">
        <v>24</v>
      </c>
      <c r="FE230">
        <v>0.442</v>
      </c>
      <c r="FF230">
        <v>0.001</v>
      </c>
      <c r="FG230">
        <v>-2.63</v>
      </c>
      <c r="FH230">
        <v>0.007</v>
      </c>
      <c r="FI230">
        <v>1620</v>
      </c>
      <c r="FJ230">
        <v>22</v>
      </c>
      <c r="FK230">
        <v>0.08</v>
      </c>
      <c r="FL230">
        <v>0.04</v>
      </c>
      <c r="FM230">
        <v>-72.3427243902439</v>
      </c>
      <c r="FN230">
        <v>0.7304926829267782</v>
      </c>
      <c r="FO230">
        <v>0.2519108618776595</v>
      </c>
      <c r="FP230">
        <v>-1</v>
      </c>
      <c r="FQ230">
        <v>2.456863170731707</v>
      </c>
      <c r="FR230">
        <v>-0.1986286411149813</v>
      </c>
      <c r="FS230">
        <v>0.02349321847548147</v>
      </c>
      <c r="FT230">
        <v>1</v>
      </c>
      <c r="FU230">
        <v>0</v>
      </c>
      <c r="FV230">
        <v>0</v>
      </c>
      <c r="FW230">
        <v>0</v>
      </c>
      <c r="FX230">
        <v>-1</v>
      </c>
      <c r="FY230">
        <v>1</v>
      </c>
      <c r="FZ230">
        <v>1</v>
      </c>
      <c r="GA230" t="s">
        <v>420</v>
      </c>
      <c r="GB230">
        <v>2.69556</v>
      </c>
      <c r="GC230">
        <v>2.70516</v>
      </c>
      <c r="GD230">
        <v>0.218956</v>
      </c>
      <c r="GE230">
        <v>0.223048</v>
      </c>
      <c r="GF230">
        <v>0.107163</v>
      </c>
      <c r="GG230">
        <v>0.098164</v>
      </c>
      <c r="GH230">
        <v>24541</v>
      </c>
      <c r="GI230">
        <v>24518.6</v>
      </c>
      <c r="GJ230">
        <v>29235.2</v>
      </c>
      <c r="GK230">
        <v>29208.7</v>
      </c>
      <c r="GL230">
        <v>34560.4</v>
      </c>
      <c r="GM230">
        <v>35062</v>
      </c>
      <c r="GN230">
        <v>41147.2</v>
      </c>
      <c r="GO230">
        <v>41674.7</v>
      </c>
      <c r="GP230">
        <v>1.72127</v>
      </c>
      <c r="GQ230">
        <v>2.03625</v>
      </c>
      <c r="GR230">
        <v>0.07198010000000001</v>
      </c>
      <c r="GS230">
        <v>0</v>
      </c>
      <c r="GT230">
        <v>28.8108</v>
      </c>
      <c r="GU230">
        <v>999.9</v>
      </c>
      <c r="GV230">
        <v>44.1</v>
      </c>
      <c r="GW230">
        <v>33.5</v>
      </c>
      <c r="GX230">
        <v>25.3447</v>
      </c>
      <c r="GY230">
        <v>63.368</v>
      </c>
      <c r="GZ230">
        <v>29.0104</v>
      </c>
      <c r="HA230">
        <v>1</v>
      </c>
      <c r="HB230">
        <v>0.269543</v>
      </c>
      <c r="HC230">
        <v>0.440229</v>
      </c>
      <c r="HD230">
        <v>20.3805</v>
      </c>
      <c r="HE230">
        <v>5.21774</v>
      </c>
      <c r="HF230">
        <v>12.0099</v>
      </c>
      <c r="HG230">
        <v>4.9882</v>
      </c>
      <c r="HH230">
        <v>3.2883</v>
      </c>
      <c r="HI230">
        <v>2733.6</v>
      </c>
      <c r="HJ230">
        <v>9999</v>
      </c>
      <c r="HK230">
        <v>9999</v>
      </c>
      <c r="HL230">
        <v>50.2</v>
      </c>
      <c r="HM230">
        <v>1.86722</v>
      </c>
      <c r="HN230">
        <v>1.86627</v>
      </c>
      <c r="HO230">
        <v>1.86584</v>
      </c>
      <c r="HP230">
        <v>1.86569</v>
      </c>
      <c r="HQ230">
        <v>1.86751</v>
      </c>
      <c r="HR230">
        <v>1.87</v>
      </c>
      <c r="HS230">
        <v>1.86864</v>
      </c>
      <c r="HT230">
        <v>1.87005</v>
      </c>
      <c r="HU230">
        <v>0</v>
      </c>
      <c r="HV230">
        <v>0</v>
      </c>
      <c r="HW230">
        <v>0</v>
      </c>
      <c r="HX230">
        <v>0</v>
      </c>
      <c r="HY230" t="s">
        <v>421</v>
      </c>
      <c r="HZ230" t="s">
        <v>422</v>
      </c>
      <c r="IA230" t="s">
        <v>423</v>
      </c>
      <c r="IB230" t="s">
        <v>423</v>
      </c>
      <c r="IC230" t="s">
        <v>423</v>
      </c>
      <c r="ID230" t="s">
        <v>423</v>
      </c>
      <c r="IE230">
        <v>0</v>
      </c>
      <c r="IF230">
        <v>100</v>
      </c>
      <c r="IG230">
        <v>100</v>
      </c>
      <c r="IH230">
        <v>-2.29</v>
      </c>
      <c r="II230">
        <v>0.0421</v>
      </c>
      <c r="IJ230">
        <v>1.257309091789605</v>
      </c>
      <c r="IK230">
        <v>-0.002185601614162945</v>
      </c>
      <c r="IL230">
        <v>-2.252308143750626E-07</v>
      </c>
      <c r="IM230">
        <v>5.915558436307541E-11</v>
      </c>
      <c r="IN230">
        <v>-0.118683452207699</v>
      </c>
      <c r="IO230">
        <v>-0.007570214193104963</v>
      </c>
      <c r="IP230">
        <v>0.0009214429922928372</v>
      </c>
      <c r="IQ230">
        <v>-1.392260276065805E-05</v>
      </c>
      <c r="IR230">
        <v>17</v>
      </c>
      <c r="IS230">
        <v>2272</v>
      </c>
      <c r="IT230">
        <v>1</v>
      </c>
      <c r="IU230">
        <v>31</v>
      </c>
      <c r="IV230">
        <v>25.8</v>
      </c>
      <c r="IW230">
        <v>26.1</v>
      </c>
      <c r="IX230">
        <v>3.00293</v>
      </c>
      <c r="IY230">
        <v>2.19727</v>
      </c>
      <c r="IZ230">
        <v>1.39648</v>
      </c>
      <c r="JA230">
        <v>2.35229</v>
      </c>
      <c r="JB230">
        <v>1.49536</v>
      </c>
      <c r="JC230">
        <v>2.34619</v>
      </c>
      <c r="JD230">
        <v>37.1225</v>
      </c>
      <c r="JE230">
        <v>15.209</v>
      </c>
      <c r="JF230">
        <v>18</v>
      </c>
      <c r="JG230">
        <v>387.715</v>
      </c>
      <c r="JH230">
        <v>573.064</v>
      </c>
      <c r="JI230">
        <v>28.6082</v>
      </c>
      <c r="JJ230">
        <v>30.882</v>
      </c>
      <c r="JK230">
        <v>29.9999</v>
      </c>
      <c r="JL230">
        <v>30.8069</v>
      </c>
      <c r="JM230">
        <v>30.709</v>
      </c>
      <c r="JN230">
        <v>60.0749</v>
      </c>
      <c r="JO230">
        <v>16.0417</v>
      </c>
      <c r="JP230">
        <v>2.65308</v>
      </c>
      <c r="JQ230">
        <v>28.6239</v>
      </c>
      <c r="JR230">
        <v>1570.41</v>
      </c>
      <c r="JS230">
        <v>21.9557</v>
      </c>
      <c r="JT230">
        <v>99.9282</v>
      </c>
      <c r="JU230">
        <v>100.037</v>
      </c>
    </row>
    <row r="231" spans="1:281">
      <c r="A231">
        <v>215</v>
      </c>
      <c r="B231">
        <v>1652372843.5</v>
      </c>
      <c r="C231">
        <v>4749.900000095367</v>
      </c>
      <c r="D231" t="s">
        <v>898</v>
      </c>
      <c r="E231" t="s">
        <v>899</v>
      </c>
      <c r="F231">
        <v>5</v>
      </c>
      <c r="G231" t="s">
        <v>711</v>
      </c>
      <c r="H231" t="s">
        <v>414</v>
      </c>
      <c r="I231">
        <v>1652372836</v>
      </c>
      <c r="J231">
        <f>(K231)/1000</f>
        <v>0</v>
      </c>
      <c r="K231">
        <f>IF(CZ231, AN231, AH231)</f>
        <v>0</v>
      </c>
      <c r="L231">
        <f>IF(CZ231, AI231, AG231)</f>
        <v>0</v>
      </c>
      <c r="M231">
        <f>DB231 - IF(AU231&gt;1, L231*CV231*100.0/(AW231*DP231), 0)</f>
        <v>0</v>
      </c>
      <c r="N231">
        <f>((T231-J231/2)*M231-L231)/(T231+J231/2)</f>
        <v>0</v>
      </c>
      <c r="O231">
        <f>N231*(DI231+DJ231)/1000.0</f>
        <v>0</v>
      </c>
      <c r="P231">
        <f>(DB231 - IF(AU231&gt;1, L231*CV231*100.0/(AW231*DP231), 0))*(DI231+DJ231)/1000.0</f>
        <v>0</v>
      </c>
      <c r="Q231">
        <f>2.0/((1/S231-1/R231)+SIGN(S231)*SQRT((1/S231-1/R231)*(1/S231-1/R231) + 4*CW231/((CW231+1)*(CW231+1))*(2*1/S231*1/R231-1/R231*1/R231)))</f>
        <v>0</v>
      </c>
      <c r="R231">
        <f>IF(LEFT(CX231,1)&lt;&gt;"0",IF(LEFT(CX231,1)="1",3.0,CY231),$D$5+$E$5*(DP231*DI231/($K$5*1000))+$F$5*(DP231*DI231/($K$5*1000))*MAX(MIN(CV231,$J$5),$I$5)*MAX(MIN(CV231,$J$5),$I$5)+$G$5*MAX(MIN(CV231,$J$5),$I$5)*(DP231*DI231/($K$5*1000))+$H$5*(DP231*DI231/($K$5*1000))*(DP231*DI231/($K$5*1000)))</f>
        <v>0</v>
      </c>
      <c r="S231">
        <f>J231*(1000-(1000*0.61365*exp(17.502*W231/(240.97+W231))/(DI231+DJ231)+DD231)/2)/(1000*0.61365*exp(17.502*W231/(240.97+W231))/(DI231+DJ231)-DD231)</f>
        <v>0</v>
      </c>
      <c r="T231">
        <f>1/((CW231+1)/(Q231/1.6)+1/(R231/1.37)) + CW231/((CW231+1)/(Q231/1.6) + CW231/(R231/1.37))</f>
        <v>0</v>
      </c>
      <c r="U231">
        <f>(CR231*CU231)</f>
        <v>0</v>
      </c>
      <c r="V231">
        <f>(DK231+(U231+2*0.95*5.67E-8*(((DK231+$B$7)+273)^4-(DK231+273)^4)-44100*J231)/(1.84*29.3*R231+8*0.95*5.67E-8*(DK231+273)^3))</f>
        <v>0</v>
      </c>
      <c r="W231">
        <f>($C$7*DL231+$D$7*DM231+$E$7*V231)</f>
        <v>0</v>
      </c>
      <c r="X231">
        <f>0.61365*exp(17.502*W231/(240.97+W231))</f>
        <v>0</v>
      </c>
      <c r="Y231">
        <f>(Z231/AA231*100)</f>
        <v>0</v>
      </c>
      <c r="Z231">
        <f>DD231*(DI231+DJ231)/1000</f>
        <v>0</v>
      </c>
      <c r="AA231">
        <f>0.61365*exp(17.502*DK231/(240.97+DK231))</f>
        <v>0</v>
      </c>
      <c r="AB231">
        <f>(X231-DD231*(DI231+DJ231)/1000)</f>
        <v>0</v>
      </c>
      <c r="AC231">
        <f>(-J231*44100)</f>
        <v>0</v>
      </c>
      <c r="AD231">
        <f>2*29.3*R231*0.92*(DK231-W231)</f>
        <v>0</v>
      </c>
      <c r="AE231">
        <f>2*0.95*5.67E-8*(((DK231+$B$7)+273)^4-(W231+273)^4)</f>
        <v>0</v>
      </c>
      <c r="AF231">
        <f>U231+AE231+AC231+AD231</f>
        <v>0</v>
      </c>
      <c r="AG231">
        <f>DH231*AU231*(DC231-DB231*(1000-AU231*DE231)/(1000-AU231*DD231))/(100*CV231)</f>
        <v>0</v>
      </c>
      <c r="AH231">
        <f>1000*DH231*AU231*(DD231-DE231)/(100*CV231*(1000-AU231*DD231))</f>
        <v>0</v>
      </c>
      <c r="AI231">
        <f>(AJ231 - AK231 - DI231*1E3/(8.314*(DK231+273.15)) * AM231/DH231 * AL231) * DH231/(100*CV231) * (1000 - DE231)/1000</f>
        <v>0</v>
      </c>
      <c r="AJ231">
        <v>1592.205632876945</v>
      </c>
      <c r="AK231">
        <v>1533.715636363637</v>
      </c>
      <c r="AL231">
        <v>3.347130435507146</v>
      </c>
      <c r="AM231">
        <v>65.96288611109561</v>
      </c>
      <c r="AN231">
        <f>(AP231 - AO231 + DI231*1E3/(8.314*(DK231+273.15)) * AR231/DH231 * AQ231) * DH231/(100*CV231) * 1000/(1000 - AP231)</f>
        <v>0</v>
      </c>
      <c r="AO231">
        <v>21.97453870710634</v>
      </c>
      <c r="AP231">
        <v>24.3787132867133</v>
      </c>
      <c r="AQ231">
        <v>0.0002300044266014047</v>
      </c>
      <c r="AR231">
        <v>81.18387902069509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MAX(0,($B$13+$C$13*DP231)/(1+$D$13*DP231)*DI231/(DK231+273)*$E$13)</f>
        <v>0</v>
      </c>
      <c r="AX231" t="s">
        <v>417</v>
      </c>
      <c r="AY231" t="s">
        <v>417</v>
      </c>
      <c r="AZ231">
        <v>0</v>
      </c>
      <c r="BA231">
        <v>0</v>
      </c>
      <c r="BB231">
        <f>1-AZ231/BA231</f>
        <v>0</v>
      </c>
      <c r="BC231">
        <v>0</v>
      </c>
      <c r="BD231" t="s">
        <v>417</v>
      </c>
      <c r="BE231" t="s">
        <v>417</v>
      </c>
      <c r="BF231">
        <v>0</v>
      </c>
      <c r="BG231">
        <v>0</v>
      </c>
      <c r="BH231">
        <f>1-BF231/BG231</f>
        <v>0</v>
      </c>
      <c r="BI231">
        <v>0.5</v>
      </c>
      <c r="BJ231">
        <f>CS231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417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1393</v>
      </c>
      <c r="CA231">
        <v>300</v>
      </c>
      <c r="CB231">
        <v>300</v>
      </c>
      <c r="CC231">
        <v>300</v>
      </c>
      <c r="CD231">
        <v>10378</v>
      </c>
      <c r="CE231">
        <v>2050</v>
      </c>
      <c r="CF231">
        <v>-0.00730649</v>
      </c>
      <c r="CG231">
        <v>-4.53</v>
      </c>
      <c r="CH231" t="s">
        <v>417</v>
      </c>
      <c r="CI231" t="s">
        <v>417</v>
      </c>
      <c r="CJ231" t="s">
        <v>417</v>
      </c>
      <c r="CK231" t="s">
        <v>417</v>
      </c>
      <c r="CL231" t="s">
        <v>417</v>
      </c>
      <c r="CM231" t="s">
        <v>417</v>
      </c>
      <c r="CN231" t="s">
        <v>417</v>
      </c>
      <c r="CO231" t="s">
        <v>417</v>
      </c>
      <c r="CP231" t="s">
        <v>417</v>
      </c>
      <c r="CQ231" t="s">
        <v>417</v>
      </c>
      <c r="CR231">
        <f>$B$11*DQ231+$C$11*DR231+$F$11*EC231*(1-EF231)</f>
        <v>0</v>
      </c>
      <c r="CS231">
        <f>CR231*CT231</f>
        <v>0</v>
      </c>
      <c r="CT231">
        <f>($B$11*$D$9+$C$11*$D$9+$F$11*((EP231+EH231)/MAX(EP231+EH231+EQ231, 0.1)*$I$9+EQ231/MAX(EP231+EH231+EQ231, 0.1)*$J$9))/($B$11+$C$11+$F$11)</f>
        <v>0</v>
      </c>
      <c r="CU231">
        <f>($B$11*$K$9+$C$11*$K$9+$F$11*((EP231+EH231)/MAX(EP231+EH231+EQ231, 0.1)*$P$9+EQ231/MAX(EP231+EH231+EQ231, 0.1)*$Q$9))/($B$11+$C$11+$F$11)</f>
        <v>0</v>
      </c>
      <c r="CV231">
        <v>6</v>
      </c>
      <c r="CW231">
        <v>0.5</v>
      </c>
      <c r="CX231" t="s">
        <v>418</v>
      </c>
      <c r="CY231">
        <v>2</v>
      </c>
      <c r="CZ231" t="b">
        <v>1</v>
      </c>
      <c r="DA231">
        <v>1652372836</v>
      </c>
      <c r="DB231">
        <v>1473.395925925926</v>
      </c>
      <c r="DC231">
        <v>1545.605185185185</v>
      </c>
      <c r="DD231">
        <v>24.37725925925926</v>
      </c>
      <c r="DE231">
        <v>21.95431111111111</v>
      </c>
      <c r="DF231">
        <v>1475.665185185185</v>
      </c>
      <c r="DG231">
        <v>24.33512222222222</v>
      </c>
      <c r="DH231">
        <v>400.0719629629629</v>
      </c>
      <c r="DI231">
        <v>90.40095555555554</v>
      </c>
      <c r="DJ231">
        <v>0.1000038148148148</v>
      </c>
      <c r="DK231">
        <v>30.62217407407407</v>
      </c>
      <c r="DL231">
        <v>29.98876296296296</v>
      </c>
      <c r="DM231">
        <v>999.9000000000001</v>
      </c>
      <c r="DN231">
        <v>0</v>
      </c>
      <c r="DO231">
        <v>0</v>
      </c>
      <c r="DP231">
        <v>9999.764444444445</v>
      </c>
      <c r="DQ231">
        <v>0</v>
      </c>
      <c r="DR231">
        <v>411.8329999999999</v>
      </c>
      <c r="DS231">
        <v>-72.2080148148148</v>
      </c>
      <c r="DT231">
        <v>1510.211481481481</v>
      </c>
      <c r="DU231">
        <v>1580.299259259259</v>
      </c>
      <c r="DV231">
        <v>2.422956296296296</v>
      </c>
      <c r="DW231">
        <v>1545.605185185185</v>
      </c>
      <c r="DX231">
        <v>21.95431111111111</v>
      </c>
      <c r="DY231">
        <v>2.203727407407407</v>
      </c>
      <c r="DZ231">
        <v>1.98469037037037</v>
      </c>
      <c r="EA231">
        <v>18.98942592592593</v>
      </c>
      <c r="EB231">
        <v>17.32271111111111</v>
      </c>
      <c r="EC231">
        <v>1499.987777777778</v>
      </c>
      <c r="ED231">
        <v>0.973005</v>
      </c>
      <c r="EE231">
        <v>0.02699470000000001</v>
      </c>
      <c r="EF231">
        <v>0</v>
      </c>
      <c r="EG231">
        <v>1651.663333333333</v>
      </c>
      <c r="EH231">
        <v>5.00097</v>
      </c>
      <c r="EI231">
        <v>25457.86296296296</v>
      </c>
      <c r="EJ231">
        <v>12491.51481481482</v>
      </c>
      <c r="EK231">
        <v>40.06199999999999</v>
      </c>
      <c r="EL231">
        <v>41.5</v>
      </c>
      <c r="EM231">
        <v>40.27755555555556</v>
      </c>
      <c r="EN231">
        <v>41.31199999999999</v>
      </c>
      <c r="EO231">
        <v>41.125</v>
      </c>
      <c r="EP231">
        <v>1454.627777777778</v>
      </c>
      <c r="EQ231">
        <v>40.35999999999999</v>
      </c>
      <c r="ER231">
        <v>0</v>
      </c>
      <c r="ES231">
        <v>1677.399999856949</v>
      </c>
      <c r="ET231">
        <v>0</v>
      </c>
      <c r="EU231">
        <v>1651.696153846153</v>
      </c>
      <c r="EV231">
        <v>-8.324786317649451</v>
      </c>
      <c r="EW231">
        <v>-160.1333334550175</v>
      </c>
      <c r="EX231">
        <v>25458.25</v>
      </c>
      <c r="EY231">
        <v>15</v>
      </c>
      <c r="EZ231">
        <v>1652371289.6</v>
      </c>
      <c r="FA231" t="s">
        <v>515</v>
      </c>
      <c r="FB231">
        <v>1652371289.6</v>
      </c>
      <c r="FC231">
        <v>1652371275.1</v>
      </c>
      <c r="FD231">
        <v>24</v>
      </c>
      <c r="FE231">
        <v>0.442</v>
      </c>
      <c r="FF231">
        <v>0.001</v>
      </c>
      <c r="FG231">
        <v>-2.63</v>
      </c>
      <c r="FH231">
        <v>0.007</v>
      </c>
      <c r="FI231">
        <v>1620</v>
      </c>
      <c r="FJ231">
        <v>22</v>
      </c>
      <c r="FK231">
        <v>0.08</v>
      </c>
      <c r="FL231">
        <v>0.04</v>
      </c>
      <c r="FM231">
        <v>-72.22099</v>
      </c>
      <c r="FN231">
        <v>1.328866041275919</v>
      </c>
      <c r="FO231">
        <v>0.2755485908147595</v>
      </c>
      <c r="FP231">
        <v>-1</v>
      </c>
      <c r="FQ231">
        <v>2.43685425</v>
      </c>
      <c r="FR231">
        <v>-0.2899360975609787</v>
      </c>
      <c r="FS231">
        <v>0.02977647745179911</v>
      </c>
      <c r="FT231">
        <v>1</v>
      </c>
      <c r="FU231">
        <v>0</v>
      </c>
      <c r="FV231">
        <v>0</v>
      </c>
      <c r="FW231">
        <v>0</v>
      </c>
      <c r="FX231">
        <v>-1</v>
      </c>
      <c r="FY231">
        <v>1</v>
      </c>
      <c r="FZ231">
        <v>1</v>
      </c>
      <c r="GA231" t="s">
        <v>420</v>
      </c>
      <c r="GB231">
        <v>2.69573</v>
      </c>
      <c r="GC231">
        <v>2.70531</v>
      </c>
      <c r="GD231">
        <v>0.220412</v>
      </c>
      <c r="GE231">
        <v>0.224473</v>
      </c>
      <c r="GF231">
        <v>0.107168</v>
      </c>
      <c r="GG231">
        <v>0.0981601</v>
      </c>
      <c r="GH231">
        <v>24495.5</v>
      </c>
      <c r="GI231">
        <v>24473.8</v>
      </c>
      <c r="GJ231">
        <v>29235.6</v>
      </c>
      <c r="GK231">
        <v>29209.1</v>
      </c>
      <c r="GL231">
        <v>34560.7</v>
      </c>
      <c r="GM231">
        <v>35062.4</v>
      </c>
      <c r="GN231">
        <v>41147.7</v>
      </c>
      <c r="GO231">
        <v>41675.1</v>
      </c>
      <c r="GP231">
        <v>1.72173</v>
      </c>
      <c r="GQ231">
        <v>2.0362</v>
      </c>
      <c r="GR231">
        <v>0.07250910000000001</v>
      </c>
      <c r="GS231">
        <v>0</v>
      </c>
      <c r="GT231">
        <v>28.8086</v>
      </c>
      <c r="GU231">
        <v>999.9</v>
      </c>
      <c r="GV231">
        <v>44.1</v>
      </c>
      <c r="GW231">
        <v>33.6</v>
      </c>
      <c r="GX231">
        <v>25.4904</v>
      </c>
      <c r="GY231">
        <v>63.258</v>
      </c>
      <c r="GZ231">
        <v>28.6338</v>
      </c>
      <c r="HA231">
        <v>1</v>
      </c>
      <c r="HB231">
        <v>0.269632</v>
      </c>
      <c r="HC231">
        <v>0.538015</v>
      </c>
      <c r="HD231">
        <v>20.3804</v>
      </c>
      <c r="HE231">
        <v>5.21639</v>
      </c>
      <c r="HF231">
        <v>12.0099</v>
      </c>
      <c r="HG231">
        <v>4.98815</v>
      </c>
      <c r="HH231">
        <v>3.28815</v>
      </c>
      <c r="HI231">
        <v>2733.8</v>
      </c>
      <c r="HJ231">
        <v>9999</v>
      </c>
      <c r="HK231">
        <v>9999</v>
      </c>
      <c r="HL231">
        <v>50.2</v>
      </c>
      <c r="HM231">
        <v>1.86722</v>
      </c>
      <c r="HN231">
        <v>1.86626</v>
      </c>
      <c r="HO231">
        <v>1.86584</v>
      </c>
      <c r="HP231">
        <v>1.86569</v>
      </c>
      <c r="HQ231">
        <v>1.86752</v>
      </c>
      <c r="HR231">
        <v>1.87</v>
      </c>
      <c r="HS231">
        <v>1.86865</v>
      </c>
      <c r="HT231">
        <v>1.87006</v>
      </c>
      <c r="HU231">
        <v>0</v>
      </c>
      <c r="HV231">
        <v>0</v>
      </c>
      <c r="HW231">
        <v>0</v>
      </c>
      <c r="HX231">
        <v>0</v>
      </c>
      <c r="HY231" t="s">
        <v>421</v>
      </c>
      <c r="HZ231" t="s">
        <v>422</v>
      </c>
      <c r="IA231" t="s">
        <v>423</v>
      </c>
      <c r="IB231" t="s">
        <v>423</v>
      </c>
      <c r="IC231" t="s">
        <v>423</v>
      </c>
      <c r="ID231" t="s">
        <v>423</v>
      </c>
      <c r="IE231">
        <v>0</v>
      </c>
      <c r="IF231">
        <v>100</v>
      </c>
      <c r="IG231">
        <v>100</v>
      </c>
      <c r="IH231">
        <v>-2.32</v>
      </c>
      <c r="II231">
        <v>0.0421</v>
      </c>
      <c r="IJ231">
        <v>1.257309091789605</v>
      </c>
      <c r="IK231">
        <v>-0.002185601614162945</v>
      </c>
      <c r="IL231">
        <v>-2.252308143750626E-07</v>
      </c>
      <c r="IM231">
        <v>5.915558436307541E-11</v>
      </c>
      <c r="IN231">
        <v>-0.118683452207699</v>
      </c>
      <c r="IO231">
        <v>-0.007570214193104963</v>
      </c>
      <c r="IP231">
        <v>0.0009214429922928372</v>
      </c>
      <c r="IQ231">
        <v>-1.392260276065805E-05</v>
      </c>
      <c r="IR231">
        <v>17</v>
      </c>
      <c r="IS231">
        <v>2272</v>
      </c>
      <c r="IT231">
        <v>1</v>
      </c>
      <c r="IU231">
        <v>31</v>
      </c>
      <c r="IV231">
        <v>25.9</v>
      </c>
      <c r="IW231">
        <v>26.1</v>
      </c>
      <c r="IX231">
        <v>3.0249</v>
      </c>
      <c r="IY231">
        <v>2.19849</v>
      </c>
      <c r="IZ231">
        <v>1.39648</v>
      </c>
      <c r="JA231">
        <v>2.35352</v>
      </c>
      <c r="JB231">
        <v>1.49536</v>
      </c>
      <c r="JC231">
        <v>2.34253</v>
      </c>
      <c r="JD231">
        <v>37.1225</v>
      </c>
      <c r="JE231">
        <v>15.209</v>
      </c>
      <c r="JF231">
        <v>18</v>
      </c>
      <c r="JG231">
        <v>387.956</v>
      </c>
      <c r="JH231">
        <v>573.049</v>
      </c>
      <c r="JI231">
        <v>28.638</v>
      </c>
      <c r="JJ231">
        <v>30.8834</v>
      </c>
      <c r="JK231">
        <v>30</v>
      </c>
      <c r="JL231">
        <v>30.8069</v>
      </c>
      <c r="JM231">
        <v>30.7115</v>
      </c>
      <c r="JN231">
        <v>60.6092</v>
      </c>
      <c r="JO231">
        <v>16.0417</v>
      </c>
      <c r="JP231">
        <v>2.65308</v>
      </c>
      <c r="JQ231">
        <v>28.6344</v>
      </c>
      <c r="JR231">
        <v>1590.45</v>
      </c>
      <c r="JS231">
        <v>21.9557</v>
      </c>
      <c r="JT231">
        <v>99.9294</v>
      </c>
      <c r="JU231">
        <v>100.038</v>
      </c>
    </row>
    <row r="232" spans="1:281">
      <c r="A232">
        <v>216</v>
      </c>
      <c r="B232">
        <v>1652372848.5</v>
      </c>
      <c r="C232">
        <v>4754.900000095367</v>
      </c>
      <c r="D232" t="s">
        <v>900</v>
      </c>
      <c r="E232" t="s">
        <v>901</v>
      </c>
      <c r="F232">
        <v>5</v>
      </c>
      <c r="G232" t="s">
        <v>711</v>
      </c>
      <c r="H232" t="s">
        <v>414</v>
      </c>
      <c r="I232">
        <v>1652372840.714286</v>
      </c>
      <c r="J232">
        <f>(K232)/1000</f>
        <v>0</v>
      </c>
      <c r="K232">
        <f>IF(CZ232, AN232, AH232)</f>
        <v>0</v>
      </c>
      <c r="L232">
        <f>IF(CZ232, AI232, AG232)</f>
        <v>0</v>
      </c>
      <c r="M232">
        <f>DB232 - IF(AU232&gt;1, L232*CV232*100.0/(AW232*DP232), 0)</f>
        <v>0</v>
      </c>
      <c r="N232">
        <f>((T232-J232/2)*M232-L232)/(T232+J232/2)</f>
        <v>0</v>
      </c>
      <c r="O232">
        <f>N232*(DI232+DJ232)/1000.0</f>
        <v>0</v>
      </c>
      <c r="P232">
        <f>(DB232 - IF(AU232&gt;1, L232*CV232*100.0/(AW232*DP232), 0))*(DI232+DJ232)/1000.0</f>
        <v>0</v>
      </c>
      <c r="Q232">
        <f>2.0/((1/S232-1/R232)+SIGN(S232)*SQRT((1/S232-1/R232)*(1/S232-1/R232) + 4*CW232/((CW232+1)*(CW232+1))*(2*1/S232*1/R232-1/R232*1/R232)))</f>
        <v>0</v>
      </c>
      <c r="R232">
        <f>IF(LEFT(CX232,1)&lt;&gt;"0",IF(LEFT(CX232,1)="1",3.0,CY232),$D$5+$E$5*(DP232*DI232/($K$5*1000))+$F$5*(DP232*DI232/($K$5*1000))*MAX(MIN(CV232,$J$5),$I$5)*MAX(MIN(CV232,$J$5),$I$5)+$G$5*MAX(MIN(CV232,$J$5),$I$5)*(DP232*DI232/($K$5*1000))+$H$5*(DP232*DI232/($K$5*1000))*(DP232*DI232/($K$5*1000)))</f>
        <v>0</v>
      </c>
      <c r="S232">
        <f>J232*(1000-(1000*0.61365*exp(17.502*W232/(240.97+W232))/(DI232+DJ232)+DD232)/2)/(1000*0.61365*exp(17.502*W232/(240.97+W232))/(DI232+DJ232)-DD232)</f>
        <v>0</v>
      </c>
      <c r="T232">
        <f>1/((CW232+1)/(Q232/1.6)+1/(R232/1.37)) + CW232/((CW232+1)/(Q232/1.6) + CW232/(R232/1.37))</f>
        <v>0</v>
      </c>
      <c r="U232">
        <f>(CR232*CU232)</f>
        <v>0</v>
      </c>
      <c r="V232">
        <f>(DK232+(U232+2*0.95*5.67E-8*(((DK232+$B$7)+273)^4-(DK232+273)^4)-44100*J232)/(1.84*29.3*R232+8*0.95*5.67E-8*(DK232+273)^3))</f>
        <v>0</v>
      </c>
      <c r="W232">
        <f>($C$7*DL232+$D$7*DM232+$E$7*V232)</f>
        <v>0</v>
      </c>
      <c r="X232">
        <f>0.61365*exp(17.502*W232/(240.97+W232))</f>
        <v>0</v>
      </c>
      <c r="Y232">
        <f>(Z232/AA232*100)</f>
        <v>0</v>
      </c>
      <c r="Z232">
        <f>DD232*(DI232+DJ232)/1000</f>
        <v>0</v>
      </c>
      <c r="AA232">
        <f>0.61365*exp(17.502*DK232/(240.97+DK232))</f>
        <v>0</v>
      </c>
      <c r="AB232">
        <f>(X232-DD232*(DI232+DJ232)/1000)</f>
        <v>0</v>
      </c>
      <c r="AC232">
        <f>(-J232*44100)</f>
        <v>0</v>
      </c>
      <c r="AD232">
        <f>2*29.3*R232*0.92*(DK232-W232)</f>
        <v>0</v>
      </c>
      <c r="AE232">
        <f>2*0.95*5.67E-8*(((DK232+$B$7)+273)^4-(W232+273)^4)</f>
        <v>0</v>
      </c>
      <c r="AF232">
        <f>U232+AE232+AC232+AD232</f>
        <v>0</v>
      </c>
      <c r="AG232">
        <f>DH232*AU232*(DC232-DB232*(1000-AU232*DE232)/(1000-AU232*DD232))/(100*CV232)</f>
        <v>0</v>
      </c>
      <c r="AH232">
        <f>1000*DH232*AU232*(DD232-DE232)/(100*CV232*(1000-AU232*DD232))</f>
        <v>0</v>
      </c>
      <c r="AI232">
        <f>(AJ232 - AK232 - DI232*1E3/(8.314*(DK232+273.15)) * AM232/DH232 * AL232) * DH232/(100*CV232) * (1000 - DE232)/1000</f>
        <v>0</v>
      </c>
      <c r="AJ232">
        <v>1609.314506949471</v>
      </c>
      <c r="AK232">
        <v>1550.359757575757</v>
      </c>
      <c r="AL232">
        <v>3.322463208863211</v>
      </c>
      <c r="AM232">
        <v>65.96288611109561</v>
      </c>
      <c r="AN232">
        <f>(AP232 - AO232 + DI232*1E3/(8.314*(DK232+273.15)) * AR232/DH232 * AQ232) * DH232/(100*CV232) * 1000/(1000 - AP232)</f>
        <v>0</v>
      </c>
      <c r="AO232">
        <v>21.97438968492661</v>
      </c>
      <c r="AP232">
        <v>24.3703167832168</v>
      </c>
      <c r="AQ232">
        <v>-0.0001244274032059681</v>
      </c>
      <c r="AR232">
        <v>81.18387902069509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MAX(0,($B$13+$C$13*DP232)/(1+$D$13*DP232)*DI232/(DK232+273)*$E$13)</f>
        <v>0</v>
      </c>
      <c r="AX232" t="s">
        <v>417</v>
      </c>
      <c r="AY232" t="s">
        <v>417</v>
      </c>
      <c r="AZ232">
        <v>0</v>
      </c>
      <c r="BA232">
        <v>0</v>
      </c>
      <c r="BB232">
        <f>1-AZ232/BA232</f>
        <v>0</v>
      </c>
      <c r="BC232">
        <v>0</v>
      </c>
      <c r="BD232" t="s">
        <v>417</v>
      </c>
      <c r="BE232" t="s">
        <v>417</v>
      </c>
      <c r="BF232">
        <v>0</v>
      </c>
      <c r="BG232">
        <v>0</v>
      </c>
      <c r="BH232">
        <f>1-BF232/BG232</f>
        <v>0</v>
      </c>
      <c r="BI232">
        <v>0.5</v>
      </c>
      <c r="BJ232">
        <f>CS232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417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1393</v>
      </c>
      <c r="CA232">
        <v>300</v>
      </c>
      <c r="CB232">
        <v>300</v>
      </c>
      <c r="CC232">
        <v>300</v>
      </c>
      <c r="CD232">
        <v>10378</v>
      </c>
      <c r="CE232">
        <v>2050</v>
      </c>
      <c r="CF232">
        <v>-0.00730649</v>
      </c>
      <c r="CG232">
        <v>-4.53</v>
      </c>
      <c r="CH232" t="s">
        <v>417</v>
      </c>
      <c r="CI232" t="s">
        <v>417</v>
      </c>
      <c r="CJ232" t="s">
        <v>417</v>
      </c>
      <c r="CK232" t="s">
        <v>417</v>
      </c>
      <c r="CL232" t="s">
        <v>417</v>
      </c>
      <c r="CM232" t="s">
        <v>417</v>
      </c>
      <c r="CN232" t="s">
        <v>417</v>
      </c>
      <c r="CO232" t="s">
        <v>417</v>
      </c>
      <c r="CP232" t="s">
        <v>417</v>
      </c>
      <c r="CQ232" t="s">
        <v>417</v>
      </c>
      <c r="CR232">
        <f>$B$11*DQ232+$C$11*DR232+$F$11*EC232*(1-EF232)</f>
        <v>0</v>
      </c>
      <c r="CS232">
        <f>CR232*CT232</f>
        <v>0</v>
      </c>
      <c r="CT232">
        <f>($B$11*$D$9+$C$11*$D$9+$F$11*((EP232+EH232)/MAX(EP232+EH232+EQ232, 0.1)*$I$9+EQ232/MAX(EP232+EH232+EQ232, 0.1)*$J$9))/($B$11+$C$11+$F$11)</f>
        <v>0</v>
      </c>
      <c r="CU232">
        <f>($B$11*$K$9+$C$11*$K$9+$F$11*((EP232+EH232)/MAX(EP232+EH232+EQ232, 0.1)*$P$9+EQ232/MAX(EP232+EH232+EQ232, 0.1)*$Q$9))/($B$11+$C$11+$F$11)</f>
        <v>0</v>
      </c>
      <c r="CV232">
        <v>6</v>
      </c>
      <c r="CW232">
        <v>0.5</v>
      </c>
      <c r="CX232" t="s">
        <v>418</v>
      </c>
      <c r="CY232">
        <v>2</v>
      </c>
      <c r="CZ232" t="b">
        <v>1</v>
      </c>
      <c r="DA232">
        <v>1652372840.714286</v>
      </c>
      <c r="DB232">
        <v>1488.838571428571</v>
      </c>
      <c r="DC232">
        <v>1561.003571428572</v>
      </c>
      <c r="DD232">
        <v>24.37500357142857</v>
      </c>
      <c r="DE232">
        <v>21.97031785714286</v>
      </c>
      <c r="DF232">
        <v>1491.145357142857</v>
      </c>
      <c r="DG232">
        <v>24.33289642857142</v>
      </c>
      <c r="DH232">
        <v>400.071</v>
      </c>
      <c r="DI232">
        <v>90.39918928571429</v>
      </c>
      <c r="DJ232">
        <v>0.09997697857142855</v>
      </c>
      <c r="DK232">
        <v>30.62095714285715</v>
      </c>
      <c r="DL232">
        <v>29.99005714285715</v>
      </c>
      <c r="DM232">
        <v>999.9000000000002</v>
      </c>
      <c r="DN232">
        <v>0</v>
      </c>
      <c r="DO232">
        <v>0</v>
      </c>
      <c r="DP232">
        <v>10005.02214285714</v>
      </c>
      <c r="DQ232">
        <v>0</v>
      </c>
      <c r="DR232">
        <v>411.0739642857143</v>
      </c>
      <c r="DS232">
        <v>-72.16461785714286</v>
      </c>
      <c r="DT232">
        <v>1526.035357142857</v>
      </c>
      <c r="DU232">
        <v>1596.068928571429</v>
      </c>
      <c r="DV232">
        <v>2.404696071428571</v>
      </c>
      <c r="DW232">
        <v>1561.003571428572</v>
      </c>
      <c r="DX232">
        <v>21.97031785714286</v>
      </c>
      <c r="DY232">
        <v>2.203480357142857</v>
      </c>
      <c r="DZ232">
        <v>1.986098928571429</v>
      </c>
      <c r="EA232">
        <v>18.98763214285714</v>
      </c>
      <c r="EB232">
        <v>17.33394285714285</v>
      </c>
      <c r="EC232">
        <v>1499.998214285715</v>
      </c>
      <c r="ED232">
        <v>0.9730052142857143</v>
      </c>
      <c r="EE232">
        <v>0.02699451071428572</v>
      </c>
      <c r="EF232">
        <v>0</v>
      </c>
      <c r="EG232">
        <v>1651.025357142857</v>
      </c>
      <c r="EH232">
        <v>5.00097</v>
      </c>
      <c r="EI232">
        <v>25445.57857142857</v>
      </c>
      <c r="EJ232">
        <v>12491.6</v>
      </c>
      <c r="EK232">
        <v>40.06199999999999</v>
      </c>
      <c r="EL232">
        <v>41.5</v>
      </c>
      <c r="EM232">
        <v>40.26771428571429</v>
      </c>
      <c r="EN232">
        <v>41.31199999999999</v>
      </c>
      <c r="EO232">
        <v>41.125</v>
      </c>
      <c r="EP232">
        <v>1454.638214285714</v>
      </c>
      <c r="EQ232">
        <v>40.35999999999999</v>
      </c>
      <c r="ER232">
        <v>0</v>
      </c>
      <c r="ES232">
        <v>1682.799999952316</v>
      </c>
      <c r="ET232">
        <v>0</v>
      </c>
      <c r="EU232">
        <v>1650.9292</v>
      </c>
      <c r="EV232">
        <v>-8.324615390178522</v>
      </c>
      <c r="EW232">
        <v>-149.3076923657847</v>
      </c>
      <c r="EX232">
        <v>25443.464</v>
      </c>
      <c r="EY232">
        <v>15</v>
      </c>
      <c r="EZ232">
        <v>1652371289.6</v>
      </c>
      <c r="FA232" t="s">
        <v>515</v>
      </c>
      <c r="FB232">
        <v>1652371289.6</v>
      </c>
      <c r="FC232">
        <v>1652371275.1</v>
      </c>
      <c r="FD232">
        <v>24</v>
      </c>
      <c r="FE232">
        <v>0.442</v>
      </c>
      <c r="FF232">
        <v>0.001</v>
      </c>
      <c r="FG232">
        <v>-2.63</v>
      </c>
      <c r="FH232">
        <v>0.007</v>
      </c>
      <c r="FI232">
        <v>1620</v>
      </c>
      <c r="FJ232">
        <v>22</v>
      </c>
      <c r="FK232">
        <v>0.08</v>
      </c>
      <c r="FL232">
        <v>0.04</v>
      </c>
      <c r="FM232">
        <v>-72.265655</v>
      </c>
      <c r="FN232">
        <v>0.7400172607881779</v>
      </c>
      <c r="FO232">
        <v>0.2888529893821414</v>
      </c>
      <c r="FP232">
        <v>-1</v>
      </c>
      <c r="FQ232">
        <v>2.4198095</v>
      </c>
      <c r="FR232">
        <v>-0.2288046529080691</v>
      </c>
      <c r="FS232">
        <v>0.02560427317363259</v>
      </c>
      <c r="FT232">
        <v>1</v>
      </c>
      <c r="FU232">
        <v>0</v>
      </c>
      <c r="FV232">
        <v>0</v>
      </c>
      <c r="FW232">
        <v>0</v>
      </c>
      <c r="FX232">
        <v>-1</v>
      </c>
      <c r="FY232">
        <v>1</v>
      </c>
      <c r="FZ232">
        <v>1</v>
      </c>
      <c r="GA232" t="s">
        <v>420</v>
      </c>
      <c r="GB232">
        <v>2.69554</v>
      </c>
      <c r="GC232">
        <v>2.70506</v>
      </c>
      <c r="GD232">
        <v>0.221854</v>
      </c>
      <c r="GE232">
        <v>0.225905</v>
      </c>
      <c r="GF232">
        <v>0.107137</v>
      </c>
      <c r="GG232">
        <v>0.0981939</v>
      </c>
      <c r="GH232">
        <v>24450.2</v>
      </c>
      <c r="GI232">
        <v>24428.5</v>
      </c>
      <c r="GJ232">
        <v>29235.8</v>
      </c>
      <c r="GK232">
        <v>29209.1</v>
      </c>
      <c r="GL232">
        <v>34562.1</v>
      </c>
      <c r="GM232">
        <v>35061.2</v>
      </c>
      <c r="GN232">
        <v>41147.9</v>
      </c>
      <c r="GO232">
        <v>41675.2</v>
      </c>
      <c r="GP232">
        <v>1.721</v>
      </c>
      <c r="GQ232">
        <v>2.0363</v>
      </c>
      <c r="GR232">
        <v>0.07339569999999999</v>
      </c>
      <c r="GS232">
        <v>0</v>
      </c>
      <c r="GT232">
        <v>28.8056</v>
      </c>
      <c r="GU232">
        <v>999.9</v>
      </c>
      <c r="GV232">
        <v>44.1</v>
      </c>
      <c r="GW232">
        <v>33.5</v>
      </c>
      <c r="GX232">
        <v>25.346</v>
      </c>
      <c r="GY232">
        <v>63.568</v>
      </c>
      <c r="GZ232">
        <v>28.6579</v>
      </c>
      <c r="HA232">
        <v>1</v>
      </c>
      <c r="HB232">
        <v>0.269599</v>
      </c>
      <c r="HC232">
        <v>0.592944</v>
      </c>
      <c r="HD232">
        <v>20.3802</v>
      </c>
      <c r="HE232">
        <v>5.21684</v>
      </c>
      <c r="HF232">
        <v>12.0099</v>
      </c>
      <c r="HG232">
        <v>4.98775</v>
      </c>
      <c r="HH232">
        <v>3.28813</v>
      </c>
      <c r="HI232">
        <v>2733.8</v>
      </c>
      <c r="HJ232">
        <v>9999</v>
      </c>
      <c r="HK232">
        <v>9999</v>
      </c>
      <c r="HL232">
        <v>50.2</v>
      </c>
      <c r="HM232">
        <v>1.86722</v>
      </c>
      <c r="HN232">
        <v>1.86623</v>
      </c>
      <c r="HO232">
        <v>1.86583</v>
      </c>
      <c r="HP232">
        <v>1.86569</v>
      </c>
      <c r="HQ232">
        <v>1.86752</v>
      </c>
      <c r="HR232">
        <v>1.87</v>
      </c>
      <c r="HS232">
        <v>1.86863</v>
      </c>
      <c r="HT232">
        <v>1.87006</v>
      </c>
      <c r="HU232">
        <v>0</v>
      </c>
      <c r="HV232">
        <v>0</v>
      </c>
      <c r="HW232">
        <v>0</v>
      </c>
      <c r="HX232">
        <v>0</v>
      </c>
      <c r="HY232" t="s">
        <v>421</v>
      </c>
      <c r="HZ232" t="s">
        <v>422</v>
      </c>
      <c r="IA232" t="s">
        <v>423</v>
      </c>
      <c r="IB232" t="s">
        <v>423</v>
      </c>
      <c r="IC232" t="s">
        <v>423</v>
      </c>
      <c r="ID232" t="s">
        <v>423</v>
      </c>
      <c r="IE232">
        <v>0</v>
      </c>
      <c r="IF232">
        <v>100</v>
      </c>
      <c r="IG232">
        <v>100</v>
      </c>
      <c r="IH232">
        <v>-2.37</v>
      </c>
      <c r="II232">
        <v>0.042</v>
      </c>
      <c r="IJ232">
        <v>1.257309091789605</v>
      </c>
      <c r="IK232">
        <v>-0.002185601614162945</v>
      </c>
      <c r="IL232">
        <v>-2.252308143750626E-07</v>
      </c>
      <c r="IM232">
        <v>5.915558436307541E-11</v>
      </c>
      <c r="IN232">
        <v>-0.118683452207699</v>
      </c>
      <c r="IO232">
        <v>-0.007570214193104963</v>
      </c>
      <c r="IP232">
        <v>0.0009214429922928372</v>
      </c>
      <c r="IQ232">
        <v>-1.392260276065805E-05</v>
      </c>
      <c r="IR232">
        <v>17</v>
      </c>
      <c r="IS232">
        <v>2272</v>
      </c>
      <c r="IT232">
        <v>1</v>
      </c>
      <c r="IU232">
        <v>31</v>
      </c>
      <c r="IV232">
        <v>26</v>
      </c>
      <c r="IW232">
        <v>26.2</v>
      </c>
      <c r="IX232">
        <v>3.05298</v>
      </c>
      <c r="IY232">
        <v>2.19727</v>
      </c>
      <c r="IZ232">
        <v>1.39648</v>
      </c>
      <c r="JA232">
        <v>2.35229</v>
      </c>
      <c r="JB232">
        <v>1.49536</v>
      </c>
      <c r="JC232">
        <v>2.2998</v>
      </c>
      <c r="JD232">
        <v>37.1225</v>
      </c>
      <c r="JE232">
        <v>15.2003</v>
      </c>
      <c r="JF232">
        <v>18</v>
      </c>
      <c r="JG232">
        <v>387.575</v>
      </c>
      <c r="JH232">
        <v>573.128</v>
      </c>
      <c r="JI232">
        <v>28.6477</v>
      </c>
      <c r="JJ232">
        <v>30.8834</v>
      </c>
      <c r="JK232">
        <v>30</v>
      </c>
      <c r="JL232">
        <v>30.8082</v>
      </c>
      <c r="JM232">
        <v>30.7117</v>
      </c>
      <c r="JN232">
        <v>61.0815</v>
      </c>
      <c r="JO232">
        <v>16.0417</v>
      </c>
      <c r="JP232">
        <v>3.08503</v>
      </c>
      <c r="JQ232">
        <v>28.6394</v>
      </c>
      <c r="JR232">
        <v>1603.8</v>
      </c>
      <c r="JS232">
        <v>21.9558</v>
      </c>
      <c r="JT232">
        <v>99.9299</v>
      </c>
      <c r="JU232">
        <v>100.038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2022-05-12T16:27:39Z</dcterms:created>
  <dcterms:modified xsi:type="dcterms:W3CDTF">2022-05-12T16:27:39Z</dcterms:modified>
</cp:coreProperties>
</file>